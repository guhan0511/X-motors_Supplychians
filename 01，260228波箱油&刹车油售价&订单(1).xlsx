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40" windowHeight="13060" activeTab="1"/>
  </bookViews>
  <sheets>
    <sheet name="20260228波箱油&amp;刹车油售价&amp;订单" sheetId="22" r:id="rId1"/>
    <sheet name="ITEM" sheetId="26" r:id="rId2"/>
    <sheet name="25-03" sheetId="27" r:id="rId3"/>
    <sheet name="25-04" sheetId="28" r:id="rId4"/>
    <sheet name="25-05" sheetId="29" r:id="rId5"/>
    <sheet name="26-06" sheetId="30" r:id="rId6"/>
    <sheet name="25-07" sheetId="31" r:id="rId7"/>
    <sheet name="25-08" sheetId="32" r:id="rId8"/>
    <sheet name="25-09" sheetId="33" r:id="rId9"/>
    <sheet name="25-10" sheetId="34" r:id="rId10"/>
    <sheet name="25-11" sheetId="35" r:id="rId11"/>
    <sheet name="25-12" sheetId="36" r:id="rId12"/>
    <sheet name="26-01" sheetId="37" r:id="rId13"/>
    <sheet name="26-02" sheetId="38" r:id="rId14"/>
    <sheet name="BCS-1-KLG" sheetId="23" r:id="rId15"/>
    <sheet name="BCS-2 PIK 2" sheetId="24" r:id="rId16"/>
    <sheet name="BCS HO" sheetId="25" r:id="rId17"/>
    <sheet name="list Jasa" sheetId="14" state="hidden" r:id="rId18"/>
  </sheets>
  <definedNames>
    <definedName name="_xlnm._FilterDatabase" localSheetId="0" hidden="1">'20260228波箱油&amp;刹车油售价&amp;订单'!$A$3:$DA$22</definedName>
    <definedName name="_xlnm._FilterDatabase" localSheetId="1" hidden="1">ITEM!$A$3:$BN$22</definedName>
    <definedName name="_xlnm._FilterDatabase" localSheetId="17" hidden="1">'list Jasa'!$A$1:$E$1660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<sst xmlns="http://schemas.openxmlformats.org/spreadsheetml/2006/main" count="51979" uniqueCount="5775">
  <si>
    <t>订货周期（OC）</t>
  </si>
  <si>
    <t>排序</t>
  </si>
  <si>
    <t>产品名称</t>
  </si>
  <si>
    <t>BCS HO</t>
  </si>
  <si>
    <t>历史销量</t>
  </si>
  <si>
    <t>库存状态</t>
  </si>
  <si>
    <t>调拨需求</t>
  </si>
  <si>
    <t>BCS 01-KLG</t>
  </si>
  <si>
    <t>BCS 02-PIK 2</t>
  </si>
  <si>
    <t>BCS HO ST0CK-(Franchise store requirements)</t>
  </si>
  <si>
    <t>序号</t>
  </si>
  <si>
    <t>零件号</t>
  </si>
  <si>
    <t>品牌</t>
  </si>
  <si>
    <t>零件类别</t>
  </si>
  <si>
    <t>产品类型</t>
  </si>
  <si>
    <t>Quantity</t>
  </si>
  <si>
    <t>Unit</t>
  </si>
  <si>
    <t>Cost Price</t>
  </si>
  <si>
    <t>Fixed Markup Rate</t>
  </si>
  <si>
    <t>Floating Markup Rate</t>
  </si>
  <si>
    <t>Total Markup Rate</t>
  </si>
  <si>
    <t>BQUICK
参考价</t>
  </si>
  <si>
    <t>shopee官网</t>
  </si>
  <si>
    <t>tokopedia官网</t>
  </si>
  <si>
    <t>平均
参考价</t>
  </si>
  <si>
    <t>初始销售价
--02</t>
  </si>
  <si>
    <t>初始销售价
--03</t>
  </si>
  <si>
    <t>修正销售价</t>
  </si>
  <si>
    <t>工时费</t>
  </si>
  <si>
    <t>含工时费
销售价</t>
  </si>
  <si>
    <t>毛利</t>
  </si>
  <si>
    <t>毛利率</t>
  </si>
  <si>
    <t>到货周期（LT）</t>
  </si>
  <si>
    <t>安全库存
行业系数经验值</t>
  </si>
  <si>
    <t>安全库存周期（SS）</t>
  </si>
  <si>
    <t>Total</t>
  </si>
  <si>
    <t>Average 6</t>
  </si>
  <si>
    <t>Average 11</t>
  </si>
  <si>
    <t>销售趋向系数</t>
  </si>
  <si>
    <t>5~9月
进店量</t>
  </si>
  <si>
    <t>配件
更换率</t>
  </si>
  <si>
    <t>月度
理论销量</t>
  </si>
  <si>
    <t>最小库存量
（安全库存量）</t>
  </si>
  <si>
    <t>标准库存量（SSQ）</t>
  </si>
  <si>
    <t>现有库存量
（O/H）</t>
  </si>
  <si>
    <t>在途库存量
（O/O）</t>
  </si>
  <si>
    <t>追加订单量
（B/O）</t>
  </si>
  <si>
    <t>建议订单量
（SOQ）</t>
  </si>
  <si>
    <t>修正订单</t>
  </si>
  <si>
    <t>修正订单/箱</t>
  </si>
  <si>
    <t>包装</t>
  </si>
  <si>
    <t>桶/箱</t>
  </si>
  <si>
    <t>对应送货动作</t>
  </si>
  <si>
    <t>备货策略</t>
  </si>
  <si>
    <t>质量等级</t>
  </si>
  <si>
    <t>TOTAL</t>
  </si>
  <si>
    <t>KLG</t>
  </si>
  <si>
    <t>PIK2</t>
  </si>
  <si>
    <t>Avergae 11</t>
  </si>
  <si>
    <t>修正
最小库存量</t>
  </si>
  <si>
    <t>修正订单/桶</t>
  </si>
  <si>
    <t>NO</t>
  </si>
  <si>
    <t>Part Number</t>
  </si>
  <si>
    <t>Brand</t>
  </si>
  <si>
    <t>Part Category</t>
  </si>
  <si>
    <t>Product Type</t>
  </si>
  <si>
    <t>容量/桶</t>
  </si>
  <si>
    <t>Product Name</t>
  </si>
  <si>
    <t>数量</t>
  </si>
  <si>
    <t>单位</t>
  </si>
  <si>
    <t>成本价</t>
  </si>
  <si>
    <t>固定加价率</t>
  </si>
  <si>
    <t>浮动加价率</t>
  </si>
  <si>
    <t>合计加价率</t>
  </si>
  <si>
    <t>初始销售价01</t>
  </si>
  <si>
    <t>库存</t>
  </si>
  <si>
    <t>总计</t>
  </si>
  <si>
    <t>需求</t>
  </si>
  <si>
    <t>MOBIL</t>
  </si>
  <si>
    <t>Transmission Oil</t>
  </si>
  <si>
    <t>Dexron-VI</t>
  </si>
  <si>
    <t>ATF</t>
  </si>
  <si>
    <t>1L</t>
  </si>
  <si>
    <t>12*1L</t>
  </si>
  <si>
    <t>MOBIL Transmission Oil Dexron-VI ATF 1L</t>
  </si>
  <si>
    <t>桶</t>
  </si>
  <si>
    <t>-</t>
  </si>
  <si>
    <t>★★★</t>
  </si>
  <si>
    <t>CASTROL</t>
  </si>
  <si>
    <t>Brake Fluid</t>
  </si>
  <si>
    <t>DOT 3</t>
  </si>
  <si>
    <t>500ml</t>
  </si>
  <si>
    <t>CASTROL Brake Fluid DOT 3 - 500ml</t>
  </si>
  <si>
    <t>★★</t>
  </si>
  <si>
    <t>★</t>
  </si>
  <si>
    <t>SHELL</t>
  </si>
  <si>
    <t>Spirax</t>
  </si>
  <si>
    <t>ATF 6</t>
  </si>
  <si>
    <t>SHELL Transmission Oil Spirax ATF 6 1L</t>
  </si>
  <si>
    <t>Gear Oil</t>
  </si>
  <si>
    <t>Mobilube-HD</t>
  </si>
  <si>
    <t>80W-90</t>
  </si>
  <si>
    <t>MOBIL Gear Oil Mobilube-HD 80W-90 1L</t>
  </si>
  <si>
    <t>CVTF</t>
  </si>
  <si>
    <t>Multi-Vehicle</t>
  </si>
  <si>
    <t>MOBIL Transmission Oil CVTF Multi-Vehicle 1L</t>
  </si>
  <si>
    <t>PRESTONE</t>
  </si>
  <si>
    <t>1000ml</t>
  </si>
  <si>
    <t>PRESTONE Brake Fluid DOT 3 - 1000ml</t>
  </si>
  <si>
    <t>Axle Oil</t>
  </si>
  <si>
    <t>S2 A 80W-90</t>
  </si>
  <si>
    <t>SHELL Axle Oil Spirax S2 A 80W-90 1L</t>
  </si>
  <si>
    <t>DOT 4</t>
  </si>
  <si>
    <t>CASTROL Brake Fluid DOT 4 - 500ml</t>
  </si>
  <si>
    <t>S2 G 80W-90</t>
  </si>
  <si>
    <t>SHELL Gear Oil Spirax S2 G 80W-90 1L</t>
  </si>
  <si>
    <t>S5 CVTX</t>
  </si>
  <si>
    <t>SHELL Transmission Oil Spirax S5 CVTX 1L</t>
  </si>
  <si>
    <t>MOTUL</t>
  </si>
  <si>
    <t>Multi</t>
  </si>
  <si>
    <t>MOTUL Transmission Oil Multi CVTF 1L</t>
  </si>
  <si>
    <t>VI</t>
  </si>
  <si>
    <t>MOTUL Transmission Oil ATF VI 1L</t>
  </si>
  <si>
    <t>MOTUL Transmission Oil Multi ATF 1L</t>
  </si>
  <si>
    <t>HDX</t>
  </si>
  <si>
    <t>MOTUL Gear Oil HDX 80W-90 1L</t>
  </si>
  <si>
    <t>MOTUL Brake Fluid DOT 4 - 500ml</t>
  </si>
  <si>
    <t>DOT 5.1</t>
  </si>
  <si>
    <t>MOTUL Brake Fluid DOT 5.1 - 500ml</t>
  </si>
  <si>
    <t>300ml</t>
  </si>
  <si>
    <t>PRESTONE Brake Fluid DOT 3 - 300ml</t>
  </si>
  <si>
    <t>PRESTONE Brake Fluid DOT 4 - 1000ml</t>
  </si>
  <si>
    <t>PRESTONE Brake Fluid DOT 4 - 300ml</t>
  </si>
  <si>
    <t>Item name</t>
  </si>
  <si>
    <t>汇总</t>
  </si>
  <si>
    <t>BCS-1-KLG</t>
  </si>
  <si>
    <t>BCS-2 PIK 2</t>
  </si>
  <si>
    <t>实际库存</t>
  </si>
  <si>
    <t>March</t>
  </si>
  <si>
    <t>TOTAL 3</t>
  </si>
  <si>
    <t>April</t>
  </si>
  <si>
    <t>TOTAL 4</t>
  </si>
  <si>
    <t>May</t>
  </si>
  <si>
    <t>TOTAL 5</t>
  </si>
  <si>
    <t>June</t>
  </si>
  <si>
    <t>TOTAL 6</t>
  </si>
  <si>
    <t>July</t>
  </si>
  <si>
    <t>TOTAL 7</t>
  </si>
  <si>
    <t>August</t>
  </si>
  <si>
    <t>TOTAL 8</t>
  </si>
  <si>
    <t xml:space="preserve">September </t>
  </si>
  <si>
    <t>TOTAL 9</t>
  </si>
  <si>
    <t>Oktober</t>
  </si>
  <si>
    <t>TOTAL 10</t>
  </si>
  <si>
    <t>November</t>
  </si>
  <si>
    <t>TOTAL 11</t>
  </si>
  <si>
    <t>December</t>
  </si>
  <si>
    <t>TOTAL 12</t>
  </si>
  <si>
    <t>26-1 January</t>
  </si>
  <si>
    <t>TOTAL 26-1</t>
  </si>
  <si>
    <t>26-2 February</t>
  </si>
  <si>
    <t>TOTAL 26-2</t>
  </si>
  <si>
    <t>stock
 KLG</t>
  </si>
  <si>
    <t>stock PIK2</t>
  </si>
  <si>
    <t>stock 
HO</t>
  </si>
  <si>
    <t>stock</t>
  </si>
  <si>
    <t>total stock</t>
  </si>
  <si>
    <t>BCS-1 KELAPA GADING--Central Warehouse</t>
  </si>
  <si>
    <t>BCS-2 PIK 2--Central Warehouse</t>
  </si>
  <si>
    <t>BCS-HEAD OFFICE--Central Warehouse</t>
  </si>
  <si>
    <t>BCS HEAD OFFICE--Central Warehouse</t>
  </si>
  <si>
    <t>Qty</t>
  </si>
  <si>
    <t/>
  </si>
  <si>
    <r>
      <rPr>
        <sz val="12"/>
        <color rgb="FF000000"/>
        <rFont val="Courier"/>
        <charset val="134"/>
      </rPr>
      <t>X-MOTORS INTERNATIONAL GROUP</t>
    </r>
  </si>
  <si>
    <r>
      <rPr>
        <b/>
        <sz val="18"/>
        <color rgb="FF990033"/>
        <rFont val="Arial"/>
        <charset val="134"/>
      </rPr>
      <t>Item Sales per Warehouse</t>
    </r>
  </si>
  <si>
    <r>
      <rPr>
        <sz val="11"/>
        <color rgb="FF000000"/>
        <rFont val="Courier"/>
        <charset val="134"/>
      </rPr>
      <t>From 01 Mar 2025 until 31 Mar 2025</t>
    </r>
  </si>
  <si>
    <r>
      <rPr>
        <i/>
        <sz val="7"/>
        <color rgb="FF000000"/>
        <rFont val="Arial"/>
        <charset val="134"/>
      </rPr>
      <t>Branch : [All Branch]</t>
    </r>
  </si>
  <si>
    <r>
      <rPr>
        <sz val="9"/>
        <color rgb="FF000000"/>
        <rFont val="Arial"/>
        <charset val="134"/>
      </rPr>
      <t>Item Name</t>
    </r>
  </si>
  <si>
    <r>
      <rPr>
        <sz val="9"/>
        <color rgb="FF000000"/>
        <rFont val="Arial"/>
        <charset val="134"/>
      </rPr>
      <t>Warehouse</t>
    </r>
  </si>
  <si>
    <r>
      <rPr>
        <sz val="9"/>
        <color rgb="FF000000"/>
        <rFont val="Arial"/>
        <charset val="134"/>
      </rPr>
      <t>Quantity</t>
    </r>
  </si>
  <si>
    <r>
      <rPr>
        <sz val="9"/>
        <color rgb="FF000000"/>
        <rFont val="Arial"/>
        <charset val="134"/>
      </rPr>
      <t>Sales</t>
    </r>
  </si>
  <si>
    <r>
      <rPr>
        <sz val="9"/>
        <color rgb="FF000000"/>
        <rFont val="Arial"/>
        <charset val="134"/>
      </rPr>
      <t>BATTERY AMARON 580-24C MF</t>
    </r>
  </si>
  <si>
    <r>
      <rPr>
        <sz val="9"/>
        <color rgb="FF000000"/>
        <rFont val="Arial"/>
        <charset val="134"/>
      </rPr>
      <t>BCS-1 KELAPA GADING--Central Warehouse</t>
    </r>
  </si>
  <si>
    <r>
      <rPr>
        <sz val="9"/>
        <color rgb="FF000000"/>
        <rFont val="Arial"/>
        <charset val="134"/>
      </rPr>
      <t>Total Warehouse</t>
    </r>
  </si>
  <si>
    <r>
      <rPr>
        <sz val="9"/>
        <color rgb="FF000000"/>
        <rFont val="Arial"/>
        <charset val="134"/>
      </rPr>
      <t>BOSCH Battery MF Blue 55D23L 12V-60Ah</t>
    </r>
  </si>
  <si>
    <r>
      <rPr>
        <sz val="9"/>
        <color rgb="FF000000"/>
        <rFont val="Arial"/>
        <charset val="134"/>
      </rPr>
      <t>BOSCH Battery MF Blue NS60L 46B24L 12V-42Ah</t>
    </r>
  </si>
  <si>
    <r>
      <rPr>
        <sz val="9"/>
        <color rgb="FF000000"/>
        <rFont val="Arial"/>
        <charset val="134"/>
      </rPr>
      <t>BOSCH Cabin Filter AP-H09</t>
    </r>
  </si>
  <si>
    <r>
      <rPr>
        <sz val="9"/>
        <color rgb="FF000000"/>
        <rFont val="Arial"/>
        <charset val="134"/>
      </rPr>
      <t>BOSCH Fuel Filter D 6100</t>
    </r>
  </si>
  <si>
    <r>
      <rPr>
        <sz val="9"/>
        <color rgb="FF000000"/>
        <rFont val="Arial"/>
        <charset val="134"/>
      </rPr>
      <t>BOSCH Light Bulb H1 12V 55W -P14.5s ECO</t>
    </r>
  </si>
  <si>
    <r>
      <rPr>
        <sz val="8"/>
        <color rgb="FF000000"/>
        <rFont val="Courier"/>
        <charset val="134"/>
      </rPr>
      <t>ACCURATE Accounting System Report</t>
    </r>
  </si>
  <si>
    <r>
      <rPr>
        <sz val="8"/>
        <color rgb="FF000000"/>
        <rFont val="Courier"/>
        <charset val="134"/>
      </rPr>
      <t>Printed on 2 February 2026 - 09:52</t>
    </r>
  </si>
  <si>
    <r>
      <rPr>
        <sz val="8"/>
        <color rgb="FF000000"/>
        <rFont val="Courier"/>
        <charset val="134"/>
      </rPr>
      <t>Page Break 1</t>
    </r>
  </si>
  <si>
    <r>
      <rPr>
        <sz val="9"/>
        <color rgb="FF000000"/>
        <rFont val="Arial"/>
        <charset val="134"/>
      </rPr>
      <t>BOSCH Light Bulb H4 12V 100/90W -P43t ECO</t>
    </r>
  </si>
  <si>
    <r>
      <rPr>
        <sz val="9"/>
        <color rgb="FF000000"/>
        <rFont val="Arial"/>
        <charset val="134"/>
      </rPr>
      <t>BOSCH Light Bulb H4 12V 60/55W -P43t Sportec Bright</t>
    </r>
  </si>
  <si>
    <r>
      <rPr>
        <sz val="9"/>
        <color rgb="FF000000"/>
        <rFont val="Arial"/>
        <charset val="134"/>
      </rPr>
      <t>BOSCH Oil Filter O 0126</t>
    </r>
  </si>
  <si>
    <r>
      <rPr>
        <sz val="9"/>
        <color rgb="FF000000"/>
        <rFont val="Arial"/>
        <charset val="134"/>
      </rPr>
      <t>BOSCH Oil Filter O 0220</t>
    </r>
  </si>
  <si>
    <r>
      <rPr>
        <sz val="9"/>
        <color rgb="FF000000"/>
        <rFont val="Arial"/>
        <charset val="134"/>
      </rPr>
      <t>BOSCH Oil Filter O 1001</t>
    </r>
  </si>
  <si>
    <r>
      <rPr>
        <sz val="9"/>
        <color rgb="FF000000"/>
        <rFont val="Arial"/>
        <charset val="134"/>
      </rPr>
      <t>BOSCH Oil Filter O 1014</t>
    </r>
  </si>
  <si>
    <r>
      <rPr>
        <sz val="8"/>
        <color rgb="FF000000"/>
        <rFont val="Courier"/>
        <charset val="134"/>
      </rPr>
      <t>Page Break 2</t>
    </r>
  </si>
  <si>
    <r>
      <rPr>
        <sz val="9"/>
        <color rgb="FF000000"/>
        <rFont val="Arial"/>
        <charset val="134"/>
      </rPr>
      <t>BOSCH Oil Filter O 1041</t>
    </r>
  </si>
  <si>
    <r>
      <rPr>
        <sz val="9"/>
        <color rgb="FF000000"/>
        <rFont val="Arial"/>
        <charset val="134"/>
      </rPr>
      <t>BOSCH Oil Filter O 1042</t>
    </r>
  </si>
  <si>
    <r>
      <rPr>
        <sz val="9"/>
        <color rgb="FF000000"/>
        <rFont val="Arial"/>
        <charset val="134"/>
      </rPr>
      <t>BOSCH Oil Filter O 1043</t>
    </r>
  </si>
  <si>
    <r>
      <rPr>
        <sz val="9"/>
        <color rgb="FF000000"/>
        <rFont val="Arial"/>
        <charset val="134"/>
      </rPr>
      <t>BOSCH Spark Plug FR8DII33X - Iridium</t>
    </r>
  </si>
  <si>
    <r>
      <rPr>
        <sz val="9"/>
        <color rgb="FF000000"/>
        <rFont val="Arial"/>
        <charset val="134"/>
      </rPr>
      <t>BOSCH Wiper Advantage 14 inch BA14</t>
    </r>
  </si>
  <si>
    <r>
      <rPr>
        <sz val="9"/>
        <color rgb="FF000000"/>
        <rFont val="Arial"/>
        <charset val="134"/>
      </rPr>
      <t>BOSCH Wiper Advantage 16 inch BA16</t>
    </r>
  </si>
  <si>
    <r>
      <rPr>
        <sz val="8"/>
        <color rgb="FF000000"/>
        <rFont val="Courier"/>
        <charset val="134"/>
      </rPr>
      <t>Page Break 3</t>
    </r>
  </si>
  <si>
    <r>
      <rPr>
        <sz val="9"/>
        <color rgb="FF000000"/>
        <rFont val="Arial"/>
        <charset val="134"/>
      </rPr>
      <t>BOSCH Wiper Advantage 20 inch BA20</t>
    </r>
  </si>
  <si>
    <r>
      <rPr>
        <sz val="9"/>
        <color rgb="FF000000"/>
        <rFont val="Arial"/>
        <charset val="134"/>
      </rPr>
      <t>BOSCH Wiper Advantage 21 inch BA21</t>
    </r>
  </si>
  <si>
    <r>
      <rPr>
        <sz val="9"/>
        <color rgb="FF000000"/>
        <rFont val="Arial"/>
        <charset val="134"/>
      </rPr>
      <t>BOSCH Wiper Advantage 22 inch BA22</t>
    </r>
  </si>
  <si>
    <r>
      <rPr>
        <sz val="9"/>
        <color rgb="FF000000"/>
        <rFont val="Arial"/>
        <charset val="134"/>
      </rPr>
      <t>BOSCH Wiper Aerotwin Plus 15 inch AP380U</t>
    </r>
  </si>
  <si>
    <r>
      <rPr>
        <sz val="9"/>
        <color rgb="FF000000"/>
        <rFont val="Arial"/>
        <charset val="134"/>
      </rPr>
      <t>BOSCH Wiper Aerotwin Retrofit 26 BBA650</t>
    </r>
  </si>
  <si>
    <r>
      <rPr>
        <sz val="9"/>
        <color rgb="FF000000"/>
        <rFont val="Arial"/>
        <charset val="134"/>
      </rPr>
      <t>BOSCH Wiper Clear Advantage 14 inch BCA14</t>
    </r>
  </si>
  <si>
    <r>
      <rPr>
        <sz val="8"/>
        <color rgb="FF000000"/>
        <rFont val="Courier"/>
        <charset val="134"/>
      </rPr>
      <t>Page Break 4</t>
    </r>
  </si>
  <si>
    <r>
      <rPr>
        <sz val="9"/>
        <color rgb="FF000000"/>
        <rFont val="Arial"/>
        <charset val="134"/>
      </rPr>
      <t>BOSCH Wiper Clear Advantage 16 inch BCA16</t>
    </r>
  </si>
  <si>
    <r>
      <rPr>
        <sz val="9"/>
        <color rgb="FF000000"/>
        <rFont val="Arial"/>
        <charset val="134"/>
      </rPr>
      <t>BOSCH Wiper Clear Advantage 17 inch BCA17</t>
    </r>
  </si>
  <si>
    <r>
      <rPr>
        <sz val="9"/>
        <color rgb="FF000000"/>
        <rFont val="Arial"/>
        <charset val="134"/>
      </rPr>
      <t>BOSCH Wiper Clear Advantage 18 inch BCA18</t>
    </r>
  </si>
  <si>
    <r>
      <rPr>
        <sz val="9"/>
        <color rgb="FF000000"/>
        <rFont val="Arial"/>
        <charset val="134"/>
      </rPr>
      <t>BOSCH Wiper Clear Advantage 19 inch BCA19</t>
    </r>
  </si>
  <si>
    <r>
      <rPr>
        <sz val="9"/>
        <color rgb="FF000000"/>
        <rFont val="Arial"/>
        <charset val="134"/>
      </rPr>
      <t>BOSCH Wiper Clear Advantage 21 inch BCA21</t>
    </r>
  </si>
  <si>
    <r>
      <rPr>
        <sz val="9"/>
        <color rgb="FF000000"/>
        <rFont val="Arial"/>
        <charset val="134"/>
      </rPr>
      <t>BOSCH Wiper Clear Advantage 22 inch BCA22</t>
    </r>
  </si>
  <si>
    <r>
      <rPr>
        <sz val="8"/>
        <color rgb="FF000000"/>
        <rFont val="Courier"/>
        <charset val="134"/>
      </rPr>
      <t>Page Break 5</t>
    </r>
  </si>
  <si>
    <r>
      <rPr>
        <sz val="9"/>
        <color rgb="FF000000"/>
        <rFont val="Arial"/>
        <charset val="134"/>
      </rPr>
      <t>BOSCH Wiper Clear Advantage 24 inch BCA24</t>
    </r>
  </si>
  <si>
    <r>
      <rPr>
        <sz val="9"/>
        <color rgb="FF000000"/>
        <rFont val="Arial"/>
        <charset val="134"/>
      </rPr>
      <t>BOSCH Wiper Clear Advantage 26 inch BCA26</t>
    </r>
  </si>
  <si>
    <r>
      <rPr>
        <sz val="9"/>
        <color rgb="FF000000"/>
        <rFont val="Arial"/>
        <charset val="134"/>
      </rPr>
      <t>BOSCH Wiper-Rear 429/Lock 2 12 inch H307</t>
    </r>
  </si>
  <si>
    <r>
      <rPr>
        <sz val="9"/>
        <color rgb="FF000000"/>
        <rFont val="Arial"/>
        <charset val="134"/>
      </rPr>
      <t>BOSCH Wiper-Rear 430/Lock 2 14 inch H352</t>
    </r>
  </si>
  <si>
    <r>
      <rPr>
        <sz val="9"/>
        <color rgb="FF000000"/>
        <rFont val="Arial"/>
        <charset val="134"/>
      </rPr>
      <t>BOSCH Wiper-Rear 432/Lock 3 12 inch H306</t>
    </r>
  </si>
  <si>
    <r>
      <rPr>
        <sz val="9"/>
        <color rgb="FF000000"/>
        <rFont val="Arial"/>
        <charset val="134"/>
      </rPr>
      <t>BOSCH Wiper-Rear 433/Lock 3 14 inch H354</t>
    </r>
  </si>
  <si>
    <r>
      <rPr>
        <sz val="8"/>
        <color rgb="FF000000"/>
        <rFont val="Courier"/>
        <charset val="134"/>
      </rPr>
      <t>Page Break 6</t>
    </r>
  </si>
  <si>
    <r>
      <rPr>
        <sz val="9"/>
        <color rgb="FF000000"/>
        <rFont val="Arial"/>
        <charset val="134"/>
      </rPr>
      <t>BOSCH Wiper-Rear 629/Lock 3 10 inch H250</t>
    </r>
  </si>
  <si>
    <r>
      <rPr>
        <sz val="9"/>
        <color rgb="FF000000"/>
        <rFont val="Arial"/>
        <charset val="134"/>
      </rPr>
      <t>BRAK SHOE KIT</t>
    </r>
  </si>
  <si>
    <r>
      <rPr>
        <sz val="9"/>
        <color rgb="FF000000"/>
        <rFont val="Arial"/>
        <charset val="134"/>
      </rPr>
      <t>BRAKE PAD FR BRIO 2016</t>
    </r>
  </si>
  <si>
    <r>
      <rPr>
        <sz val="9"/>
        <color rgb="FF000000"/>
        <rFont val="Arial"/>
        <charset val="134"/>
      </rPr>
      <t>BRAKE PAD FR WULING ALVEZ LV1/LV2</t>
    </r>
  </si>
  <si>
    <r>
      <rPr>
        <sz val="9"/>
        <color rgb="FF000000"/>
        <rFont val="Arial"/>
        <charset val="134"/>
      </rPr>
      <t>BRAKE PAD FR. ALL NEW RUSH</t>
    </r>
  </si>
  <si>
    <r>
      <rPr>
        <sz val="9"/>
        <color rgb="FF000000"/>
        <rFont val="Arial"/>
        <charset val="134"/>
      </rPr>
      <t>BRAKE SHOE REAR FORTUNER 2016</t>
    </r>
  </si>
  <si>
    <r>
      <rPr>
        <sz val="8"/>
        <color rgb="FF000000"/>
        <rFont val="Courier"/>
        <charset val="134"/>
      </rPr>
      <t>Page Break 7</t>
    </r>
  </si>
  <si>
    <r>
      <rPr>
        <sz val="9"/>
        <color rgb="FF000000"/>
        <rFont val="Arial"/>
        <charset val="134"/>
      </rPr>
      <t>BRIDGESTONE TIRE Alenza 001A 215/60R17 96H-OEM</t>
    </r>
  </si>
  <si>
    <r>
      <rPr>
        <sz val="9"/>
        <color rgb="FF000000"/>
        <rFont val="Arial"/>
        <charset val="134"/>
      </rPr>
      <t>BRIDGESTONE TIRE Dueler A/T 002 265/60R18 114S</t>
    </r>
  </si>
  <si>
    <r>
      <rPr>
        <sz val="9"/>
        <color rgb="FF000000"/>
        <rFont val="Arial"/>
        <charset val="134"/>
      </rPr>
      <t>BRIDGESTONE TIRE Dueler H/L 33 235/60R18 103H-OEM</t>
    </r>
  </si>
  <si>
    <r>
      <rPr>
        <sz val="9"/>
        <color rgb="FF000000"/>
        <rFont val="Arial"/>
        <charset val="134"/>
      </rPr>
      <t>BRIDGESTONE TIRE Dueler H/T 470 225/65R17 102T-OEM</t>
    </r>
  </si>
  <si>
    <r>
      <rPr>
        <sz val="9"/>
        <color rgb="FF000000"/>
        <rFont val="Arial"/>
        <charset val="134"/>
      </rPr>
      <t>BRIDGESTONE TIRE Dueler H/T 684II 265/60R18 110H-OEM</t>
    </r>
  </si>
  <si>
    <r>
      <rPr>
        <sz val="9"/>
        <color rgb="FF000000"/>
        <rFont val="Arial"/>
        <charset val="134"/>
      </rPr>
      <t>BRIDGESTONE TIRE Dueler H/T 684II 265/65R17 112S-OEM</t>
    </r>
  </si>
  <si>
    <r>
      <rPr>
        <sz val="8"/>
        <color rgb="FF000000"/>
        <rFont val="Courier"/>
        <charset val="134"/>
      </rPr>
      <t>Page Break 8</t>
    </r>
  </si>
  <si>
    <r>
      <rPr>
        <sz val="9"/>
        <color rgb="FF000000"/>
        <rFont val="Arial"/>
        <charset val="134"/>
      </rPr>
      <t>BRIDGESTONE TIRE Dueler H/T 687 235/60R16 100H-OEM</t>
    </r>
  </si>
  <si>
    <r>
      <rPr>
        <sz val="9"/>
        <color rgb="FF000000"/>
        <rFont val="Arial"/>
        <charset val="134"/>
      </rPr>
      <t>BRIDGESTONE TIRE Duravis R624 185R14 102R</t>
    </r>
  </si>
  <si>
    <r>
      <rPr>
        <sz val="9"/>
        <color rgb="FF000000"/>
        <rFont val="Arial"/>
        <charset val="134"/>
      </rPr>
      <t>BRIDGESTONE TIRE Ecopia EP150 175/65R14 82T-OEM</t>
    </r>
  </si>
  <si>
    <r>
      <rPr>
        <sz val="9"/>
        <color rgb="FF000000"/>
        <rFont val="Arial"/>
        <charset val="134"/>
      </rPr>
      <t>BRIDGESTONE TIRE Ecopia EP150 185/65R15 88S-OEM</t>
    </r>
  </si>
  <si>
    <r>
      <rPr>
        <sz val="9"/>
        <color rgb="FF000000"/>
        <rFont val="Arial"/>
        <charset val="134"/>
      </rPr>
      <t>BRIDGESTONE TIRE Ecopia EP150 185/70R14 88S-OEM</t>
    </r>
  </si>
  <si>
    <r>
      <rPr>
        <sz val="9"/>
        <color rgb="FF000000"/>
        <rFont val="Arial"/>
        <charset val="134"/>
      </rPr>
      <t>BRIDGESTONE TIRE Ecopia EP150 205/55R17 91V-OEM</t>
    </r>
  </si>
  <si>
    <r>
      <rPr>
        <sz val="8"/>
        <color rgb="FF000000"/>
        <rFont val="Courier"/>
        <charset val="134"/>
      </rPr>
      <t>Page Break 9</t>
    </r>
  </si>
  <si>
    <r>
      <rPr>
        <sz val="9"/>
        <color rgb="FF000000"/>
        <rFont val="Arial"/>
        <charset val="134"/>
      </rPr>
      <t>BRIDGESTONE TIRE Ecopia EP300 Enliten 185/60R15 84H</t>
    </r>
  </si>
  <si>
    <r>
      <rPr>
        <sz val="9"/>
        <color rgb="FF000000"/>
        <rFont val="Arial"/>
        <charset val="134"/>
      </rPr>
      <t>BRIDGESTONE TIRE Ecopia EP300 Enliten 185/65R15 88H</t>
    </r>
  </si>
  <si>
    <r>
      <rPr>
        <sz val="9"/>
        <color rgb="FF000000"/>
        <rFont val="Arial"/>
        <charset val="134"/>
      </rPr>
      <t>BRIDGESTONE TIRE Ecopia EP300 Enliten 195/60R16 89H</t>
    </r>
  </si>
  <si>
    <r>
      <rPr>
        <sz val="9"/>
        <color rgb="FF000000"/>
        <rFont val="Arial"/>
        <charset val="134"/>
      </rPr>
      <t>BRIDGESTONE TIRE Ecopia EP300 Enliten 195/65R15 91H</t>
    </r>
  </si>
  <si>
    <r>
      <rPr>
        <sz val="9"/>
        <color rgb="FF000000"/>
        <rFont val="Arial"/>
        <charset val="134"/>
      </rPr>
      <t>BRIDGESTONE TIRE Ecopia EP300 Enliten 205/55R16 91V</t>
    </r>
  </si>
  <si>
    <r>
      <rPr>
        <sz val="9"/>
        <color rgb="FF000000"/>
        <rFont val="Arial"/>
        <charset val="134"/>
      </rPr>
      <t>BRIDGESTONE TIRE Ecopia EP300 Enliten 205/65R15 94H</t>
    </r>
  </si>
  <si>
    <r>
      <rPr>
        <sz val="8"/>
        <color rgb="FF000000"/>
        <rFont val="Courier"/>
        <charset val="134"/>
      </rPr>
      <t>Page Break 10</t>
    </r>
  </si>
  <si>
    <r>
      <rPr>
        <sz val="9"/>
        <color rgb="FF000000"/>
        <rFont val="Arial"/>
        <charset val="134"/>
      </rPr>
      <t>BRIDGESTONE TIRE Ecopia EP300 Enliten 205/65R16 95H</t>
    </r>
  </si>
  <si>
    <r>
      <rPr>
        <sz val="9"/>
        <color rgb="FF000000"/>
        <rFont val="Arial"/>
        <charset val="134"/>
      </rPr>
      <t>BRIDGESTONE TIRE Techno 175/65R14 82S</t>
    </r>
  </si>
  <si>
    <r>
      <rPr>
        <sz val="9"/>
        <color rgb="FF000000"/>
        <rFont val="Arial"/>
        <charset val="134"/>
      </rPr>
      <t>BRIDGESTONE TIRE Techno 185/70R14 88S</t>
    </r>
  </si>
  <si>
    <r>
      <rPr>
        <sz val="9"/>
        <color rgb="FF000000"/>
        <rFont val="Arial"/>
        <charset val="134"/>
      </rPr>
      <t>BRIDGESTONE TIRE Techno Sports 185/55R16 83V</t>
    </r>
  </si>
  <si>
    <r>
      <rPr>
        <sz val="9"/>
        <color rgb="FF000000"/>
        <rFont val="Arial"/>
        <charset val="134"/>
      </rPr>
      <t>BRIDGESTONE TIRE Techno Sports 195/50R16 84V</t>
    </r>
  </si>
  <si>
    <r>
      <rPr>
        <sz val="9"/>
        <color rgb="FF000000"/>
        <rFont val="Arial"/>
        <charset val="134"/>
      </rPr>
      <t>BRIDGESTONE TIRE Techno Sports 205/55R16 91V</t>
    </r>
  </si>
  <si>
    <r>
      <rPr>
        <sz val="8"/>
        <color rgb="FF000000"/>
        <rFont val="Courier"/>
        <charset val="134"/>
      </rPr>
      <t>Page Break 11</t>
    </r>
  </si>
  <si>
    <r>
      <rPr>
        <sz val="9"/>
        <color rgb="FF000000"/>
        <rFont val="Arial"/>
        <charset val="134"/>
      </rPr>
      <t>BRIDGESTONE TIRE Turanza 6 185/70R14 88H</t>
    </r>
  </si>
  <si>
    <r>
      <rPr>
        <sz val="9"/>
        <color rgb="FF000000"/>
        <rFont val="Arial"/>
        <charset val="134"/>
      </rPr>
      <t>BRIDGESTONE TIRE Turanza 6 195/50R16 84W</t>
    </r>
  </si>
  <si>
    <r>
      <rPr>
        <sz val="9"/>
        <color rgb="FF000000"/>
        <rFont val="Arial"/>
        <charset val="134"/>
      </rPr>
      <t>BRIDGESTONE TIRE Turanza 6 205/55R16 94W</t>
    </r>
  </si>
  <si>
    <r>
      <rPr>
        <sz val="9"/>
        <color rgb="FF000000"/>
        <rFont val="Arial"/>
        <charset val="134"/>
      </rPr>
      <t>BRIDGESTONE TIRE Turanza 6 205/60R16 96W</t>
    </r>
  </si>
  <si>
    <r>
      <rPr>
        <sz val="9"/>
        <color rgb="FF000000"/>
        <rFont val="Arial"/>
        <charset val="134"/>
      </rPr>
      <t>BRIDGESTONE TIRE Turanza 6 205/65R16 95V</t>
    </r>
  </si>
  <si>
    <r>
      <rPr>
        <sz val="9"/>
        <color rgb="FF000000"/>
        <rFont val="Arial"/>
        <charset val="134"/>
      </rPr>
      <t>BRIDGESTONE TIRE Turanza 6 215/55R17 94W</t>
    </r>
  </si>
  <si>
    <r>
      <rPr>
        <sz val="8"/>
        <color rgb="FF000000"/>
        <rFont val="Courier"/>
        <charset val="134"/>
      </rPr>
      <t>Page Break 12</t>
    </r>
  </si>
  <si>
    <r>
      <rPr>
        <sz val="9"/>
        <color rgb="FF000000"/>
        <rFont val="Arial"/>
        <charset val="134"/>
      </rPr>
      <t>BRIDGESTONE TIRE Turanza 6 235/55R18 100V</t>
    </r>
  </si>
  <si>
    <r>
      <rPr>
        <sz val="9"/>
        <color rgb="FF000000"/>
        <rFont val="Arial"/>
        <charset val="134"/>
      </rPr>
      <t>BRIDGESTONE TIRE Turanza ER33 215/55R17 94V-OEM</t>
    </r>
  </si>
  <si>
    <r>
      <rPr>
        <sz val="9"/>
        <color rgb="FF000000"/>
        <rFont val="Arial"/>
        <charset val="134"/>
      </rPr>
      <t>BULB REM P21/5W 12V-528</t>
    </r>
  </si>
  <si>
    <r>
      <rPr>
        <sz val="9"/>
        <color rgb="FF000000"/>
        <rFont val="Arial"/>
        <charset val="134"/>
      </rPr>
      <t>CASTROL Brake Fluid DOT 3 - 500ml</t>
    </r>
  </si>
  <si>
    <r>
      <rPr>
        <sz val="9"/>
        <color rgb="FF000000"/>
        <rFont val="Arial"/>
        <charset val="134"/>
      </rPr>
      <t>CASTROL Engine Oil GTX 10W-40 1L</t>
    </r>
  </si>
  <si>
    <r>
      <rPr>
        <sz val="9"/>
        <color rgb="FF000000"/>
        <rFont val="Arial"/>
        <charset val="134"/>
      </rPr>
      <t>CASTROL Engine Oil GTX 10W-40 4L</t>
    </r>
  </si>
  <si>
    <r>
      <rPr>
        <sz val="8"/>
        <color rgb="FF000000"/>
        <rFont val="Courier"/>
        <charset val="134"/>
      </rPr>
      <t>Page Break 13</t>
    </r>
  </si>
  <si>
    <r>
      <rPr>
        <sz val="9"/>
        <color rgb="FF000000"/>
        <rFont val="Arial"/>
        <charset val="134"/>
      </rPr>
      <t>CENTRAL LOCK TOYOTA FORTUNER</t>
    </r>
  </si>
  <si>
    <r>
      <rPr>
        <sz val="9"/>
        <color rgb="FF000000"/>
        <rFont val="Arial"/>
        <charset val="134"/>
      </rPr>
      <t>DISC BRAKE FR FORTUNER</t>
    </r>
  </si>
  <si>
    <r>
      <rPr>
        <sz val="9"/>
        <color rgb="FF000000"/>
        <rFont val="Arial"/>
        <charset val="134"/>
      </rPr>
      <t>DISC BRAKE RR VW GOLF GEN.6</t>
    </r>
  </si>
  <si>
    <r>
      <rPr>
        <sz val="9"/>
        <color rgb="FF000000"/>
        <rFont val="Arial"/>
        <charset val="134"/>
      </rPr>
      <t>DISCBRAKE FR H/BRIO 2016 OEM</t>
    </r>
  </si>
  <si>
    <r>
      <rPr>
        <sz val="9"/>
        <color rgb="FF000000"/>
        <rFont val="Arial"/>
        <charset val="134"/>
      </rPr>
      <t>DUNLOP TIRE Enasave EC300 175/65R14 82T-OEM</t>
    </r>
  </si>
  <si>
    <r>
      <rPr>
        <sz val="9"/>
        <color rgb="FF000000"/>
        <rFont val="Arial"/>
        <charset val="134"/>
      </rPr>
      <t>DUNLOP TIRE Enasave EC300+ 195/60R16 89H-OEM</t>
    </r>
  </si>
  <si>
    <r>
      <rPr>
        <sz val="8"/>
        <color rgb="FF000000"/>
        <rFont val="Courier"/>
        <charset val="134"/>
      </rPr>
      <t>Page Break 14</t>
    </r>
  </si>
  <si>
    <r>
      <rPr>
        <sz val="9"/>
        <color rgb="FF000000"/>
        <rFont val="Arial"/>
        <charset val="134"/>
      </rPr>
      <t>DUNLOP TIRE Enasave EC300+ 215/60R17 96H-OEM</t>
    </r>
  </si>
  <si>
    <r>
      <rPr>
        <sz val="9"/>
        <color rgb="FF000000"/>
        <rFont val="Arial"/>
        <charset val="134"/>
      </rPr>
      <t>DUNLOP TIRE Enasave EC300+ 215/65R16 98S-OEM</t>
    </r>
  </si>
  <si>
    <r>
      <rPr>
        <sz val="9"/>
        <color rgb="FF000000"/>
        <rFont val="Arial"/>
        <charset val="134"/>
      </rPr>
      <t>DUNLOP TIRE Grandtrek AT5 235/65R17 108H</t>
    </r>
  </si>
  <si>
    <r>
      <rPr>
        <sz val="9"/>
        <color rgb="FF000000"/>
        <rFont val="Arial"/>
        <charset val="134"/>
      </rPr>
      <t>DUNLOP TIRE SP Sport LM705 185/60R15 84H</t>
    </r>
  </si>
  <si>
    <r>
      <rPr>
        <sz val="9"/>
        <color rgb="FF000000"/>
        <rFont val="Arial"/>
        <charset val="134"/>
      </rPr>
      <t>DUNLOP TIRE SP Sport LM705 195/45R16 80W</t>
    </r>
  </si>
  <si>
    <r>
      <rPr>
        <sz val="9"/>
        <color rgb="FF000000"/>
        <rFont val="Arial"/>
        <charset val="134"/>
      </rPr>
      <t>DUNLOP TIRE SP Sport Maxx 050 225/50R18 95V-OEM</t>
    </r>
  </si>
  <si>
    <r>
      <rPr>
        <sz val="8"/>
        <color rgb="FF000000"/>
        <rFont val="Courier"/>
        <charset val="134"/>
      </rPr>
      <t>Page Break 15</t>
    </r>
  </si>
  <si>
    <r>
      <rPr>
        <sz val="9"/>
        <color rgb="FF000000"/>
        <rFont val="Arial"/>
        <charset val="134"/>
      </rPr>
      <t>DUNLOP TIRE SP Sport Maxx 050 225/60R18 100H-OEM</t>
    </r>
  </si>
  <si>
    <r>
      <rPr>
        <sz val="9"/>
        <color rgb="FF000000"/>
        <rFont val="Arial"/>
        <charset val="134"/>
      </rPr>
      <t>DUNLOP TIRE SP Touring R1 165/80R13 83S</t>
    </r>
  </si>
  <si>
    <r>
      <rPr>
        <sz val="9"/>
        <color rgb="FF000000"/>
        <rFont val="Arial"/>
        <charset val="134"/>
      </rPr>
      <t>DUNLOP TIRE SP Touring R1 185/65R15 88S</t>
    </r>
  </si>
  <si>
    <r>
      <rPr>
        <sz val="9"/>
        <color rgb="FF000000"/>
        <rFont val="Arial"/>
        <charset val="134"/>
      </rPr>
      <t>DUNLOP TIRE SP Touring R1 185/70R14 88S</t>
    </r>
  </si>
  <si>
    <r>
      <rPr>
        <sz val="9"/>
        <color rgb="FF000000"/>
        <rFont val="Arial"/>
        <charset val="134"/>
      </rPr>
      <t>ELEMENT AIR CLEANER INNOVA DIESEL 2013</t>
    </r>
  </si>
  <si>
    <r>
      <rPr>
        <sz val="9"/>
        <color rgb="FF000000"/>
        <rFont val="Arial"/>
        <charset val="134"/>
      </rPr>
      <t>END TIE ROD TOYOTA FORTUNER</t>
    </r>
  </si>
  <si>
    <r>
      <rPr>
        <sz val="8"/>
        <color rgb="FF000000"/>
        <rFont val="Courier"/>
        <charset val="134"/>
      </rPr>
      <t>Page Break 16</t>
    </r>
  </si>
  <si>
    <r>
      <rPr>
        <sz val="9"/>
        <color rgb="FF000000"/>
        <rFont val="Arial"/>
        <charset val="134"/>
      </rPr>
      <t>FILTER AC</t>
    </r>
  </si>
  <si>
    <r>
      <rPr>
        <sz val="9"/>
        <color rgb="FF000000"/>
        <rFont val="Arial"/>
        <charset val="134"/>
      </rPr>
      <t>FILTER UDARA FORTUNER 2016</t>
    </r>
  </si>
  <si>
    <r>
      <rPr>
        <sz val="9"/>
        <color rgb="FF000000"/>
        <rFont val="Arial"/>
        <charset val="134"/>
      </rPr>
      <t>FIXCOOL Brake Parts Cleaner 500ml</t>
    </r>
  </si>
  <si>
    <r>
      <rPr>
        <sz val="9"/>
        <color rgb="FF000000"/>
        <rFont val="Arial"/>
        <charset val="134"/>
      </rPr>
      <t>FIXCOOL Diesel Purge- 400ml</t>
    </r>
  </si>
  <si>
    <r>
      <rPr>
        <sz val="9"/>
        <color rgb="FF000000"/>
        <rFont val="Arial"/>
        <charset val="134"/>
      </rPr>
      <t>FIXCOOL Engine Flush- 250ml</t>
    </r>
  </si>
  <si>
    <r>
      <rPr>
        <sz val="9"/>
        <color rgb="FF000000"/>
        <rFont val="Arial"/>
        <charset val="134"/>
      </rPr>
      <t>FIXCOOL WIPER FLUID 250ML</t>
    </r>
  </si>
  <si>
    <r>
      <rPr>
        <sz val="8"/>
        <color rgb="FF000000"/>
        <rFont val="Courier"/>
        <charset val="134"/>
      </rPr>
      <t>Page Break 17</t>
    </r>
  </si>
  <si>
    <r>
      <rPr>
        <sz val="9"/>
        <color rgb="FF000000"/>
        <rFont val="Arial"/>
        <charset val="134"/>
      </rPr>
      <t>GOODYEAR TIRE Assurance Duraplus 2 175/65R15 84H</t>
    </r>
  </si>
  <si>
    <r>
      <rPr>
        <sz val="9"/>
        <color rgb="FF000000"/>
        <rFont val="Arial"/>
        <charset val="134"/>
      </rPr>
      <t>GOODYEAR TIRE Assurance Duraplus 2 185/65R15 88H</t>
    </r>
  </si>
  <si>
    <r>
      <rPr>
        <sz val="9"/>
        <color rgb="FF000000"/>
        <rFont val="Arial"/>
        <charset val="134"/>
      </rPr>
      <t>GOODYEAR TIRE Assurance Duraplus 2 185/70R14 88H</t>
    </r>
  </si>
  <si>
    <r>
      <rPr>
        <sz val="9"/>
        <color rgb="FF000000"/>
        <rFont val="Arial"/>
        <charset val="134"/>
      </rPr>
      <t>GOODYEAR TIRE Assurance Duraplus 2 195/65R15 91V</t>
    </r>
  </si>
  <si>
    <r>
      <rPr>
        <sz val="9"/>
        <color rgb="FF000000"/>
        <rFont val="Arial"/>
        <charset val="134"/>
      </rPr>
      <t>GOODYEAR TIRE Assurance Duraplus 2 205/65R16 95V</t>
    </r>
  </si>
  <si>
    <r>
      <rPr>
        <sz val="9"/>
        <color rgb="FF000000"/>
        <rFont val="Arial"/>
        <charset val="134"/>
      </rPr>
      <t>GOODYEAR TIRE Assurance Triplemax 205/55R16 91V</t>
    </r>
  </si>
  <si>
    <r>
      <rPr>
        <sz val="8"/>
        <color rgb="FF000000"/>
        <rFont val="Courier"/>
        <charset val="134"/>
      </rPr>
      <t>Page Break 18</t>
    </r>
  </si>
  <si>
    <r>
      <rPr>
        <sz val="9"/>
        <color rgb="FF000000"/>
        <rFont val="Arial"/>
        <charset val="134"/>
      </rPr>
      <t>LINK STABIL FORTUNER 2016</t>
    </r>
  </si>
  <si>
    <r>
      <rPr>
        <sz val="9"/>
        <color rgb="FF000000"/>
        <rFont val="Arial"/>
        <charset val="134"/>
      </rPr>
      <t>LINK STABILIZER ALL.NEW RUSH 2018</t>
    </r>
  </si>
  <si>
    <r>
      <rPr>
        <sz val="9"/>
        <color rgb="FF000000"/>
        <rFont val="Arial"/>
        <charset val="134"/>
      </rPr>
      <t>LINK STABILIZER TOYOTA FORTUNER</t>
    </r>
  </si>
  <si>
    <r>
      <rPr>
        <sz val="9"/>
        <color rgb="FF000000"/>
        <rFont val="Arial"/>
        <charset val="134"/>
      </rPr>
      <t>LONG TIE ROD RUSH 2018 RL</t>
    </r>
  </si>
  <si>
    <r>
      <rPr>
        <sz val="9"/>
        <color rgb="FF000000"/>
        <rFont val="Arial"/>
        <charset val="134"/>
      </rPr>
      <t>LONG TIEROD TOYOTA FORTUNER</t>
    </r>
  </si>
  <si>
    <r>
      <rPr>
        <sz val="9"/>
        <color rgb="FF000000"/>
        <rFont val="Arial"/>
        <charset val="134"/>
      </rPr>
      <t>MASTER PREMIXED RADIATOR COOLANT GREEN 1 GALON</t>
    </r>
  </si>
  <si>
    <r>
      <rPr>
        <sz val="8"/>
        <color rgb="FF000000"/>
        <rFont val="Courier"/>
        <charset val="134"/>
      </rPr>
      <t>Page Break 19</t>
    </r>
  </si>
  <si>
    <r>
      <rPr>
        <sz val="9"/>
        <color rgb="FF000000"/>
        <rFont val="Arial"/>
        <charset val="134"/>
      </rPr>
      <t>MOBIL Diesel Engine Oil Delvac MDERN 15W-40 5L</t>
    </r>
  </si>
  <si>
    <r>
      <rPr>
        <sz val="9"/>
        <color rgb="FF000000"/>
        <rFont val="Arial"/>
        <charset val="134"/>
      </rPr>
      <t>MOBIL Engine Oil Mobil 1 5W-30 4L</t>
    </r>
  </si>
  <si>
    <r>
      <rPr>
        <sz val="9"/>
        <color rgb="FF000000"/>
        <rFont val="Arial"/>
        <charset val="134"/>
      </rPr>
      <t>MOBIL Engine Oil Super AIO PROTECTION 0W-20 1L</t>
    </r>
  </si>
  <si>
    <r>
      <rPr>
        <sz val="9"/>
        <color rgb="FF000000"/>
        <rFont val="Arial"/>
        <charset val="134"/>
      </rPr>
      <t>MOBIL Engine Oil Super AIO PROTECTION 10W-40 4L</t>
    </r>
  </si>
  <si>
    <r>
      <rPr>
        <sz val="9"/>
        <color rgb="FF000000"/>
        <rFont val="Arial"/>
        <charset val="134"/>
      </rPr>
      <t>MOBIL Engine Oil Super AIO PROTECTION 5W-30 1L</t>
    </r>
  </si>
  <si>
    <r>
      <rPr>
        <sz val="9"/>
        <color rgb="FF000000"/>
        <rFont val="Arial"/>
        <charset val="134"/>
      </rPr>
      <t>MOBIL Engine Oil Super AIO PROTECTION 5W-30 4L</t>
    </r>
  </si>
  <si>
    <r>
      <rPr>
        <sz val="8"/>
        <color rgb="FF000000"/>
        <rFont val="Courier"/>
        <charset val="134"/>
      </rPr>
      <t>Page Break 20</t>
    </r>
  </si>
  <si>
    <r>
      <rPr>
        <sz val="9"/>
        <color rgb="FF000000"/>
        <rFont val="Arial"/>
        <charset val="134"/>
      </rPr>
      <t>MOBIL Gear Oil Mobilube-HD 80W-90 1L</t>
    </r>
  </si>
  <si>
    <r>
      <rPr>
        <sz val="9"/>
        <color rgb="FF000000"/>
        <rFont val="Arial"/>
        <charset val="134"/>
      </rPr>
      <t>MOBIL Transmission Oil Dexron-VI ATF 1L</t>
    </r>
  </si>
  <si>
    <r>
      <rPr>
        <sz val="9"/>
        <color rgb="FF000000"/>
        <rFont val="Arial"/>
        <charset val="134"/>
      </rPr>
      <t>MOTUL Brake Fluid DOT 4 - 500ml</t>
    </r>
  </si>
  <si>
    <r>
      <rPr>
        <sz val="9"/>
        <color rgb="FF000000"/>
        <rFont val="Arial"/>
        <charset val="134"/>
      </rPr>
      <t>MOTUL Diesel Engine Oil TRD SPORT 5W-40 1L</t>
    </r>
  </si>
  <si>
    <r>
      <rPr>
        <sz val="9"/>
        <color rgb="FF000000"/>
        <rFont val="Arial"/>
        <charset val="134"/>
      </rPr>
      <t>MOTUL Diesel Engine Oil TRD SPORT 5W-40 4L</t>
    </r>
  </si>
  <si>
    <r>
      <rPr>
        <sz val="9"/>
        <color rgb="FF000000"/>
        <rFont val="Arial"/>
        <charset val="134"/>
      </rPr>
      <t>MOTUL Engine Oil H-TECH 100 Plus 5W-30 1L</t>
    </r>
  </si>
  <si>
    <r>
      <rPr>
        <sz val="8"/>
        <color rgb="FF000000"/>
        <rFont val="Courier"/>
        <charset val="134"/>
      </rPr>
      <t>Page Break 21</t>
    </r>
  </si>
  <si>
    <r>
      <rPr>
        <sz val="9"/>
        <color rgb="FF000000"/>
        <rFont val="Arial"/>
        <charset val="134"/>
      </rPr>
      <t>MOTUL Engine Oil Multipower Plus 10W-40 1L</t>
    </r>
  </si>
  <si>
    <r>
      <rPr>
        <sz val="9"/>
        <color rgb="FF000000"/>
        <rFont val="Arial"/>
        <charset val="134"/>
      </rPr>
      <t>MOTUL Transmission Oil Multi ATF 1L</t>
    </r>
  </si>
  <si>
    <r>
      <rPr>
        <sz val="9"/>
        <color rgb="FF000000"/>
        <rFont val="Arial"/>
        <charset val="134"/>
      </rPr>
      <t>MOTUL Transmission Oil Multi CVTF 1L</t>
    </r>
  </si>
  <si>
    <r>
      <rPr>
        <sz val="9"/>
        <color rgb="FF000000"/>
        <rFont val="Arial"/>
        <charset val="134"/>
      </rPr>
      <t>PEN KALIPER H/BRIO 2016</t>
    </r>
  </si>
  <si>
    <r>
      <rPr>
        <sz val="9"/>
        <color rgb="FF000000"/>
        <rFont val="Arial"/>
        <charset val="134"/>
      </rPr>
      <t>PENTIL BAN TR413</t>
    </r>
  </si>
  <si>
    <r>
      <rPr>
        <sz val="9"/>
        <color rgb="FF000000"/>
        <rFont val="Arial"/>
        <charset val="134"/>
      </rPr>
      <t>PISTON REM H/BRIO 2016 OEM</t>
    </r>
  </si>
  <si>
    <r>
      <rPr>
        <sz val="8"/>
        <color rgb="FF000000"/>
        <rFont val="Courier"/>
        <charset val="134"/>
      </rPr>
      <t>Page Break 22</t>
    </r>
  </si>
  <si>
    <r>
      <rPr>
        <sz val="9"/>
        <color rgb="FF000000"/>
        <rFont val="Arial"/>
        <charset val="134"/>
      </rPr>
      <t>SEAL KIT KALIPER H/BRIO OEM 2016</t>
    </r>
  </si>
  <si>
    <r>
      <rPr>
        <sz val="9"/>
        <color rgb="FF000000"/>
        <rFont val="Arial"/>
        <charset val="134"/>
      </rPr>
      <t>TIE ROD ALL NEW RUSH 2018 RL</t>
    </r>
  </si>
  <si>
    <r>
      <rPr>
        <sz val="9"/>
        <color rgb="FF000000"/>
        <rFont val="Arial"/>
        <charset val="134"/>
      </rPr>
      <t>Total Item Name</t>
    </r>
  </si>
  <si>
    <r>
      <rPr>
        <sz val="8"/>
        <color rgb="FF000000"/>
        <rFont val="Courier"/>
        <charset val="134"/>
      </rPr>
      <t>Page Break 23</t>
    </r>
  </si>
  <si>
    <r>
      <rPr>
        <sz val="11"/>
        <color rgb="FF000000"/>
        <rFont val="Courier"/>
        <charset val="134"/>
      </rPr>
      <t>From 01 Apr 2025 until 30 Apr 2025</t>
    </r>
  </si>
  <si>
    <r>
      <rPr>
        <sz val="9"/>
        <color rgb="FF000000"/>
        <rFont val="Arial"/>
        <charset val="134"/>
      </rPr>
      <t>BOSCH Air Filter A 2666</t>
    </r>
  </si>
  <si>
    <r>
      <rPr>
        <sz val="9"/>
        <color rgb="FF000000"/>
        <rFont val="Arial"/>
        <charset val="134"/>
      </rPr>
      <t>BOSCH Air Filter S 0018</t>
    </r>
  </si>
  <si>
    <r>
      <rPr>
        <sz val="9"/>
        <color rgb="FF000000"/>
        <rFont val="Arial"/>
        <charset val="134"/>
      </rPr>
      <t>BOSCH Battery MF Blue NS40ZL 40B19L 12V</t>
    </r>
  </si>
  <si>
    <r>
      <rPr>
        <sz val="9"/>
        <color rgb="FF000000"/>
        <rFont val="Arial"/>
        <charset val="134"/>
      </rPr>
      <t>BOSCH Battery MF Blue NS60LS 46B24LS 12V-42Ah</t>
    </r>
  </si>
  <si>
    <r>
      <rPr>
        <sz val="9"/>
        <color rgb="FF000000"/>
        <rFont val="Arial"/>
        <charset val="134"/>
      </rPr>
      <t>BOSCH CABIN FILTER 0986AF7004</t>
    </r>
  </si>
  <si>
    <r>
      <rPr>
        <sz val="9"/>
        <color rgb="FF000000"/>
        <rFont val="Arial"/>
        <charset val="134"/>
      </rPr>
      <t>BOSCH CABIN FILTER 0986AF7011</t>
    </r>
  </si>
  <si>
    <r>
      <rPr>
        <sz val="9"/>
        <color rgb="FF000000"/>
        <rFont val="Arial"/>
        <charset val="134"/>
      </rPr>
      <t>BOSCH Cabin Filter AP-T07</t>
    </r>
  </si>
  <si>
    <r>
      <rPr>
        <sz val="9"/>
        <color rgb="FF000000"/>
        <rFont val="Arial"/>
        <charset val="134"/>
      </rPr>
      <t>BOSCH HORN EC12C STRIDER</t>
    </r>
  </si>
  <si>
    <r>
      <rPr>
        <sz val="9"/>
        <color rgb="FF000000"/>
        <rFont val="Arial"/>
        <charset val="134"/>
      </rPr>
      <t>BOSCH Light Bulb P21W 12V 21W -BA15s Auxiliary</t>
    </r>
  </si>
  <si>
    <r>
      <rPr>
        <sz val="9"/>
        <color rgb="FF000000"/>
        <rFont val="Arial"/>
        <charset val="134"/>
      </rPr>
      <t>BOSCH Light Bulb W21W 12V 21W -W3x16d ECO Auxiliary</t>
    </r>
  </si>
  <si>
    <r>
      <rPr>
        <sz val="9"/>
        <color rgb="FF000000"/>
        <rFont val="Arial"/>
        <charset val="134"/>
      </rPr>
      <t>BOSCH Light Bulb W5W 12V 5W -W2,1x9,5d ECO Auxiliary</t>
    </r>
  </si>
  <si>
    <r>
      <rPr>
        <sz val="9"/>
        <color rgb="FF000000"/>
        <rFont val="Arial"/>
        <charset val="134"/>
      </rPr>
      <t>BOSCH Oil Filter O 1106</t>
    </r>
  </si>
  <si>
    <r>
      <rPr>
        <sz val="9"/>
        <color rgb="FF000000"/>
        <rFont val="Arial"/>
        <charset val="134"/>
      </rPr>
      <t>BOSCH Oil Filter P 9122</t>
    </r>
  </si>
  <si>
    <r>
      <rPr>
        <sz val="9"/>
        <color rgb="FF000000"/>
        <rFont val="Arial"/>
        <charset val="134"/>
      </rPr>
      <t>BOSCH Spark Plug FR8MII33X - Iridium</t>
    </r>
  </si>
  <si>
    <r>
      <rPr>
        <sz val="9"/>
        <color rgb="FF000000"/>
        <rFont val="Arial"/>
        <charset val="134"/>
      </rPr>
      <t>BOSCH Wiper Advantage 17 inch BA17</t>
    </r>
  </si>
  <si>
    <r>
      <rPr>
        <sz val="9"/>
        <color rgb="FF000000"/>
        <rFont val="Arial"/>
        <charset val="134"/>
      </rPr>
      <t>BOSCH Wiper Advantage 18 inch BA18</t>
    </r>
  </si>
  <si>
    <r>
      <rPr>
        <sz val="9"/>
        <color rgb="FF000000"/>
        <rFont val="Arial"/>
        <charset val="134"/>
      </rPr>
      <t>BOSCH Wiper Advantage 24 inch BA24</t>
    </r>
  </si>
  <si>
    <r>
      <rPr>
        <sz val="9"/>
        <color rgb="FF000000"/>
        <rFont val="Arial"/>
        <charset val="134"/>
      </rPr>
      <t>BOSCH Wiper Advantage 26 inch BA26</t>
    </r>
  </si>
  <si>
    <r>
      <rPr>
        <sz val="9"/>
        <color rgb="FF000000"/>
        <rFont val="Arial"/>
        <charset val="134"/>
      </rPr>
      <t>BOSCH Wiper Aerotwin Plus 16 inch AP400U</t>
    </r>
  </si>
  <si>
    <r>
      <rPr>
        <sz val="9"/>
        <color rgb="FF000000"/>
        <rFont val="Arial"/>
        <charset val="134"/>
      </rPr>
      <t>BOSCH Wiper Aerotwin Plus 21 inch AP530U</t>
    </r>
  </si>
  <si>
    <r>
      <rPr>
        <sz val="9"/>
        <color rgb="FF000000"/>
        <rFont val="Arial"/>
        <charset val="134"/>
      </rPr>
      <t>BOSCH Wiper Clear Advantage 20 inch BCA20</t>
    </r>
  </si>
  <si>
    <r>
      <rPr>
        <sz val="9"/>
        <color rgb="FF000000"/>
        <rFont val="Arial"/>
        <charset val="134"/>
      </rPr>
      <t>BRAKE PAD MITSUBISHI XPANDER</t>
    </r>
  </si>
  <si>
    <r>
      <rPr>
        <sz val="9"/>
        <color rgb="FF000000"/>
        <rFont val="Arial"/>
        <charset val="134"/>
      </rPr>
      <t>BRIDGESTONE TIRE Potenza Adrenalin RE003 225/40R18 92W</t>
    </r>
  </si>
  <si>
    <r>
      <rPr>
        <sz val="9"/>
        <color rgb="FF000000"/>
        <rFont val="Arial"/>
        <charset val="134"/>
      </rPr>
      <t>CASTROL Engine Oil MAGNATEC 10W-40 4L</t>
    </r>
  </si>
  <si>
    <r>
      <rPr>
        <sz val="9"/>
        <color rgb="FF000000"/>
        <rFont val="Arial"/>
        <charset val="134"/>
      </rPr>
      <t>CASTROL Engine Oil MAGNATEC 5W-30 1L</t>
    </r>
  </si>
  <si>
    <r>
      <rPr>
        <sz val="9"/>
        <color rgb="FF000000"/>
        <rFont val="Arial"/>
        <charset val="134"/>
      </rPr>
      <t>DISC BRAKE MITSUBISHI XPANDER</t>
    </r>
  </si>
  <si>
    <r>
      <rPr>
        <sz val="9"/>
        <color rgb="FF000000"/>
        <rFont val="Arial"/>
        <charset val="134"/>
      </rPr>
      <t>FILTER UDARA KIJANG 1.8 LGX EFI</t>
    </r>
  </si>
  <si>
    <r>
      <rPr>
        <sz val="9"/>
        <color rgb="FF000000"/>
        <rFont val="Arial"/>
        <charset val="134"/>
      </rPr>
      <t>FIXCOOL CALIPER GREASE 100ML</t>
    </r>
  </si>
  <si>
    <r>
      <rPr>
        <sz val="9"/>
        <color rgb="FF000000"/>
        <rFont val="Arial"/>
        <charset val="134"/>
      </rPr>
      <t>FIXCOOL Carbon Cleaner- 200ml</t>
    </r>
  </si>
  <si>
    <r>
      <rPr>
        <sz val="9"/>
        <color rgb="FF000000"/>
        <rFont val="Arial"/>
        <charset val="134"/>
      </rPr>
      <t>FIXCOOL Catalytic System Cleaner 250ml</t>
    </r>
  </si>
  <si>
    <r>
      <rPr>
        <sz val="9"/>
        <color rgb="FF000000"/>
        <rFont val="Arial"/>
        <charset val="134"/>
      </rPr>
      <t>FIXCOOL Diesel Injector Cleaner- 300ml</t>
    </r>
  </si>
  <si>
    <r>
      <rPr>
        <sz val="9"/>
        <color rgb="FF000000"/>
        <rFont val="Arial"/>
        <charset val="134"/>
      </rPr>
      <t>FIXCOOL Injector Cleaner 300ml</t>
    </r>
  </si>
  <si>
    <r>
      <rPr>
        <sz val="9"/>
        <color rgb="FF000000"/>
        <rFont val="Arial"/>
        <charset val="134"/>
      </rPr>
      <t>GASKET (SEAL BUSI) KIJANG KAPSUL</t>
    </r>
  </si>
  <si>
    <r>
      <rPr>
        <sz val="9"/>
        <color rgb="FF000000"/>
        <rFont val="Arial"/>
        <charset val="134"/>
      </rPr>
      <t>GENERAL WASH MITT</t>
    </r>
  </si>
  <si>
    <r>
      <rPr>
        <sz val="9"/>
        <color rgb="FF000000"/>
        <rFont val="Arial"/>
        <charset val="134"/>
      </rPr>
      <t>HOSE POWER STEERING (HIGH PRESSURE)</t>
    </r>
  </si>
  <si>
    <r>
      <rPr>
        <sz val="9"/>
        <color rgb="FF000000"/>
        <rFont val="Arial"/>
        <charset val="134"/>
      </rPr>
      <t>HOSE RADIATOR UPPER</t>
    </r>
  </si>
  <si>
    <r>
      <rPr>
        <sz val="9"/>
        <color rgb="FF000000"/>
        <rFont val="Arial"/>
        <charset val="134"/>
      </rPr>
      <t>LONG TIEROD TOYOTA YARIS (OLD)</t>
    </r>
  </si>
  <si>
    <r>
      <rPr>
        <sz val="9"/>
        <color rgb="FF000000"/>
        <rFont val="Arial"/>
        <charset val="134"/>
      </rPr>
      <t>MASSIV Battery Thunder(MF)-46B24LS NS60L(S) 12V-45Ah</t>
    </r>
  </si>
  <si>
    <r>
      <rPr>
        <sz val="9"/>
        <color rgb="FF000000"/>
        <rFont val="Arial"/>
        <charset val="134"/>
      </rPr>
      <t>MASTER PREMIXED 30/70 RADIATOR COOLANT GOLD RED 1 GAL</t>
    </r>
  </si>
  <si>
    <r>
      <rPr>
        <sz val="9"/>
        <color rgb="FF000000"/>
        <rFont val="Arial"/>
        <charset val="134"/>
      </rPr>
      <t>MASTER PREMIXED RADIATOR COOLANT GREEN 1QT</t>
    </r>
  </si>
  <si>
    <r>
      <rPr>
        <sz val="9"/>
        <color rgb="FF000000"/>
        <rFont val="Arial"/>
        <charset val="134"/>
      </rPr>
      <t>MASTER PREMIXED RADIATOR COOLANT RED 1 GALON</t>
    </r>
  </si>
  <si>
    <r>
      <rPr>
        <sz val="9"/>
        <color rgb="FF000000"/>
        <rFont val="Arial"/>
        <charset val="134"/>
      </rPr>
      <t>MOTUL Engine Oil MUGEN  MS-A 5W-30 1L</t>
    </r>
  </si>
  <si>
    <r>
      <rPr>
        <sz val="9"/>
        <color rgb="FF000000"/>
        <rFont val="Arial"/>
        <charset val="134"/>
      </rPr>
      <t>MOTUL Engine Oil Multipower Plus 5W-30 1L</t>
    </r>
  </si>
  <si>
    <r>
      <rPr>
        <sz val="9"/>
        <color rgb="FF000000"/>
        <rFont val="Arial"/>
        <charset val="134"/>
      </rPr>
      <t>MUR / BAUT RODA TOYOTA YARIS (OLD)</t>
    </r>
  </si>
  <si>
    <r>
      <rPr>
        <sz val="9"/>
        <color rgb="FF000000"/>
        <rFont val="Arial"/>
        <charset val="134"/>
      </rPr>
      <t>SEAL COVER VALVE KIJANG KAPSUL 1.8 LGX EFI</t>
    </r>
  </si>
  <si>
    <r>
      <rPr>
        <sz val="9"/>
        <color rgb="FF000000"/>
        <rFont val="Arial"/>
        <charset val="134"/>
      </rPr>
      <t>SMART PENTIL KARET TR413 MERAH</t>
    </r>
  </si>
  <si>
    <r>
      <rPr>
        <sz val="9"/>
        <color rgb="FF000000"/>
        <rFont val="Arial"/>
        <charset val="134"/>
      </rPr>
      <t>TOYOTA ELEMENT FUEL FILTER 23390-YZZA1</t>
    </r>
  </si>
  <si>
    <r>
      <rPr>
        <sz val="9"/>
        <color rgb="FF000000"/>
        <rFont val="Arial"/>
        <charset val="134"/>
      </rPr>
      <t>Tire Promo-Bridgestone TIRE Turanza 6 215/65R16</t>
    </r>
  </si>
  <si>
    <r>
      <rPr>
        <sz val="9"/>
        <color rgb="FF000000"/>
        <rFont val="Arial"/>
        <charset val="134"/>
      </rPr>
      <t>WIRING / RELAY SET HORN</t>
    </r>
  </si>
  <si>
    <r>
      <rPr>
        <sz val="11"/>
        <color rgb="FF000000"/>
        <rFont val="Courier"/>
        <charset val="134"/>
      </rPr>
      <t>From 01 May 2025 until 31 May 2025</t>
    </r>
  </si>
  <si>
    <r>
      <rPr>
        <sz val="9"/>
        <color rgb="FF000000"/>
        <rFont val="Arial"/>
        <charset val="134"/>
      </rPr>
      <t>BOSCH Air Filter S 0507</t>
    </r>
  </si>
  <si>
    <r>
      <rPr>
        <sz val="9"/>
        <color rgb="FF000000"/>
        <rFont val="Arial"/>
        <charset val="134"/>
      </rPr>
      <t>BOSCH BRAKE PAD</t>
    </r>
  </si>
  <si>
    <r>
      <rPr>
        <sz val="9"/>
        <color rgb="FF000000"/>
        <rFont val="Arial"/>
        <charset val="134"/>
      </rPr>
      <t>BOSCH BRAKE PAD BP2377N</t>
    </r>
  </si>
  <si>
    <r>
      <rPr>
        <sz val="9"/>
        <color rgb="FF000000"/>
        <rFont val="Arial"/>
        <charset val="134"/>
      </rPr>
      <t>BOSCH Battery MF Blue NS60 46B24R 12V-42Ah</t>
    </r>
  </si>
  <si>
    <r>
      <rPr>
        <sz val="9"/>
        <color rgb="FF000000"/>
        <rFont val="Arial"/>
        <charset val="134"/>
      </rPr>
      <t>BOSCH Battery MF Blue NX11005L 80D26L 12V-70Ah</t>
    </r>
  </si>
  <si>
    <r>
      <rPr>
        <sz val="9"/>
        <color rgb="FF000000"/>
        <rFont val="Arial"/>
        <charset val="134"/>
      </rPr>
      <t>BOSCH Brake Pad 0986T18184 /BP1405 Front</t>
    </r>
  </si>
  <si>
    <r>
      <rPr>
        <sz val="8"/>
        <color rgb="FF000000"/>
        <rFont val="Courier"/>
        <charset val="134"/>
      </rPr>
      <t>Printed on 2 February 2026 - 09:51</t>
    </r>
  </si>
  <si>
    <r>
      <rPr>
        <sz val="9"/>
        <color rgb="FF000000"/>
        <rFont val="Arial"/>
        <charset val="134"/>
      </rPr>
      <t>BOSCH Cabin Filter AP-H06</t>
    </r>
  </si>
  <si>
    <r>
      <rPr>
        <sz val="9"/>
        <color rgb="FF000000"/>
        <rFont val="Arial"/>
        <charset val="134"/>
      </rPr>
      <t>BOSCH Cabin Filter AP-M03</t>
    </r>
  </si>
  <si>
    <r>
      <rPr>
        <sz val="9"/>
        <color rgb="FF000000"/>
        <rFont val="Arial"/>
        <charset val="134"/>
      </rPr>
      <t>BOSCH Cabin Filter AP-T10</t>
    </r>
  </si>
  <si>
    <r>
      <rPr>
        <sz val="9"/>
        <color rgb="FF000000"/>
        <rFont val="Arial"/>
        <charset val="134"/>
      </rPr>
      <t>BOSCH Cabin Filter S 4047</t>
    </r>
  </si>
  <si>
    <r>
      <rPr>
        <sz val="9"/>
        <color rgb="FF000000"/>
        <rFont val="Arial"/>
        <charset val="134"/>
      </rPr>
      <t>BOSCH Cabin Filter S 4061</t>
    </r>
  </si>
  <si>
    <r>
      <rPr>
        <sz val="9"/>
        <color rgb="FF000000"/>
        <rFont val="Arial"/>
        <charset val="134"/>
      </rPr>
      <t>BOSCH Fuel Filter D 6292</t>
    </r>
  </si>
  <si>
    <r>
      <rPr>
        <sz val="9"/>
        <color rgb="FF000000"/>
        <rFont val="Arial"/>
        <charset val="134"/>
      </rPr>
      <t>BOSCH Light Bulb H16 12V 19W -PGJ19-3 Standard-Clear</t>
    </r>
  </si>
  <si>
    <r>
      <rPr>
        <sz val="9"/>
        <color rgb="FF000000"/>
        <rFont val="Arial"/>
        <charset val="134"/>
      </rPr>
      <t>BOSCH Light Bulb P21/5W 12V 21W/5W -BAY15d Auxiliary</t>
    </r>
  </si>
  <si>
    <r>
      <rPr>
        <sz val="9"/>
        <color rgb="FF000000"/>
        <rFont val="Arial"/>
        <charset val="134"/>
      </rPr>
      <t>BOSCH Light Bulb W16W 12V 16W -W2,1x9,5d ECO Auxiliary</t>
    </r>
  </si>
  <si>
    <r>
      <rPr>
        <sz val="9"/>
        <color rgb="FF000000"/>
        <rFont val="Arial"/>
        <charset val="134"/>
      </rPr>
      <t>BOSCH Oil Filter O 1019</t>
    </r>
  </si>
  <si>
    <r>
      <rPr>
        <sz val="9"/>
        <color rgb="FF000000"/>
        <rFont val="Arial"/>
        <charset val="134"/>
      </rPr>
      <t>BOSCH Spark Plug DF7REC2(YR7DC+) - Standard</t>
    </r>
  </si>
  <si>
    <r>
      <rPr>
        <sz val="9"/>
        <color rgb="FF000000"/>
        <rFont val="Arial"/>
        <charset val="134"/>
      </rPr>
      <t>BOSCH Spark Plug K6TC0R(FR8DCX+) - Standard</t>
    </r>
  </si>
  <si>
    <r>
      <rPr>
        <sz val="9"/>
        <color rgb="FF000000"/>
        <rFont val="Arial"/>
        <charset val="134"/>
      </rPr>
      <t>BOSCH Spark Plug VR8SII30X - Iridium</t>
    </r>
  </si>
  <si>
    <r>
      <rPr>
        <sz val="9"/>
        <color rgb="FF000000"/>
        <rFont val="Arial"/>
        <charset val="134"/>
      </rPr>
      <t>BOSCH Spark Plug YR7PP30 - Iridium</t>
    </r>
  </si>
  <si>
    <r>
      <rPr>
        <sz val="9"/>
        <color rgb="FF000000"/>
        <rFont val="Arial"/>
        <charset val="134"/>
      </rPr>
      <t>BOSCH Wiper Advantage 12 inch BA12</t>
    </r>
  </si>
  <si>
    <r>
      <rPr>
        <sz val="9"/>
        <color rgb="FF000000"/>
        <rFont val="Arial"/>
        <charset val="134"/>
      </rPr>
      <t>BOSCH Wiper Aerotwin Plus 18 inch AP450U</t>
    </r>
  </si>
  <si>
    <r>
      <rPr>
        <sz val="9"/>
        <color rgb="FF000000"/>
        <rFont val="Arial"/>
        <charset val="134"/>
      </rPr>
      <t>BOSCH Wiper Aerotwin Plus 23 inch AP575U</t>
    </r>
  </si>
  <si>
    <r>
      <rPr>
        <sz val="9"/>
        <color rgb="FF000000"/>
        <rFont val="Arial"/>
        <charset val="134"/>
      </rPr>
      <t>BOSCH Wiper Aerotwin Plus 24 inch AP600U</t>
    </r>
  </si>
  <si>
    <r>
      <rPr>
        <sz val="9"/>
        <color rgb="FF000000"/>
        <rFont val="Arial"/>
        <charset val="134"/>
      </rPr>
      <t>BOSCH Wiper Aerotwin Plus 26 inch AP650U</t>
    </r>
  </si>
  <si>
    <r>
      <rPr>
        <sz val="9"/>
        <color rgb="FF000000"/>
        <rFont val="Arial"/>
        <charset val="134"/>
      </rPr>
      <t>BOSCH Wiper Clear Advantage 28 inch BCA28</t>
    </r>
  </si>
  <si>
    <r>
      <rPr>
        <sz val="9"/>
        <color rgb="FF000000"/>
        <rFont val="Arial"/>
        <charset val="134"/>
      </rPr>
      <t>CASTROL Brake Fluid DOT 4 - 500ml</t>
    </r>
  </si>
  <si>
    <r>
      <rPr>
        <sz val="9"/>
        <color rgb="FF000000"/>
        <rFont val="Arial"/>
        <charset val="134"/>
      </rPr>
      <t>CASTROL Engine Oil MAGNATEC 5W-30 4L</t>
    </r>
  </si>
  <si>
    <r>
      <rPr>
        <sz val="9"/>
        <color rgb="FF000000"/>
        <rFont val="Arial"/>
        <charset val="134"/>
      </rPr>
      <t>CASTROL Engine Oil MAGNATEC SUV 5W-40 4L</t>
    </r>
  </si>
  <si>
    <r>
      <rPr>
        <sz val="9"/>
        <color rgb="FF000000"/>
        <rFont val="Arial"/>
        <charset val="134"/>
      </rPr>
      <t>DCS Engine Super Conditioner- 203ml</t>
    </r>
  </si>
  <si>
    <r>
      <rPr>
        <sz val="9"/>
        <color rgb="FF000000"/>
        <rFont val="Arial"/>
        <charset val="134"/>
      </rPr>
      <t>DENSO CABIN AIR FILTER 2510</t>
    </r>
  </si>
  <si>
    <r>
      <rPr>
        <sz val="9"/>
        <color rgb="FF000000"/>
        <rFont val="Arial"/>
        <charset val="134"/>
      </rPr>
      <t>DENSO Cabin Filter 145520-2370</t>
    </r>
  </si>
  <si>
    <r>
      <rPr>
        <sz val="9"/>
        <color rgb="FF000000"/>
        <rFont val="Arial"/>
        <charset val="134"/>
      </rPr>
      <t>DENSO Cabin Filter 145520-2500</t>
    </r>
  </si>
  <si>
    <r>
      <rPr>
        <sz val="9"/>
        <color rgb="FF000000"/>
        <rFont val="Arial"/>
        <charset val="134"/>
      </rPr>
      <t>DENSO Cabin Filter 145520-2540</t>
    </r>
  </si>
  <si>
    <r>
      <rPr>
        <sz val="9"/>
        <color rgb="FF000000"/>
        <rFont val="Arial"/>
        <charset val="134"/>
      </rPr>
      <t>DENSO Cabin Filter 145520-2550</t>
    </r>
  </si>
  <si>
    <r>
      <rPr>
        <sz val="9"/>
        <color rgb="FF000000"/>
        <rFont val="Arial"/>
        <charset val="134"/>
      </rPr>
      <t>DENSO Cabin Filter 145520-3540</t>
    </r>
  </si>
  <si>
    <r>
      <rPr>
        <sz val="9"/>
        <color rgb="FF000000"/>
        <rFont val="Arial"/>
        <charset val="134"/>
      </rPr>
      <t>DENSO Cabin Filter 145520-3700</t>
    </r>
  </si>
  <si>
    <r>
      <rPr>
        <sz val="9"/>
        <color rgb="FF000000"/>
        <rFont val="Arial"/>
        <charset val="134"/>
      </rPr>
      <t>DENSO Cabin Filter 145520-3830</t>
    </r>
  </si>
  <si>
    <r>
      <rPr>
        <sz val="9"/>
        <color rgb="FF000000"/>
        <rFont val="Arial"/>
        <charset val="134"/>
      </rPr>
      <t>DENSO Cabin Filter 145520-3890</t>
    </r>
  </si>
  <si>
    <r>
      <rPr>
        <sz val="9"/>
        <color rgb="FF000000"/>
        <rFont val="Arial"/>
        <charset val="134"/>
      </rPr>
      <t>DENSO Cabin Filter 145520-4010</t>
    </r>
  </si>
  <si>
    <r>
      <rPr>
        <sz val="9"/>
        <color rgb="FF000000"/>
        <rFont val="Arial"/>
        <charset val="134"/>
      </rPr>
      <t>DENSO Cabin Filter 145520-4020</t>
    </r>
  </si>
  <si>
    <r>
      <rPr>
        <sz val="9"/>
        <color rgb="FF000000"/>
        <rFont val="Arial"/>
        <charset val="134"/>
      </rPr>
      <t>DENSO Cabin Filter 145520-4100</t>
    </r>
  </si>
  <si>
    <r>
      <rPr>
        <sz val="9"/>
        <color rgb="FF000000"/>
        <rFont val="Arial"/>
        <charset val="134"/>
      </rPr>
      <t>DENSO Cabin Filter 145520-4830</t>
    </r>
  </si>
  <si>
    <r>
      <rPr>
        <sz val="9"/>
        <color rgb="FF000000"/>
        <rFont val="Arial"/>
        <charset val="134"/>
      </rPr>
      <t>DENSO Cabin Filter 145520-4900</t>
    </r>
  </si>
  <si>
    <r>
      <rPr>
        <sz val="9"/>
        <color rgb="FF000000"/>
        <rFont val="Arial"/>
        <charset val="134"/>
      </rPr>
      <t>DENSO Cabin Filter 145520-4950</t>
    </r>
  </si>
  <si>
    <r>
      <rPr>
        <sz val="9"/>
        <color rgb="FF000000"/>
        <rFont val="Arial"/>
        <charset val="134"/>
      </rPr>
      <t>DENSO Cabin Filter 145520-4960</t>
    </r>
  </si>
  <si>
    <r>
      <rPr>
        <sz val="9"/>
        <color rgb="FF000000"/>
        <rFont val="Arial"/>
        <charset val="134"/>
      </rPr>
      <t>DENSO Cabin Filter 145520-5360</t>
    </r>
  </si>
  <si>
    <r>
      <rPr>
        <sz val="9"/>
        <color rgb="FF000000"/>
        <rFont val="Arial"/>
        <charset val="134"/>
      </rPr>
      <t>DENSO Cabin Filter 145520-5830</t>
    </r>
  </si>
  <si>
    <r>
      <rPr>
        <sz val="9"/>
        <color rgb="FF000000"/>
        <rFont val="Arial"/>
        <charset val="134"/>
      </rPr>
      <t>DENSO Cabin Filter 145520-5840</t>
    </r>
  </si>
  <si>
    <r>
      <rPr>
        <sz val="9"/>
        <color rgb="FF000000"/>
        <rFont val="Arial"/>
        <charset val="134"/>
      </rPr>
      <t>DENSO Cabin Filter 145520-5850</t>
    </r>
  </si>
  <si>
    <r>
      <rPr>
        <sz val="9"/>
        <color rgb="FF000000"/>
        <rFont val="Arial"/>
        <charset val="134"/>
      </rPr>
      <t>DENSO Oil Filter DXE-1022</t>
    </r>
  </si>
  <si>
    <r>
      <rPr>
        <sz val="9"/>
        <color rgb="FF000000"/>
        <rFont val="Arial"/>
        <charset val="134"/>
      </rPr>
      <t>ECQ Engine Conditioner- 250ml</t>
    </r>
  </si>
  <si>
    <r>
      <rPr>
        <sz val="9"/>
        <color rgb="FF000000"/>
        <rFont val="Arial"/>
        <charset val="134"/>
      </rPr>
      <t>FABBER ENGINE MOUNTING TEM-B27, TEM-C27, TEM-D27 (B 1859 BFZ)</t>
    </r>
  </si>
  <si>
    <r>
      <rPr>
        <sz val="9"/>
        <color rgb="FF000000"/>
        <rFont val="Arial"/>
        <charset val="134"/>
      </rPr>
      <t>FABBER Shock Support F-TSM-017</t>
    </r>
  </si>
  <si>
    <r>
      <rPr>
        <sz val="9"/>
        <color rgb="FF000000"/>
        <rFont val="Arial"/>
        <charset val="134"/>
      </rPr>
      <t>FIXCOOL Carburator Cleaner 250ml</t>
    </r>
  </si>
  <si>
    <r>
      <rPr>
        <sz val="9"/>
        <color rgb="FF000000"/>
        <rFont val="Arial"/>
        <charset val="134"/>
      </rPr>
      <t>GENERAL V-BELT (B 1063 TIT)</t>
    </r>
  </si>
  <si>
    <r>
      <rPr>
        <sz val="9"/>
        <color rgb="FF000000"/>
        <rFont val="Arial"/>
        <charset val="134"/>
      </rPr>
      <t>GENERAL V-BELT MAZDA 2</t>
    </r>
  </si>
  <si>
    <r>
      <rPr>
        <sz val="9"/>
        <color rgb="FF000000"/>
        <rFont val="Arial"/>
        <charset val="134"/>
      </rPr>
      <t>HELLA CABIN AIR FILTER HC 3100</t>
    </r>
  </si>
  <si>
    <r>
      <rPr>
        <sz val="9"/>
        <color rgb="FF000000"/>
        <rFont val="Arial"/>
        <charset val="134"/>
      </rPr>
      <t>HONDA TAILGATE SHOCK 74820-T5R-A01</t>
    </r>
  </si>
  <si>
    <r>
      <rPr>
        <sz val="9"/>
        <color rgb="FF000000"/>
        <rFont val="Arial"/>
        <charset val="134"/>
      </rPr>
      <t>HYBRID FILTER CABIN FILTER 7261</t>
    </r>
  </si>
  <si>
    <r>
      <rPr>
        <sz val="9"/>
        <color rgb="FF000000"/>
        <rFont val="Arial"/>
        <charset val="134"/>
      </rPr>
      <t>MASTER SILANT SILICONE 600ML</t>
    </r>
  </si>
  <si>
    <r>
      <rPr>
        <sz val="9"/>
        <color rgb="FF000000"/>
        <rFont val="Arial"/>
        <charset val="134"/>
      </rPr>
      <t>MAZDA GASKET (P310-10-235) (B 1063 TIT)</t>
    </r>
  </si>
  <si>
    <r>
      <rPr>
        <sz val="9"/>
        <color rgb="FF000000"/>
        <rFont val="Arial"/>
        <charset val="134"/>
      </rPr>
      <t>MOBIL Engine Oil Mobil 1 0W-20 1L</t>
    </r>
  </si>
  <si>
    <r>
      <rPr>
        <sz val="9"/>
        <color rgb="FF000000"/>
        <rFont val="Arial"/>
        <charset val="134"/>
      </rPr>
      <t>MOBIL Engine Oil Mobil 1 0W-20 4L</t>
    </r>
  </si>
  <si>
    <r>
      <rPr>
        <sz val="9"/>
        <color rgb="FF000000"/>
        <rFont val="Arial"/>
        <charset val="134"/>
      </rPr>
      <t>MOBIL Engine Oil Mobil 1 5W-30 1L</t>
    </r>
  </si>
  <si>
    <r>
      <rPr>
        <sz val="9"/>
        <color rgb="FF000000"/>
        <rFont val="Arial"/>
        <charset val="134"/>
      </rPr>
      <t>MONROE Shock Absorber 378038SP Rear</t>
    </r>
  </si>
  <si>
    <r>
      <rPr>
        <sz val="9"/>
        <color rgb="FF000000"/>
        <rFont val="Arial"/>
        <charset val="134"/>
      </rPr>
      <t>MONROE Shock Absorber 378190SP Rear</t>
    </r>
  </si>
  <si>
    <r>
      <rPr>
        <sz val="9"/>
        <color rgb="FF000000"/>
        <rFont val="Arial"/>
        <charset val="134"/>
      </rPr>
      <t>MONROE Shock Absorber 744438SP Front-RH</t>
    </r>
  </si>
  <si>
    <r>
      <rPr>
        <sz val="9"/>
        <color rgb="FF000000"/>
        <rFont val="Arial"/>
        <charset val="134"/>
      </rPr>
      <t>MONROE Shock Absorber 744439SP Front-LH</t>
    </r>
  </si>
  <si>
    <r>
      <rPr>
        <sz val="9"/>
        <color rgb="FF000000"/>
        <rFont val="Arial"/>
        <charset val="134"/>
      </rPr>
      <t>MOTUL Engine Oil H-TECH 100 Plus 0W-20 1L</t>
    </r>
  </si>
  <si>
    <r>
      <rPr>
        <sz val="9"/>
        <color rgb="FF000000"/>
        <rFont val="Arial"/>
        <charset val="134"/>
      </rPr>
      <t>MOTUL Engine Oil MUGEN  MS-A 5W-40 1L</t>
    </r>
  </si>
  <si>
    <r>
      <rPr>
        <sz val="9"/>
        <color rgb="FF000000"/>
        <rFont val="Arial"/>
        <charset val="134"/>
      </rPr>
      <t>MOTUL Engine Oil Multigrade Plus 10W-40 1L</t>
    </r>
  </si>
  <si>
    <r>
      <rPr>
        <sz val="9"/>
        <color rgb="FF000000"/>
        <rFont val="Arial"/>
        <charset val="134"/>
      </rPr>
      <t>MOTUL Engine Oil TRD SPORT 5W-40 1L</t>
    </r>
  </si>
  <si>
    <r>
      <rPr>
        <sz val="9"/>
        <color rgb="FF000000"/>
        <rFont val="Arial"/>
        <charset val="134"/>
      </rPr>
      <t>MOTUL Gear Oil HDX 80W-90 1L</t>
    </r>
  </si>
  <si>
    <r>
      <rPr>
        <sz val="9"/>
        <color rgb="FF000000"/>
        <rFont val="Arial"/>
        <charset val="134"/>
      </rPr>
      <t>MX AUTOMOTIVE HORN UNIVERSAL WIRING HARNESS KIT</t>
    </r>
  </si>
  <si>
    <r>
      <rPr>
        <sz val="9"/>
        <color rgb="FF000000"/>
        <rFont val="Arial"/>
        <charset val="134"/>
      </rPr>
      <t>PRESTONE Brake Fluid DOT 3 - 1000ml</t>
    </r>
  </si>
  <si>
    <r>
      <rPr>
        <sz val="9"/>
        <color rgb="FF000000"/>
        <rFont val="Arial"/>
        <charset val="134"/>
      </rPr>
      <t>PRESTONE Engine Flush- 443ml</t>
    </r>
  </si>
  <si>
    <r>
      <rPr>
        <sz val="9"/>
        <color rgb="FF000000"/>
        <rFont val="Arial"/>
        <charset val="134"/>
      </rPr>
      <t>SGMW FILTER ASM-OIL (24563823)</t>
    </r>
  </si>
  <si>
    <r>
      <rPr>
        <sz val="9"/>
        <color rgb="FF000000"/>
        <rFont val="Arial"/>
        <charset val="134"/>
      </rPr>
      <t>SGMW FILTER ASM-OIL (24563823) (B 2381 UOP)</t>
    </r>
  </si>
  <si>
    <r>
      <rPr>
        <sz val="9"/>
        <color rgb="FF000000"/>
        <rFont val="Arial"/>
        <charset val="134"/>
      </rPr>
      <t>SGMW SPARK PLUG 23753101 (B 2641 UZD)</t>
    </r>
  </si>
  <si>
    <r>
      <rPr>
        <sz val="9"/>
        <color rgb="FF000000"/>
        <rFont val="Arial"/>
        <charset val="134"/>
      </rPr>
      <t>TOYOTA BEARING, STRUT (48619-0D011) (B 1859 BFZ)</t>
    </r>
  </si>
  <si>
    <r>
      <rPr>
        <sz val="8"/>
        <color rgb="FF000000"/>
        <rFont val="Courier"/>
        <charset val="134"/>
      </rPr>
      <t>Page Break 24</t>
    </r>
  </si>
  <si>
    <r>
      <rPr>
        <sz val="9"/>
        <color rgb="FF000000"/>
        <rFont val="Arial"/>
        <charset val="134"/>
      </rPr>
      <t>TOYOTA ELEMENT SUB-ASSY, AIR CLE (17801-0M020) (B 1499 TRU)</t>
    </r>
  </si>
  <si>
    <r>
      <rPr>
        <sz val="9"/>
        <color rgb="FF000000"/>
        <rFont val="Arial"/>
        <charset val="134"/>
      </rPr>
      <t>TPMS SENSOR C981E5626D</t>
    </r>
  </si>
  <si>
    <r>
      <rPr>
        <sz val="9"/>
        <color rgb="FF000000"/>
        <rFont val="Arial"/>
        <charset val="134"/>
      </rPr>
      <t>ZONE ALL PURPOSE SILICONE LUBRICANT 400ML</t>
    </r>
  </si>
  <si>
    <r>
      <rPr>
        <sz val="8"/>
        <color rgb="FF000000"/>
        <rFont val="Courier"/>
        <charset val="134"/>
      </rPr>
      <t>Page Break 25</t>
    </r>
  </si>
  <si>
    <r>
      <rPr>
        <sz val="11"/>
        <color rgb="FF000000"/>
        <rFont val="Courier"/>
        <charset val="134"/>
      </rPr>
      <t>From 01 Jun 2025 until 30 Jun 2025</t>
    </r>
  </si>
  <si>
    <r>
      <rPr>
        <sz val="9"/>
        <color rgb="FF000000"/>
        <rFont val="Arial"/>
        <charset val="134"/>
      </rPr>
      <t>555 LINK STABILIZER (SL-3870) (B 1541 KZM)</t>
    </r>
  </si>
  <si>
    <r>
      <rPr>
        <sz val="9"/>
        <color rgb="FF000000"/>
        <rFont val="Arial"/>
        <charset val="134"/>
      </rPr>
      <t>ASUKA AMPLAS 80 GRIT</t>
    </r>
  </si>
  <si>
    <r>
      <rPr>
        <sz val="9"/>
        <color rgb="FF000000"/>
        <rFont val="Arial"/>
        <charset val="134"/>
      </rPr>
      <t>AXIALGELENK LONG TIE ROD RH (45610) (B 911 CV)</t>
    </r>
  </si>
  <si>
    <r>
      <rPr>
        <sz val="9"/>
        <color rgb="FF000000"/>
        <rFont val="Arial"/>
        <charset val="134"/>
      </rPr>
      <t>BOSCH Air Filter A 2180</t>
    </r>
  </si>
  <si>
    <r>
      <rPr>
        <sz val="8"/>
        <color rgb="FF000000"/>
        <rFont val="Courier"/>
        <charset val="134"/>
      </rPr>
      <t>Printed on 2 February 2026 - 09:50</t>
    </r>
  </si>
  <si>
    <r>
      <rPr>
        <sz val="9"/>
        <color rgb="FF000000"/>
        <rFont val="Arial"/>
        <charset val="134"/>
      </rPr>
      <t>BOSCH Brake Pad 0986T18178 /BP8178 Front</t>
    </r>
  </si>
  <si>
    <r>
      <rPr>
        <sz val="9"/>
        <color rgb="FF000000"/>
        <rFont val="Arial"/>
        <charset val="134"/>
      </rPr>
      <t>BOSCH Cabin Filter R 2336</t>
    </r>
  </si>
  <si>
    <r>
      <rPr>
        <sz val="9"/>
        <color rgb="FF000000"/>
        <rFont val="Arial"/>
        <charset val="134"/>
      </rPr>
      <t>BOSCH Light Bulb W21/5W 12V 21W/5W -W3x16q Auxiliary</t>
    </r>
  </si>
  <si>
    <r>
      <rPr>
        <sz val="9"/>
        <color rgb="FF000000"/>
        <rFont val="Arial"/>
        <charset val="134"/>
      </rPr>
      <t>BOSCH Oil Filter O 1508</t>
    </r>
  </si>
  <si>
    <r>
      <rPr>
        <sz val="9"/>
        <color rgb="FF000000"/>
        <rFont val="Arial"/>
        <charset val="134"/>
      </rPr>
      <t>BOSCH Spark Plug FR8SC+ - Standard</t>
    </r>
  </si>
  <si>
    <r>
      <rPr>
        <sz val="9"/>
        <color rgb="FF000000"/>
        <rFont val="Arial"/>
        <charset val="134"/>
      </rPr>
      <t>BOSCH Spark Plug VR7NII33X - Iridium</t>
    </r>
  </si>
  <si>
    <r>
      <rPr>
        <sz val="9"/>
        <color rgb="FF000000"/>
        <rFont val="Arial"/>
        <charset val="134"/>
      </rPr>
      <t>BRIDGESTONE TIRE Techno 185/55R15 82H</t>
    </r>
  </si>
  <si>
    <r>
      <rPr>
        <sz val="9"/>
        <color rgb="FF000000"/>
        <rFont val="Arial"/>
        <charset val="134"/>
      </rPr>
      <t>CAMELION BATTERY AA</t>
    </r>
  </si>
  <si>
    <r>
      <rPr>
        <sz val="9"/>
        <color rgb="FF000000"/>
        <rFont val="Arial"/>
        <charset val="134"/>
      </rPr>
      <t>CASTROL Engine Oil MAGNATEC SUV 5W-40 1L</t>
    </r>
  </si>
  <si>
    <r>
      <rPr>
        <sz val="9"/>
        <color rgb="FF000000"/>
        <rFont val="Arial"/>
        <charset val="134"/>
      </rPr>
      <t>CAT BUMPER DEPAN TYPE 1</t>
    </r>
  </si>
  <si>
    <r>
      <rPr>
        <sz val="9"/>
        <color rgb="FF000000"/>
        <rFont val="Arial"/>
        <charset val="134"/>
      </rPr>
      <t>DAIHATSU BOOT CV JOINT OUTER (04425-BZ050)</t>
    </r>
  </si>
  <si>
    <r>
      <rPr>
        <sz val="9"/>
        <color rgb="FF000000"/>
        <rFont val="Arial"/>
        <charset val="134"/>
      </rPr>
      <t>DENSO Cabin Filter 145520-2390</t>
    </r>
  </si>
  <si>
    <r>
      <rPr>
        <sz val="9"/>
        <color rgb="FF000000"/>
        <rFont val="Arial"/>
        <charset val="134"/>
      </rPr>
      <t>DENSO Cabin Filter 145520-5940</t>
    </r>
  </si>
  <si>
    <r>
      <rPr>
        <sz val="9"/>
        <color rgb="FF000000"/>
        <rFont val="Arial"/>
        <charset val="134"/>
      </rPr>
      <t>DENSO Oil Filter DXE-1024</t>
    </r>
  </si>
  <si>
    <r>
      <rPr>
        <sz val="9"/>
        <color rgb="FF000000"/>
        <rFont val="Arial"/>
        <charset val="134"/>
      </rPr>
      <t>DENSO Spark Plug IKH20 - Iridium</t>
    </r>
  </si>
  <si>
    <r>
      <rPr>
        <sz val="9"/>
        <color rgb="FF000000"/>
        <rFont val="Arial"/>
        <charset val="134"/>
      </rPr>
      <t>DENSO Spark Plug SC16HR11 -Iridium</t>
    </r>
  </si>
  <si>
    <r>
      <rPr>
        <sz val="9"/>
        <color rgb="FF000000"/>
        <rFont val="Arial"/>
        <charset val="134"/>
      </rPr>
      <t>DEXTONE EPOXY ADHESIVES 5MINS 48GR</t>
    </r>
  </si>
  <si>
    <r>
      <rPr>
        <sz val="9"/>
        <color rgb="FF000000"/>
        <rFont val="Arial"/>
        <charset val="134"/>
      </rPr>
      <t>DUNLOP TIRE SP Sport Maxx 050 215/55R17 94V-OEM</t>
    </r>
  </si>
  <si>
    <r>
      <rPr>
        <sz val="9"/>
        <color rgb="FF000000"/>
        <rFont val="Arial"/>
        <charset val="134"/>
      </rPr>
      <t>EMKARATE A/C OIL RL 68H 1L</t>
    </r>
  </si>
  <si>
    <r>
      <rPr>
        <sz val="9"/>
        <color rgb="FF000000"/>
        <rFont val="Arial"/>
        <charset val="134"/>
      </rPr>
      <t>FOAM CLEANER 650ML</t>
    </r>
  </si>
  <si>
    <r>
      <rPr>
        <sz val="9"/>
        <color rgb="FF000000"/>
        <rFont val="Arial"/>
        <charset val="134"/>
      </rPr>
      <t>GENERAL BOOT CLAMP</t>
    </r>
  </si>
  <si>
    <r>
      <rPr>
        <sz val="9"/>
        <color rgb="FF000000"/>
        <rFont val="Arial"/>
        <charset val="134"/>
      </rPr>
      <t>GENERAL ENGINE MOUNTING (B 1338 UME)</t>
    </r>
  </si>
  <si>
    <r>
      <rPr>
        <sz val="9"/>
        <color rgb="FF000000"/>
        <rFont val="Arial"/>
        <charset val="134"/>
      </rPr>
      <t>HEIKER RACK STEER H-NRT-001</t>
    </r>
  </si>
  <si>
    <r>
      <rPr>
        <sz val="9"/>
        <color rgb="FF000000"/>
        <rFont val="Arial"/>
        <charset val="134"/>
      </rPr>
      <t>HONDA AIR FILTER (B 1193 KYM)</t>
    </r>
  </si>
  <si>
    <r>
      <rPr>
        <sz val="9"/>
        <color rgb="FF000000"/>
        <rFont val="Arial"/>
        <charset val="134"/>
      </rPr>
      <t>HONDA BRAKE PAD (45022-37A025) (B 2851 UFV)</t>
    </r>
  </si>
  <si>
    <r>
      <rPr>
        <sz val="9"/>
        <color rgb="FF000000"/>
        <rFont val="Arial"/>
        <charset val="134"/>
      </rPr>
      <t>HONDA SPARK PLUG (B 1193 KYM)</t>
    </r>
  </si>
  <si>
    <r>
      <rPr>
        <sz val="9"/>
        <color rgb="FF000000"/>
        <rFont val="Arial"/>
        <charset val="134"/>
      </rPr>
      <t>INCHEMOTO Engine Flush- 300ml</t>
    </r>
  </si>
  <si>
    <r>
      <rPr>
        <sz val="9"/>
        <color rgb="FF000000"/>
        <rFont val="Arial"/>
        <charset val="134"/>
      </rPr>
      <t>INCHEMOTO Throttle Body Cleaner- 500ml</t>
    </r>
  </si>
  <si>
    <r>
      <rPr>
        <sz val="9"/>
        <color rgb="FF000000"/>
        <rFont val="Arial"/>
        <charset val="134"/>
      </rPr>
      <t>KAIN LAP MAJUN 1KG</t>
    </r>
  </si>
  <si>
    <r>
      <rPr>
        <sz val="9"/>
        <color rgb="FF000000"/>
        <rFont val="Arial"/>
        <charset val="134"/>
      </rPr>
      <t>KENMASTER WASH SPONGE</t>
    </r>
  </si>
  <si>
    <r>
      <rPr>
        <sz val="9"/>
        <color rgb="FF000000"/>
        <rFont val="Arial"/>
        <charset val="134"/>
      </rPr>
      <t>LUCRATEC SPEED SENSOR RR RH (SA31001) (B 911 CV)</t>
    </r>
  </si>
  <si>
    <r>
      <rPr>
        <sz val="9"/>
        <color rgb="FF000000"/>
        <rFont val="Arial"/>
        <charset val="134"/>
      </rPr>
      <t>MASTER PREMIXED RADIATOR COOLANT RED 1QT</t>
    </r>
  </si>
  <si>
    <r>
      <rPr>
        <sz val="9"/>
        <color rgb="FF000000"/>
        <rFont val="Arial"/>
        <charset val="134"/>
      </rPr>
      <t>MERCEDES LINK STABILIZER FR R/L (2463200689) (B 911 CV)</t>
    </r>
  </si>
  <si>
    <r>
      <rPr>
        <sz val="9"/>
        <color rgb="FF000000"/>
        <rFont val="Arial"/>
        <charset val="134"/>
      </rPr>
      <t>MONROE Shock Absorber 744054SP Front-RH</t>
    </r>
  </si>
  <si>
    <r>
      <rPr>
        <sz val="9"/>
        <color rgb="FF000000"/>
        <rFont val="Arial"/>
        <charset val="134"/>
      </rPr>
      <t>MOTUL Diesel Engine Oil TEKMA TURBO POWER 15W-40 1L</t>
    </r>
  </si>
  <si>
    <r>
      <rPr>
        <sz val="9"/>
        <color rgb="FF000000"/>
        <rFont val="Arial"/>
        <charset val="134"/>
      </rPr>
      <t>MOTUL Transmission Oil ATF VI 1L</t>
    </r>
  </si>
  <si>
    <r>
      <rPr>
        <sz val="8"/>
        <color rgb="FF000000"/>
        <rFont val="Courier"/>
        <charset val="134"/>
      </rPr>
      <t>Page Break 26</t>
    </r>
  </si>
  <si>
    <r>
      <rPr>
        <sz val="9"/>
        <color rgb="FF000000"/>
        <rFont val="Arial"/>
        <charset val="134"/>
      </rPr>
      <t>NAWA TAPE 3/4"x20Y</t>
    </r>
  </si>
  <si>
    <r>
      <rPr>
        <sz val="9"/>
        <color rgb="FF000000"/>
        <rFont val="Arial"/>
        <charset val="134"/>
      </rPr>
      <t>NIKKEN AMPLAS 1000 GRIT</t>
    </r>
  </si>
  <si>
    <r>
      <rPr>
        <sz val="9"/>
        <color rgb="FF000000"/>
        <rFont val="Arial"/>
        <charset val="134"/>
      </rPr>
      <t>NISSAN XTRAIL BUSI B2052KMO</t>
    </r>
  </si>
  <si>
    <r>
      <rPr>
        <sz val="9"/>
        <color rgb="FF000000"/>
        <rFont val="Arial"/>
        <charset val="134"/>
      </rPr>
      <t>NISSAN XTRAIL KLEP B2052KMO</t>
    </r>
  </si>
  <si>
    <r>
      <rPr>
        <sz val="9"/>
        <color rgb="FF000000"/>
        <rFont val="Arial"/>
        <charset val="134"/>
      </rPr>
      <t>NISSAN XTRAIL RADIATOR B2052KMO</t>
    </r>
  </si>
  <si>
    <r>
      <rPr>
        <sz val="8"/>
        <color rgb="FF000000"/>
        <rFont val="Courier"/>
        <charset val="134"/>
      </rPr>
      <t>Page Break 27</t>
    </r>
  </si>
  <si>
    <r>
      <rPr>
        <sz val="9"/>
        <color rgb="FF000000"/>
        <rFont val="Arial"/>
        <charset val="134"/>
      </rPr>
      <t>PANASONIC BATTERY LR44</t>
    </r>
  </si>
  <si>
    <r>
      <rPr>
        <sz val="9"/>
        <color rgb="FF000000"/>
        <rFont val="Arial"/>
        <charset val="134"/>
      </rPr>
      <t>REFRIGERANT R134A 13.6KG</t>
    </r>
  </si>
  <si>
    <r>
      <rPr>
        <sz val="9"/>
        <color rgb="FF000000"/>
        <rFont val="Arial"/>
        <charset val="134"/>
      </rPr>
      <t>RENAULT CABIN AIR FILTER (272773223R) (B 1653 WYZ)</t>
    </r>
  </si>
  <si>
    <r>
      <rPr>
        <sz val="8"/>
        <color rgb="FF000000"/>
        <rFont val="Courier"/>
        <charset val="134"/>
      </rPr>
      <t>Page Break 28</t>
    </r>
  </si>
  <si>
    <r>
      <rPr>
        <sz val="9"/>
        <color rgb="FF000000"/>
        <rFont val="Arial"/>
        <charset val="134"/>
      </rPr>
      <t>SAKURA CABIN AIR FILTER</t>
    </r>
  </si>
  <si>
    <r>
      <rPr>
        <sz val="9"/>
        <color rgb="FF000000"/>
        <rFont val="Arial"/>
        <charset val="134"/>
      </rPr>
      <t>SAKURA CABIN FILTER CA-28190-S</t>
    </r>
  </si>
  <si>
    <r>
      <rPr>
        <sz val="9"/>
        <color rgb="FF000000"/>
        <rFont val="Arial"/>
        <charset val="134"/>
      </rPr>
      <t>SAM KALIPER KIT DEPAN (01463-SR3-000) (B2457TFM)</t>
    </r>
  </si>
  <si>
    <r>
      <rPr>
        <sz val="9"/>
        <color rgb="FF000000"/>
        <rFont val="Arial"/>
        <charset val="134"/>
      </rPr>
      <t>SEAL DRESSING 1L</t>
    </r>
  </si>
  <si>
    <r>
      <rPr>
        <sz val="9"/>
        <color rgb="FF000000"/>
        <rFont val="Arial"/>
        <charset val="134"/>
      </rPr>
      <t>SMART WEIGHT BESI BALANCING TEMPEL</t>
    </r>
  </si>
  <si>
    <r>
      <rPr>
        <sz val="9"/>
        <color rgb="FF000000"/>
        <rFont val="Arial"/>
        <charset val="134"/>
      </rPr>
      <t>THREEBOND HIGH TEMP RTV SILICONE 30G</t>
    </r>
  </si>
  <si>
    <r>
      <rPr>
        <sz val="8"/>
        <color rgb="FF000000"/>
        <rFont val="Courier"/>
        <charset val="134"/>
      </rPr>
      <t>Page Break 29</t>
    </r>
  </si>
  <si>
    <r>
      <rPr>
        <sz val="9"/>
        <color rgb="FF000000"/>
        <rFont val="Arial"/>
        <charset val="134"/>
      </rPr>
      <t>TOYOTA ABSORBER FR LH ( 48520-09Q70) (B 1178 UZE)</t>
    </r>
  </si>
  <si>
    <r>
      <rPr>
        <sz val="9"/>
        <color rgb="FF000000"/>
        <rFont val="Arial"/>
        <charset val="134"/>
      </rPr>
      <t>TOYOTA ABSORBER FR RH ( 48510-09X70) (B 1178 UZE)</t>
    </r>
  </si>
  <si>
    <r>
      <rPr>
        <sz val="9"/>
        <color rgb="FF000000"/>
        <rFont val="Arial"/>
        <charset val="134"/>
      </rPr>
      <t>TOYOTA BOOT KIT FR DRIVE LH (04438-BZ080) (B 2919 TZZ)</t>
    </r>
  </si>
  <si>
    <r>
      <rPr>
        <sz val="9"/>
        <color rgb="FF000000"/>
        <rFont val="Arial"/>
        <charset val="134"/>
      </rPr>
      <t>TOYOTA COVER, RR BUMPER L/C (52159-0M911) (B 2229 TYR)</t>
    </r>
  </si>
  <si>
    <r>
      <rPr>
        <sz val="9"/>
        <color rgb="FF000000"/>
        <rFont val="Arial"/>
        <charset val="134"/>
      </rPr>
      <t>TOYOTA DAM, BACK DOOR GLASS (68294-0K180) (B 2229 TYR)</t>
    </r>
  </si>
  <si>
    <r>
      <rPr>
        <sz val="9"/>
        <color rgb="FF000000"/>
        <rFont val="Arial"/>
        <charset val="134"/>
      </rPr>
      <t>TOYOTA DRAIN PLUG BOLT (90341-12034) (B 1684 ECY)</t>
    </r>
  </si>
  <si>
    <r>
      <rPr>
        <sz val="8"/>
        <color rgb="FF000000"/>
        <rFont val="Courier"/>
        <charset val="134"/>
      </rPr>
      <t>Page Break 30</t>
    </r>
  </si>
  <si>
    <r>
      <rPr>
        <sz val="9"/>
        <color rgb="FF000000"/>
        <rFont val="Arial"/>
        <charset val="134"/>
      </rPr>
      <t>TOYOTA GASKET, CYLINDER HEAD COV (11213-0C011) (B 1837 BJF)</t>
    </r>
  </si>
  <si>
    <r>
      <rPr>
        <sz val="9"/>
        <color rgb="FF000000"/>
        <rFont val="Arial"/>
        <charset val="134"/>
      </rPr>
      <t>TOYOTA GASKET, CYLINDER HEAD COV (11241-0C011) (B 1837 BJF)</t>
    </r>
  </si>
  <si>
    <r>
      <rPr>
        <sz val="9"/>
        <color rgb="FF000000"/>
        <rFont val="Arial"/>
        <charset val="134"/>
      </rPr>
      <t>TOYOTA GLASS S/A, BACK DOOR (68105-0K210) (B 2229 TYR)</t>
    </r>
  </si>
  <si>
    <r>
      <rPr>
        <sz val="9"/>
        <color rgb="FF000000"/>
        <rFont val="Arial"/>
        <charset val="134"/>
      </rPr>
      <t>TOYOTA KAMPAS REM BELAKANG (04495-0K040) (B 1178 UZE)</t>
    </r>
  </si>
  <si>
    <r>
      <rPr>
        <sz val="9"/>
        <color rgb="FF000000"/>
        <rFont val="Arial"/>
        <charset val="134"/>
      </rPr>
      <t>TOYOTA LAMP AS TURN SIGN RH (81730-0K090) (B 2229 TYR))</t>
    </r>
  </si>
  <si>
    <r>
      <rPr>
        <sz val="9"/>
        <color rgb="FF000000"/>
        <rFont val="Arial"/>
        <charset val="134"/>
      </rPr>
      <t>TOYOTA LINK STABILIZER (48820-0K010) (B 1178 UZE)</t>
    </r>
  </si>
  <si>
    <r>
      <rPr>
        <sz val="8"/>
        <color rgb="FF000000"/>
        <rFont val="Courier"/>
        <charset val="134"/>
      </rPr>
      <t>Page Break 31</t>
    </r>
  </si>
  <si>
    <r>
      <rPr>
        <sz val="9"/>
        <color rgb="FF000000"/>
        <rFont val="Arial"/>
        <charset val="134"/>
      </rPr>
      <t>TOYOTA PANEL S/A, BACK DOOR (67005-0K310) (B 2229 TYR)</t>
    </r>
  </si>
  <si>
    <r>
      <rPr>
        <sz val="9"/>
        <color rgb="FF000000"/>
        <rFont val="Arial"/>
        <charset val="134"/>
      </rPr>
      <t>TOYOTA PLUG SPARK (9004A-91068) (B 2231 SZA)</t>
    </r>
  </si>
  <si>
    <r>
      <rPr>
        <sz val="9"/>
        <color rgb="FF000000"/>
        <rFont val="Arial"/>
        <charset val="134"/>
      </rPr>
      <t>TOYOTA RR BUMPER ORNMNT SET (52190-TA050-00) (B 2229 TYR)</t>
    </r>
  </si>
  <si>
    <r>
      <rPr>
        <sz val="9"/>
        <color rgb="FF000000"/>
        <rFont val="Arial"/>
        <charset val="134"/>
      </rPr>
      <t>TOYOTA SEAL COVER VALVE (11213-0Y030) (B 2231 SZA)</t>
    </r>
  </si>
  <si>
    <r>
      <rPr>
        <sz val="9"/>
        <color rgb="FF000000"/>
        <rFont val="Arial"/>
        <charset val="134"/>
      </rPr>
      <t>TOYOTA SHOE KIT (04495-0K120) (B 1837 BJF)</t>
    </r>
  </si>
  <si>
    <r>
      <rPr>
        <sz val="9"/>
        <color rgb="FF000000"/>
        <rFont val="Arial"/>
        <charset val="134"/>
      </rPr>
      <t>TOYOTA SPARK PLUG (B 1680 SA)</t>
    </r>
  </si>
  <si>
    <r>
      <rPr>
        <sz val="8"/>
        <color rgb="FF000000"/>
        <rFont val="Courier"/>
        <charset val="134"/>
      </rPr>
      <t>Page Break 32</t>
    </r>
  </si>
  <si>
    <r>
      <rPr>
        <sz val="9"/>
        <color rgb="FF000000"/>
        <rFont val="Arial"/>
        <charset val="134"/>
      </rPr>
      <t>TOYOTA STABILIZER LINK (48820-BZ060) (B 2919 TZZ)</t>
    </r>
  </si>
  <si>
    <r>
      <rPr>
        <sz val="9"/>
        <color rgb="FF000000"/>
        <rFont val="Arial"/>
        <charset val="134"/>
      </rPr>
      <t>TOYOTA V-BELT (90916-T2006) (B 1178 UZE)</t>
    </r>
  </si>
  <si>
    <r>
      <rPr>
        <sz val="9"/>
        <color rgb="FF000000"/>
        <rFont val="Arial"/>
        <charset val="134"/>
      </rPr>
      <t>VAPLUS SHAMPOO MOBIL 5L</t>
    </r>
  </si>
  <si>
    <r>
      <rPr>
        <sz val="9"/>
        <color rgb="FF000000"/>
        <rFont val="Arial"/>
        <charset val="134"/>
      </rPr>
      <t>VPR SEAL TAPE 10M</t>
    </r>
  </si>
  <si>
    <r>
      <rPr>
        <sz val="8"/>
        <color rgb="FF000000"/>
        <rFont val="Courier"/>
        <charset val="134"/>
      </rPr>
      <t>Page Break 33</t>
    </r>
  </si>
  <si>
    <r>
      <rPr>
        <sz val="11"/>
        <color rgb="FF000000"/>
        <rFont val="Courier"/>
        <charset val="134"/>
      </rPr>
      <t>From 01 Jul 2025 until 31 Jul 2025</t>
    </r>
  </si>
  <si>
    <r>
      <rPr>
        <sz val="9"/>
        <color rgb="FF000000"/>
        <rFont val="Arial"/>
        <charset val="134"/>
      </rPr>
      <t>555 LONG TIROD (45503-0K070) (B 1185 TRJ)</t>
    </r>
  </si>
  <si>
    <r>
      <rPr>
        <sz val="9"/>
        <color rgb="FF000000"/>
        <rFont val="Arial"/>
        <charset val="134"/>
      </rPr>
      <t>555 TIE ROD END (45046-09800) (B 1185 TRJ)</t>
    </r>
  </si>
  <si>
    <r>
      <rPr>
        <sz val="9"/>
        <color rgb="FF000000"/>
        <rFont val="Arial"/>
        <charset val="134"/>
      </rPr>
      <t>AUTO FUSE FUSE TANCAP BESAR 30A</t>
    </r>
  </si>
  <si>
    <r>
      <rPr>
        <sz val="9"/>
        <color rgb="FF000000"/>
        <rFont val="Arial"/>
        <charset val="134"/>
      </rPr>
      <t>BENDIX PADKIT FR (DB1679 GCT) (B 1403 URT)</t>
    </r>
  </si>
  <si>
    <r>
      <rPr>
        <sz val="9"/>
        <color rgb="FF000000"/>
        <rFont val="Arial"/>
        <charset val="134"/>
      </rPr>
      <t>BMW OIL FILTER (11428593186) (B 2751 BYI)</t>
    </r>
  </si>
  <si>
    <r>
      <rPr>
        <sz val="8"/>
        <color rgb="FF000000"/>
        <rFont val="Courier"/>
        <charset val="134"/>
      </rPr>
      <t>Printed on 2 February 2026 - 09:44</t>
    </r>
  </si>
  <si>
    <r>
      <rPr>
        <sz val="9"/>
        <color rgb="FF000000"/>
        <rFont val="Arial"/>
        <charset val="134"/>
      </rPr>
      <t>BOSCH BRAKE PAD BP1925 KOSONG</t>
    </r>
  </si>
  <si>
    <r>
      <rPr>
        <sz val="9"/>
        <color rgb="FF000000"/>
        <rFont val="Arial"/>
        <charset val="134"/>
      </rPr>
      <t>BOSCH Battery MF Blue NS40Z 40B19R 12V</t>
    </r>
  </si>
  <si>
    <r>
      <rPr>
        <sz val="9"/>
        <color rgb="FF000000"/>
        <rFont val="Arial"/>
        <charset val="134"/>
      </rPr>
      <t>BOSCH Brake Pad 0986T18187 /BP2268 Front</t>
    </r>
  </si>
  <si>
    <r>
      <rPr>
        <sz val="9"/>
        <color rgb="FF000000"/>
        <rFont val="Arial"/>
        <charset val="134"/>
      </rPr>
      <t>BOSCH Cabin Filter AP-H07</t>
    </r>
  </si>
  <si>
    <r>
      <rPr>
        <sz val="9"/>
        <color rgb="FF000000"/>
        <rFont val="Arial"/>
        <charset val="134"/>
      </rPr>
      <t>BOSCH ELECTRIC FUEL PUMP 0986AG1304</t>
    </r>
  </si>
  <si>
    <r>
      <rPr>
        <sz val="9"/>
        <color rgb="FF000000"/>
        <rFont val="Arial"/>
        <charset val="134"/>
      </rPr>
      <t>BOSCH Oil Filter O 1505</t>
    </r>
  </si>
  <si>
    <r>
      <rPr>
        <sz val="9"/>
        <color rgb="FF000000"/>
        <rFont val="Arial"/>
        <charset val="134"/>
      </rPr>
      <t>BOSCH Oil Filter O 1507</t>
    </r>
  </si>
  <si>
    <r>
      <rPr>
        <sz val="9"/>
        <color rgb="FF000000"/>
        <rFont val="Arial"/>
        <charset val="134"/>
      </rPr>
      <t>BP MOBIL JAPANG- KATEGORI D2</t>
    </r>
  </si>
  <si>
    <r>
      <rPr>
        <sz val="9"/>
        <color rgb="FF000000"/>
        <rFont val="Arial"/>
        <charset val="134"/>
      </rPr>
      <t>BRIO BUSI NGK (ZFR6K-11) (F 1055 CY)</t>
    </r>
  </si>
  <si>
    <r>
      <rPr>
        <sz val="9"/>
        <color rgb="FF000000"/>
        <rFont val="Arial"/>
        <charset val="134"/>
      </rPr>
      <t>CASTROL Engine Oil MAGNATEC 10W-40 1L</t>
    </r>
  </si>
  <si>
    <r>
      <rPr>
        <sz val="9"/>
        <color rgb="FF000000"/>
        <rFont val="Arial"/>
        <charset val="134"/>
      </rPr>
      <t>DAIHATSU PADKIT, DISC BRAKE (04491-YZ011-001) (F 1684 OI)</t>
    </r>
  </si>
  <si>
    <r>
      <rPr>
        <sz val="9"/>
        <color rgb="FF000000"/>
        <rFont val="Arial"/>
        <charset val="134"/>
      </rPr>
      <t>DAIHATSU ROTAK FILTER (B 1155 KFX)</t>
    </r>
  </si>
  <si>
    <r>
      <rPr>
        <sz val="9"/>
        <color rgb="FF000000"/>
        <rFont val="Arial"/>
        <charset val="134"/>
      </rPr>
      <t>DENSO CONDENSOR AC COOL GEAR (DI261433-0251) (B 2457 TFM)</t>
    </r>
  </si>
  <si>
    <r>
      <rPr>
        <sz val="9"/>
        <color rgb="FF000000"/>
        <rFont val="Arial"/>
        <charset val="134"/>
      </rPr>
      <t>DENSO Cabin Filter 145520-4410</t>
    </r>
  </si>
  <si>
    <r>
      <rPr>
        <sz val="9"/>
        <color rgb="FF000000"/>
        <rFont val="Arial"/>
        <charset val="134"/>
      </rPr>
      <t>DENSO Oil Filter DXE-1019</t>
    </r>
  </si>
  <si>
    <r>
      <rPr>
        <sz val="9"/>
        <color rgb="FF000000"/>
        <rFont val="Arial"/>
        <charset val="134"/>
      </rPr>
      <t>DENSO PLUG SPARK (XU20HR9) (B 2832 WVA)</t>
    </r>
  </si>
  <si>
    <r>
      <rPr>
        <sz val="9"/>
        <color rgb="FF000000"/>
        <rFont val="Arial"/>
        <charset val="134"/>
      </rPr>
      <t>DENSO Spark Plug XU20HR9 - Nickel</t>
    </r>
  </si>
  <si>
    <r>
      <rPr>
        <sz val="9"/>
        <color rgb="FF000000"/>
        <rFont val="Arial"/>
        <charset val="134"/>
      </rPr>
      <t>FILTER UDARA NEO (B 1075 PRW)</t>
    </r>
  </si>
  <si>
    <r>
      <rPr>
        <sz val="9"/>
        <color rgb="FF000000"/>
        <rFont val="Arial"/>
        <charset val="134"/>
      </rPr>
      <t>FORD MOTORCRAFT CABIN AIR FILTER (8V51-15D543-AA)</t>
    </r>
  </si>
  <si>
    <r>
      <rPr>
        <sz val="9"/>
        <color rgb="FF000000"/>
        <rFont val="Arial"/>
        <charset val="134"/>
      </rPr>
      <t>FORD SPARK PLUG FINEWIRE PLATINUM (CYFS12Y-5) (B 1403 URT)</t>
    </r>
  </si>
  <si>
    <r>
      <rPr>
        <sz val="9"/>
        <color rgb="FF000000"/>
        <rFont val="Arial"/>
        <charset val="134"/>
      </rPr>
      <t>GOODYEAR TIRE Assurance Duraplus 2 175/65R14 82H</t>
    </r>
  </si>
  <si>
    <r>
      <rPr>
        <sz val="9"/>
        <color rgb="FF000000"/>
        <rFont val="Arial"/>
        <charset val="134"/>
      </rPr>
      <t>GREYMAXX SILICON (40442) (B 1214 BYV)</t>
    </r>
  </si>
  <si>
    <r>
      <rPr>
        <sz val="9"/>
        <color rgb="FF000000"/>
        <rFont val="Arial"/>
        <charset val="134"/>
      </rPr>
      <t>HONDA DISK PLATE (22300-RE1-005) (B 1214 BYV)</t>
    </r>
  </si>
  <si>
    <r>
      <rPr>
        <sz val="9"/>
        <color rgb="FF000000"/>
        <rFont val="Arial"/>
        <charset val="134"/>
      </rPr>
      <t>HONDA MTG ENG SIDE (50820-TG4-T02) (B 1214 BYV)</t>
    </r>
  </si>
  <si>
    <r>
      <rPr>
        <sz val="9"/>
        <color rgb="FF000000"/>
        <rFont val="Arial"/>
        <charset val="134"/>
      </rPr>
      <t>HONDA NGK IRIDIUM (IZFR6K11S) (B 1183 UOY)</t>
    </r>
  </si>
  <si>
    <r>
      <rPr>
        <sz val="9"/>
        <color rgb="FF000000"/>
        <rFont val="Arial"/>
        <charset val="134"/>
      </rPr>
      <t>HONDA O RING NOKEN AS (15825-RBO-003) (B 1183 UOY)</t>
    </r>
  </si>
  <si>
    <r>
      <rPr>
        <sz val="9"/>
        <color rgb="FF000000"/>
        <rFont val="Arial"/>
        <charset val="134"/>
      </rPr>
      <t>HONDA OIL SEAL (91214-RTA-004) (B 1214 BYV)</t>
    </r>
  </si>
  <si>
    <r>
      <rPr>
        <sz val="9"/>
        <color rgb="FF000000"/>
        <rFont val="Arial"/>
        <charset val="134"/>
      </rPr>
      <t>HONDA PACKING CLAP (12341-RB0-003) (B 1214 BYV)</t>
    </r>
  </si>
  <si>
    <r>
      <rPr>
        <sz val="9"/>
        <color rgb="FF000000"/>
        <rFont val="Arial"/>
        <charset val="134"/>
      </rPr>
      <t>HONDA PACKING KLEP (12341-RB0-003) (B 1183UOY)</t>
    </r>
  </si>
  <si>
    <r>
      <rPr>
        <sz val="9"/>
        <color rgb="FF000000"/>
        <rFont val="Arial"/>
        <charset val="134"/>
      </rPr>
      <t>HONDA PLUG (91302-PX4-000) (B 1183 UOY)</t>
    </r>
  </si>
  <si>
    <r>
      <rPr>
        <sz val="9"/>
        <color rgb="FF000000"/>
        <rFont val="Arial"/>
        <charset val="134"/>
      </rPr>
      <t>HONDA SEAL AS RODA (91205 40568) (B 1214 BYV)</t>
    </r>
  </si>
  <si>
    <r>
      <rPr>
        <sz val="9"/>
        <color rgb="FF000000"/>
        <rFont val="Arial"/>
        <charset val="134"/>
      </rPr>
      <t>HONDA SEAL AS RODA DALAM (B 1214 BYV)</t>
    </r>
  </si>
  <si>
    <r>
      <rPr>
        <sz val="9"/>
        <color rgb="FF000000"/>
        <rFont val="Arial"/>
        <charset val="134"/>
      </rPr>
      <t>HONDA SEAL REAKER AS (15825-RBO-003( (B 1214 BYV)</t>
    </r>
  </si>
  <si>
    <r>
      <rPr>
        <sz val="9"/>
        <color rgb="FF000000"/>
        <rFont val="Arial"/>
        <charset val="134"/>
      </rPr>
      <t>HONDA SEAL V-TECH (15825-RBO-003) (B 1214 BYV)</t>
    </r>
  </si>
  <si>
    <r>
      <rPr>
        <sz val="9"/>
        <color rgb="FF000000"/>
        <rFont val="Arial"/>
        <charset val="134"/>
      </rPr>
      <t>HONDA SEAL VTEC (12313-P72-003) (B 1183 UOY)</t>
    </r>
  </si>
  <si>
    <r>
      <rPr>
        <sz val="9"/>
        <color rgb="FF000000"/>
        <rFont val="Arial"/>
        <charset val="134"/>
      </rPr>
      <t>HONDA STARTER ASSY (B 1214 BYV)</t>
    </r>
  </si>
  <si>
    <r>
      <rPr>
        <sz val="9"/>
        <color rgb="FF000000"/>
        <rFont val="Arial"/>
        <charset val="134"/>
      </rPr>
      <t>HONDA V-BELT COMPRESSOR (38920-RB0-004) (B 1183 UOY)</t>
    </r>
  </si>
  <si>
    <r>
      <rPr>
        <sz val="9"/>
        <color rgb="FF000000"/>
        <rFont val="Arial"/>
        <charset val="134"/>
      </rPr>
      <t>KLEAMAN KECIL (B 1214 BYV)</t>
    </r>
  </si>
  <si>
    <r>
      <rPr>
        <sz val="9"/>
        <color rgb="FF000000"/>
        <rFont val="Arial"/>
        <charset val="134"/>
      </rPr>
      <t>KLEMAN BESAR (B 1214 BYV)</t>
    </r>
  </si>
  <si>
    <r>
      <rPr>
        <sz val="9"/>
        <color rgb="FF000000"/>
        <rFont val="Arial"/>
        <charset val="134"/>
      </rPr>
      <t>KLEMAN BESAR (B 1960 TR)</t>
    </r>
  </si>
  <si>
    <r>
      <rPr>
        <sz val="9"/>
        <color rgb="FF000000"/>
        <rFont val="Arial"/>
        <charset val="134"/>
      </rPr>
      <t>KLEMAN KECIL (B 1960 TR)</t>
    </r>
  </si>
  <si>
    <r>
      <rPr>
        <sz val="9"/>
        <color rgb="FF000000"/>
        <rFont val="Arial"/>
        <charset val="134"/>
      </rPr>
      <t>LINK STABILIZER 555 (B 2451 VH)</t>
    </r>
  </si>
  <si>
    <r>
      <rPr>
        <sz val="9"/>
        <color rgb="FF000000"/>
        <rFont val="Arial"/>
        <charset val="134"/>
      </rPr>
      <t>MASSIV Battery Thunder(MF)-36B20L NS40ZL 12V-35Ah</t>
    </r>
  </si>
  <si>
    <r>
      <rPr>
        <sz val="9"/>
        <color rgb="FF000000"/>
        <rFont val="Arial"/>
        <charset val="134"/>
      </rPr>
      <t>MAZDA BELT, V (PY0115909A-TT) (B 1513 ZMJ)</t>
    </r>
  </si>
  <si>
    <r>
      <rPr>
        <sz val="9"/>
        <color rgb="FF000000"/>
        <rFont val="Arial"/>
        <charset val="134"/>
      </rPr>
      <t>MITSUBISHI GASKET , ROCK SEAL COVER VALVE (1035A583) (B 2417 PBI)</t>
    </r>
  </si>
  <si>
    <r>
      <rPr>
        <sz val="9"/>
        <color rgb="FF000000"/>
        <rFont val="Arial"/>
        <charset val="134"/>
      </rPr>
      <t>MITSUBISHI SHOE S.BRK (4600A259) (B 2119 UKD)</t>
    </r>
  </si>
  <si>
    <r>
      <rPr>
        <sz val="9"/>
        <color rgb="FF000000"/>
        <rFont val="Arial"/>
        <charset val="134"/>
      </rPr>
      <t>MITSUBISHI SPARK PLUG (MN163236) (B 2417 PBI)</t>
    </r>
  </si>
  <si>
    <r>
      <rPr>
        <sz val="9"/>
        <color rgb="FF000000"/>
        <rFont val="Arial"/>
        <charset val="134"/>
      </rPr>
      <t>MMKS ELEMENT AIR CLEANER (1500A687A) (B 2008 FFR)</t>
    </r>
  </si>
  <si>
    <r>
      <rPr>
        <sz val="9"/>
        <color rgb="FF000000"/>
        <rFont val="Arial"/>
        <charset val="134"/>
      </rPr>
      <t>MONROE Shock Absorber 378031SP Rear</t>
    </r>
  </si>
  <si>
    <r>
      <rPr>
        <sz val="9"/>
        <color rgb="FF000000"/>
        <rFont val="Arial"/>
        <charset val="134"/>
      </rPr>
      <t>MOTORCRAFT SPARK PLUG (CYFS12-5) (B 1594 UMH)</t>
    </r>
  </si>
  <si>
    <r>
      <rPr>
        <sz val="9"/>
        <color rgb="FF000000"/>
        <rFont val="Arial"/>
        <charset val="134"/>
      </rPr>
      <t>MOTUL Diesel Engine Oil TEKMA MEGA X 15W-40 1L</t>
    </r>
  </si>
  <si>
    <r>
      <rPr>
        <sz val="9"/>
        <color rgb="FF000000"/>
        <rFont val="Arial"/>
        <charset val="134"/>
      </rPr>
      <t>NGK SPARK PLUG (LFR6AIX) (B 2119 UKD)</t>
    </r>
  </si>
  <si>
    <r>
      <rPr>
        <sz val="9"/>
        <color rgb="FF000000"/>
        <rFont val="Arial"/>
        <charset val="134"/>
      </rPr>
      <t>NGK SPARK PLUG IRIDIUM (LFR6AIX-11) (B 1132 ROJ)</t>
    </r>
  </si>
  <si>
    <r>
      <rPr>
        <sz val="9"/>
        <color rgb="FF000000"/>
        <rFont val="Arial"/>
        <charset val="134"/>
      </rPr>
      <t>NTN BEARINGS (6902LLU/5K) (B 1214 BYV)</t>
    </r>
  </si>
  <si>
    <r>
      <rPr>
        <sz val="9"/>
        <color rgb="FF000000"/>
        <rFont val="Arial"/>
        <charset val="134"/>
      </rPr>
      <t>OSRAM P21/5W 12V 7528</t>
    </r>
  </si>
  <si>
    <r>
      <rPr>
        <sz val="9"/>
        <color rgb="FF000000"/>
        <rFont val="Arial"/>
        <charset val="134"/>
      </rPr>
      <t>PART PREMIUM PAD KIT FR (4605-A486) (B 2417 PBI)</t>
    </r>
  </si>
  <si>
    <r>
      <rPr>
        <sz val="9"/>
        <color rgb="FF000000"/>
        <rFont val="Arial"/>
        <charset val="134"/>
      </rPr>
      <t>SEAL WASHER (B 1762 TFY)</t>
    </r>
  </si>
  <si>
    <r>
      <rPr>
        <sz val="9"/>
        <color rgb="FF000000"/>
        <rFont val="Arial"/>
        <charset val="134"/>
      </rPr>
      <t>SGMW CABIN AIR FILTER (23569151)</t>
    </r>
  </si>
  <si>
    <r>
      <rPr>
        <sz val="9"/>
        <color rgb="FF000000"/>
        <rFont val="Arial"/>
        <charset val="134"/>
      </rPr>
      <t>SHELL Engine Oil HELIX HX6 10W-40 4L</t>
    </r>
  </si>
  <si>
    <r>
      <rPr>
        <sz val="9"/>
        <color rgb="FF000000"/>
        <rFont val="Arial"/>
        <charset val="134"/>
      </rPr>
      <t>SHELL Engine Oil HELIX Ultra 5W-30 1L</t>
    </r>
  </si>
  <si>
    <r>
      <rPr>
        <sz val="9"/>
        <color rgb="FF000000"/>
        <rFont val="Arial"/>
        <charset val="134"/>
      </rPr>
      <t>SHELL Engine Oil HELIX Ultra 5W-30 4L</t>
    </r>
  </si>
  <si>
    <r>
      <rPr>
        <sz val="9"/>
        <color rgb="FF000000"/>
        <rFont val="Arial"/>
        <charset val="134"/>
      </rPr>
      <t>SHELL Transmission Oil Spirax ATF 6 1L</t>
    </r>
  </si>
  <si>
    <r>
      <rPr>
        <sz val="9"/>
        <color rgb="FF000000"/>
        <rFont val="Arial"/>
        <charset val="134"/>
      </rPr>
      <t>SHELL Transmission Oil Spirax S5 CVTX 1L</t>
    </r>
  </si>
  <si>
    <r>
      <rPr>
        <sz val="9"/>
        <color rgb="FF000000"/>
        <rFont val="Arial"/>
        <charset val="134"/>
      </rPr>
      <t>SPARK PLUG DENSO XU20EPR-U</t>
    </r>
  </si>
  <si>
    <r>
      <rPr>
        <sz val="9"/>
        <color rgb="FF000000"/>
        <rFont val="Arial"/>
        <charset val="134"/>
      </rPr>
      <t>SPARK PLUG IRIDIUM (IZFR6K11S) (B 1214 BYV)</t>
    </r>
  </si>
  <si>
    <r>
      <rPr>
        <sz val="9"/>
        <color rgb="FF000000"/>
        <rFont val="Arial"/>
        <charset val="134"/>
      </rPr>
      <t>TENNER R4</t>
    </r>
  </si>
  <si>
    <r>
      <rPr>
        <sz val="9"/>
        <color rgb="FF000000"/>
        <rFont val="Arial"/>
        <charset val="134"/>
      </rPr>
      <t>TOYOTA  PAD KIT DISC BRAKE RR (04465-0K370) (B 1185 TRJ)</t>
    </r>
  </si>
  <si>
    <r>
      <rPr>
        <sz val="9"/>
        <color rgb="FF000000"/>
        <rFont val="Arial"/>
        <charset val="134"/>
      </rPr>
      <t>TOYOTA ABSORBER SHOCK RR (48531-YZ493-001) (B 2451 VH)</t>
    </r>
  </si>
  <si>
    <r>
      <rPr>
        <sz val="9"/>
        <color rgb="FF000000"/>
        <rFont val="Arial"/>
        <charset val="134"/>
      </rPr>
      <t>TOYOTA BOOT AS RODA LUAR (B 1960 TR)</t>
    </r>
  </si>
  <si>
    <r>
      <rPr>
        <sz val="9"/>
        <color rgb="FF000000"/>
        <rFont val="Arial"/>
        <charset val="134"/>
      </rPr>
      <t>TOYOTA COIL, IGNITION (90919-T2007) (B 1081 UZE)</t>
    </r>
  </si>
  <si>
    <r>
      <rPr>
        <sz val="9"/>
        <color rgb="FF000000"/>
        <rFont val="Arial"/>
        <charset val="134"/>
      </rPr>
      <t>TOYOTA CYLINDER KIT, FR BRAKE (04478-BZ060) (B 2114 TYA)</t>
    </r>
  </si>
  <si>
    <r>
      <rPr>
        <sz val="8"/>
        <color rgb="FF000000"/>
        <rFont val="Courier"/>
        <charset val="134"/>
      </rPr>
      <t>Page Break 34</t>
    </r>
  </si>
  <si>
    <r>
      <rPr>
        <sz val="9"/>
        <color rgb="FF000000"/>
        <rFont val="Arial"/>
        <charset val="134"/>
      </rPr>
      <t>TOYOTA ELEMENT KIT, OIL (04152-YZZA1)</t>
    </r>
  </si>
  <si>
    <r>
      <rPr>
        <sz val="9"/>
        <color rgb="FF000000"/>
        <rFont val="Arial"/>
        <charset val="134"/>
      </rPr>
      <t>TOYOTA FILTER ASSY,FUEL (23300-75140) (B 2849 EVB)</t>
    </r>
  </si>
  <si>
    <r>
      <rPr>
        <sz val="9"/>
        <color rgb="FF000000"/>
        <rFont val="Arial"/>
        <charset val="134"/>
      </rPr>
      <t>TOYOTA FUEL TANK GAUGE (77001-BZ010) (B 1155 KFX)</t>
    </r>
  </si>
  <si>
    <r>
      <rPr>
        <sz val="9"/>
        <color rgb="FF000000"/>
        <rFont val="Arial"/>
        <charset val="134"/>
      </rPr>
      <t>TOYOTA GASKET (90430-12031)</t>
    </r>
  </si>
  <si>
    <r>
      <rPr>
        <sz val="9"/>
        <color rgb="FF000000"/>
        <rFont val="Arial"/>
        <charset val="134"/>
      </rPr>
      <t>TOYOTA GASKET, CYL H/CVR (11213-0M010) (B 1762 TFY)</t>
    </r>
  </si>
  <si>
    <r>
      <rPr>
        <sz val="9"/>
        <color rgb="FF000000"/>
        <rFont val="Arial"/>
        <charset val="134"/>
      </rPr>
      <t>TOYOTA GASKET, CYL HEAD COVER (11213-BZ030) (B 2832 WVA)</t>
    </r>
  </si>
  <si>
    <r>
      <rPr>
        <sz val="8"/>
        <color rgb="FF000000"/>
        <rFont val="Courier"/>
        <charset val="134"/>
      </rPr>
      <t>Page Break 35</t>
    </r>
  </si>
  <si>
    <r>
      <rPr>
        <sz val="9"/>
        <color rgb="FF000000"/>
        <rFont val="Arial"/>
        <charset val="134"/>
      </rPr>
      <t>TOYOTA GASKET, CYLINDER HEAD COVER (11213-0Y030-000) (B 1961 FN)</t>
    </r>
  </si>
  <si>
    <r>
      <rPr>
        <sz val="9"/>
        <color rgb="FF000000"/>
        <rFont val="Arial"/>
        <charset val="134"/>
      </rPr>
      <t>TOYOTA GASKET, CYLINDER HEAD COVER (11213-0Y030-000) (B 2361 UFW)</t>
    </r>
  </si>
  <si>
    <r>
      <rPr>
        <sz val="9"/>
        <color rgb="FF000000"/>
        <rFont val="Arial"/>
        <charset val="134"/>
      </rPr>
      <t>TOYOTA GASKET,CYL H/CRV (11213-0M010) (B 1081 UZE)</t>
    </r>
  </si>
  <si>
    <r>
      <rPr>
        <sz val="9"/>
        <color rgb="FF000000"/>
        <rFont val="Arial"/>
        <charset val="134"/>
      </rPr>
      <t>TOYOTA PAD KIT FR (04456-0K010) (B 1185 TRJ)</t>
    </r>
  </si>
  <si>
    <r>
      <rPr>
        <sz val="9"/>
        <color rgb="FF000000"/>
        <rFont val="Arial"/>
        <charset val="134"/>
      </rPr>
      <t>TOYOTA PEN CALIPER (B 1456 KVL)</t>
    </r>
  </si>
  <si>
    <r>
      <rPr>
        <sz val="9"/>
        <color rgb="FF000000"/>
        <rFont val="Arial"/>
        <charset val="134"/>
      </rPr>
      <t>TOYOTA V-BELT AVANZA (9004A-91057-001) (B 1530 PZZ)</t>
    </r>
  </si>
  <si>
    <r>
      <rPr>
        <sz val="8"/>
        <color rgb="FF000000"/>
        <rFont val="Courier"/>
        <charset val="134"/>
      </rPr>
      <t>Page Break 36</t>
    </r>
  </si>
  <si>
    <r>
      <rPr>
        <sz val="9"/>
        <color rgb="FF000000"/>
        <rFont val="Arial"/>
        <charset val="134"/>
      </rPr>
      <t>UNIFAR TENSIONER (90260*E90503) (B 1513 ZMJ)</t>
    </r>
  </si>
  <si>
    <r>
      <rPr>
        <sz val="9"/>
        <color rgb="FF000000"/>
        <rFont val="Arial"/>
        <charset val="134"/>
      </rPr>
      <t>XENIA KAMPAS REM (04465-YZZR8) (B 2749 UKK)</t>
    </r>
  </si>
  <si>
    <r>
      <rPr>
        <sz val="8"/>
        <color rgb="FF000000"/>
        <rFont val="Courier"/>
        <charset val="134"/>
      </rPr>
      <t>Page Break 37</t>
    </r>
  </si>
  <si>
    <r>
      <rPr>
        <sz val="11"/>
        <color rgb="FF000000"/>
        <rFont val="Courier"/>
        <charset val="134"/>
      </rPr>
      <t>From 01 Aug 2025 until 31 Aug 2025</t>
    </r>
  </si>
  <si>
    <r>
      <rPr>
        <sz val="9"/>
        <color rgb="FF000000"/>
        <rFont val="Arial"/>
        <charset val="134"/>
      </rPr>
      <t>555 LINK STABILIZER (B 2091 KFN)</t>
    </r>
  </si>
  <si>
    <r>
      <rPr>
        <sz val="9"/>
        <color rgb="FF000000"/>
        <rFont val="Arial"/>
        <charset val="134"/>
      </rPr>
      <t>ACDELCO OIL FILTER (19336411) (B 2499 QM)</t>
    </r>
  </si>
  <si>
    <r>
      <rPr>
        <sz val="9"/>
        <color rgb="FF000000"/>
        <rFont val="Arial"/>
        <charset val="134"/>
      </rPr>
      <t>ASPIRA AIR FILTER (17801-VIO-1800) (3754-00)</t>
    </r>
  </si>
  <si>
    <r>
      <rPr>
        <sz val="9"/>
        <color rgb="FF000000"/>
        <rFont val="Arial"/>
        <charset val="134"/>
      </rPr>
      <t>ASPIRA BRAKE SHOE RR SET (B 1397 UOQ)</t>
    </r>
  </si>
  <si>
    <r>
      <rPr>
        <sz val="9"/>
        <color rgb="FF000000"/>
        <rFont val="Arial"/>
        <charset val="134"/>
      </rPr>
      <t>BAUD KANCING SET MUDGUARD INNOVA (B 2811 BZX)</t>
    </r>
  </si>
  <si>
    <r>
      <rPr>
        <sz val="9"/>
        <color rgb="FF000000"/>
        <rFont val="Arial"/>
        <charset val="134"/>
      </rPr>
      <t>BAUD L (F 1643 NP)</t>
    </r>
  </si>
  <si>
    <r>
      <rPr>
        <sz val="9"/>
        <color rgb="FF000000"/>
        <rFont val="Arial"/>
        <charset val="134"/>
      </rPr>
      <t>BAUT CALIPER (3754-00)</t>
    </r>
  </si>
  <si>
    <r>
      <rPr>
        <sz val="9"/>
        <color rgb="FF000000"/>
        <rFont val="Arial"/>
        <charset val="134"/>
      </rPr>
      <t>BIRKENS AIR FILTER (TB-SAF-003) (F 1844 BV)</t>
    </r>
  </si>
  <si>
    <r>
      <rPr>
        <sz val="9"/>
        <color rgb="FF000000"/>
        <rFont val="Arial"/>
        <charset val="134"/>
      </rPr>
      <t>BIRKENS BRAKE PAD FR (B-TBP-M01) (3754-00)</t>
    </r>
  </si>
  <si>
    <r>
      <rPr>
        <sz val="9"/>
        <color rgb="FF000000"/>
        <rFont val="Arial"/>
        <charset val="134"/>
      </rPr>
      <t>BIRKENS PADKIT FR XL7 (B-SBP-M20) (A 1562 WK)</t>
    </r>
  </si>
  <si>
    <r>
      <rPr>
        <sz val="9"/>
        <color rgb="FF000000"/>
        <rFont val="Arial"/>
        <charset val="134"/>
      </rPr>
      <t>BMW OIL FILTER (11428593186) (F 1684 ABV)</t>
    </r>
  </si>
  <si>
    <r>
      <rPr>
        <sz val="9"/>
        <color rgb="FF000000"/>
        <rFont val="Arial"/>
        <charset val="134"/>
      </rPr>
      <t>BOSCH BRAKE PAD KOSONG</t>
    </r>
  </si>
  <si>
    <r>
      <rPr>
        <sz val="9"/>
        <color rgb="FF000000"/>
        <rFont val="Arial"/>
        <charset val="134"/>
      </rPr>
      <t>BOSCH Brake Pad 0986T18185 /BP2777 Front</t>
    </r>
  </si>
  <si>
    <r>
      <rPr>
        <sz val="9"/>
        <color rgb="FF000000"/>
        <rFont val="Arial"/>
        <charset val="134"/>
      </rPr>
      <t>BOSCH Light Bulb PY21W 12V 21W -BAU15s ECO</t>
    </r>
  </si>
  <si>
    <r>
      <rPr>
        <sz val="9"/>
        <color rgb="FF000000"/>
        <rFont val="Arial"/>
        <charset val="134"/>
      </rPr>
      <t>BOSCH Wiper Aerotwin Plus 17 inch AP425U</t>
    </r>
  </si>
  <si>
    <r>
      <rPr>
        <sz val="9"/>
        <color rgb="FF000000"/>
        <rFont val="Arial"/>
        <charset val="134"/>
      </rPr>
      <t>BRAKE PAD FR MK KASHIYAMA (D5168M-01) (B 2967 EBB)</t>
    </r>
  </si>
  <si>
    <r>
      <rPr>
        <sz val="9"/>
        <color rgb="FF000000"/>
        <rFont val="Arial"/>
        <charset val="134"/>
      </rPr>
      <t>BURGARI GEMUK AS RODA</t>
    </r>
  </si>
  <si>
    <r>
      <rPr>
        <sz val="9"/>
        <color rgb="FF000000"/>
        <rFont val="Arial"/>
        <charset val="134"/>
      </rPr>
      <t>CABIN AIR FILTER FORD FIESTA</t>
    </r>
  </si>
  <si>
    <r>
      <rPr>
        <sz val="9"/>
        <color rgb="FF000000"/>
        <rFont val="Arial"/>
        <charset val="134"/>
      </rPr>
      <t>CABIN AIR FILTER KIA SONET</t>
    </r>
  </si>
  <si>
    <r>
      <rPr>
        <sz val="9"/>
        <color rgb="FF000000"/>
        <rFont val="Arial"/>
        <charset val="134"/>
      </rPr>
      <t>COIL XTRAIL T32 (B 1446 VGZ)</t>
    </r>
  </si>
  <si>
    <r>
      <rPr>
        <sz val="9"/>
        <color rgb="FF000000"/>
        <rFont val="Arial"/>
        <charset val="134"/>
      </rPr>
      <t>CONDENSOR ERTIGA (B 1841 SVK)</t>
    </r>
  </si>
  <si>
    <r>
      <rPr>
        <sz val="9"/>
        <color rgb="FF000000"/>
        <rFont val="Arial"/>
        <charset val="134"/>
      </rPr>
      <t>DAIHATSU BRAKE PAD RR (B-TBS-021) (B 1986 PIM)</t>
    </r>
  </si>
  <si>
    <r>
      <rPr>
        <sz val="9"/>
        <color rgb="FF000000"/>
        <rFont val="Arial"/>
        <charset val="134"/>
      </rPr>
      <t>DAIHATSU CYLINDER KIT FR DISC (04478-BZ060-001) (B 2846 BRM)</t>
    </r>
  </si>
  <si>
    <r>
      <rPr>
        <sz val="9"/>
        <color rgb="FF000000"/>
        <rFont val="Arial"/>
        <charset val="134"/>
      </rPr>
      <t>DAIHATSU FITTING KIT DISC BRAKE FR (04947-BZ010-001) (B 2846 BRM)</t>
    </r>
  </si>
  <si>
    <r>
      <rPr>
        <sz val="9"/>
        <color rgb="FF000000"/>
        <rFont val="Arial"/>
        <charset val="134"/>
      </rPr>
      <t>DAIKI CABIN FILTER MAZDA (C27461J6X) (B 2423 PFP)</t>
    </r>
  </si>
  <si>
    <r>
      <rPr>
        <sz val="9"/>
        <color rgb="FF000000"/>
        <rFont val="Arial"/>
        <charset val="134"/>
      </rPr>
      <t>DENSO Air Filter DXA-1009</t>
    </r>
  </si>
  <si>
    <r>
      <rPr>
        <sz val="9"/>
        <color rgb="FF000000"/>
        <rFont val="Arial"/>
        <charset val="134"/>
      </rPr>
      <t>DENSO Air Filter DXA-1023</t>
    </r>
  </si>
  <si>
    <r>
      <rPr>
        <sz val="9"/>
        <color rgb="FF000000"/>
        <rFont val="Arial"/>
        <charset val="134"/>
      </rPr>
      <t>DENSO Air Filter DXA-1033</t>
    </r>
  </si>
  <si>
    <r>
      <rPr>
        <sz val="9"/>
        <color rgb="FF000000"/>
        <rFont val="Arial"/>
        <charset val="134"/>
      </rPr>
      <t>DENSO CAP RADIATOR (022510-1862) (B1892 KYT)</t>
    </r>
  </si>
  <si>
    <r>
      <rPr>
        <sz val="9"/>
        <color rgb="FF000000"/>
        <rFont val="Arial"/>
        <charset val="134"/>
      </rPr>
      <t>DENSO EVAPORATOR (26112D) (F 1643 NP)</t>
    </r>
  </si>
  <si>
    <r>
      <rPr>
        <sz val="9"/>
        <color rgb="FF000000"/>
        <rFont val="Arial"/>
        <charset val="134"/>
      </rPr>
      <t>DENSO PLUG SPARK IRIDIUM POWER (5304#4) (D 1516 AAG)</t>
    </r>
  </si>
  <si>
    <r>
      <rPr>
        <sz val="9"/>
        <color rgb="FF000000"/>
        <rFont val="Arial"/>
        <charset val="134"/>
      </rPr>
      <t>DENSO SPARK PLUG (K20HR-U11) (B 1113 UGZ)</t>
    </r>
  </si>
  <si>
    <r>
      <rPr>
        <sz val="9"/>
        <color rgb="FF000000"/>
        <rFont val="Arial"/>
        <charset val="134"/>
      </rPr>
      <t>DENSO SPARKPLUG IRIDIUM POWER (IK20#5304#4) (B 2434 SBC)</t>
    </r>
  </si>
  <si>
    <r>
      <rPr>
        <sz val="9"/>
        <color rgb="FF000000"/>
        <rFont val="Arial"/>
        <charset val="134"/>
      </rPr>
      <t>DENSO Spark Plug IKH20TT - Iridium</t>
    </r>
  </si>
  <si>
    <r>
      <rPr>
        <sz val="9"/>
        <color rgb="FF000000"/>
        <rFont val="Arial"/>
        <charset val="134"/>
      </rPr>
      <t>DENSO Spark Plug IXU27 - Iridium</t>
    </r>
  </si>
  <si>
    <r>
      <rPr>
        <sz val="9"/>
        <color rgb="FF000000"/>
        <rFont val="Arial"/>
        <charset val="134"/>
      </rPr>
      <t>DENSO Spark Plug K20HR-U11 - Nickel</t>
    </r>
  </si>
  <si>
    <r>
      <rPr>
        <sz val="9"/>
        <color rgb="FF000000"/>
        <rFont val="Arial"/>
        <charset val="134"/>
      </rPr>
      <t>FABBER Shock Support F-TSM-008</t>
    </r>
  </si>
  <si>
    <r>
      <rPr>
        <sz val="9"/>
        <color rgb="FF000000"/>
        <rFont val="Arial"/>
        <charset val="134"/>
      </rPr>
      <t>FILTER AC MAZDA HATCHBACK</t>
    </r>
  </si>
  <si>
    <r>
      <rPr>
        <sz val="9"/>
        <color rgb="FF000000"/>
        <rFont val="Arial"/>
        <charset val="134"/>
      </rPr>
      <t>FILTER AC VOLVO 840</t>
    </r>
  </si>
  <si>
    <r>
      <rPr>
        <sz val="9"/>
        <color rgb="FF000000"/>
        <rFont val="Arial"/>
        <charset val="134"/>
      </rPr>
      <t>FILTER OLI MAZDA HATCBACK</t>
    </r>
  </si>
  <si>
    <r>
      <rPr>
        <sz val="9"/>
        <color rgb="FF000000"/>
        <rFont val="Arial"/>
        <charset val="134"/>
      </rPr>
      <t>FLOSSER FUSE TANCAP MICRO 15A</t>
    </r>
  </si>
  <si>
    <r>
      <rPr>
        <sz val="9"/>
        <color rgb="FF000000"/>
        <rFont val="Arial"/>
        <charset val="134"/>
      </rPr>
      <t>GMB WATER PUMP (GWT-101A) (3754-00)</t>
    </r>
  </si>
  <si>
    <r>
      <rPr>
        <sz val="9"/>
        <color rgb="FF000000"/>
        <rFont val="Arial"/>
        <charset val="134"/>
      </rPr>
      <t>HEIKER RACK STEER H-TRT-019</t>
    </r>
  </si>
  <si>
    <r>
      <rPr>
        <sz val="9"/>
        <color rgb="FF000000"/>
        <rFont val="Arial"/>
        <charset val="134"/>
      </rPr>
      <t>HELLA CABIN AIR FILTER (H 1207 AZ)</t>
    </r>
  </si>
  <si>
    <r>
      <rPr>
        <sz val="9"/>
        <color rgb="FF000000"/>
        <rFont val="Arial"/>
        <charset val="134"/>
      </rPr>
      <t>HONDA  AIR FILTER (17801-RB6-Y00)</t>
    </r>
  </si>
  <si>
    <r>
      <rPr>
        <sz val="9"/>
        <color rgb="FF000000"/>
        <rFont val="Arial"/>
        <charset val="134"/>
      </rPr>
      <t>HONDA BALL JOINT KIRI (B 8187 OP)</t>
    </r>
  </si>
  <si>
    <r>
      <rPr>
        <sz val="9"/>
        <color rgb="FF000000"/>
        <rFont val="Arial"/>
        <charset val="134"/>
      </rPr>
      <t>HONDA BELT_ACG (31110-5EA-K02) (F 1532 PY)</t>
    </r>
  </si>
  <si>
    <r>
      <rPr>
        <sz val="9"/>
        <color rgb="FF000000"/>
        <rFont val="Arial"/>
        <charset val="134"/>
      </rPr>
      <t>HONDA CITY SEAL CALIPER FR (B 2732 VI)</t>
    </r>
  </si>
  <si>
    <r>
      <rPr>
        <sz val="9"/>
        <color rgb="FF000000"/>
        <rFont val="Arial"/>
        <charset val="134"/>
      </rPr>
      <t>HONDA KLIP GANJELAN (DA 1512 SN)</t>
    </r>
  </si>
  <si>
    <r>
      <rPr>
        <sz val="9"/>
        <color rgb="FF000000"/>
        <rFont val="Arial"/>
        <charset val="134"/>
      </rPr>
      <t>HONDA LINK STABILIZER HRV 2018 (B 1760 KIP)</t>
    </r>
  </si>
  <si>
    <r>
      <rPr>
        <sz val="9"/>
        <color rgb="FF000000"/>
        <rFont val="Arial"/>
        <charset val="134"/>
      </rPr>
      <t>HONDA PKG,HEAD COVER (12341-RE2-E01) (F 1532 PY)</t>
    </r>
  </si>
  <si>
    <r>
      <rPr>
        <sz val="9"/>
        <color rgb="FF000000"/>
        <rFont val="Arial"/>
        <charset val="134"/>
      </rPr>
      <t>HONDA SEAL V-TECH (15825-RB0-003) (F 1532 PY)</t>
    </r>
  </si>
  <si>
    <r>
      <rPr>
        <sz val="9"/>
        <color rgb="FF000000"/>
        <rFont val="Arial"/>
        <charset val="134"/>
      </rPr>
      <t>HONDA SELING DOOR LOCK (B 1646 SRF)</t>
    </r>
  </si>
  <si>
    <r>
      <rPr>
        <sz val="9"/>
        <color rgb="FF000000"/>
        <rFont val="Arial"/>
        <charset val="134"/>
      </rPr>
      <t>HONDA SUPPORT HRV 2018 (B 1760 KIP)</t>
    </r>
  </si>
  <si>
    <r>
      <rPr>
        <sz val="9"/>
        <color rgb="FF000000"/>
        <rFont val="Arial"/>
        <charset val="134"/>
      </rPr>
      <t>HONDA VANBELT POWER STERING (B 8187 OP)</t>
    </r>
  </si>
  <si>
    <r>
      <rPr>
        <sz val="9"/>
        <color rgb="FF000000"/>
        <rFont val="Arial"/>
        <charset val="134"/>
      </rPr>
      <t>HYUNDAI AVEGA BAUT MUR (T 1799 ZU)</t>
    </r>
  </si>
  <si>
    <r>
      <rPr>
        <sz val="9"/>
        <color rgb="FF000000"/>
        <rFont val="Arial"/>
        <charset val="134"/>
      </rPr>
      <t>HYUNDAI AVEGA OIL FILTER (T 1799 ZU)</t>
    </r>
  </si>
  <si>
    <r>
      <rPr>
        <sz val="9"/>
        <color rgb="FF000000"/>
        <rFont val="Arial"/>
        <charset val="134"/>
      </rPr>
      <t>HYUNDAI CABIN AIR FILTER (97133I7000)</t>
    </r>
  </si>
  <si>
    <r>
      <rPr>
        <sz val="9"/>
        <color rgb="FF000000"/>
        <rFont val="Arial"/>
        <charset val="134"/>
      </rPr>
      <t>IKYBI CONFERO S 17RR (I-WSBR-003/6) (B 2856 TZX)</t>
    </r>
  </si>
  <si>
    <r>
      <rPr>
        <sz val="9"/>
        <color rgb="FF000000"/>
        <rFont val="Arial"/>
        <charset val="134"/>
      </rPr>
      <t>LAS PIPA + PRESS SELANG 5/8 (B 2641 TFK)</t>
    </r>
  </si>
  <si>
    <r>
      <rPr>
        <sz val="9"/>
        <color rgb="FF000000"/>
        <rFont val="Arial"/>
        <charset val="134"/>
      </rPr>
      <t>LEM LOCTITTE (3754-00)</t>
    </r>
  </si>
  <si>
    <r>
      <rPr>
        <sz val="9"/>
        <color rgb="FF000000"/>
        <rFont val="Arial"/>
        <charset val="134"/>
      </rPr>
      <t>MAHLE CABIN AIR FILTER (LAK11565) (F 1684 ABV)</t>
    </r>
  </si>
  <si>
    <r>
      <rPr>
        <sz val="9"/>
        <color rgb="FF000000"/>
        <rFont val="Arial"/>
        <charset val="134"/>
      </rPr>
      <t>MASSIV Battery Thunder(MF)-36B20R NS40Z 12V-35Ah</t>
    </r>
  </si>
  <si>
    <r>
      <rPr>
        <sz val="9"/>
        <color rgb="FF000000"/>
        <rFont val="Arial"/>
        <charset val="134"/>
      </rPr>
      <t>MASSIV Battery Thunder(MF)-DIN 62 562LN2 12V-62Ah</t>
    </r>
  </si>
  <si>
    <r>
      <rPr>
        <sz val="9"/>
        <color rgb="FF000000"/>
        <rFont val="Arial"/>
        <charset val="134"/>
      </rPr>
      <t>MASTER PREMIXED 30/70 RADIATOR COOLANT GOLD GREEN 1 GAL</t>
    </r>
  </si>
  <si>
    <r>
      <rPr>
        <sz val="9"/>
        <color rgb="FF000000"/>
        <rFont val="Arial"/>
        <charset val="134"/>
      </rPr>
      <t>MEYLE OIL FILTER (MOF0056) (B 2126 RB)</t>
    </r>
  </si>
  <si>
    <r>
      <rPr>
        <sz val="9"/>
        <color rgb="FF000000"/>
        <rFont val="Arial"/>
        <charset val="134"/>
      </rPr>
      <t>MITSUBISHI GASKET COVER VALVE (1035A583) (D 1516 AAG)</t>
    </r>
  </si>
  <si>
    <r>
      <rPr>
        <sz val="9"/>
        <color rgb="FF000000"/>
        <rFont val="Arial"/>
        <charset val="134"/>
      </rPr>
      <t>MITSUBISHI V-BELT (6PK2200) (D 1516 AAG)</t>
    </r>
  </si>
  <si>
    <r>
      <rPr>
        <sz val="9"/>
        <color rgb="FF000000"/>
        <rFont val="Arial"/>
        <charset val="134"/>
      </rPr>
      <t>MK BRAKE PAD FR (D5217M) (B 2543 KYG)</t>
    </r>
  </si>
  <si>
    <r>
      <rPr>
        <sz val="9"/>
        <color rgb="FF000000"/>
        <rFont val="Arial"/>
        <charset val="134"/>
      </rPr>
      <t>MOBIL Diesel Engine Oil Delvac MDERN 15W-40 1L</t>
    </r>
  </si>
  <si>
    <r>
      <rPr>
        <sz val="9"/>
        <color rgb="FF000000"/>
        <rFont val="Arial"/>
        <charset val="134"/>
      </rPr>
      <t>MONROE Shock Absorber 378003SP Rear</t>
    </r>
  </si>
  <si>
    <r>
      <rPr>
        <sz val="9"/>
        <color rgb="FF000000"/>
        <rFont val="Arial"/>
        <charset val="134"/>
      </rPr>
      <t>MONROE Shock Absorber 378063SP Rear</t>
    </r>
  </si>
  <si>
    <r>
      <rPr>
        <sz val="9"/>
        <color rgb="FF000000"/>
        <rFont val="Arial"/>
        <charset val="134"/>
      </rPr>
      <t>MONROE Shock Absorber 744004SP Front-RH</t>
    </r>
  </si>
  <si>
    <r>
      <rPr>
        <sz val="9"/>
        <color rgb="FF000000"/>
        <rFont val="Arial"/>
        <charset val="134"/>
      </rPr>
      <t>MONROE Shock Absorber 744005SP Front-LH</t>
    </r>
  </si>
  <si>
    <r>
      <rPr>
        <sz val="9"/>
        <color rgb="FF000000"/>
        <rFont val="Arial"/>
        <charset val="134"/>
      </rPr>
      <t>MONROE Shock Absorber 744234SP Front-RH</t>
    </r>
  </si>
  <si>
    <r>
      <rPr>
        <sz val="9"/>
        <color rgb="FF000000"/>
        <rFont val="Arial"/>
        <charset val="134"/>
      </rPr>
      <t>MONROE Shock Absorber 744235SP Front-LH</t>
    </r>
  </si>
  <si>
    <r>
      <rPr>
        <sz val="9"/>
        <color rgb="FF000000"/>
        <rFont val="Arial"/>
        <charset val="134"/>
      </rPr>
      <t>NGK PLUG SPARK (LZFR5BI-11) (B 2122 TRQ)</t>
    </r>
  </si>
  <si>
    <r>
      <rPr>
        <sz val="9"/>
        <color rgb="FF000000"/>
        <rFont val="Arial"/>
        <charset val="134"/>
      </rPr>
      <t>NGK PLUG SPARK (LZFR5BI-11) (B 2252 UOD)</t>
    </r>
  </si>
  <si>
    <r>
      <rPr>
        <sz val="9"/>
        <color rgb="FF000000"/>
        <rFont val="Arial"/>
        <charset val="134"/>
      </rPr>
      <t>NGK PLUG SPARK IRIDIUM (SILZKGR8B8S) (F 1684 ABV)</t>
    </r>
  </si>
  <si>
    <r>
      <rPr>
        <sz val="9"/>
        <color rgb="FF000000"/>
        <rFont val="Arial"/>
        <charset val="134"/>
      </rPr>
      <t>NGK SPARK PLUGS IRIDIUM (IZFR6K13-6774) (DA 1512 SN)</t>
    </r>
  </si>
  <si>
    <r>
      <rPr>
        <sz val="9"/>
        <color rgb="FF000000"/>
        <rFont val="Arial"/>
        <charset val="134"/>
      </rPr>
      <t>OIL FILTER ACDELCO (ACDOF004) (B 1128 PYB)</t>
    </r>
  </si>
  <si>
    <r>
      <rPr>
        <sz val="9"/>
        <color rgb="FF000000"/>
        <rFont val="Arial"/>
        <charset val="134"/>
      </rPr>
      <t>OSRAM BULB H16 12V (B 1232 ERF)</t>
    </r>
  </si>
  <si>
    <r>
      <rPr>
        <sz val="9"/>
        <color rgb="FF000000"/>
        <rFont val="Arial"/>
        <charset val="134"/>
      </rPr>
      <t>RCB BRAKEPAD REAR (D2239) (B 2434 SBC)</t>
    </r>
  </si>
  <si>
    <r>
      <rPr>
        <sz val="9"/>
        <color rgb="FF000000"/>
        <rFont val="Arial"/>
        <charset val="134"/>
      </rPr>
      <t>RMX KLEM JOINT BOOT (Z-FJKH-002) (B 1232 ERF)</t>
    </r>
  </si>
  <si>
    <r>
      <rPr>
        <sz val="9"/>
        <color rgb="FF000000"/>
        <rFont val="Arial"/>
        <charset val="134"/>
      </rPr>
      <t>SEAL 5</t>
    </r>
  </si>
  <si>
    <r>
      <rPr>
        <sz val="9"/>
        <color rgb="FF000000"/>
        <rFont val="Arial"/>
        <charset val="134"/>
      </rPr>
      <t>SEAL COVER VALVE IDSI (B 2026 DJ)</t>
    </r>
  </si>
  <si>
    <r>
      <rPr>
        <sz val="9"/>
        <color rgb="FF000000"/>
        <rFont val="Arial"/>
        <charset val="134"/>
      </rPr>
      <t>SEAL EXPANSI (E 1539 BMY)</t>
    </r>
  </si>
  <si>
    <r>
      <rPr>
        <sz val="9"/>
        <color rgb="FF000000"/>
        <rFont val="Arial"/>
        <charset val="134"/>
      </rPr>
      <t>SEAL O RING BESAR R134</t>
    </r>
  </si>
  <si>
    <r>
      <rPr>
        <sz val="9"/>
        <color rgb="FF000000"/>
        <rFont val="Arial"/>
        <charset val="134"/>
      </rPr>
      <t>SEAL O RING KECIL R134</t>
    </r>
  </si>
  <si>
    <r>
      <rPr>
        <sz val="9"/>
        <color rgb="FF000000"/>
        <rFont val="Arial"/>
        <charset val="134"/>
      </rPr>
      <t>SEAL O RING SEDANG R134</t>
    </r>
  </si>
  <si>
    <r>
      <rPr>
        <sz val="9"/>
        <color rgb="FF000000"/>
        <rFont val="Arial"/>
        <charset val="134"/>
      </rPr>
      <t>SELANG LOW PRESSURE AC (B 1432 SYN)</t>
    </r>
  </si>
  <si>
    <r>
      <rPr>
        <sz val="9"/>
        <color rgb="FF000000"/>
        <rFont val="Arial"/>
        <charset val="134"/>
      </rPr>
      <t>SGMW FILTER ASM-OIL (9025229)</t>
    </r>
  </si>
  <si>
    <r>
      <rPr>
        <sz val="9"/>
        <color rgb="FF000000"/>
        <rFont val="Arial"/>
        <charset val="134"/>
      </rPr>
      <t>SGMW PAD KIT-FRT DISC BRK (23948042) (B 2856 TZX)</t>
    </r>
  </si>
  <si>
    <r>
      <rPr>
        <sz val="9"/>
        <color rgb="FF000000"/>
        <rFont val="Arial"/>
        <charset val="134"/>
      </rPr>
      <t>SHELL Engine Oil HELIX HX6 10W-40 1L</t>
    </r>
  </si>
  <si>
    <r>
      <rPr>
        <sz val="8"/>
        <color rgb="FF000000"/>
        <rFont val="Courier"/>
        <charset val="134"/>
      </rPr>
      <t>Page Break 38</t>
    </r>
  </si>
  <si>
    <r>
      <rPr>
        <sz val="9"/>
        <color rgb="FF000000"/>
        <rFont val="Arial"/>
        <charset val="134"/>
      </rPr>
      <t>SUZUKI SELANG PRESURE HIGH (B 2473 KOB)</t>
    </r>
  </si>
  <si>
    <r>
      <rPr>
        <sz val="8"/>
        <color rgb="FF000000"/>
        <rFont val="Courier"/>
        <charset val="134"/>
      </rPr>
      <t>Page Break 39</t>
    </r>
  </si>
  <si>
    <r>
      <rPr>
        <sz val="9"/>
        <color rgb="FF000000"/>
        <rFont val="Arial"/>
        <charset val="134"/>
      </rPr>
      <t>SUZUKI SELANG PRESURE LOW 1/2 (B 2473 KOB)</t>
    </r>
  </si>
  <si>
    <r>
      <rPr>
        <sz val="9"/>
        <color rgb="FF000000"/>
        <rFont val="Arial"/>
        <charset val="134"/>
      </rPr>
      <t>TDK BOOT AS RODA IN ODYSSEY (HI-SV4) (B 8187 OP)</t>
    </r>
  </si>
  <si>
    <r>
      <rPr>
        <sz val="9"/>
        <color rgb="FF000000"/>
        <rFont val="Arial"/>
        <charset val="134"/>
      </rPr>
      <t>TDK BOOT AS RODA OUT (HO-S86) (B 8187 OP)</t>
    </r>
  </si>
  <si>
    <r>
      <rPr>
        <sz val="9"/>
        <color rgb="FF000000"/>
        <rFont val="Arial"/>
        <charset val="134"/>
      </rPr>
      <t>TOYOTA BELT-VRIBBED (90916-T2024) (L 1692 BBE)</t>
    </r>
  </si>
  <si>
    <r>
      <rPr>
        <sz val="9"/>
        <color rgb="FF000000"/>
        <rFont val="Arial"/>
        <charset val="134"/>
      </rPr>
      <t>TOYOTA BOOT AS RODA  (04437-BZ050) (B 1232 ERF)</t>
    </r>
  </si>
  <si>
    <r>
      <rPr>
        <sz val="9"/>
        <color rgb="FF000000"/>
        <rFont val="Arial"/>
        <charset val="134"/>
      </rPr>
      <t>TOYOTA BRAKE PAD RR (D2204M) (3754-00)</t>
    </r>
  </si>
  <si>
    <r>
      <rPr>
        <sz val="8"/>
        <color rgb="FF000000"/>
        <rFont val="Courier"/>
        <charset val="134"/>
      </rPr>
      <t>Page Break 40</t>
    </r>
  </si>
  <si>
    <r>
      <rPr>
        <sz val="9"/>
        <color rgb="FF000000"/>
        <rFont val="Arial"/>
        <charset val="134"/>
      </rPr>
      <t>TOYOTA DAMPER SHOCK RR (B 1324 TJM)</t>
    </r>
  </si>
  <si>
    <r>
      <rPr>
        <sz val="9"/>
        <color rgb="FF000000"/>
        <rFont val="Arial"/>
        <charset val="134"/>
      </rPr>
      <t>TOYOTA ELEMENT KIT, OIL (04152-YZZD6)</t>
    </r>
  </si>
  <si>
    <r>
      <rPr>
        <sz val="9"/>
        <color rgb="FF000000"/>
        <rFont val="Arial"/>
        <charset val="134"/>
      </rPr>
      <t>TOYOTA FUEL FILTER (23300-75160-82) (B 2229 TYR)</t>
    </r>
  </si>
  <si>
    <r>
      <rPr>
        <sz val="9"/>
        <color rgb="FF000000"/>
        <rFont val="Arial"/>
        <charset val="134"/>
      </rPr>
      <t>TOYOTA FUEL FILTER (23300-75760) (B 1113 UGZ)</t>
    </r>
  </si>
  <si>
    <r>
      <rPr>
        <sz val="9"/>
        <color rgb="FF000000"/>
        <rFont val="Arial"/>
        <charset val="134"/>
      </rPr>
      <t>TOYOTA GASKET ,CYL H/CVR (11213-0M010) (3754-00)</t>
    </r>
  </si>
  <si>
    <r>
      <rPr>
        <sz val="8"/>
        <color rgb="FF000000"/>
        <rFont val="Courier"/>
        <charset val="134"/>
      </rPr>
      <t>Page Break 41</t>
    </r>
  </si>
  <si>
    <r>
      <rPr>
        <sz val="9"/>
        <color rgb="FF000000"/>
        <rFont val="Arial"/>
        <charset val="134"/>
      </rPr>
      <t>TOYOTA GASKET CYLINDER HEAD COV (11213-0C011) (B 1113 UGZ)</t>
    </r>
  </si>
  <si>
    <r>
      <rPr>
        <sz val="9"/>
        <color rgb="FF000000"/>
        <rFont val="Arial"/>
        <charset val="134"/>
      </rPr>
      <t>TOYOTA GASKET CYLINDER HEAD COV (11214-0C011) (B 1113 UGZ)</t>
    </r>
  </si>
  <si>
    <r>
      <rPr>
        <sz val="9"/>
        <color rgb="FF000000"/>
        <rFont val="Arial"/>
        <charset val="134"/>
      </rPr>
      <t>TOYOTA GASKET, CYLINDER HEAD (11213-0Y030-000) (F 1898 PF)</t>
    </r>
  </si>
  <si>
    <r>
      <rPr>
        <sz val="9"/>
        <color rgb="FF000000"/>
        <rFont val="Arial"/>
        <charset val="134"/>
      </rPr>
      <t>TOYOTA KARET SUPPORT (B 1232 ERF)</t>
    </r>
  </si>
  <si>
    <r>
      <rPr>
        <sz val="9"/>
        <color rgb="FF000000"/>
        <rFont val="Arial"/>
        <charset val="134"/>
      </rPr>
      <t>TOYOTA LAMP COVER SPION RH (F 1826 RQ)</t>
    </r>
  </si>
  <si>
    <r>
      <rPr>
        <sz val="9"/>
        <color rgb="FF000000"/>
        <rFont val="Arial"/>
        <charset val="134"/>
      </rPr>
      <t>TOYOTA LINER FR LH (F 1826 RQ)</t>
    </r>
  </si>
  <si>
    <r>
      <rPr>
        <sz val="8"/>
        <color rgb="FF000000"/>
        <rFont val="Courier"/>
        <charset val="134"/>
      </rPr>
      <t>Page Break 42</t>
    </r>
  </si>
  <si>
    <r>
      <rPr>
        <sz val="9"/>
        <color rgb="FF000000"/>
        <rFont val="Arial"/>
        <charset val="134"/>
      </rPr>
      <t>TOYOTA LINER RR RH (F 1826 RQ)</t>
    </r>
  </si>
  <si>
    <r>
      <rPr>
        <sz val="9"/>
        <color rgb="FF000000"/>
        <rFont val="Arial"/>
        <charset val="134"/>
      </rPr>
      <t>TOYOTA LINK STABLIZER (48820-BZ060-001) (F 1898 PF)</t>
    </r>
  </si>
  <si>
    <r>
      <rPr>
        <sz val="9"/>
        <color rgb="FF000000"/>
        <rFont val="Arial"/>
        <charset val="134"/>
      </rPr>
      <t>TOYOTA O RING BESAR (3754-00)</t>
    </r>
  </si>
  <si>
    <r>
      <rPr>
        <sz val="9"/>
        <color rgb="FF000000"/>
        <rFont val="Arial"/>
        <charset val="134"/>
      </rPr>
      <t>TOYOTA O RING KECIL (3754-00)</t>
    </r>
  </si>
  <si>
    <r>
      <rPr>
        <sz val="9"/>
        <color rgb="FF000000"/>
        <rFont val="Arial"/>
        <charset val="134"/>
      </rPr>
      <t>TOYOTA OIL FILTER (04152-38020) (B 888 DDS)</t>
    </r>
  </si>
  <si>
    <r>
      <rPr>
        <sz val="9"/>
        <color rgb="FF000000"/>
        <rFont val="Arial"/>
        <charset val="134"/>
      </rPr>
      <t>TOYOTA PLUG SPARK (90919-01247) (B 2229 TYR)</t>
    </r>
  </si>
  <si>
    <r>
      <rPr>
        <sz val="8"/>
        <color rgb="FF000000"/>
        <rFont val="Courier"/>
        <charset val="134"/>
      </rPr>
      <t>Page Break 43</t>
    </r>
  </si>
  <si>
    <r>
      <rPr>
        <sz val="9"/>
        <color rgb="FF000000"/>
        <rFont val="Arial"/>
        <charset val="134"/>
      </rPr>
      <t>TOYOTA RUBBER ASSY ENGINE (12363-0H0030) (B 8597 BD)</t>
    </r>
  </si>
  <si>
    <r>
      <rPr>
        <sz val="9"/>
        <color rgb="FF000000"/>
        <rFont val="Arial"/>
        <charset val="134"/>
      </rPr>
      <t>TOYOTA SEAL COVER VALVE (11213-BZ080-001) (F 1347 LF)</t>
    </r>
  </si>
  <si>
    <r>
      <rPr>
        <sz val="9"/>
        <color rgb="FF000000"/>
        <rFont val="Arial"/>
        <charset val="134"/>
      </rPr>
      <t>TOYOTA SEAL TYPE T OIL (90311-T0055) (3754-00)</t>
    </r>
  </si>
  <si>
    <r>
      <rPr>
        <sz val="9"/>
        <color rgb="FF000000"/>
        <rFont val="Arial"/>
        <charset val="134"/>
      </rPr>
      <t>TOYOTA STOPLAMP ASSY RH (F 1826 RQ)</t>
    </r>
  </si>
  <si>
    <r>
      <rPr>
        <sz val="9"/>
        <color rgb="FF000000"/>
        <rFont val="Arial"/>
        <charset val="134"/>
      </rPr>
      <t>V-BELT (3PK-850) (3754-00)</t>
    </r>
  </si>
  <si>
    <r>
      <rPr>
        <sz val="9"/>
        <color rgb="FF000000"/>
        <rFont val="Arial"/>
        <charset val="134"/>
      </rPr>
      <t>V-BELT (4PK-1240) (3754-00)</t>
    </r>
  </si>
  <si>
    <r>
      <rPr>
        <sz val="8"/>
        <color rgb="FF000000"/>
        <rFont val="Courier"/>
        <charset val="134"/>
      </rPr>
      <t>Page Break 44</t>
    </r>
  </si>
  <si>
    <r>
      <rPr>
        <sz val="9"/>
        <color rgb="FF000000"/>
        <rFont val="Arial"/>
        <charset val="134"/>
      </rPr>
      <t>VANBELT BMW (B 1418 WLS)</t>
    </r>
  </si>
  <si>
    <r>
      <rPr>
        <sz val="9"/>
        <color rgb="FF000000"/>
        <rFont val="Arial"/>
        <charset val="134"/>
      </rPr>
      <t>VW CABIN FILTER (B 2270 VBD)</t>
    </r>
  </si>
  <si>
    <r>
      <rPr>
        <sz val="8"/>
        <color rgb="FF000000"/>
        <rFont val="Courier"/>
        <charset val="134"/>
      </rPr>
      <t>Page Break 45</t>
    </r>
  </si>
  <si>
    <r>
      <rPr>
        <sz val="11"/>
        <color rgb="FF000000"/>
        <rFont val="Courier"/>
        <charset val="134"/>
      </rPr>
      <t>From 01 Sep 2025 until 30 Sep 2025</t>
    </r>
  </si>
  <si>
    <r>
      <rPr>
        <sz val="9"/>
        <color rgb="FF000000"/>
        <rFont val="Arial"/>
        <charset val="134"/>
      </rPr>
      <t>555 AUTOMOBILE PARTS RACK END TIEROD (SR-3880) (B 1002 UFI)</t>
    </r>
  </si>
  <si>
    <r>
      <rPr>
        <sz val="9"/>
        <color rgb="FF000000"/>
        <rFont val="Arial"/>
        <charset val="134"/>
      </rPr>
      <t>555 LINK ASSY STABILIZER AVANZA (SL-3870) (B 1843 SRU)</t>
    </r>
  </si>
  <si>
    <r>
      <rPr>
        <sz val="9"/>
        <color rgb="FF000000"/>
        <rFont val="Arial"/>
        <charset val="134"/>
      </rPr>
      <t>555 STABILIZER LINK (SL-3880) (B 1002 UFI)</t>
    </r>
  </si>
  <si>
    <r>
      <rPr>
        <sz val="9"/>
        <color rgb="FF000000"/>
        <rFont val="Arial"/>
        <charset val="134"/>
      </rPr>
      <t>ACCELERA 215/55R17 (B 2641 BRF)</t>
    </r>
  </si>
  <si>
    <r>
      <rPr>
        <sz val="9"/>
        <color rgb="FF000000"/>
        <rFont val="Arial"/>
        <charset val="134"/>
      </rPr>
      <t>AMB Proclean 325ml</t>
    </r>
  </si>
  <si>
    <r>
      <rPr>
        <sz val="9"/>
        <color rgb="FF000000"/>
        <rFont val="Arial"/>
        <charset val="134"/>
      </rPr>
      <t>BCS-2 PIK 2--Central Warehouse</t>
    </r>
  </si>
  <si>
    <r>
      <rPr>
        <sz val="9"/>
        <color rgb="FF000000"/>
        <rFont val="Arial"/>
        <charset val="134"/>
      </rPr>
      <t>BAUD L (B 1861 BOX)</t>
    </r>
  </si>
  <si>
    <r>
      <rPr>
        <sz val="8"/>
        <color rgb="FF000000"/>
        <rFont val="Courier"/>
        <charset val="134"/>
      </rPr>
      <t>Printed on 2 February 2026 - 09:43</t>
    </r>
  </si>
  <si>
    <r>
      <rPr>
        <sz val="9"/>
        <color rgb="FF000000"/>
        <rFont val="Arial"/>
        <charset val="134"/>
      </rPr>
      <t>BAUD L (B 2731 PKE)</t>
    </r>
  </si>
  <si>
    <r>
      <rPr>
        <sz val="9"/>
        <color rgb="FF000000"/>
        <rFont val="Arial"/>
        <charset val="134"/>
      </rPr>
      <t>BOSCH AIR FILTER 0986AF2666</t>
    </r>
  </si>
  <si>
    <r>
      <rPr>
        <sz val="9"/>
        <color rgb="FF000000"/>
        <rFont val="Arial"/>
        <charset val="134"/>
      </rPr>
      <t>BOSCH Battery N70Z-M (Open Vent) 75D31R 12V</t>
    </r>
  </si>
  <si>
    <r>
      <rPr>
        <sz val="9"/>
        <color rgb="FF000000"/>
        <rFont val="Arial"/>
        <charset val="134"/>
      </rPr>
      <t>BOSCH Brake Pad 0986AB2543 /BP2543 Rear</t>
    </r>
  </si>
  <si>
    <r>
      <rPr>
        <sz val="9"/>
        <color rgb="FF000000"/>
        <rFont val="Arial"/>
        <charset val="134"/>
      </rPr>
      <t>BOSCH Brake Pad 0986T18178</t>
    </r>
  </si>
  <si>
    <r>
      <rPr>
        <sz val="9"/>
        <color rgb="FF000000"/>
        <rFont val="Arial"/>
        <charset val="134"/>
      </rPr>
      <t>BOSCH Brake Pad 0986T18182 /BP1925 Front</t>
    </r>
  </si>
  <si>
    <r>
      <rPr>
        <sz val="9"/>
        <color rgb="FF000000"/>
        <rFont val="Arial"/>
        <charset val="134"/>
      </rPr>
      <t>BOSCH Brake Pad 0986T18183</t>
    </r>
  </si>
  <si>
    <r>
      <rPr>
        <sz val="9"/>
        <color rgb="FF000000"/>
        <rFont val="Arial"/>
        <charset val="134"/>
      </rPr>
      <t>BOSCH Brake Pad 0986T18190</t>
    </r>
  </si>
  <si>
    <r>
      <rPr>
        <sz val="9"/>
        <color rgb="FF000000"/>
        <rFont val="Arial"/>
        <charset val="134"/>
      </rPr>
      <t>BOSCH Cabin Filter AP-N02</t>
    </r>
  </si>
  <si>
    <r>
      <rPr>
        <sz val="9"/>
        <color rgb="FF000000"/>
        <rFont val="Arial"/>
        <charset val="134"/>
      </rPr>
      <t>BOSCH Cabin Filter R 2402</t>
    </r>
  </si>
  <si>
    <r>
      <rPr>
        <sz val="9"/>
        <color rgb="FF000000"/>
        <rFont val="Arial"/>
        <charset val="134"/>
      </rPr>
      <t>BOSCH Light Bulb H7 12V 55W -PX26d Sportec Bright</t>
    </r>
  </si>
  <si>
    <r>
      <rPr>
        <sz val="9"/>
        <color rgb="FF000000"/>
        <rFont val="Arial"/>
        <charset val="134"/>
      </rPr>
      <t>BOSCH Light Bulb PY21W 12V 21W -BA15S Amb Yellow</t>
    </r>
  </si>
  <si>
    <r>
      <rPr>
        <sz val="9"/>
        <color rgb="FF000000"/>
        <rFont val="Arial"/>
        <charset val="134"/>
      </rPr>
      <t>BOSCH Oil Filter O 1506</t>
    </r>
  </si>
  <si>
    <r>
      <rPr>
        <sz val="9"/>
        <color rgb="FF000000"/>
        <rFont val="Arial"/>
        <charset val="134"/>
      </rPr>
      <t>BRIDGESTONE TIRE Techno 195/60R15 88H</t>
    </r>
  </si>
  <si>
    <r>
      <rPr>
        <sz val="9"/>
        <color rgb="FF000000"/>
        <rFont val="Arial"/>
        <charset val="134"/>
      </rPr>
      <t>CABIN AIR FILTER NISSAN KEN D-6934 X-TRAIL</t>
    </r>
  </si>
  <si>
    <r>
      <rPr>
        <sz val="9"/>
        <color rgb="FF000000"/>
        <rFont val="Arial"/>
        <charset val="134"/>
      </rPr>
      <t>CYLINDER KIT, FR DISK BRAKE AVANZA (04478-BZ060-001) (B 1843 SRU)</t>
    </r>
  </si>
  <si>
    <r>
      <rPr>
        <sz val="9"/>
        <color rgb="FF000000"/>
        <rFont val="Arial"/>
        <charset val="134"/>
      </rPr>
      <t>DAIHATSU ALTERNATOR A/S (27060-BZ241) (B 1984 TIG)</t>
    </r>
  </si>
  <si>
    <r>
      <rPr>
        <sz val="9"/>
        <color rgb="FF000000"/>
        <rFont val="Arial"/>
        <charset val="134"/>
      </rPr>
      <t>DAIHATSU BAUT CALIPER (B 2012 UKG)</t>
    </r>
  </si>
  <si>
    <r>
      <rPr>
        <sz val="9"/>
        <color rgb="FF000000"/>
        <rFont val="Arial"/>
        <charset val="134"/>
      </rPr>
      <t>DAIHATSU BAUT KARET KALIPER (B 2012 UKG)</t>
    </r>
  </si>
  <si>
    <r>
      <rPr>
        <sz val="9"/>
        <color rgb="FF000000"/>
        <rFont val="Arial"/>
        <charset val="134"/>
      </rPr>
      <t>DAIHATSU GASKET,CYLINDER HEAD COVER (11213-BZ080-001) (B 1984 TIG)</t>
    </r>
  </si>
  <si>
    <r>
      <rPr>
        <sz val="9"/>
        <color rgb="FF000000"/>
        <rFont val="Arial"/>
        <charset val="134"/>
      </rPr>
      <t>DENSO Air Filter DXA-1001</t>
    </r>
  </si>
  <si>
    <r>
      <rPr>
        <sz val="9"/>
        <color rgb="FF000000"/>
        <rFont val="Arial"/>
        <charset val="134"/>
      </rPr>
      <t>DENSO Air Filter DXA-1013</t>
    </r>
  </si>
  <si>
    <r>
      <rPr>
        <sz val="9"/>
        <color rgb="FF000000"/>
        <rFont val="Arial"/>
        <charset val="134"/>
      </rPr>
      <t>DENSO Air Filter DXA-1014</t>
    </r>
  </si>
  <si>
    <r>
      <rPr>
        <sz val="9"/>
        <color rgb="FF000000"/>
        <rFont val="Arial"/>
        <charset val="134"/>
      </rPr>
      <t>DENSO Air Filter DXA-1035</t>
    </r>
  </si>
  <si>
    <r>
      <rPr>
        <sz val="9"/>
        <color rgb="FF000000"/>
        <rFont val="Arial"/>
        <charset val="134"/>
      </rPr>
      <t>DENSO Air Filter DXA-1041</t>
    </r>
  </si>
  <si>
    <r>
      <rPr>
        <sz val="9"/>
        <color rgb="FF000000"/>
        <rFont val="Arial"/>
        <charset val="134"/>
      </rPr>
      <t>DENSO Air Filter DXA-1049</t>
    </r>
  </si>
  <si>
    <r>
      <rPr>
        <sz val="9"/>
        <color rgb="FF000000"/>
        <rFont val="Arial"/>
        <charset val="134"/>
      </rPr>
      <t>DENSO Air Filter DXA-1052</t>
    </r>
  </si>
  <si>
    <r>
      <rPr>
        <sz val="9"/>
        <color rgb="FF000000"/>
        <rFont val="Arial"/>
        <charset val="134"/>
      </rPr>
      <t>DENSO Air Filter DXA-1058</t>
    </r>
  </si>
  <si>
    <r>
      <rPr>
        <sz val="9"/>
        <color rgb="FF000000"/>
        <rFont val="Arial"/>
        <charset val="134"/>
      </rPr>
      <t>DENSO Air Filter DXA-1059</t>
    </r>
  </si>
  <si>
    <r>
      <rPr>
        <sz val="9"/>
        <color rgb="FF000000"/>
        <rFont val="Arial"/>
        <charset val="134"/>
      </rPr>
      <t>DENSO MOTOR FAN (7030) ( B 2390 UON)</t>
    </r>
  </si>
  <si>
    <r>
      <rPr>
        <sz val="9"/>
        <color rgb="FF000000"/>
        <rFont val="Arial"/>
        <charset val="134"/>
      </rPr>
      <t>DENSO Oil Filter DXE-1007</t>
    </r>
  </si>
  <si>
    <r>
      <rPr>
        <sz val="9"/>
        <color rgb="FF000000"/>
        <rFont val="Arial"/>
        <charset val="134"/>
      </rPr>
      <t>DENSO Oil Filter DXE-1011</t>
    </r>
  </si>
  <si>
    <r>
      <rPr>
        <sz val="9"/>
        <color rgb="FF000000"/>
        <rFont val="Arial"/>
        <charset val="134"/>
      </rPr>
      <t>DENSO SPARK PLUG (K20HR-U11) (B 1002 UFI)</t>
    </r>
  </si>
  <si>
    <r>
      <rPr>
        <sz val="9"/>
        <color rgb="FF000000"/>
        <rFont val="Arial"/>
        <charset val="134"/>
      </rPr>
      <t>DENSO Spark Plug IK16TT - Iridium</t>
    </r>
  </si>
  <si>
    <r>
      <rPr>
        <sz val="9"/>
        <color rgb="FF000000"/>
        <rFont val="Arial"/>
        <charset val="134"/>
      </rPr>
      <t>DENSO Spark Plug IK20TT - Iridium</t>
    </r>
  </si>
  <si>
    <r>
      <rPr>
        <sz val="9"/>
        <color rgb="FF000000"/>
        <rFont val="Arial"/>
        <charset val="134"/>
      </rPr>
      <t>EUSTEIN CABIN AIR FILTER (64119069895) (BMW 323)</t>
    </r>
  </si>
  <si>
    <r>
      <rPr>
        <sz val="9"/>
        <color rgb="FF000000"/>
        <rFont val="Arial"/>
        <charset val="134"/>
      </rPr>
      <t>EVAPORATOR AC INNOVA REBORN (JK447610-86403D) (B 2213 BFY)</t>
    </r>
  </si>
  <si>
    <r>
      <rPr>
        <sz val="9"/>
        <color rgb="FF000000"/>
        <rFont val="Arial"/>
        <charset val="134"/>
      </rPr>
      <t>EXPANSI AC INNOVA REBORN (B 2213 BFY)</t>
    </r>
  </si>
  <si>
    <r>
      <rPr>
        <sz val="9"/>
        <color rgb="FF000000"/>
        <rFont val="Arial"/>
        <charset val="134"/>
      </rPr>
      <t>FIXCOOL Diesel Water Treatment- 250ml</t>
    </r>
  </si>
  <si>
    <r>
      <rPr>
        <sz val="9"/>
        <color rgb="FF000000"/>
        <rFont val="Arial"/>
        <charset val="134"/>
      </rPr>
      <t>FLOSSER FUSE TANCAP KECIL 10A</t>
    </r>
  </si>
  <si>
    <r>
      <rPr>
        <sz val="9"/>
        <color rgb="FF000000"/>
        <rFont val="Arial"/>
        <charset val="134"/>
      </rPr>
      <t>GEMUK ODOL (T 1799 ZU)</t>
    </r>
  </si>
  <si>
    <r>
      <rPr>
        <sz val="9"/>
        <color rgb="FF000000"/>
        <rFont val="Arial"/>
        <charset val="134"/>
      </rPr>
      <t>GLOSSXPERT Interior Cleaner Uk. 350ml</t>
    </r>
  </si>
  <si>
    <r>
      <rPr>
        <sz val="9"/>
        <color rgb="FF000000"/>
        <rFont val="Arial"/>
        <charset val="134"/>
      </rPr>
      <t>GLOSSXPERT MICROFIBER DETAILING CLOTH-GRAY</t>
    </r>
  </si>
  <si>
    <r>
      <rPr>
        <sz val="9"/>
        <color rgb="FF000000"/>
        <rFont val="Arial"/>
        <charset val="134"/>
      </rPr>
      <t>GLOSSXPERT Premium Sponge, 22cm x 15cm</t>
    </r>
  </si>
  <si>
    <r>
      <rPr>
        <sz val="9"/>
        <color rgb="FF000000"/>
        <rFont val="Arial"/>
        <charset val="134"/>
      </rPr>
      <t>GLOSSXPERT Quick Detaller Uk. 350ml</t>
    </r>
  </si>
  <si>
    <r>
      <rPr>
        <sz val="9"/>
        <color rgb="FF000000"/>
        <rFont val="Arial"/>
        <charset val="134"/>
      </rPr>
      <t>GLOSSXPERT Rubbing Compound Uk. 100Gr</t>
    </r>
  </si>
  <si>
    <r>
      <rPr>
        <sz val="9"/>
        <color rgb="FF000000"/>
        <rFont val="Arial"/>
        <charset val="134"/>
      </rPr>
      <t>GLOSSXPERT ULTIMATE WAX 350ML</t>
    </r>
  </si>
  <si>
    <r>
      <rPr>
        <sz val="9"/>
        <color rgb="FF000000"/>
        <rFont val="Arial"/>
        <charset val="134"/>
      </rPr>
      <t>GLOSSXPERT WATERLESS WASH&amp;WAX 350ML</t>
    </r>
  </si>
  <si>
    <r>
      <rPr>
        <sz val="9"/>
        <color rgb="FF000000"/>
        <rFont val="Arial"/>
        <charset val="134"/>
      </rPr>
      <t>HMI QUALITY OIL FILTER HYUNDAI (26300-35056HMI) (B 1606 SRO)</t>
    </r>
  </si>
  <si>
    <r>
      <rPr>
        <sz val="9"/>
        <color rgb="FF000000"/>
        <rFont val="Arial"/>
        <charset val="134"/>
      </rPr>
      <t>HONDA BRAKE PAD FR (45022-TG0-003) (B 1862 SAJ)</t>
    </r>
  </si>
  <si>
    <r>
      <rPr>
        <sz val="9"/>
        <color rgb="FF000000"/>
        <rFont val="Arial"/>
        <charset val="134"/>
      </rPr>
      <t>HONDA COIL ASSY,PLUG HOLE (30520-55A-005) (B 1538 SAC)</t>
    </r>
  </si>
  <si>
    <r>
      <rPr>
        <sz val="9"/>
        <color rgb="FF000000"/>
        <rFont val="Arial"/>
        <charset val="134"/>
      </rPr>
      <t>HONDA ENGINE MOUNTING AT (50822-TF0-J02) (B 1851 JUT)</t>
    </r>
  </si>
  <si>
    <r>
      <rPr>
        <sz val="9"/>
        <color rgb="FF000000"/>
        <rFont val="Arial"/>
        <charset val="134"/>
      </rPr>
      <t>HONDA LOWER ARM ASSY R/L (B 1948 BIV)</t>
    </r>
  </si>
  <si>
    <r>
      <rPr>
        <sz val="9"/>
        <color rgb="FF000000"/>
        <rFont val="Arial"/>
        <charset val="134"/>
      </rPr>
      <t>HONDA MT RUB SAMPER FR (51920-TG4-T01) (BN 1562 RA)</t>
    </r>
  </si>
  <si>
    <r>
      <rPr>
        <sz val="9"/>
        <color rgb="FF000000"/>
        <rFont val="Arial"/>
        <charset val="134"/>
      </rPr>
      <t>HONDA SEAL COVER VALVE (12341-RB0-003) (B 1058 WZC)</t>
    </r>
  </si>
  <si>
    <r>
      <rPr>
        <sz val="9"/>
        <color rgb="FF000000"/>
        <rFont val="Arial"/>
        <charset val="134"/>
      </rPr>
      <t>HONDA SEAL O-RING (B 1058 WZC)</t>
    </r>
  </si>
  <si>
    <r>
      <rPr>
        <sz val="9"/>
        <color rgb="FF000000"/>
        <rFont val="Arial"/>
        <charset val="134"/>
      </rPr>
      <t>HONDA SEAL V-TEC (B 1058 WZC)</t>
    </r>
  </si>
  <si>
    <r>
      <rPr>
        <sz val="9"/>
        <color rgb="FF000000"/>
        <rFont val="Arial"/>
        <charset val="134"/>
      </rPr>
      <t>HONDA SUPPORT ATAS (30520-RN4-A01) (BN 1562 RA)</t>
    </r>
  </si>
  <si>
    <r>
      <rPr>
        <sz val="9"/>
        <color rgb="FF000000"/>
        <rFont val="Arial"/>
        <charset val="134"/>
      </rPr>
      <t>HYUNDAI EVAPURATOR (T 1799 ZU)</t>
    </r>
  </si>
  <si>
    <r>
      <rPr>
        <sz val="9"/>
        <color rgb="FF000000"/>
        <rFont val="Arial"/>
        <charset val="134"/>
      </rPr>
      <t>HYUNDAI EXPANSI AC (T 1799 ZU)</t>
    </r>
  </si>
  <si>
    <r>
      <rPr>
        <sz val="9"/>
        <color rgb="FF000000"/>
        <rFont val="Arial"/>
        <charset val="134"/>
      </rPr>
      <t>HYUNDAI SEAL OIL (T 1799 ZU)</t>
    </r>
  </si>
  <si>
    <r>
      <rPr>
        <sz val="9"/>
        <color rgb="FF000000"/>
        <rFont val="Arial"/>
        <charset val="134"/>
      </rPr>
      <t>ISUZU FILTER SOLAR (B 1236 BJP)</t>
    </r>
  </si>
  <si>
    <r>
      <rPr>
        <sz val="9"/>
        <color rgb="FF000000"/>
        <rFont val="Arial"/>
        <charset val="134"/>
      </rPr>
      <t>ISUZU FILTER UDARA (B 1236 BJP)</t>
    </r>
  </si>
  <si>
    <r>
      <rPr>
        <sz val="9"/>
        <color rgb="FF000000"/>
        <rFont val="Arial"/>
        <charset val="134"/>
      </rPr>
      <t>ISUZU LINK STABILIZER (B 1236 BJP)</t>
    </r>
  </si>
  <si>
    <r>
      <rPr>
        <sz val="9"/>
        <color rgb="FF000000"/>
        <rFont val="Arial"/>
        <charset val="134"/>
      </rPr>
      <t>ISUZU OIL FILTER D-MAX (I6-98165071-0) (B 1885 UJP)</t>
    </r>
  </si>
  <si>
    <r>
      <rPr>
        <sz val="9"/>
        <color rgb="FF000000"/>
        <rFont val="Arial"/>
        <charset val="134"/>
      </rPr>
      <t>ISUZU SEAL COVER VALVE (B 1236 BJP)</t>
    </r>
  </si>
  <si>
    <r>
      <rPr>
        <sz val="9"/>
        <color rgb="FF000000"/>
        <rFont val="Arial"/>
        <charset val="134"/>
      </rPr>
      <t>ISUZU SEAL NOZZEL (B 1236 BJP)</t>
    </r>
  </si>
  <si>
    <r>
      <rPr>
        <sz val="9"/>
        <color rgb="FF000000"/>
        <rFont val="Arial"/>
        <charset val="134"/>
      </rPr>
      <t>ISUZU TUTUP RADIATOR (B 1236 BJP)</t>
    </r>
  </si>
  <si>
    <r>
      <rPr>
        <sz val="9"/>
        <color rgb="FF000000"/>
        <rFont val="Arial"/>
        <charset val="134"/>
      </rPr>
      <t>ISUZU VBELT ALTERNATOR (B 1236 BJP)</t>
    </r>
  </si>
  <si>
    <r>
      <rPr>
        <sz val="9"/>
        <color rgb="FF000000"/>
        <rFont val="Arial"/>
        <charset val="134"/>
      </rPr>
      <t>ISUZU VBELT COMPRESSOR (B 1236 BJP)</t>
    </r>
  </si>
  <si>
    <r>
      <rPr>
        <sz val="9"/>
        <color rgb="FF000000"/>
        <rFont val="Arial"/>
        <charset val="134"/>
      </rPr>
      <t>JASA PERGANTIAN SELANG LOW PRESSURE AC</t>
    </r>
  </si>
  <si>
    <r>
      <rPr>
        <sz val="9"/>
        <color rgb="FF000000"/>
        <rFont val="Arial"/>
        <charset val="134"/>
      </rPr>
      <t>JTEKT PULLY TENS (PU108813RMXW1) (F 1159 MP)</t>
    </r>
  </si>
  <si>
    <r>
      <rPr>
        <sz val="9"/>
        <color rgb="FF000000"/>
        <rFont val="Arial"/>
        <charset val="134"/>
      </rPr>
      <t>KAMPAS REM DEPAN RUSH 2018 (B 2012 UKG)</t>
    </r>
  </si>
  <si>
    <r>
      <rPr>
        <sz val="9"/>
        <color rgb="FF000000"/>
        <rFont val="Arial"/>
        <charset val="134"/>
      </rPr>
      <t>KLEM AS RODA BESAR</t>
    </r>
  </si>
  <si>
    <r>
      <rPr>
        <sz val="9"/>
        <color rgb="FF000000"/>
        <rFont val="Arial"/>
        <charset val="134"/>
      </rPr>
      <t>LEM LOCTITE (T 1799 ZU)</t>
    </r>
  </si>
  <si>
    <r>
      <rPr>
        <sz val="9"/>
        <color rgb="FF000000"/>
        <rFont val="Arial"/>
        <charset val="134"/>
      </rPr>
      <t>LIQUIMOLY Catalytic System Cleaner 300ml</t>
    </r>
  </si>
  <si>
    <r>
      <rPr>
        <sz val="9"/>
        <color rgb="FF000000"/>
        <rFont val="Arial"/>
        <charset val="134"/>
      </rPr>
      <t>LIQUIMOLY Fuel System Cleaner 1L</t>
    </r>
  </si>
  <si>
    <r>
      <rPr>
        <sz val="9"/>
        <color rgb="FF000000"/>
        <rFont val="Arial"/>
        <charset val="134"/>
      </rPr>
      <t>LIQUIMOLY Fuel System Cleaner 300ml</t>
    </r>
  </si>
  <si>
    <r>
      <rPr>
        <sz val="9"/>
        <color rgb="FF000000"/>
        <rFont val="Arial"/>
        <charset val="134"/>
      </rPr>
      <t>MAHLE CABIN AIR FILTER (LAK 1156/S)</t>
    </r>
  </si>
  <si>
    <r>
      <rPr>
        <sz val="9"/>
        <color rgb="FF000000"/>
        <rFont val="Arial"/>
        <charset val="134"/>
      </rPr>
      <t>MAHLE CABIN AIR FILTER (LAK248)</t>
    </r>
  </si>
  <si>
    <r>
      <rPr>
        <sz val="9"/>
        <color rgb="FF000000"/>
        <rFont val="Arial"/>
        <charset val="134"/>
      </rPr>
      <t>MASSIV Battery Thunder(MF) 55D23L 12V-60Ah</t>
    </r>
  </si>
  <si>
    <r>
      <rPr>
        <sz val="9"/>
        <color rgb="FF000000"/>
        <rFont val="Arial"/>
        <charset val="134"/>
      </rPr>
      <t>MASSIV Battery Thunder(MF)-46B24R NS60 12V-45Ah</t>
    </r>
  </si>
  <si>
    <r>
      <rPr>
        <sz val="9"/>
        <color rgb="FF000000"/>
        <rFont val="Arial"/>
        <charset val="134"/>
      </rPr>
      <t>MAZDA KIPAS RADIATOR (B B 2390 UON)</t>
    </r>
  </si>
  <si>
    <r>
      <rPr>
        <sz val="9"/>
        <color rgb="FF000000"/>
        <rFont val="Arial"/>
        <charset val="134"/>
      </rPr>
      <t>MAZDA OIL FILTER (PE01-14-302B) (B 1537 WYJ)</t>
    </r>
  </si>
  <si>
    <r>
      <rPr>
        <sz val="9"/>
        <color rgb="FF000000"/>
        <rFont val="Arial"/>
        <charset val="134"/>
      </rPr>
      <t>MITSUBISHI OIL FILTER (1230A182) (E 1599 SG)</t>
    </r>
  </si>
  <si>
    <r>
      <rPr>
        <sz val="9"/>
        <color rgb="FF000000"/>
        <rFont val="Arial"/>
        <charset val="134"/>
      </rPr>
      <t>MITSUBISHI PEN CALIPER (B 1300 UQN)</t>
    </r>
  </si>
  <si>
    <r>
      <rPr>
        <sz val="9"/>
        <color rgb="FF000000"/>
        <rFont val="Arial"/>
        <charset val="134"/>
      </rPr>
      <t>MITSUBISHI SENSOR OXYGEN (B 2416 BZV)</t>
    </r>
  </si>
  <si>
    <r>
      <rPr>
        <sz val="9"/>
        <color rgb="FF000000"/>
        <rFont val="Arial"/>
        <charset val="134"/>
      </rPr>
      <t>MOBIL Engine Oil Super AIO PROTECTION 10W-40 1L</t>
    </r>
  </si>
  <si>
    <r>
      <rPr>
        <sz val="9"/>
        <color rgb="FF000000"/>
        <rFont val="Arial"/>
        <charset val="134"/>
      </rPr>
      <t>MOBIL Transmission Oil CVTF Multi-Vehicle 1L</t>
    </r>
  </si>
  <si>
    <r>
      <rPr>
        <sz val="9"/>
        <color rgb="FF000000"/>
        <rFont val="Arial"/>
        <charset val="134"/>
      </rPr>
      <t>MONROE Shock Absorber 378047SP Rear</t>
    </r>
  </si>
  <si>
    <r>
      <rPr>
        <sz val="9"/>
        <color rgb="FF000000"/>
        <rFont val="Arial"/>
        <charset val="134"/>
      </rPr>
      <t>MONROE Shock Absorber 378109SP Rear</t>
    </r>
  </si>
  <si>
    <r>
      <rPr>
        <sz val="9"/>
        <color rgb="FF000000"/>
        <rFont val="Arial"/>
        <charset val="134"/>
      </rPr>
      <t>MONROE Shock Absorber 378187SP Rear</t>
    </r>
  </si>
  <si>
    <r>
      <rPr>
        <sz val="9"/>
        <color rgb="FF000000"/>
        <rFont val="Arial"/>
        <charset val="134"/>
      </rPr>
      <t>MONROE Shock Absorber 744050SP Front-RH</t>
    </r>
  </si>
  <si>
    <r>
      <rPr>
        <sz val="9"/>
        <color rgb="FF000000"/>
        <rFont val="Arial"/>
        <charset val="134"/>
      </rPr>
      <t>MONROE Shock Absorber 744051SP Front-LH</t>
    </r>
  </si>
  <si>
    <r>
      <rPr>
        <sz val="9"/>
        <color rgb="FF000000"/>
        <rFont val="Arial"/>
        <charset val="134"/>
      </rPr>
      <t>MONROE Shock Absorber 744072SP Front-RH</t>
    </r>
  </si>
  <si>
    <r>
      <rPr>
        <sz val="9"/>
        <color rgb="FF000000"/>
        <rFont val="Arial"/>
        <charset val="134"/>
      </rPr>
      <t>MONROE Shock Absorber 744073SP Front-LH</t>
    </r>
  </si>
  <si>
    <r>
      <rPr>
        <sz val="9"/>
        <color rgb="FF000000"/>
        <rFont val="Arial"/>
        <charset val="134"/>
      </rPr>
      <t>MONROE Shock Absorber 744252SP Front-RH</t>
    </r>
  </si>
  <si>
    <r>
      <rPr>
        <sz val="9"/>
        <color rgb="FF000000"/>
        <rFont val="Arial"/>
        <charset val="134"/>
      </rPr>
      <t>MONROE Shock Absorber 744253SP Front-LH</t>
    </r>
  </si>
  <si>
    <r>
      <rPr>
        <sz val="9"/>
        <color rgb="FF000000"/>
        <rFont val="Arial"/>
        <charset val="134"/>
      </rPr>
      <t>NISSAN MAGNETIC CLUTCH ASSY (B 1528 PZI)</t>
    </r>
  </si>
  <si>
    <r>
      <rPr>
        <sz val="9"/>
        <color rgb="FF000000"/>
        <rFont val="Arial"/>
        <charset val="134"/>
      </rPr>
      <t>NTN BEARINGS (NEP70-008D-7G1) (F 1159 MP)</t>
    </r>
  </si>
  <si>
    <r>
      <rPr>
        <sz val="9"/>
        <color rgb="FF000000"/>
        <rFont val="Arial"/>
        <charset val="134"/>
      </rPr>
      <t>OTOHEROES PLASTIC TRIM CLIP</t>
    </r>
  </si>
  <si>
    <r>
      <rPr>
        <sz val="9"/>
        <color rgb="FF000000"/>
        <rFont val="Arial"/>
        <charset val="134"/>
      </rPr>
      <t>PRESS SELANG + LAS (B 1764 NJE)</t>
    </r>
  </si>
  <si>
    <r>
      <rPr>
        <sz val="9"/>
        <color rgb="FF000000"/>
        <rFont val="Arial"/>
        <charset val="134"/>
      </rPr>
      <t>SAKURA CABIN AIR FILTER CA-2808</t>
    </r>
  </si>
  <si>
    <r>
      <rPr>
        <sz val="9"/>
        <color rgb="FF000000"/>
        <rFont val="Arial"/>
        <charset val="134"/>
      </rPr>
      <t>SANYCO HYDRAULIC CYLINDER (B 1820 TFM)</t>
    </r>
  </si>
  <si>
    <r>
      <rPr>
        <sz val="9"/>
        <color rgb="FF000000"/>
        <rFont val="Arial"/>
        <charset val="134"/>
      </rPr>
      <t>SEAL AS RODA MOBILIO (B 1948 BIV)</t>
    </r>
  </si>
  <si>
    <r>
      <rPr>
        <sz val="9"/>
        <color rgb="FF000000"/>
        <rFont val="Arial"/>
        <charset val="134"/>
      </rPr>
      <t>SEAL COVER VALVE MOBILIO (B 1948 BIV)</t>
    </r>
  </si>
  <si>
    <r>
      <rPr>
        <sz val="9"/>
        <color rgb="FF000000"/>
        <rFont val="Arial"/>
        <charset val="134"/>
      </rPr>
      <t>SEAL KRUK AS BELAKANG (B 1948 BIV)</t>
    </r>
  </si>
  <si>
    <r>
      <rPr>
        <sz val="9"/>
        <color rgb="FF000000"/>
        <rFont val="Arial"/>
        <charset val="134"/>
      </rPr>
      <t>SEAL O RING V-TEC MOBILIO (B 1948 BIV)</t>
    </r>
  </si>
  <si>
    <r>
      <rPr>
        <sz val="9"/>
        <color rgb="FF000000"/>
        <rFont val="Arial"/>
        <charset val="134"/>
      </rPr>
      <t>SEAL V-TEC MOBILIO (B 1948 BIV)</t>
    </r>
  </si>
  <si>
    <r>
      <rPr>
        <sz val="9"/>
        <color rgb="FF000000"/>
        <rFont val="Arial"/>
        <charset val="134"/>
      </rPr>
      <t>SHELL Axle Oil Spirax S2 A 80W-90 1L</t>
    </r>
  </si>
  <si>
    <r>
      <rPr>
        <sz val="9"/>
        <color rgb="FF000000"/>
        <rFont val="Arial"/>
        <charset val="134"/>
      </rPr>
      <t>SHELL Diesel Engine Oil RIMULA R5 E 10W-40 4L</t>
    </r>
  </si>
  <si>
    <r>
      <rPr>
        <sz val="9"/>
        <color rgb="FF000000"/>
        <rFont val="Arial"/>
        <charset val="134"/>
      </rPr>
      <t>SHELL Engine Oil HELIX CITY 0W-20 4L</t>
    </r>
  </si>
  <si>
    <r>
      <rPr>
        <sz val="9"/>
        <color rgb="FF000000"/>
        <rFont val="Arial"/>
        <charset val="134"/>
      </rPr>
      <t>SHELL Engine Oil HELIX ECO PLUS 5W-30 0.5L</t>
    </r>
  </si>
  <si>
    <r>
      <rPr>
        <sz val="9"/>
        <color rgb="FF000000"/>
        <rFont val="Arial"/>
        <charset val="134"/>
      </rPr>
      <t>SHELL Engine Oil HELIX HX7 Plus 5W-40 4L</t>
    </r>
  </si>
  <si>
    <r>
      <rPr>
        <sz val="9"/>
        <color rgb="FF000000"/>
        <rFont val="Arial"/>
        <charset val="134"/>
      </rPr>
      <t>SHELL Gear Oil Spirax S2 G 80W-90 1L</t>
    </r>
  </si>
  <si>
    <r>
      <rPr>
        <sz val="9"/>
        <color rgb="FF000000"/>
        <rFont val="Arial"/>
        <charset val="134"/>
      </rPr>
      <t>SLANG HOSE 5/8 + JASA PRESS AVANZA (B 1861 BOX)</t>
    </r>
  </si>
  <si>
    <r>
      <rPr>
        <sz val="9"/>
        <color rgb="FF000000"/>
        <rFont val="Arial"/>
        <charset val="134"/>
      </rPr>
      <t>SLANG HOSE 5/8 LUBANG BESAR = JASA PRESS (B 1138 TRC)</t>
    </r>
  </si>
  <si>
    <r>
      <rPr>
        <sz val="9"/>
        <color rgb="FF000000"/>
        <rFont val="Arial"/>
        <charset val="134"/>
      </rPr>
      <t>SUZUKI SEAL AS RODA  AT (B 1445 DOM)</t>
    </r>
  </si>
  <si>
    <r>
      <rPr>
        <sz val="9"/>
        <color rgb="FF000000"/>
        <rFont val="Arial"/>
        <charset val="134"/>
      </rPr>
      <t>TOYOTA ABSORBER SET FR R/L (48520-09Q70/48510-09X70) (B 1655 BOX)</t>
    </r>
  </si>
  <si>
    <r>
      <rPr>
        <sz val="9"/>
        <color rgb="FF000000"/>
        <rFont val="Arial"/>
        <charset val="134"/>
      </rPr>
      <t>TOYOTA BALL JOINT INNOVA REBORN (43310-09017) (B 2213 BFY)</t>
    </r>
  </si>
  <si>
    <r>
      <rPr>
        <sz val="9"/>
        <color rgb="FF000000"/>
        <rFont val="Arial"/>
        <charset val="134"/>
      </rPr>
      <t>TOYOTA CYLINDER KIT (04479-28010) (B 8561 QT)</t>
    </r>
  </si>
  <si>
    <r>
      <rPr>
        <sz val="8"/>
        <color rgb="FF000000"/>
        <rFont val="Courier"/>
        <charset val="134"/>
      </rPr>
      <t>Page Break 46</t>
    </r>
  </si>
  <si>
    <r>
      <rPr>
        <sz val="9"/>
        <color rgb="FF000000"/>
        <rFont val="Arial"/>
        <charset val="134"/>
      </rPr>
      <t>TOYOTA ELEMENT AIR FILTER (17801-BZ150) (BG 1606 EH)</t>
    </r>
  </si>
  <si>
    <r>
      <rPr>
        <sz val="9"/>
        <color rgb="FF000000"/>
        <rFont val="Arial"/>
        <charset val="134"/>
      </rPr>
      <t>TOYOTA ELEMENT KIT, OIL (04152-YZZD5) (B 1326 NLR)</t>
    </r>
  </si>
  <si>
    <r>
      <rPr>
        <sz val="9"/>
        <color rgb="FF000000"/>
        <rFont val="Arial"/>
        <charset val="134"/>
      </rPr>
      <t>TOYOTA ELEMENT S/A, OIL FIL (15601-BZ030)</t>
    </r>
  </si>
  <si>
    <r>
      <rPr>
        <sz val="9"/>
        <color rgb="FF000000"/>
        <rFont val="Arial"/>
        <charset val="134"/>
      </rPr>
      <t>TOYOTA ELEMENT SA AIR FILTER AVANZA (17801-YZZT1) (B 1843 SRU)</t>
    </r>
  </si>
  <si>
    <r>
      <rPr>
        <sz val="9"/>
        <color rgb="FF000000"/>
        <rFont val="Arial"/>
        <charset val="134"/>
      </rPr>
      <t>TOYOTA ELEMENT, AIR FILTER (87139-0K030) (B 1326 NLR)</t>
    </r>
  </si>
  <si>
    <r>
      <rPr>
        <sz val="9"/>
        <color rgb="FF000000"/>
        <rFont val="Arial"/>
        <charset val="134"/>
      </rPr>
      <t>TOYOTA END S/ASSY,STRG (45503-09331) (B 2641 BRF)</t>
    </r>
  </si>
  <si>
    <r>
      <rPr>
        <sz val="8"/>
        <color rgb="FF000000"/>
        <rFont val="Courier"/>
        <charset val="134"/>
      </rPr>
      <t>Page Break 47</t>
    </r>
  </si>
  <si>
    <r>
      <rPr>
        <sz val="9"/>
        <color rgb="FF000000"/>
        <rFont val="Arial"/>
        <charset val="134"/>
      </rPr>
      <t>TOYOTA FILTER ASSY, FUEL (23300-75160-82) (B 1002 UFI)</t>
    </r>
  </si>
  <si>
    <r>
      <rPr>
        <sz val="9"/>
        <color rgb="FF000000"/>
        <rFont val="Arial"/>
        <charset val="134"/>
      </rPr>
      <t>TOYOTA INSULATOR ENGINE MOUNTING (12361-BZ132-001) (B 1217 JUM)</t>
    </r>
  </si>
  <si>
    <r>
      <rPr>
        <sz val="9"/>
        <color rgb="FF000000"/>
        <rFont val="Arial"/>
        <charset val="134"/>
      </rPr>
      <t>TOYOTA MOTOR BLOWER ASSY (B 2731 PKE)</t>
    </r>
  </si>
  <si>
    <r>
      <rPr>
        <sz val="9"/>
        <color rgb="FF000000"/>
        <rFont val="Arial"/>
        <charset val="134"/>
      </rPr>
      <t>TOYOTA MOTOR POWER WINDOW (B 1948 BIV)</t>
    </r>
  </si>
  <si>
    <r>
      <rPr>
        <sz val="9"/>
        <color rgb="FF000000"/>
        <rFont val="Arial"/>
        <charset val="134"/>
      </rPr>
      <t>TOYOTA PISTON REM (B 1619 VBB)</t>
    </r>
  </si>
  <si>
    <r>
      <rPr>
        <sz val="9"/>
        <color rgb="FF000000"/>
        <rFont val="Arial"/>
        <charset val="134"/>
      </rPr>
      <t>TOYOTA SEAL PISTON SET (B 1619 VBB)</t>
    </r>
  </si>
  <si>
    <r>
      <rPr>
        <sz val="8"/>
        <color rgb="FF000000"/>
        <rFont val="Courier"/>
        <charset val="134"/>
      </rPr>
      <t>Page Break 48</t>
    </r>
  </si>
  <si>
    <r>
      <rPr>
        <sz val="9"/>
        <color rgb="FF000000"/>
        <rFont val="Arial"/>
        <charset val="134"/>
      </rPr>
      <t>TOYOTA SELANG REM (B 8561 QT)</t>
    </r>
  </si>
  <si>
    <r>
      <rPr>
        <sz val="9"/>
        <color rgb="FF000000"/>
        <rFont val="Arial"/>
        <charset val="134"/>
      </rPr>
      <t>TOYOTA SLANG HOSE + JASA PRESS LAS (B 1232 WRF)</t>
    </r>
  </si>
  <si>
    <r>
      <rPr>
        <sz val="9"/>
        <color rgb="FF000000"/>
        <rFont val="Arial"/>
        <charset val="134"/>
      </rPr>
      <t>TOYOTA SOLUNA SLANG HOSE + JASA PRESS (B 1750 LJ)</t>
    </r>
  </si>
  <si>
    <r>
      <rPr>
        <sz val="9"/>
        <color rgb="FF000000"/>
        <rFont val="Arial"/>
        <charset val="134"/>
      </rPr>
      <t>Universal WiringHarness KIT Horn (XT SERIES) MX AUTOMOTIVE</t>
    </r>
  </si>
  <si>
    <r>
      <rPr>
        <sz val="9"/>
        <color rgb="FF000000"/>
        <rFont val="Arial"/>
        <charset val="134"/>
      </rPr>
      <t>V-BELT (4PK1060) (B 1843 DOV)</t>
    </r>
  </si>
  <si>
    <r>
      <rPr>
        <sz val="9"/>
        <color rgb="FF000000"/>
        <rFont val="Arial"/>
        <charset val="134"/>
      </rPr>
      <t>V-BELT 6PK-1520 (B 2101 BZT)</t>
    </r>
  </si>
  <si>
    <r>
      <rPr>
        <sz val="8"/>
        <color rgb="FF000000"/>
        <rFont val="Courier"/>
        <charset val="134"/>
      </rPr>
      <t>Page Break 49</t>
    </r>
  </si>
  <si>
    <r>
      <rPr>
        <sz val="8"/>
        <color rgb="FF000000"/>
        <rFont val="Courier"/>
        <charset val="134"/>
      </rPr>
      <t>Page Break 50</t>
    </r>
  </si>
  <si>
    <r>
      <rPr>
        <sz val="11"/>
        <color rgb="FF000000"/>
        <rFont val="Courier"/>
        <charset val="134"/>
      </rPr>
      <t>From 01 Oct 2025 until 31 Oct 2025</t>
    </r>
  </si>
  <si>
    <r>
      <rPr>
        <sz val="9"/>
        <color rgb="FF000000"/>
        <rFont val="Arial"/>
        <charset val="134"/>
      </rPr>
      <t>555 LONG TIE ROD SET 2PCS (B 1833 BFT)</t>
    </r>
  </si>
  <si>
    <r>
      <rPr>
        <sz val="9"/>
        <color rgb="FF000000"/>
        <rFont val="Arial"/>
        <charset val="134"/>
      </rPr>
      <t>555 TIE ROD SET 2PCS (B 1833 BFT)</t>
    </r>
  </si>
  <si>
    <r>
      <rPr>
        <sz val="9"/>
        <color rgb="FF000000"/>
        <rFont val="Arial"/>
        <charset val="134"/>
      </rPr>
      <t>ASKSUS ARM CONTROL FR LH LOWER B2175UKR</t>
    </r>
  </si>
  <si>
    <r>
      <rPr>
        <sz val="9"/>
        <color rgb="FF000000"/>
        <rFont val="Arial"/>
        <charset val="134"/>
      </rPr>
      <t>BEARING FR LIVINA (B1283BRS)</t>
    </r>
  </si>
  <si>
    <r>
      <rPr>
        <sz val="9"/>
        <color rgb="FF000000"/>
        <rFont val="Arial"/>
        <charset val="134"/>
      </rPr>
      <t>BEARING RODA BELAKANG THAILAND SERENA C26 B 1793 EA</t>
    </r>
  </si>
  <si>
    <r>
      <rPr>
        <sz val="9"/>
        <color rgb="FF000000"/>
        <rFont val="Arial"/>
        <charset val="134"/>
      </rPr>
      <t>BEARING RODA DEPAN (B 2575 UON)</t>
    </r>
  </si>
  <si>
    <r>
      <rPr>
        <sz val="8"/>
        <color rgb="FF000000"/>
        <rFont val="Courier"/>
        <charset val="134"/>
      </rPr>
      <t>Printed on 2 February 2026 - 09:42</t>
    </r>
  </si>
  <si>
    <r>
      <rPr>
        <sz val="9"/>
        <color rgb="FF000000"/>
        <rFont val="Arial"/>
        <charset val="134"/>
      </rPr>
      <t>BOSCH BATTERY HIGHTECH AGM LN2</t>
    </r>
  </si>
  <si>
    <r>
      <rPr>
        <sz val="9"/>
        <color rgb="FF000000"/>
        <rFont val="Arial"/>
        <charset val="134"/>
      </rPr>
      <t>BOSCH Brake Pad 0986T18190 /BP1620N Front</t>
    </r>
  </si>
  <si>
    <r>
      <rPr>
        <sz val="9"/>
        <color rgb="FF000000"/>
        <rFont val="Arial"/>
        <charset val="134"/>
      </rPr>
      <t>BOSCH HALF MICRO RELAY 12V 20A 4 PINS (0986AH0091)</t>
    </r>
  </si>
  <si>
    <r>
      <rPr>
        <sz val="9"/>
        <color rgb="FF000000"/>
        <rFont val="Arial"/>
        <charset val="134"/>
      </rPr>
      <t>BOSCH Oil Filter P 7123</t>
    </r>
  </si>
  <si>
    <r>
      <rPr>
        <sz val="9"/>
        <color rgb="FF000000"/>
        <rFont val="Arial"/>
        <charset val="134"/>
      </rPr>
      <t>BOSCH Spark Plug YR7SII330U - Iridium</t>
    </r>
  </si>
  <si>
    <r>
      <rPr>
        <sz val="9"/>
        <color rgb="FF000000"/>
        <rFont val="Arial"/>
        <charset val="134"/>
      </rPr>
      <t>BOSCH Wiper Advantage 19 inch BA19</t>
    </r>
  </si>
  <si>
    <r>
      <rPr>
        <sz val="9"/>
        <color rgb="FF000000"/>
        <rFont val="Arial"/>
        <charset val="134"/>
      </rPr>
      <t>BRAKE PAD DEPAN ASLI(B2760UZJ)</t>
    </r>
  </si>
  <si>
    <r>
      <rPr>
        <sz val="9"/>
        <color rgb="FF000000"/>
        <rFont val="Arial"/>
        <charset val="134"/>
      </rPr>
      <t>BRAKE PAD FR AVANZA  (A1318VBA)</t>
    </r>
  </si>
  <si>
    <r>
      <rPr>
        <sz val="9"/>
        <color rgb="FF000000"/>
        <rFont val="Arial"/>
        <charset val="134"/>
      </rPr>
      <t>BRAKE SHOE LIVINA (B1283BRS)</t>
    </r>
  </si>
  <si>
    <r>
      <rPr>
        <sz val="9"/>
        <color rgb="FF000000"/>
        <rFont val="Arial"/>
        <charset val="134"/>
      </rPr>
      <t>BRAKE SHOE SET XPANDER IMPORT (B1660SMU)</t>
    </r>
  </si>
  <si>
    <r>
      <rPr>
        <sz val="9"/>
        <color rgb="FF000000"/>
        <rFont val="Arial"/>
        <charset val="134"/>
      </rPr>
      <t>BRIDGESTONE TIRE Alenza H/L 33 225/50R18 95V-OEM</t>
    </r>
  </si>
  <si>
    <r>
      <rPr>
        <sz val="9"/>
        <color rgb="FF000000"/>
        <rFont val="Arial"/>
        <charset val="134"/>
      </rPr>
      <t>BRIDGESTONE TIRE Ecopia EP150 195/55R16 87V-OEM</t>
    </r>
  </si>
  <si>
    <r>
      <rPr>
        <sz val="9"/>
        <color rgb="FF000000"/>
        <rFont val="Arial"/>
        <charset val="134"/>
      </rPr>
      <t>BURGARI EXTRIM X1 (B 2731 PKE)</t>
    </r>
  </si>
  <si>
    <r>
      <rPr>
        <sz val="9"/>
        <color rgb="FF000000"/>
        <rFont val="Arial"/>
        <charset val="134"/>
      </rPr>
      <t>BUSI SPARK PLUG LFRSA-11 (B 1123 TKN)</t>
    </r>
  </si>
  <si>
    <r>
      <rPr>
        <sz val="9"/>
        <color rgb="FF000000"/>
        <rFont val="Arial"/>
        <charset val="134"/>
      </rPr>
      <t>CABIN AIR FILTER HYUNDAI H1 (B 1606 SRO)</t>
    </r>
  </si>
  <si>
    <r>
      <rPr>
        <sz val="9"/>
        <color rgb="FF000000"/>
        <rFont val="Arial"/>
        <charset val="134"/>
      </rPr>
      <t>CABIN FILTER HYUNDAI CRETA</t>
    </r>
  </si>
  <si>
    <r>
      <rPr>
        <sz val="9"/>
        <color rgb="FF000000"/>
        <rFont val="Arial"/>
        <charset val="134"/>
      </rPr>
      <t>CARBON Combustion Chamber Cleaner-T1 300ml</t>
    </r>
  </si>
  <si>
    <r>
      <rPr>
        <sz val="9"/>
        <color rgb="FF000000"/>
        <rFont val="Arial"/>
        <charset val="134"/>
      </rPr>
      <t>CELENOID COIL IGNITION (B 1579 KYA)</t>
    </r>
  </si>
  <si>
    <r>
      <rPr>
        <sz val="9"/>
        <color rgb="FF000000"/>
        <rFont val="Arial"/>
        <charset val="134"/>
      </rPr>
      <t>DAIHATSU BELTV RIBBED (9004A-91072-001) (B 2360 KKM)</t>
    </r>
  </si>
  <si>
    <r>
      <rPr>
        <sz val="9"/>
        <color rgb="FF000000"/>
        <rFont val="Arial"/>
        <charset val="134"/>
      </rPr>
      <t>DAIHATSU V-BELT (B 2575 UON)</t>
    </r>
  </si>
  <si>
    <r>
      <rPr>
        <sz val="9"/>
        <color rgb="FF000000"/>
        <rFont val="Arial"/>
        <charset val="134"/>
      </rPr>
      <t>DENSO Air Filter DXA-1016</t>
    </r>
  </si>
  <si>
    <r>
      <rPr>
        <sz val="9"/>
        <color rgb="FF000000"/>
        <rFont val="Arial"/>
        <charset val="134"/>
      </rPr>
      <t>DENSO Air Filter DXA-1024</t>
    </r>
  </si>
  <si>
    <r>
      <rPr>
        <sz val="9"/>
        <color rgb="FF000000"/>
        <rFont val="Arial"/>
        <charset val="134"/>
      </rPr>
      <t>DENSO Air Filter DXA-1054</t>
    </r>
  </si>
  <si>
    <r>
      <rPr>
        <sz val="9"/>
        <color rgb="FF000000"/>
        <rFont val="Arial"/>
        <charset val="134"/>
      </rPr>
      <t>DENSO MOTOR ASSY (AE168000-8931) (B 1721 CAA)</t>
    </r>
  </si>
  <si>
    <r>
      <rPr>
        <sz val="9"/>
        <color rgb="FF000000"/>
        <rFont val="Arial"/>
        <charset val="134"/>
      </rPr>
      <t>DENSO Spark Plug IXEH20TT - Iridium</t>
    </r>
  </si>
  <si>
    <r>
      <rPr>
        <sz val="9"/>
        <color rgb="FF000000"/>
        <rFont val="Arial"/>
        <charset val="134"/>
      </rPr>
      <t>EXTRA FAN ORI (B1878RI)</t>
    </r>
  </si>
  <si>
    <r>
      <rPr>
        <sz val="9"/>
        <color rgb="FF000000"/>
        <rFont val="Arial"/>
        <charset val="134"/>
      </rPr>
      <t>FABBER Shock Support F-HSM-003</t>
    </r>
  </si>
  <si>
    <r>
      <rPr>
        <sz val="9"/>
        <color rgb="FF000000"/>
        <rFont val="Arial"/>
        <charset val="134"/>
      </rPr>
      <t>FEBI FILTER CABIN  (09445)</t>
    </r>
  </si>
  <si>
    <r>
      <rPr>
        <sz val="9"/>
        <color rgb="FF000000"/>
        <rFont val="Arial"/>
        <charset val="134"/>
      </rPr>
      <t>FILTER SOLAR BIASA B1151ULQ</t>
    </r>
  </si>
  <si>
    <r>
      <rPr>
        <sz val="9"/>
        <color rgb="FF000000"/>
        <rFont val="Arial"/>
        <charset val="134"/>
      </rPr>
      <t>FILTER SOLAR ORI (B1878RI)</t>
    </r>
  </si>
  <si>
    <r>
      <rPr>
        <sz val="9"/>
        <color rgb="FF000000"/>
        <rFont val="Arial"/>
        <charset val="134"/>
      </rPr>
      <t>FILTER UDARA (B 2575 UON)</t>
    </r>
  </si>
  <si>
    <r>
      <rPr>
        <sz val="9"/>
        <color rgb="FF000000"/>
        <rFont val="Arial"/>
        <charset val="134"/>
      </rPr>
      <t>FILTER UDARA BIASA B1151ULQ</t>
    </r>
  </si>
  <si>
    <r>
      <rPr>
        <sz val="9"/>
        <color rgb="FF000000"/>
        <rFont val="Arial"/>
        <charset val="134"/>
      </rPr>
      <t>GLOSSXPERT All Purpose Cleaner Uk.350ml</t>
    </r>
  </si>
  <si>
    <r>
      <rPr>
        <sz val="9"/>
        <color rgb="FF000000"/>
        <rFont val="Arial"/>
        <charset val="134"/>
      </rPr>
      <t>GLOSSXPERT MICROFIBER DETAILING CLOTH-RED</t>
    </r>
  </si>
  <si>
    <r>
      <rPr>
        <sz val="9"/>
        <color rgb="FF000000"/>
        <rFont val="Arial"/>
        <charset val="134"/>
      </rPr>
      <t>GOODYEAR DURAPLUS 2 175/65R14</t>
    </r>
  </si>
  <si>
    <r>
      <rPr>
        <sz val="9"/>
        <color rgb="FF000000"/>
        <rFont val="Arial"/>
        <charset val="134"/>
      </rPr>
      <t>GOODYEAR TIRE Assurance ComfortTred 235/50R18 97W</t>
    </r>
  </si>
  <si>
    <r>
      <rPr>
        <sz val="9"/>
        <color rgb="FF000000"/>
        <rFont val="Arial"/>
        <charset val="134"/>
      </rPr>
      <t>GOODYEAR TIRE Assurance Maxguard 185/65R15 84H</t>
    </r>
  </si>
  <si>
    <r>
      <rPr>
        <sz val="9"/>
        <color rgb="FF000000"/>
        <rFont val="Arial"/>
        <charset val="134"/>
      </rPr>
      <t>GOODYEAR TIRE Assurance Triplemax 2 215/60R17 96H</t>
    </r>
  </si>
  <si>
    <r>
      <rPr>
        <sz val="9"/>
        <color rgb="FF000000"/>
        <rFont val="Arial"/>
        <charset val="134"/>
      </rPr>
      <t>HONDA 31110R5AA01 B1256M</t>
    </r>
  </si>
  <si>
    <r>
      <rPr>
        <sz val="9"/>
        <color rgb="FF000000"/>
        <rFont val="Arial"/>
        <charset val="134"/>
      </rPr>
      <t>HONDA AIR FILTER (17220-5A2-A00) (B 1721 CAA)</t>
    </r>
  </si>
  <si>
    <r>
      <rPr>
        <sz val="9"/>
        <color rgb="FF000000"/>
        <rFont val="Arial"/>
        <charset val="134"/>
      </rPr>
      <t>HONDA AIR FILTER (BG 1236 IK)</t>
    </r>
  </si>
  <si>
    <r>
      <rPr>
        <sz val="9"/>
        <color rgb="FF000000"/>
        <rFont val="Arial"/>
        <charset val="134"/>
      </rPr>
      <t>HONDA BAUT RODA (B 1996 SHM)</t>
    </r>
  </si>
  <si>
    <r>
      <rPr>
        <sz val="9"/>
        <color rgb="FF000000"/>
        <rFont val="Arial"/>
        <charset val="134"/>
      </rPr>
      <t>HONDA BEARING RODA (B 2898 TFP)</t>
    </r>
  </si>
  <si>
    <r>
      <rPr>
        <sz val="9"/>
        <color rgb="FF000000"/>
        <rFont val="Arial"/>
        <charset val="134"/>
      </rPr>
      <t>HONDA BUSI FR6F-11K (122290-RB0-F01) B2898TFP</t>
    </r>
  </si>
  <si>
    <r>
      <rPr>
        <sz val="9"/>
        <color rgb="FF000000"/>
        <rFont val="Arial"/>
        <charset val="134"/>
      </rPr>
      <t>HONDA DAMPER ASSY RR (52610-TSA-K01) (B 2898 TFP)</t>
    </r>
  </si>
  <si>
    <r>
      <rPr>
        <sz val="9"/>
        <color rgb="FF000000"/>
        <rFont val="Arial"/>
        <charset val="134"/>
      </rPr>
      <t>HONDA ELEMENT ASSY AIR (17220-55A-Z01) (B 2898 TFP)</t>
    </r>
  </si>
  <si>
    <r>
      <rPr>
        <sz val="9"/>
        <color rgb="FF000000"/>
        <rFont val="Arial"/>
        <charset val="134"/>
      </rPr>
      <t>HONDA FILTER ASSY,SPOO VALVE (15825-RBO-003) (B 2898 TFP)</t>
    </r>
  </si>
  <si>
    <r>
      <rPr>
        <sz val="9"/>
        <color rgb="FF000000"/>
        <rFont val="Arial"/>
        <charset val="134"/>
      </rPr>
      <t>HONDA JAZZ SEAL COVER VALVE (AD 1280 FG)</t>
    </r>
  </si>
  <si>
    <r>
      <rPr>
        <sz val="9"/>
        <color rgb="FF000000"/>
        <rFont val="Arial"/>
        <charset val="134"/>
      </rPr>
      <t>HONDA KLEM CV JOINT (B 2898 TFP)</t>
    </r>
  </si>
  <si>
    <r>
      <rPr>
        <sz val="9"/>
        <color rgb="FF000000"/>
        <rFont val="Arial"/>
        <charset val="134"/>
      </rPr>
      <t>HONDA OIL SEAL (91214-RTA-004) (B 2898 TFP)</t>
    </r>
  </si>
  <si>
    <r>
      <rPr>
        <sz val="9"/>
        <color rgb="FF000000"/>
        <rFont val="Arial"/>
        <charset val="134"/>
      </rPr>
      <t>HONDA PACKING CARTER (11251-P2A-000) (B 1189 ZMA)</t>
    </r>
  </si>
  <si>
    <r>
      <rPr>
        <sz val="9"/>
        <color rgb="FF000000"/>
        <rFont val="Arial"/>
        <charset val="134"/>
      </rPr>
      <t>HONDA PACKING CARTER (B1256M)</t>
    </r>
  </si>
  <si>
    <r>
      <rPr>
        <sz val="9"/>
        <color rgb="FF000000"/>
        <rFont val="Arial"/>
        <charset val="134"/>
      </rPr>
      <t>HONDA SEAL AS RODA (91205-PL3-B01) (B 2898 TFP)</t>
    </r>
  </si>
  <si>
    <r>
      <rPr>
        <sz val="9"/>
        <color rgb="FF000000"/>
        <rFont val="Arial"/>
        <charset val="134"/>
      </rPr>
      <t>HONDA SEAL AS RODA (BG 1236 IK)</t>
    </r>
  </si>
  <si>
    <r>
      <rPr>
        <sz val="9"/>
        <color rgb="FF000000"/>
        <rFont val="Arial"/>
        <charset val="134"/>
      </rPr>
      <t>HONDA SEAL CARTER (BG 1236 IK)</t>
    </r>
  </si>
  <si>
    <r>
      <rPr>
        <sz val="9"/>
        <color rgb="FF000000"/>
        <rFont val="Arial"/>
        <charset val="134"/>
      </rPr>
      <t>HONDA SEAL COVER VALVE (12341-RB0-003) (B 2898 TFP)</t>
    </r>
  </si>
  <si>
    <r>
      <rPr>
        <sz val="9"/>
        <color rgb="FF000000"/>
        <rFont val="Arial"/>
        <charset val="134"/>
      </rPr>
      <t>HONDA SEAL COVER VALVE (BG 1236 IK)</t>
    </r>
  </si>
  <si>
    <r>
      <rPr>
        <sz val="9"/>
        <color rgb="FF000000"/>
        <rFont val="Arial"/>
        <charset val="134"/>
      </rPr>
      <t>HONDA SEAL CRANKSAFT (BG 1236 IK)</t>
    </r>
  </si>
  <si>
    <r>
      <rPr>
        <sz val="9"/>
        <color rgb="FF000000"/>
        <rFont val="Arial"/>
        <charset val="134"/>
      </rPr>
      <t>HONDA SEAL KRUK AS FRT (BG 1236 IK)</t>
    </r>
  </si>
  <si>
    <r>
      <rPr>
        <sz val="9"/>
        <color rgb="FF000000"/>
        <rFont val="Arial"/>
        <charset val="134"/>
      </rPr>
      <t>HONDA SEAL KRUK AS RR (BG 1236 IK)</t>
    </r>
  </si>
  <si>
    <r>
      <rPr>
        <sz val="9"/>
        <color rgb="FF000000"/>
        <rFont val="Arial"/>
        <charset val="134"/>
      </rPr>
      <t>HONDA SEAL NOKEN AS (91302-PX4-004) (B 2898 TFP)</t>
    </r>
  </si>
  <si>
    <r>
      <rPr>
        <sz val="9"/>
        <color rgb="FF000000"/>
        <rFont val="Arial"/>
        <charset val="134"/>
      </rPr>
      <t>HONDA SEAL SPARK PLUG (BG 1236 IK)</t>
    </r>
  </si>
  <si>
    <r>
      <rPr>
        <sz val="9"/>
        <color rgb="FF000000"/>
        <rFont val="Arial"/>
        <charset val="134"/>
      </rPr>
      <t>HONDA SEAL TANGKI (91209-612-003) (B 1189 ZMA)</t>
    </r>
  </si>
  <si>
    <r>
      <rPr>
        <sz val="9"/>
        <color rgb="FF000000"/>
        <rFont val="Arial"/>
        <charset val="134"/>
      </rPr>
      <t>HONDA SEAL V-TECH  (B1256M)</t>
    </r>
  </si>
  <si>
    <r>
      <rPr>
        <sz val="9"/>
        <color rgb="FF000000"/>
        <rFont val="Arial"/>
        <charset val="134"/>
      </rPr>
      <t>HONDA SEAL VTECH (BG 1236 IK)</t>
    </r>
  </si>
  <si>
    <r>
      <rPr>
        <sz val="9"/>
        <color rgb="FF000000"/>
        <rFont val="Arial"/>
        <charset val="134"/>
      </rPr>
      <t>HONDA SILICA (B 1266 TRS)</t>
    </r>
  </si>
  <si>
    <r>
      <rPr>
        <sz val="9"/>
        <color rgb="FF000000"/>
        <rFont val="Arial"/>
        <charset val="134"/>
      </rPr>
      <t>HONDA SLANG 1/2 (B 1266 TRS)</t>
    </r>
  </si>
  <si>
    <r>
      <rPr>
        <sz val="9"/>
        <color rgb="FF000000"/>
        <rFont val="Arial"/>
        <charset val="134"/>
      </rPr>
      <t>HONDA SLANG 5/8 (B 1266 TRS)</t>
    </r>
  </si>
  <si>
    <r>
      <rPr>
        <sz val="9"/>
        <color rgb="FF000000"/>
        <rFont val="Arial"/>
        <charset val="134"/>
      </rPr>
      <t>HONDA SPACER L FR FR BPR SIDE 71198-TG1-T01 (BP 1531 DT)</t>
    </r>
  </si>
  <si>
    <r>
      <rPr>
        <sz val="9"/>
        <color rgb="FF000000"/>
        <rFont val="Arial"/>
        <charset val="134"/>
      </rPr>
      <t>HONDA SPARK PLUG (BG 1236 IK)</t>
    </r>
  </si>
  <si>
    <r>
      <rPr>
        <sz val="9"/>
        <color rgb="FF000000"/>
        <rFont val="Arial"/>
        <charset val="134"/>
      </rPr>
      <t>HONDA TENSIONER (31170-52A-A03) (B 1721 CAA)</t>
    </r>
  </si>
  <si>
    <r>
      <rPr>
        <sz val="9"/>
        <color rgb="FF000000"/>
        <rFont val="Arial"/>
        <charset val="134"/>
      </rPr>
      <t>HYBRID FILTER FKMAZDA (7259)</t>
    </r>
  </si>
  <si>
    <r>
      <rPr>
        <sz val="9"/>
        <color rgb="FF000000"/>
        <rFont val="Arial"/>
        <charset val="134"/>
      </rPr>
      <t>JASA PRES LAHER RODA</t>
    </r>
  </si>
  <si>
    <r>
      <rPr>
        <sz val="9"/>
        <color rgb="FF000000"/>
        <rFont val="Arial"/>
        <charset val="134"/>
      </rPr>
      <t>JASA SERVICE POWER STERRING RACK (B 1825 SAE)</t>
    </r>
  </si>
  <si>
    <r>
      <rPr>
        <sz val="9"/>
        <color rgb="FF000000"/>
        <rFont val="Arial"/>
        <charset val="134"/>
      </rPr>
      <t>KAMPAS REM BELAKANG (B 2575 UON)</t>
    </r>
  </si>
  <si>
    <r>
      <rPr>
        <sz val="9"/>
        <color rgb="FF000000"/>
        <rFont val="Arial"/>
        <charset val="134"/>
      </rPr>
      <t>KARET GARPU KOPLING HONDA B2898TFP</t>
    </r>
  </si>
  <si>
    <r>
      <rPr>
        <sz val="9"/>
        <color rgb="FF000000"/>
        <rFont val="Arial"/>
        <charset val="134"/>
      </rPr>
      <t>KARET STABIL BULET B1151ULQ</t>
    </r>
  </si>
  <si>
    <r>
      <rPr>
        <sz val="9"/>
        <color rgb="FF000000"/>
        <rFont val="Arial"/>
        <charset val="134"/>
      </rPr>
      <t>KARET STABIL DEPAN B1151ULQ</t>
    </r>
  </si>
  <si>
    <r>
      <rPr>
        <sz val="9"/>
        <color rgb="FF000000"/>
        <rFont val="Arial"/>
        <charset val="134"/>
      </rPr>
      <t>KONDENSOR AC  ORI (B1878RI)</t>
    </r>
  </si>
  <si>
    <r>
      <rPr>
        <sz val="9"/>
        <color rgb="FF000000"/>
        <rFont val="Arial"/>
        <charset val="134"/>
      </rPr>
      <t>KOPLING SET+KABEL KOPLING (B1148PIN)</t>
    </r>
  </si>
  <si>
    <r>
      <rPr>
        <sz val="9"/>
        <color rgb="FF000000"/>
        <rFont val="Arial"/>
        <charset val="134"/>
      </rPr>
      <t>LEM LOCTITE (B1256M)</t>
    </r>
  </si>
  <si>
    <r>
      <rPr>
        <sz val="9"/>
        <color rgb="FF000000"/>
        <rFont val="Arial"/>
        <charset val="134"/>
      </rPr>
      <t>LINK STABIL BELAKANG BIASA B1151ULQ</t>
    </r>
  </si>
  <si>
    <r>
      <rPr>
        <sz val="9"/>
        <color rgb="FF000000"/>
        <rFont val="Arial"/>
        <charset val="134"/>
      </rPr>
      <t>LINK STABIL FR IMPORT B1151ULQ</t>
    </r>
  </si>
  <si>
    <r>
      <rPr>
        <sz val="9"/>
        <color rgb="FF000000"/>
        <rFont val="Arial"/>
        <charset val="134"/>
      </rPr>
      <t>LINK STABILIZER (B 2427 SOV)</t>
    </r>
  </si>
  <si>
    <r>
      <rPr>
        <sz val="9"/>
        <color rgb="FF000000"/>
        <rFont val="Arial"/>
        <charset val="134"/>
      </rPr>
      <t>MASSIV Battery Thunder(MF)-DIN 66 566LN3 12V-66Ah</t>
    </r>
  </si>
  <si>
    <r>
      <rPr>
        <sz val="9"/>
        <color rgb="FF000000"/>
        <rFont val="Arial"/>
        <charset val="134"/>
      </rPr>
      <t>MAZDA CABIN FILTER (B1864BRC)</t>
    </r>
  </si>
  <si>
    <r>
      <rPr>
        <sz val="9"/>
        <color rgb="FF000000"/>
        <rFont val="Arial"/>
        <charset val="134"/>
      </rPr>
      <t>MERCY CONDENSER (B1104SDZ)</t>
    </r>
  </si>
  <si>
    <r>
      <rPr>
        <sz val="9"/>
        <color rgb="FF000000"/>
        <rFont val="Arial"/>
        <charset val="134"/>
      </rPr>
      <t>MITSHUBISHI EXPANDER BRAKE SHOE B2443SYK</t>
    </r>
  </si>
  <si>
    <r>
      <rPr>
        <sz val="9"/>
        <color rgb="FF000000"/>
        <rFont val="Arial"/>
        <charset val="134"/>
      </rPr>
      <t>MITSUBISHI SPARK PLUG B2443SYK</t>
    </r>
  </si>
  <si>
    <r>
      <rPr>
        <sz val="9"/>
        <color rgb="FF000000"/>
        <rFont val="Arial"/>
        <charset val="134"/>
      </rPr>
      <t>MITSUBISHI WHEEL CYLINDER B2443SYK</t>
    </r>
  </si>
  <si>
    <r>
      <rPr>
        <sz val="9"/>
        <color rgb="FF000000"/>
        <rFont val="Arial"/>
        <charset val="134"/>
      </rPr>
      <t>MMKSI FUEL FILTER (1770A053B) (B 678 RFS)</t>
    </r>
  </si>
  <si>
    <r>
      <rPr>
        <sz val="9"/>
        <color rgb="FF000000"/>
        <rFont val="Arial"/>
        <charset val="134"/>
      </rPr>
      <t>MONROE Shock Absorber 378097SP Rear</t>
    </r>
  </si>
  <si>
    <r>
      <rPr>
        <sz val="9"/>
        <color rgb="FF000000"/>
        <rFont val="Arial"/>
        <charset val="134"/>
      </rPr>
      <t>MONROE Shock Absorber 378105SP Rear</t>
    </r>
  </si>
  <si>
    <r>
      <rPr>
        <sz val="9"/>
        <color rgb="FF000000"/>
        <rFont val="Arial"/>
        <charset val="134"/>
      </rPr>
      <t>MONROE Shock Absorber 378172SP Rear</t>
    </r>
  </si>
  <si>
    <r>
      <rPr>
        <sz val="9"/>
        <color rgb="FF000000"/>
        <rFont val="Arial"/>
        <charset val="134"/>
      </rPr>
      <t>MONROE Shock Absorber 378197SP Rear</t>
    </r>
  </si>
  <si>
    <r>
      <rPr>
        <sz val="9"/>
        <color rgb="FF000000"/>
        <rFont val="Arial"/>
        <charset val="134"/>
      </rPr>
      <t>MONROE Shock Absorber 378220SP Rear</t>
    </r>
  </si>
  <si>
    <r>
      <rPr>
        <sz val="9"/>
        <color rgb="FF000000"/>
        <rFont val="Arial"/>
        <charset val="134"/>
      </rPr>
      <t>MONROE Shock Absorber 744000SP Front-RH</t>
    </r>
  </si>
  <si>
    <r>
      <rPr>
        <sz val="9"/>
        <color rgb="FF000000"/>
        <rFont val="Arial"/>
        <charset val="134"/>
      </rPr>
      <t>MONROE Shock Absorber 744001SP Front-LH</t>
    </r>
  </si>
  <si>
    <r>
      <rPr>
        <sz val="9"/>
        <color rgb="FF000000"/>
        <rFont val="Arial"/>
        <charset val="134"/>
      </rPr>
      <t>MONROE Shock Absorber 744066SP Front-RH</t>
    </r>
  </si>
  <si>
    <r>
      <rPr>
        <sz val="9"/>
        <color rgb="FF000000"/>
        <rFont val="Arial"/>
        <charset val="134"/>
      </rPr>
      <t>MONROE Shock Absorber 744067SP Front-LH</t>
    </r>
  </si>
  <si>
    <r>
      <rPr>
        <sz val="9"/>
        <color rgb="FF000000"/>
        <rFont val="Arial"/>
        <charset val="134"/>
      </rPr>
      <t>MONROE Shock Absorber 744074SP Front-RH</t>
    </r>
  </si>
  <si>
    <r>
      <rPr>
        <sz val="9"/>
        <color rgb="FF000000"/>
        <rFont val="Arial"/>
        <charset val="134"/>
      </rPr>
      <t>MONROE Shock Absorber 744075SP Front-LH</t>
    </r>
  </si>
  <si>
    <r>
      <rPr>
        <sz val="9"/>
        <color rgb="FF000000"/>
        <rFont val="Arial"/>
        <charset val="134"/>
      </rPr>
      <t>MONROE Shock Absorber 744120SP Front-RH</t>
    </r>
  </si>
  <si>
    <r>
      <rPr>
        <sz val="9"/>
        <color rgb="FF000000"/>
        <rFont val="Arial"/>
        <charset val="134"/>
      </rPr>
      <t>MONROE Shock Absorber 744121SP Front-LH</t>
    </r>
  </si>
  <si>
    <r>
      <rPr>
        <sz val="9"/>
        <color rgb="FF000000"/>
        <rFont val="Arial"/>
        <charset val="134"/>
      </rPr>
      <t>MONROE Shock Absorber 744206SP Front</t>
    </r>
  </si>
  <si>
    <r>
      <rPr>
        <sz val="9"/>
        <color rgb="FF000000"/>
        <rFont val="Arial"/>
        <charset val="134"/>
      </rPr>
      <t>MONROE Shock Absorber 744258SP Front-RH</t>
    </r>
  </si>
  <si>
    <r>
      <rPr>
        <sz val="9"/>
        <color rgb="FF000000"/>
        <rFont val="Arial"/>
        <charset val="134"/>
      </rPr>
      <t>MONROE Shock Absorber 744259SP Front-LH</t>
    </r>
  </si>
  <si>
    <r>
      <rPr>
        <sz val="9"/>
        <color rgb="FF000000"/>
        <rFont val="Arial"/>
        <charset val="134"/>
      </rPr>
      <t>MONROE Shock Absorber 744270SP Front-RH</t>
    </r>
  </si>
  <si>
    <r>
      <rPr>
        <sz val="9"/>
        <color rgb="FF000000"/>
        <rFont val="Arial"/>
        <charset val="134"/>
      </rPr>
      <t>MONROE Shock Absorber 744271SP Front-LH</t>
    </r>
  </si>
  <si>
    <r>
      <rPr>
        <sz val="9"/>
        <color rgb="FF000000"/>
        <rFont val="Arial"/>
        <charset val="134"/>
      </rPr>
      <t>MONROE Shock Absorber 744428SP Front-RH</t>
    </r>
  </si>
  <si>
    <r>
      <rPr>
        <sz val="9"/>
        <color rgb="FF000000"/>
        <rFont val="Arial"/>
        <charset val="134"/>
      </rPr>
      <t>MONROE Shock Absorber 744429SP Front-LH</t>
    </r>
  </si>
  <si>
    <r>
      <rPr>
        <sz val="9"/>
        <color rgb="FF000000"/>
        <rFont val="Arial"/>
        <charset val="134"/>
      </rPr>
      <t>MONROE Shock Absorber 744474SP Front-RH</t>
    </r>
  </si>
  <si>
    <r>
      <rPr>
        <sz val="9"/>
        <color rgb="FF000000"/>
        <rFont val="Arial"/>
        <charset val="134"/>
      </rPr>
      <t>MONROE Shock Absorber 744475SP Front-LH</t>
    </r>
  </si>
  <si>
    <r>
      <rPr>
        <sz val="9"/>
        <color rgb="FF000000"/>
        <rFont val="Arial"/>
        <charset val="134"/>
      </rPr>
      <t>MONROE Shock Absorber 744496SP Front-RH</t>
    </r>
  </si>
  <si>
    <r>
      <rPr>
        <sz val="9"/>
        <color rgb="FF000000"/>
        <rFont val="Arial"/>
        <charset val="134"/>
      </rPr>
      <t>MONROE Shock Absorber 744497SP Front-LH</t>
    </r>
  </si>
  <si>
    <r>
      <rPr>
        <sz val="9"/>
        <color rgb="FF000000"/>
        <rFont val="Arial"/>
        <charset val="134"/>
      </rPr>
      <t>MOTORCRAFT OIL FILTER (WL84-14-302MC)</t>
    </r>
  </si>
  <si>
    <r>
      <rPr>
        <sz val="9"/>
        <color rgb="FF000000"/>
        <rFont val="Arial"/>
        <charset val="134"/>
      </rPr>
      <t>MOTORCRAFT OIL FILTER (WL8414302)</t>
    </r>
  </si>
  <si>
    <r>
      <rPr>
        <sz val="9"/>
        <color rgb="FF000000"/>
        <rFont val="Arial"/>
        <charset val="134"/>
      </rPr>
      <t>MOTUL H-TECH 100 PLUS 10W-40 1L</t>
    </r>
  </si>
  <si>
    <r>
      <rPr>
        <sz val="9"/>
        <color rgb="FF000000"/>
        <rFont val="Arial"/>
        <charset val="134"/>
      </rPr>
      <t>NISSAN COVER VALVE ( B 2299 HN)</t>
    </r>
  </si>
  <si>
    <r>
      <rPr>
        <sz val="9"/>
        <color rgb="FF000000"/>
        <rFont val="Arial"/>
        <charset val="134"/>
      </rPr>
      <t>NISSAN MAGNETIC CLUTCH ASSY (B 1294 NFU)</t>
    </r>
  </si>
  <si>
    <r>
      <rPr>
        <sz val="9"/>
        <color rgb="FF000000"/>
        <rFont val="Arial"/>
        <charset val="134"/>
      </rPr>
      <t>NISSAN MOUNTING KANAN (B 1528 PZI)</t>
    </r>
  </si>
  <si>
    <r>
      <rPr>
        <sz val="9"/>
        <color rgb="FF000000"/>
        <rFont val="Arial"/>
        <charset val="134"/>
      </rPr>
      <t>NISSAN SPARK PLUG (22401-ED815)</t>
    </r>
  </si>
  <si>
    <r>
      <rPr>
        <sz val="9"/>
        <color rgb="FF000000"/>
        <rFont val="Arial"/>
        <charset val="134"/>
      </rPr>
      <t>O-RING CHAMSAFT (B1256M)</t>
    </r>
  </si>
  <si>
    <r>
      <rPr>
        <sz val="9"/>
        <color rgb="FF000000"/>
        <rFont val="Arial"/>
        <charset val="134"/>
      </rPr>
      <t>OIL FILTER 26300-35056HMI</t>
    </r>
  </si>
  <si>
    <r>
      <rPr>
        <sz val="9"/>
        <color rgb="FF000000"/>
        <rFont val="Arial"/>
        <charset val="134"/>
      </rPr>
      <t>PEN CALIPER FR IMPORT (B1283BRS)</t>
    </r>
  </si>
  <si>
    <r>
      <rPr>
        <sz val="9"/>
        <color rgb="FF000000"/>
        <rFont val="Arial"/>
        <charset val="134"/>
      </rPr>
      <t>PRESS SELANG 5/8 (B 1924 NFU)</t>
    </r>
  </si>
  <si>
    <r>
      <rPr>
        <sz val="9"/>
        <color rgb="FF000000"/>
        <rFont val="Arial"/>
        <charset val="134"/>
      </rPr>
      <t>RADIATOR ASSY (B 1721 CAA)</t>
    </r>
  </si>
  <si>
    <r>
      <rPr>
        <sz val="9"/>
        <color rgb="FF000000"/>
        <rFont val="Arial"/>
        <charset val="134"/>
      </rPr>
      <t>RCB D2278M BRAKE PAD FR KH1519M</t>
    </r>
  </si>
  <si>
    <r>
      <rPr>
        <sz val="9"/>
        <color rgb="FF000000"/>
        <rFont val="Arial"/>
        <charset val="134"/>
      </rPr>
      <t>SAKURA FILTER OLI C-1002(BENGKEL MOBIL CAK MIN)</t>
    </r>
  </si>
  <si>
    <r>
      <rPr>
        <sz val="9"/>
        <color rgb="FF000000"/>
        <rFont val="Arial"/>
        <charset val="134"/>
      </rPr>
      <t>SANYCO MASTER REM (8-94313438-2M) (B 1506 NKX)</t>
    </r>
  </si>
  <si>
    <r>
      <rPr>
        <sz val="9"/>
        <color rgb="FF000000"/>
        <rFont val="Arial"/>
        <charset val="134"/>
      </rPr>
      <t>SANYCO WHEEL CYLINDER (8-94233500-4) (B 1506 NKX)</t>
    </r>
  </si>
  <si>
    <r>
      <rPr>
        <sz val="8"/>
        <color rgb="FF000000"/>
        <rFont val="Courier"/>
        <charset val="134"/>
      </rPr>
      <t>Page Break 51</t>
    </r>
  </si>
  <si>
    <r>
      <rPr>
        <sz val="9"/>
        <color rgb="FF000000"/>
        <rFont val="Arial"/>
        <charset val="134"/>
      </rPr>
      <t>SEAL COVER VALVE (B 2575 UON)</t>
    </r>
  </si>
  <si>
    <r>
      <rPr>
        <sz val="9"/>
        <color rgb="FF000000"/>
        <rFont val="Arial"/>
        <charset val="134"/>
      </rPr>
      <t>SEAL COVER VALVE LIVINA (B1283BRS)</t>
    </r>
  </si>
  <si>
    <r>
      <rPr>
        <sz val="9"/>
        <color rgb="FF000000"/>
        <rFont val="Arial"/>
        <charset val="134"/>
      </rPr>
      <t>SEAL CRANKSHAFT FR (B1256M)</t>
    </r>
  </si>
  <si>
    <r>
      <rPr>
        <sz val="9"/>
        <color rgb="FF000000"/>
        <rFont val="Arial"/>
        <charset val="134"/>
      </rPr>
      <t>SEAL KIT OUTPUT (B 1825 SAE)</t>
    </r>
  </si>
  <si>
    <r>
      <rPr>
        <sz val="9"/>
        <color rgb="FF000000"/>
        <rFont val="Arial"/>
        <charset val="134"/>
      </rPr>
      <t>SEAL MATIC ASLI B1151ULQ</t>
    </r>
  </si>
  <si>
    <r>
      <rPr>
        <sz val="8"/>
        <color rgb="FF000000"/>
        <rFont val="Courier"/>
        <charset val="134"/>
      </rPr>
      <t>Page Break 52</t>
    </r>
  </si>
  <si>
    <r>
      <rPr>
        <sz val="9"/>
        <color rgb="FF000000"/>
        <rFont val="Arial"/>
        <charset val="134"/>
      </rPr>
      <t>SEAL POWER STEERING (B 1825 SAE)</t>
    </r>
  </si>
  <si>
    <r>
      <rPr>
        <sz val="9"/>
        <color rgb="FF000000"/>
        <rFont val="Arial"/>
        <charset val="134"/>
      </rPr>
      <t>SEAL THREEBOND (B1283BRS)</t>
    </r>
  </si>
  <si>
    <r>
      <rPr>
        <sz val="9"/>
        <color rgb="FF000000"/>
        <rFont val="Arial"/>
        <charset val="134"/>
      </rPr>
      <t>SELANG BESAR + KECIL (B 1825 SAE)</t>
    </r>
  </si>
  <si>
    <r>
      <rPr>
        <sz val="8"/>
        <color rgb="FF000000"/>
        <rFont val="Courier"/>
        <charset val="134"/>
      </rPr>
      <t>Page Break 53</t>
    </r>
  </si>
  <si>
    <r>
      <rPr>
        <sz val="9"/>
        <color rgb="FF000000"/>
        <rFont val="Arial"/>
        <charset val="134"/>
      </rPr>
      <t>SHELL Diesel Engine Oil RIMULA R5 E 10W-40 1L</t>
    </r>
  </si>
  <si>
    <r>
      <rPr>
        <sz val="9"/>
        <color rgb="FF000000"/>
        <rFont val="Arial"/>
        <charset val="134"/>
      </rPr>
      <t>SHELL Engine Oil HELIX CITY 0W-20 1L</t>
    </r>
  </si>
  <si>
    <r>
      <rPr>
        <sz val="8"/>
        <color rgb="FF000000"/>
        <rFont val="Courier"/>
        <charset val="134"/>
      </rPr>
      <t>Page Break 54</t>
    </r>
  </si>
  <si>
    <r>
      <rPr>
        <sz val="9"/>
        <color rgb="FF000000"/>
        <rFont val="Arial"/>
        <charset val="134"/>
      </rPr>
      <t>SHELL Engine Oil HELIX HX7 Plus 5W-40 1L</t>
    </r>
  </si>
  <si>
    <r>
      <rPr>
        <sz val="8"/>
        <color rgb="FF000000"/>
        <rFont val="Courier"/>
        <charset val="134"/>
      </rPr>
      <t>Page Break 55</t>
    </r>
  </si>
  <si>
    <r>
      <rPr>
        <sz val="8"/>
        <color rgb="FF000000"/>
        <rFont val="Courier"/>
        <charset val="134"/>
      </rPr>
      <t>Page Break 56</t>
    </r>
  </si>
  <si>
    <r>
      <rPr>
        <sz val="9"/>
        <color rgb="FF000000"/>
        <rFont val="Arial"/>
        <charset val="134"/>
      </rPr>
      <t>SOCKET COIL IGNITION (B 1825 SAE)</t>
    </r>
  </si>
  <si>
    <r>
      <rPr>
        <sz val="9"/>
        <color rgb="FF000000"/>
        <rFont val="Arial"/>
        <charset val="134"/>
      </rPr>
      <t>SOKET H4 LIVINA (B1283BRS)</t>
    </r>
  </si>
  <si>
    <r>
      <rPr>
        <sz val="8"/>
        <color rgb="FF000000"/>
        <rFont val="Courier"/>
        <charset val="134"/>
      </rPr>
      <t>Page Break 57</t>
    </r>
  </si>
  <si>
    <r>
      <rPr>
        <sz val="9"/>
        <color rgb="FF000000"/>
        <rFont val="Arial"/>
        <charset val="134"/>
      </rPr>
      <t>SUZUKI ERTIGA PACKING TUTUP KLEP</t>
    </r>
  </si>
  <si>
    <r>
      <rPr>
        <sz val="9"/>
        <color rgb="FF000000"/>
        <rFont val="Arial"/>
        <charset val="134"/>
      </rPr>
      <t>TAG BIRKENS CABIN AIR FILTER BT50 06-11</t>
    </r>
  </si>
  <si>
    <r>
      <rPr>
        <sz val="9"/>
        <color rgb="FF000000"/>
        <rFont val="Arial"/>
        <charset val="134"/>
      </rPr>
      <t>THERMOSTAT (19310-5A2-A01) (B 1721 CAA)</t>
    </r>
  </si>
  <si>
    <r>
      <rPr>
        <sz val="9"/>
        <color rgb="FF000000"/>
        <rFont val="Arial"/>
        <charset val="134"/>
      </rPr>
      <t>TOYOTA 0447860070 SEAL KIT RH KH1519M</t>
    </r>
  </si>
  <si>
    <r>
      <rPr>
        <sz val="9"/>
        <color rgb="FF000000"/>
        <rFont val="Arial"/>
        <charset val="134"/>
      </rPr>
      <t>TOYOTA 4653034010 BRAKE SHOE KH1519M</t>
    </r>
  </si>
  <si>
    <r>
      <rPr>
        <sz val="9"/>
        <color rgb="FF000000"/>
        <rFont val="Arial"/>
        <charset val="134"/>
      </rPr>
      <t>TOYOTA ARM KANAN DAN KIRI B1642PYX</t>
    </r>
  </si>
  <si>
    <r>
      <rPr>
        <sz val="9"/>
        <color rgb="FF000000"/>
        <rFont val="Arial"/>
        <charset val="134"/>
      </rPr>
      <t>TOYOTA BEARING FR R/L (B 1833 BFT)</t>
    </r>
  </si>
  <si>
    <r>
      <rPr>
        <sz val="8"/>
        <color rgb="FF000000"/>
        <rFont val="Courier"/>
        <charset val="134"/>
      </rPr>
      <t>Page Break 58</t>
    </r>
  </si>
  <si>
    <r>
      <rPr>
        <sz val="9"/>
        <color rgb="FF000000"/>
        <rFont val="Arial"/>
        <charset val="134"/>
      </rPr>
      <t>TOYOTA BOOT AS RODA (04437-BZ050) (B 2731 PKE)</t>
    </r>
  </si>
  <si>
    <r>
      <rPr>
        <sz val="9"/>
        <color rgb="FF000000"/>
        <rFont val="Arial"/>
        <charset val="134"/>
      </rPr>
      <t>TOYOTA BRAKE PAD RR (B 2066 UKZ)</t>
    </r>
  </si>
  <si>
    <r>
      <rPr>
        <sz val="9"/>
        <color rgb="FF000000"/>
        <rFont val="Arial"/>
        <charset val="134"/>
      </rPr>
      <t>TOYOTA CLAMP BOOT UNIVERSAL (7298)</t>
    </r>
  </si>
  <si>
    <r>
      <rPr>
        <sz val="8"/>
        <color rgb="FF000000"/>
        <rFont val="Courier"/>
        <charset val="134"/>
      </rPr>
      <t>Page Break 59</t>
    </r>
  </si>
  <si>
    <r>
      <rPr>
        <sz val="9"/>
        <color rgb="FF000000"/>
        <rFont val="Arial"/>
        <charset val="134"/>
      </rPr>
      <t>TOYOTA GASKET,CYLINDER HEAD (11213-0H030) (B 2660 EM)</t>
    </r>
  </si>
  <si>
    <r>
      <rPr>
        <sz val="9"/>
        <color rgb="FF000000"/>
        <rFont val="Arial"/>
        <charset val="134"/>
      </rPr>
      <t>TOYOTA KARET SUPPORT B1642PYX</t>
    </r>
  </si>
  <si>
    <r>
      <rPr>
        <sz val="9"/>
        <color rgb="FF000000"/>
        <rFont val="Arial"/>
        <charset val="134"/>
      </rPr>
      <t>TOYOTA KLEAMAN BESAR &amp; KECIL (B 2731 PKE)</t>
    </r>
  </si>
  <si>
    <r>
      <rPr>
        <sz val="9"/>
        <color rgb="FF000000"/>
        <rFont val="Arial"/>
        <charset val="134"/>
      </rPr>
      <t>TOYOTA LOWER ARM ASSY R/L (B 1833 BFT)</t>
    </r>
  </si>
  <si>
    <r>
      <rPr>
        <sz val="9"/>
        <color rgb="FF000000"/>
        <rFont val="Arial"/>
        <charset val="134"/>
      </rPr>
      <t>TOYOTA O RING OIL FILTER (B 1833 BFT)</t>
    </r>
  </si>
  <si>
    <r>
      <rPr>
        <sz val="9"/>
        <color rgb="FF000000"/>
        <rFont val="Arial"/>
        <charset val="134"/>
      </rPr>
      <t>TOYOTA O-RING  90301T0023 BG1267HO</t>
    </r>
  </si>
  <si>
    <r>
      <rPr>
        <sz val="9"/>
        <color rgb="FF000000"/>
        <rFont val="Arial"/>
        <charset val="134"/>
      </rPr>
      <t>TOYOTA O-RING 90301T0082 BG1267HO</t>
    </r>
  </si>
  <si>
    <r>
      <rPr>
        <sz val="8"/>
        <color rgb="FF000000"/>
        <rFont val="Courier"/>
        <charset val="134"/>
      </rPr>
      <t>Page Break 60</t>
    </r>
  </si>
  <si>
    <r>
      <rPr>
        <sz val="9"/>
        <color rgb="FF000000"/>
        <rFont val="Arial"/>
        <charset val="134"/>
      </rPr>
      <t>TOYOTA PAKCING KLEP (B 2517 KGV)</t>
    </r>
  </si>
  <si>
    <r>
      <rPr>
        <sz val="9"/>
        <color rgb="FF000000"/>
        <rFont val="Arial"/>
        <charset val="134"/>
      </rPr>
      <t>TOYOTA SEAL COVER VALVE (B 1825 SAE)</t>
    </r>
  </si>
  <si>
    <r>
      <rPr>
        <sz val="9"/>
        <color rgb="FF000000"/>
        <rFont val="Arial"/>
        <charset val="134"/>
      </rPr>
      <t>TOYOTA SEAL COVER VALVE (B 2589 BKV)</t>
    </r>
  </si>
  <si>
    <r>
      <rPr>
        <sz val="9"/>
        <color rgb="FF000000"/>
        <rFont val="Arial"/>
        <charset val="134"/>
      </rPr>
      <t>TOYOTA SEAL INPUT SHAFT MATIC B1642PYX</t>
    </r>
  </si>
  <si>
    <r>
      <rPr>
        <sz val="9"/>
        <color rgb="FF000000"/>
        <rFont val="Arial"/>
        <charset val="134"/>
      </rPr>
      <t>TOYOTA SEAL KIT REM B1642PYX</t>
    </r>
  </si>
  <si>
    <r>
      <rPr>
        <sz val="9"/>
        <color rgb="FF000000"/>
        <rFont val="Arial"/>
        <charset val="134"/>
      </rPr>
      <t>TOYOTA SEAL KRUK AS BELAKANG B1642PYX</t>
    </r>
  </si>
  <si>
    <r>
      <rPr>
        <sz val="9"/>
        <color rgb="FF000000"/>
        <rFont val="Arial"/>
        <charset val="134"/>
      </rPr>
      <t>TOYOTA SERVO S/A DAMPER 87106-0K210 (B 1988 UJJ)</t>
    </r>
  </si>
  <si>
    <r>
      <rPr>
        <sz val="8"/>
        <color rgb="FF000000"/>
        <rFont val="Courier"/>
        <charset val="134"/>
      </rPr>
      <t>Page Break 61</t>
    </r>
  </si>
  <si>
    <r>
      <rPr>
        <sz val="9"/>
        <color rgb="FF000000"/>
        <rFont val="Arial"/>
        <charset val="134"/>
      </rPr>
      <t>TOYOTA THERMOSTAT (B 2016 TFZ)</t>
    </r>
  </si>
  <si>
    <r>
      <rPr>
        <sz val="9"/>
        <color rgb="FF000000"/>
        <rFont val="Arial"/>
        <charset val="134"/>
      </rPr>
      <t>TOYOTA UPPER ARM ASSY R/L (B 1833 BFT)</t>
    </r>
  </si>
  <si>
    <r>
      <rPr>
        <sz val="9"/>
        <color rgb="FF000000"/>
        <rFont val="Arial"/>
        <charset val="134"/>
      </rPr>
      <t>TUTUP RADIATOR (B 1825 SAE)</t>
    </r>
  </si>
  <si>
    <r>
      <rPr>
        <sz val="9"/>
        <color rgb="FF000000"/>
        <rFont val="Arial"/>
        <charset val="134"/>
      </rPr>
      <t>V-BELT ALTERNATOR ASLI B1151ULQ</t>
    </r>
  </si>
  <si>
    <r>
      <rPr>
        <sz val="9"/>
        <color rgb="FF000000"/>
        <rFont val="Arial"/>
        <charset val="134"/>
      </rPr>
      <t>V-BELT POWER STEERING ASLI B1151ULQ</t>
    </r>
  </si>
  <si>
    <r>
      <rPr>
        <sz val="9"/>
        <color rgb="FF000000"/>
        <rFont val="Arial"/>
        <charset val="134"/>
      </rPr>
      <t>V-BELT T2026 (B 1825 SAE)</t>
    </r>
  </si>
  <si>
    <r>
      <rPr>
        <sz val="8"/>
        <color rgb="FF000000"/>
        <rFont val="Courier"/>
        <charset val="134"/>
      </rPr>
      <t>Page Break 62</t>
    </r>
  </si>
  <si>
    <r>
      <rPr>
        <sz val="9"/>
        <color rgb="FF000000"/>
        <rFont val="Arial"/>
        <charset val="134"/>
      </rPr>
      <t>VW POLO OIL FILTER (B 1475 TVN)</t>
    </r>
  </si>
  <si>
    <r>
      <rPr>
        <sz val="9"/>
        <color rgb="FF000000"/>
        <rFont val="Arial"/>
        <charset val="134"/>
      </rPr>
      <t>VW TENSIONER V-BELT 030145299F (B-1475-TVN)</t>
    </r>
  </si>
  <si>
    <r>
      <rPr>
        <sz val="9"/>
        <color rgb="FF000000"/>
        <rFont val="Arial"/>
        <charset val="134"/>
      </rPr>
      <t>VW V-BELT 036145933AK (B-1475-TVN)</t>
    </r>
  </si>
  <si>
    <r>
      <rPr>
        <sz val="9"/>
        <color rgb="FF000000"/>
        <rFont val="Arial"/>
        <charset val="134"/>
      </rPr>
      <t>WHEEL CYLINDER LIVINA (B1283BRS)</t>
    </r>
  </si>
  <si>
    <r>
      <rPr>
        <sz val="9"/>
        <color rgb="FF000000"/>
        <rFont val="Arial"/>
        <charset val="134"/>
      </rPr>
      <t>WHEEL CYLINDER RR ((B 2575 UON)</t>
    </r>
  </si>
  <si>
    <r>
      <rPr>
        <sz val="9"/>
        <color rgb="FF000000"/>
        <rFont val="Arial"/>
        <charset val="134"/>
      </rPr>
      <t>WHEEL CYLINDER XPANDER IMPORT (B1901ZKP)</t>
    </r>
  </si>
  <si>
    <r>
      <rPr>
        <sz val="9"/>
        <color rgb="FF000000"/>
        <rFont val="Arial"/>
        <charset val="134"/>
      </rPr>
      <t>WULING OIL FILTER 9052781 (B-1443-ROB)</t>
    </r>
  </si>
  <si>
    <r>
      <rPr>
        <sz val="8"/>
        <color rgb="FF000000"/>
        <rFont val="Courier"/>
        <charset val="134"/>
      </rPr>
      <t>Page Break 63</t>
    </r>
  </si>
  <si>
    <r>
      <rPr>
        <sz val="9"/>
        <color rgb="FF000000"/>
        <rFont val="Arial"/>
        <charset val="134"/>
      </rPr>
      <t>YOKOMITSU  4420060130 STEERING RACK KH1519M</t>
    </r>
  </si>
  <si>
    <r>
      <rPr>
        <sz val="8"/>
        <color rgb="FF000000"/>
        <rFont val="Courier"/>
        <charset val="134"/>
      </rPr>
      <t>Page Break 64</t>
    </r>
  </si>
  <si>
    <r>
      <rPr>
        <sz val="11"/>
        <color rgb="FF000000"/>
        <rFont val="Courier"/>
        <charset val="134"/>
      </rPr>
      <t>From 01 Nov 2025 until 30 Nov 2025</t>
    </r>
  </si>
  <si>
    <r>
      <rPr>
        <sz val="9"/>
        <color rgb="FF000000"/>
        <rFont val="Arial"/>
        <charset val="134"/>
      </rPr>
      <t>555 LONG TIE ROD B1621ULQ</t>
    </r>
  </si>
  <si>
    <r>
      <rPr>
        <sz val="9"/>
        <color rgb="FF000000"/>
        <rFont val="Arial"/>
        <charset val="134"/>
      </rPr>
      <t>555 TIE ROD END B1621ULQ</t>
    </r>
  </si>
  <si>
    <r>
      <rPr>
        <sz val="9"/>
        <color rgb="FF000000"/>
        <rFont val="Arial"/>
        <charset val="134"/>
      </rPr>
      <t>ADVIOS CYLINDER KIT (47570-87612) (B 1910 BMD)</t>
    </r>
  </si>
  <si>
    <r>
      <rPr>
        <sz val="9"/>
        <color rgb="FF000000"/>
        <rFont val="Arial"/>
        <charset val="134"/>
      </rPr>
      <t>ARM BESI KANAN W205 (B 1284 WIB)</t>
    </r>
  </si>
  <si>
    <r>
      <rPr>
        <sz val="9"/>
        <color rgb="FF000000"/>
        <rFont val="Arial"/>
        <charset val="134"/>
      </rPr>
      <t>ARMORAL GLOSS FINISH PROTECTANT 300ML</t>
    </r>
  </si>
  <si>
    <r>
      <rPr>
        <sz val="9"/>
        <color rgb="FF000000"/>
        <rFont val="Arial"/>
        <charset val="134"/>
      </rPr>
      <t>ASKHP WCA-5521 WHEEL CYL ASSY B1926ZVI</t>
    </r>
  </si>
  <si>
    <r>
      <rPr>
        <sz val="9"/>
        <color rgb="FF000000"/>
        <rFont val="Arial"/>
        <charset val="134"/>
      </rPr>
      <t>AUTO TENSIONER B2AM</t>
    </r>
  </si>
  <si>
    <r>
      <rPr>
        <sz val="9"/>
        <color rgb="FF000000"/>
        <rFont val="Arial"/>
        <charset val="134"/>
      </rPr>
      <t>AUTOBLUB T20 12V 21/5W</t>
    </r>
  </si>
  <si>
    <r>
      <rPr>
        <sz val="9"/>
        <color rgb="FF000000"/>
        <rFont val="Arial"/>
        <charset val="134"/>
      </rPr>
      <t>B.DISC BELAKANG W205 (B 1284 WIB)</t>
    </r>
  </si>
  <si>
    <r>
      <rPr>
        <sz val="9"/>
        <color rgb="FF000000"/>
        <rFont val="Arial"/>
        <charset val="134"/>
      </rPr>
      <t>B.DISC DEPAN W205 (B 1284 WIB)</t>
    </r>
  </si>
  <si>
    <r>
      <rPr>
        <sz val="9"/>
        <color rgb="FF000000"/>
        <rFont val="Arial"/>
        <charset val="134"/>
      </rPr>
      <t>BALL JOINT LOWER B2AM</t>
    </r>
  </si>
  <si>
    <r>
      <rPr>
        <sz val="9"/>
        <color rgb="FF000000"/>
        <rFont val="Arial"/>
        <charset val="134"/>
      </rPr>
      <t>BALL JOINT UPPER B2AM</t>
    </r>
  </si>
  <si>
    <r>
      <rPr>
        <sz val="9"/>
        <color rgb="FF000000"/>
        <rFont val="Arial"/>
        <charset val="134"/>
      </rPr>
      <t>BAUD TUTUP KLEP ORIGINAL TOYOTA INNOVA (B 1663 PRU)</t>
    </r>
  </si>
  <si>
    <r>
      <rPr>
        <sz val="9"/>
        <color rgb="FF000000"/>
        <rFont val="Arial"/>
        <charset val="134"/>
      </rPr>
      <t>BEARING REAR B1810JVL</t>
    </r>
  </si>
  <si>
    <r>
      <rPr>
        <sz val="9"/>
        <color rgb="FF000000"/>
        <rFont val="Arial"/>
        <charset val="134"/>
      </rPr>
      <t>BEARING RODA RR BRV (B 2389 FR)</t>
    </r>
  </si>
  <si>
    <r>
      <rPr>
        <sz val="9"/>
        <color rgb="FF000000"/>
        <rFont val="Arial"/>
        <charset val="134"/>
      </rPr>
      <t>BELT, V-RIBBED 9004A-91067-001 (B 2683 TKE)</t>
    </r>
  </si>
  <si>
    <r>
      <rPr>
        <sz val="9"/>
        <color rgb="FF000000"/>
        <rFont val="Arial"/>
        <charset val="134"/>
      </rPr>
      <t>BENDIX Brake Pad BS 5116 / DS 1264 Rear</t>
    </r>
  </si>
  <si>
    <r>
      <rPr>
        <sz val="9"/>
        <color rgb="FF000000"/>
        <rFont val="Arial"/>
        <charset val="134"/>
      </rPr>
      <t>BENDIX Brake Pad DB 1751 Front</t>
    </r>
  </si>
  <si>
    <r>
      <rPr>
        <sz val="9"/>
        <color rgb="FF000000"/>
        <rFont val="Arial"/>
        <charset val="134"/>
      </rPr>
      <t>BENDIX Brake Pad DB 1774 Front</t>
    </r>
  </si>
  <si>
    <r>
      <rPr>
        <sz val="9"/>
        <color rgb="FF000000"/>
        <rFont val="Arial"/>
        <charset val="134"/>
      </rPr>
      <t>BENDIX Brake Pad DB 1802 Front</t>
    </r>
  </si>
  <si>
    <r>
      <rPr>
        <sz val="9"/>
        <color rgb="FF000000"/>
        <rFont val="Arial"/>
        <charset val="134"/>
      </rPr>
      <t>BENDIX Brake Pad DB 1830 Front</t>
    </r>
  </si>
  <si>
    <r>
      <rPr>
        <sz val="9"/>
        <color rgb="FF000000"/>
        <rFont val="Arial"/>
        <charset val="134"/>
      </rPr>
      <t>BENDIX Brake Pad DB 2221 Front</t>
    </r>
  </si>
  <si>
    <r>
      <rPr>
        <sz val="9"/>
        <color rgb="FF000000"/>
        <rFont val="Arial"/>
        <charset val="134"/>
      </rPr>
      <t>BENDIX Brake Pad DB 2278 Rear</t>
    </r>
  </si>
  <si>
    <r>
      <rPr>
        <sz val="9"/>
        <color rgb="FF000000"/>
        <rFont val="Arial"/>
        <charset val="134"/>
      </rPr>
      <t>BENDIX Brake Pad DB 2396 Front</t>
    </r>
  </si>
  <si>
    <r>
      <rPr>
        <sz val="9"/>
        <color rgb="FF000000"/>
        <rFont val="Arial"/>
        <charset val="134"/>
      </rPr>
      <t>BENDIX Brake Pad DB 2434 Front</t>
    </r>
  </si>
  <si>
    <r>
      <rPr>
        <sz val="9"/>
        <color rgb="FF000000"/>
        <rFont val="Arial"/>
        <charset val="134"/>
      </rPr>
      <t>BENDIX Brake Pad DB 2496 Front</t>
    </r>
  </si>
  <si>
    <r>
      <rPr>
        <sz val="9"/>
        <color rgb="FF000000"/>
        <rFont val="Arial"/>
        <charset val="134"/>
      </rPr>
      <t>BENDIX Brake Pad DB 2522 Front</t>
    </r>
  </si>
  <si>
    <r>
      <rPr>
        <sz val="9"/>
        <color rgb="FF000000"/>
        <rFont val="Arial"/>
        <charset val="134"/>
      </rPr>
      <t>BENDIX Brake Pad DB 2587 Front</t>
    </r>
  </si>
  <si>
    <r>
      <rPr>
        <sz val="9"/>
        <color rgb="FF000000"/>
        <rFont val="Arial"/>
        <charset val="134"/>
      </rPr>
      <t>BENSCO BRAKE MASTER CYLINDER (70-0005-124) (B 1603 UHY)</t>
    </r>
  </si>
  <si>
    <r>
      <rPr>
        <sz val="9"/>
        <color rgb="FF000000"/>
        <rFont val="Arial"/>
        <charset val="134"/>
      </rPr>
      <t>BENSCO LOWER ARM (05JH-018-101) (B 2052 BKO)</t>
    </r>
  </si>
  <si>
    <r>
      <rPr>
        <sz val="9"/>
        <color rgb="FF000000"/>
        <rFont val="Arial"/>
        <charset val="134"/>
      </rPr>
      <t>BLOWER AC DENSO B6HDA</t>
    </r>
  </si>
  <si>
    <r>
      <rPr>
        <sz val="9"/>
        <color rgb="FF000000"/>
        <rFont val="Arial"/>
        <charset val="134"/>
      </rPr>
      <t>BOOT ABSORBER FR ETIOS B 1784 TRT</t>
    </r>
  </si>
  <si>
    <r>
      <rPr>
        <sz val="9"/>
        <color rgb="FF000000"/>
        <rFont val="Arial"/>
        <charset val="134"/>
      </rPr>
      <t>BOOT DRIVE SHAFT BK1745PM</t>
    </r>
  </si>
  <si>
    <r>
      <rPr>
        <sz val="9"/>
        <color rgb="FF000000"/>
        <rFont val="Arial"/>
        <charset val="134"/>
      </rPr>
      <t>BOSCH Air Filter A 2136</t>
    </r>
  </si>
  <si>
    <r>
      <rPr>
        <sz val="9"/>
        <color rgb="FF000000"/>
        <rFont val="Arial"/>
        <charset val="134"/>
      </rPr>
      <t>BOSCH Battery MF Blue NX100-S6 55B24R 12V-45Ah</t>
    </r>
  </si>
  <si>
    <r>
      <rPr>
        <sz val="9"/>
        <color rgb="FF000000"/>
        <rFont val="Arial"/>
        <charset val="134"/>
      </rPr>
      <t>BCS HEAD OFFICE--Central Warehouse</t>
    </r>
  </si>
  <si>
    <r>
      <rPr>
        <sz val="9"/>
        <color rgb="FF000000"/>
        <rFont val="Arial"/>
        <charset val="134"/>
      </rPr>
      <t>BOSCH Battery MF Blue NX100-S6L 55B24L 12V-45Ah</t>
    </r>
  </si>
  <si>
    <r>
      <rPr>
        <sz val="9"/>
        <color rgb="FF000000"/>
        <rFont val="Arial"/>
        <charset val="134"/>
      </rPr>
      <t>BOSCH Battery MF Hightech AGM DIN70 LN3 12V-70Ah</t>
    </r>
  </si>
  <si>
    <r>
      <rPr>
        <sz val="9"/>
        <color rgb="FF000000"/>
        <rFont val="Arial"/>
        <charset val="134"/>
      </rPr>
      <t>BOSCH Brake Pad 0986AB1704 /BP1704 Front</t>
    </r>
  </si>
  <si>
    <r>
      <rPr>
        <sz val="9"/>
        <color rgb="FF000000"/>
        <rFont val="Arial"/>
        <charset val="134"/>
      </rPr>
      <t>BOSCH Brake Pad 0986T18181 /BP1169N Front</t>
    </r>
  </si>
  <si>
    <r>
      <rPr>
        <sz val="9"/>
        <color rgb="FF000000"/>
        <rFont val="Arial"/>
        <charset val="134"/>
      </rPr>
      <t>BOSCH Light Bulb H11 12V 55W -PGJ19-2 ECO</t>
    </r>
  </si>
  <si>
    <r>
      <rPr>
        <sz val="9"/>
        <color rgb="FF000000"/>
        <rFont val="Arial"/>
        <charset val="134"/>
      </rPr>
      <t>BOSCH Light Bulb H4 12V 60/55W -P43t ECO</t>
    </r>
  </si>
  <si>
    <r>
      <rPr>
        <sz val="9"/>
        <color rgb="FF000000"/>
        <rFont val="Arial"/>
        <charset val="134"/>
      </rPr>
      <t>BOSCH Light Bulb R10W 12V 10W -BA15s ECO Auxiliary</t>
    </r>
  </si>
  <si>
    <r>
      <rPr>
        <sz val="9"/>
        <color rgb="FF000000"/>
        <rFont val="Arial"/>
        <charset val="134"/>
      </rPr>
      <t>BOSCH Light Bulb W21/5W 12V 21W/5W -W3x16q ECO Auxiliary</t>
    </r>
  </si>
  <si>
    <r>
      <rPr>
        <sz val="9"/>
        <color rgb="FF000000"/>
        <rFont val="Arial"/>
        <charset val="134"/>
      </rPr>
      <t>BOSCH MINI RELAY 12V 30A 4 PINS 0986AH0140</t>
    </r>
  </si>
  <si>
    <r>
      <rPr>
        <sz val="9"/>
        <color rgb="FF000000"/>
        <rFont val="Arial"/>
        <charset val="134"/>
      </rPr>
      <t>BOSCH SPARK PLUG Iirdium YR7DPP30 (YR7DI30)</t>
    </r>
  </si>
  <si>
    <r>
      <rPr>
        <sz val="9"/>
        <color rgb="FF000000"/>
        <rFont val="Arial"/>
        <charset val="134"/>
      </rPr>
      <t>BOSCH Spark Plug VR8SII33X - Iridium</t>
    </r>
  </si>
  <si>
    <r>
      <rPr>
        <sz val="9"/>
        <color rgb="FF000000"/>
        <rFont val="Arial"/>
        <charset val="134"/>
      </rPr>
      <t>BOSCH Wiper Aerotwin (Set) A514S</t>
    </r>
  </si>
  <si>
    <r>
      <rPr>
        <sz val="9"/>
        <color rgb="FF000000"/>
        <rFont val="Arial"/>
        <charset val="134"/>
      </rPr>
      <t>BRAKE PAD DEPAN B1405UMD</t>
    </r>
  </si>
  <si>
    <r>
      <rPr>
        <sz val="9"/>
        <color rgb="FF000000"/>
        <rFont val="Arial"/>
        <charset val="134"/>
      </rPr>
      <t>BRAKE PAD RR B6HDA</t>
    </r>
  </si>
  <si>
    <r>
      <rPr>
        <sz val="9"/>
        <color rgb="FF000000"/>
        <rFont val="Arial"/>
        <charset val="134"/>
      </rPr>
      <t>BRAKE PAD, RE, W/SHIMS (B 1909 KJD)</t>
    </r>
  </si>
  <si>
    <r>
      <rPr>
        <sz val="9"/>
        <color rgb="FF000000"/>
        <rFont val="Arial"/>
        <charset val="134"/>
      </rPr>
      <t>BRIDGESTONE TIRE Alenza 001 235/55R19 101W</t>
    </r>
  </si>
  <si>
    <r>
      <rPr>
        <sz val="9"/>
        <color rgb="FF000000"/>
        <rFont val="Arial"/>
        <charset val="134"/>
      </rPr>
      <t>BRIDGESTONE TIRE Dueler H/T 687 225/65R17 101S-OEM</t>
    </r>
  </si>
  <si>
    <r>
      <rPr>
        <sz val="9"/>
        <color rgb="FF000000"/>
        <rFont val="Arial"/>
        <charset val="134"/>
      </rPr>
      <t>BRIDGESTONE TIRE Duravis R624 175R13 97R</t>
    </r>
  </si>
  <si>
    <r>
      <rPr>
        <sz val="9"/>
        <color rgb="FF000000"/>
        <rFont val="Arial"/>
        <charset val="134"/>
      </rPr>
      <t>BRIDGESTONE TIRE Ecopia EP150 195/70R14 91H</t>
    </r>
  </si>
  <si>
    <r>
      <rPr>
        <sz val="9"/>
        <color rgb="FF000000"/>
        <rFont val="Arial"/>
        <charset val="134"/>
      </rPr>
      <t>BRIDGESTONE TIRE Turanza 6 195/55R16 91V</t>
    </r>
  </si>
  <si>
    <r>
      <rPr>
        <sz val="9"/>
        <color rgb="FF000000"/>
        <rFont val="Arial"/>
        <charset val="134"/>
      </rPr>
      <t>BRIGHTON  01_BESTLUBE  GREASE B1926ZVI</t>
    </r>
  </si>
  <si>
    <r>
      <rPr>
        <sz val="9"/>
        <color rgb="FF000000"/>
        <rFont val="Arial"/>
        <charset val="134"/>
      </rPr>
      <t>BURGARI EXTRIM XI</t>
    </r>
  </si>
  <si>
    <r>
      <rPr>
        <sz val="9"/>
        <color rgb="FF000000"/>
        <rFont val="Arial"/>
        <charset val="134"/>
      </rPr>
      <t>BUSHING SEAL BALANCE B B2AM</t>
    </r>
  </si>
  <si>
    <r>
      <rPr>
        <sz val="9"/>
        <color rgb="FF000000"/>
        <rFont val="Arial"/>
        <charset val="134"/>
      </rPr>
      <t>BUSHING SEAL BALANCE K B2AM</t>
    </r>
  </si>
  <si>
    <r>
      <rPr>
        <sz val="9"/>
        <color rgb="FF000000"/>
        <rFont val="Arial"/>
        <charset val="134"/>
      </rPr>
      <t>BUSI IRIDIUM XPANDER (B 1455 DFL)</t>
    </r>
  </si>
  <si>
    <r>
      <rPr>
        <sz val="9"/>
        <color rgb="FF000000"/>
        <rFont val="Arial"/>
        <charset val="134"/>
      </rPr>
      <t>BUSI NGK IRIDIUM BKR6E GP (B 2043 TZG)</t>
    </r>
  </si>
  <si>
    <r>
      <rPr>
        <sz val="9"/>
        <color rgb="FF000000"/>
        <rFont val="Arial"/>
        <charset val="134"/>
      </rPr>
      <t>CAP S/A RADIATOR 16401-BZ010 (B 1162 WYF)</t>
    </r>
  </si>
  <si>
    <r>
      <rPr>
        <sz val="9"/>
        <color rgb="FF000000"/>
        <rFont val="Arial"/>
        <charset val="134"/>
      </rPr>
      <t>COIL SERENA (B2282KMP)</t>
    </r>
  </si>
  <si>
    <r>
      <rPr>
        <sz val="9"/>
        <color rgb="FF000000"/>
        <rFont val="Arial"/>
        <charset val="134"/>
      </rPr>
      <t>CONDENSOR AC B1832BMY</t>
    </r>
  </si>
  <si>
    <r>
      <rPr>
        <sz val="9"/>
        <color rgb="FF000000"/>
        <rFont val="Arial"/>
        <charset val="134"/>
      </rPr>
      <t>CONNECTING LINK BK1745PM</t>
    </r>
  </si>
  <si>
    <r>
      <rPr>
        <sz val="9"/>
        <color rgb="FF000000"/>
        <rFont val="Arial"/>
        <charset val="134"/>
      </rPr>
      <t>CV JOINT INNER LH BK1745PM</t>
    </r>
  </si>
  <si>
    <r>
      <rPr>
        <sz val="9"/>
        <color rgb="FF000000"/>
        <rFont val="Arial"/>
        <charset val="134"/>
      </rPr>
      <t>DAIHATSU BOOT AS RODA (B 2853 PFB)</t>
    </r>
  </si>
  <si>
    <r>
      <rPr>
        <sz val="9"/>
        <color rgb="FF000000"/>
        <rFont val="Arial"/>
        <charset val="134"/>
      </rPr>
      <t>DAIHATSU CYLINDER KIT,FR BRK (04478-BZ170) (B 2853 PFB)</t>
    </r>
  </si>
  <si>
    <r>
      <rPr>
        <sz val="9"/>
        <color rgb="FF000000"/>
        <rFont val="Arial"/>
        <charset val="134"/>
      </rPr>
      <t>DAIHATSU CYLINDER KIT,FR DISC BRAKE (04478-BZ060-001) (B 1910 BMD)</t>
    </r>
  </si>
  <si>
    <r>
      <rPr>
        <sz val="9"/>
        <color rgb="FF000000"/>
        <rFont val="Arial"/>
        <charset val="134"/>
      </rPr>
      <t>DAIHATSU FAN BELT (B 2758 PFY)</t>
    </r>
  </si>
  <si>
    <r>
      <rPr>
        <sz val="9"/>
        <color rgb="FF000000"/>
        <rFont val="Arial"/>
        <charset val="134"/>
      </rPr>
      <t>DAIHATSU KARTER LETERAL SET (B 1910 BMD)</t>
    </r>
  </si>
  <si>
    <r>
      <rPr>
        <sz val="9"/>
        <color rgb="FF000000"/>
        <rFont val="Arial"/>
        <charset val="134"/>
      </rPr>
      <t>DAIHATSU RADIATOR ASSY (16400-BZ430-001) (B 1105 TS)</t>
    </r>
  </si>
  <si>
    <r>
      <rPr>
        <sz val="9"/>
        <color rgb="FF000000"/>
        <rFont val="Arial"/>
        <charset val="134"/>
      </rPr>
      <t>DENSO AIR FILTER (B 1784 TRT)</t>
    </r>
  </si>
  <si>
    <r>
      <rPr>
        <sz val="9"/>
        <color rgb="FF000000"/>
        <rFont val="Arial"/>
        <charset val="134"/>
      </rPr>
      <t>DENSO Air Filter DXA-1015</t>
    </r>
  </si>
  <si>
    <r>
      <rPr>
        <sz val="9"/>
        <color rgb="FF000000"/>
        <rFont val="Arial"/>
        <charset val="134"/>
      </rPr>
      <t>DENSO Air Filter DXA-1037</t>
    </r>
  </si>
  <si>
    <r>
      <rPr>
        <sz val="9"/>
        <color rgb="FF000000"/>
        <rFont val="Arial"/>
        <charset val="134"/>
      </rPr>
      <t>DENSO Air Filter DXA-1043</t>
    </r>
  </si>
  <si>
    <r>
      <rPr>
        <sz val="9"/>
        <color rgb="FF000000"/>
        <rFont val="Arial"/>
        <charset val="134"/>
      </rPr>
      <t>DENSO Air Filter DXA-1047</t>
    </r>
  </si>
  <si>
    <r>
      <rPr>
        <sz val="9"/>
        <color rgb="FF000000"/>
        <rFont val="Arial"/>
        <charset val="134"/>
      </rPr>
      <t>DENSO Air Filter DXA-1055</t>
    </r>
  </si>
  <si>
    <r>
      <rPr>
        <sz val="9"/>
        <color rgb="FF000000"/>
        <rFont val="Arial"/>
        <charset val="134"/>
      </rPr>
      <t>DENSO Air Filter DXA-1056</t>
    </r>
  </si>
  <si>
    <r>
      <rPr>
        <sz val="9"/>
        <color rgb="FF000000"/>
        <rFont val="Arial"/>
        <charset val="134"/>
      </rPr>
      <t>DENSO CAP RADIATOR JK022510-1570 (D 1516 AAG)</t>
    </r>
  </si>
  <si>
    <r>
      <rPr>
        <sz val="9"/>
        <color rgb="FF000000"/>
        <rFont val="Arial"/>
        <charset val="134"/>
      </rPr>
      <t>DENSO CAP RADIATOR JK022510-3341</t>
    </r>
  </si>
  <si>
    <r>
      <rPr>
        <sz val="9"/>
        <color rgb="FF000000"/>
        <rFont val="Arial"/>
        <charset val="134"/>
      </rPr>
      <t>DENSO MAGNET CLUTCH (B 1162 WYF)</t>
    </r>
  </si>
  <si>
    <r>
      <rPr>
        <sz val="9"/>
        <color rgb="FF000000"/>
        <rFont val="Arial"/>
        <charset val="134"/>
      </rPr>
      <t>DENSO Oil Filter DXE-1004</t>
    </r>
  </si>
  <si>
    <r>
      <rPr>
        <sz val="9"/>
        <color rgb="FF000000"/>
        <rFont val="Arial"/>
        <charset val="134"/>
      </rPr>
      <t>DENSO Spark Plug IT20 - Iridium</t>
    </r>
  </si>
  <si>
    <r>
      <rPr>
        <sz val="9"/>
        <color rgb="FF000000"/>
        <rFont val="Arial"/>
        <charset val="134"/>
      </rPr>
      <t>DENSO Spark Plug IXU22 - Iridium</t>
    </r>
  </si>
  <si>
    <r>
      <rPr>
        <sz val="9"/>
        <color rgb="FF000000"/>
        <rFont val="Arial"/>
        <charset val="134"/>
      </rPr>
      <t>DISC BRAKE BELAKANG (ORI) B2794SJA</t>
    </r>
  </si>
  <si>
    <r>
      <rPr>
        <sz val="9"/>
        <color rgb="FF000000"/>
        <rFont val="Arial"/>
        <charset val="134"/>
      </rPr>
      <t>DISC BRAKE DEPAN (ORI) B2794SJA</t>
    </r>
  </si>
  <si>
    <r>
      <rPr>
        <sz val="9"/>
        <color rgb="FF000000"/>
        <rFont val="Arial"/>
        <charset val="134"/>
      </rPr>
      <t>DRIER B1009JCU</t>
    </r>
  </si>
  <si>
    <r>
      <rPr>
        <sz val="9"/>
        <color rgb="FF000000"/>
        <rFont val="Arial"/>
        <charset val="134"/>
      </rPr>
      <t>EXPANSION B1009JCU</t>
    </r>
  </si>
  <si>
    <r>
      <rPr>
        <sz val="9"/>
        <color rgb="FF000000"/>
        <rFont val="Arial"/>
        <charset val="134"/>
      </rPr>
      <t>F.OLI MESIN W205 (B 1284 WIB)</t>
    </r>
  </si>
  <si>
    <r>
      <rPr>
        <sz val="9"/>
        <color rgb="FF000000"/>
        <rFont val="Arial"/>
        <charset val="134"/>
      </rPr>
      <t>FABBER Shock Support F-MSM-001</t>
    </r>
  </si>
  <si>
    <r>
      <rPr>
        <sz val="9"/>
        <color rgb="FF000000"/>
        <rFont val="Arial"/>
        <charset val="134"/>
      </rPr>
      <t>FABBER Shock Support F-SSM-007</t>
    </r>
  </si>
  <si>
    <r>
      <rPr>
        <sz val="9"/>
        <color rgb="FF000000"/>
        <rFont val="Arial"/>
        <charset val="134"/>
      </rPr>
      <t>FABBER Shock Support F-SSM-022</t>
    </r>
  </si>
  <si>
    <r>
      <rPr>
        <sz val="9"/>
        <color rgb="FF000000"/>
        <rFont val="Arial"/>
        <charset val="134"/>
      </rPr>
      <t>FABBER Shock Support F-TSM-007</t>
    </r>
  </si>
  <si>
    <r>
      <rPr>
        <sz val="9"/>
        <color rgb="FF000000"/>
        <rFont val="Arial"/>
        <charset val="134"/>
      </rPr>
      <t>FABBER Shock Support F-TSM-025</t>
    </r>
  </si>
  <si>
    <r>
      <rPr>
        <sz val="9"/>
        <color rgb="FF000000"/>
        <rFont val="Arial"/>
        <charset val="134"/>
      </rPr>
      <t>FILTER , OIL (B 1447 UMH)</t>
    </r>
  </si>
  <si>
    <r>
      <rPr>
        <sz val="9"/>
        <color rgb="FF000000"/>
        <rFont val="Arial"/>
        <charset val="134"/>
      </rPr>
      <t>FILTER AC SAKURA B1832BMY</t>
    </r>
  </si>
  <si>
    <r>
      <rPr>
        <sz val="9"/>
        <color rgb="FF000000"/>
        <rFont val="Arial"/>
        <charset val="134"/>
      </rPr>
      <t>FILTER SOLAR B1166KD</t>
    </r>
  </si>
  <si>
    <r>
      <rPr>
        <sz val="9"/>
        <color rgb="FF000000"/>
        <rFont val="Arial"/>
        <charset val="134"/>
      </rPr>
      <t>FILTER UDARA (TRUCKTEC) B2794SJA</t>
    </r>
  </si>
  <si>
    <r>
      <rPr>
        <sz val="9"/>
        <color rgb="FF000000"/>
        <rFont val="Arial"/>
        <charset val="134"/>
      </rPr>
      <t>FILTER, AIR, 17220-R5A-A00 (B 1909 KJD)</t>
    </r>
  </si>
  <si>
    <r>
      <rPr>
        <sz val="9"/>
        <color rgb="FF000000"/>
        <rFont val="Arial"/>
        <charset val="134"/>
      </rPr>
      <t>GIANNI OIL FILTER (B 2211 SXE)</t>
    </r>
  </si>
  <si>
    <r>
      <rPr>
        <sz val="9"/>
        <color rgb="FF000000"/>
        <rFont val="Arial"/>
        <charset val="134"/>
      </rPr>
      <t>GIANNIN CABIN AIR FILTER (CF-W2020)</t>
    </r>
  </si>
  <si>
    <r>
      <rPr>
        <sz val="9"/>
        <color rgb="FF000000"/>
        <rFont val="Arial"/>
        <charset val="134"/>
      </rPr>
      <t>GLOSSXPERT Chamois Warna Kuning</t>
    </r>
  </si>
  <si>
    <r>
      <rPr>
        <sz val="9"/>
        <color rgb="FF000000"/>
        <rFont val="Arial"/>
        <charset val="134"/>
      </rPr>
      <t>GLOSSXPERT Glass Magic Cloth Microfiber, 320 Gsm Size.30x30cm-Orange CLOTH</t>
    </r>
  </si>
  <si>
    <r>
      <rPr>
        <sz val="9"/>
        <color rgb="FF000000"/>
        <rFont val="Arial"/>
        <charset val="134"/>
      </rPr>
      <t>GLOSSXPERT Gloss Enhancing Shampoo Uk. 350ml</t>
    </r>
  </si>
  <si>
    <r>
      <rPr>
        <sz val="9"/>
        <color rgb="FF000000"/>
        <rFont val="Arial"/>
        <charset val="134"/>
      </rPr>
      <t>GLOSSXPERT Interior Dressing Uk. 350ml</t>
    </r>
  </si>
  <si>
    <r>
      <rPr>
        <sz val="9"/>
        <color rgb="FF000000"/>
        <rFont val="Arial"/>
        <charset val="134"/>
      </rPr>
      <t>GLOSSXPERT TIRE DRESSING 350ML</t>
    </r>
  </si>
  <si>
    <r>
      <rPr>
        <sz val="9"/>
        <color rgb="FF000000"/>
        <rFont val="Arial"/>
        <charset val="134"/>
      </rPr>
      <t>GMB WATER PUMP (D 1516 AAG)</t>
    </r>
  </si>
  <si>
    <r>
      <rPr>
        <sz val="9"/>
        <color rgb="FF000000"/>
        <rFont val="Arial"/>
        <charset val="134"/>
      </rPr>
      <t>GREASE BOOT DRIVE SHAFT BK1745PM</t>
    </r>
  </si>
  <si>
    <r>
      <rPr>
        <sz val="9"/>
        <color rgb="FF000000"/>
        <rFont val="Arial"/>
        <charset val="134"/>
      </rPr>
      <t>GTRADIAL TIRE Champiro Ecotec* 195/60R15 -</t>
    </r>
  </si>
  <si>
    <r>
      <rPr>
        <sz val="9"/>
        <color rgb="FF000000"/>
        <rFont val="Arial"/>
        <charset val="134"/>
      </rPr>
      <t>GTRADIAL TIRE Champiro Ecotec* 195/60R16 -</t>
    </r>
  </si>
  <si>
    <r>
      <rPr>
        <sz val="9"/>
        <color rgb="FF000000"/>
        <rFont val="Arial"/>
        <charset val="134"/>
      </rPr>
      <t>GTRADIAL TIRE Champiro Ecotec* 215/60R17 -</t>
    </r>
  </si>
  <si>
    <r>
      <rPr>
        <sz val="9"/>
        <color rgb="FF000000"/>
        <rFont val="Arial"/>
        <charset val="134"/>
      </rPr>
      <t>GTRADIAL TIRE Champiro Gtx Pro 185/55R16 -</t>
    </r>
  </si>
  <si>
    <r>
      <rPr>
        <sz val="9"/>
        <color rgb="FF000000"/>
        <rFont val="Arial"/>
        <charset val="134"/>
      </rPr>
      <t>HEIKER RACK STEER H-TRT-007</t>
    </r>
  </si>
  <si>
    <r>
      <rPr>
        <sz val="9"/>
        <color rgb="FF000000"/>
        <rFont val="Arial"/>
        <charset val="134"/>
      </rPr>
      <t>HMI FILTER ASSY ENG OIL (26300-35056HMI)</t>
    </r>
  </si>
  <si>
    <r>
      <rPr>
        <sz val="9"/>
        <color rgb="FF000000"/>
        <rFont val="Arial"/>
        <charset val="134"/>
      </rPr>
      <t>HONDA CABIN AIR FILTER (80292-S9A-A01)</t>
    </r>
  </si>
  <si>
    <r>
      <rPr>
        <sz val="9"/>
        <color rgb="FF000000"/>
        <rFont val="Arial"/>
        <charset val="134"/>
      </rPr>
      <t>HONDA CALIPER ASSY RR LH 43019-TG0-T00 (B 1675 OU)</t>
    </r>
  </si>
  <si>
    <r>
      <rPr>
        <sz val="9"/>
        <color rgb="FF000000"/>
        <rFont val="Arial"/>
        <charset val="134"/>
      </rPr>
      <t>HONDA O RING (91326PL5003)(B 1909 KJD)</t>
    </r>
  </si>
  <si>
    <r>
      <rPr>
        <sz val="9"/>
        <color rgb="FF000000"/>
        <rFont val="Arial"/>
        <charset val="134"/>
      </rPr>
      <t>HONDA SEAL (91205P0X005) (B 1909 KJD)</t>
    </r>
  </si>
  <si>
    <r>
      <rPr>
        <sz val="9"/>
        <color rgb="FF000000"/>
        <rFont val="Arial"/>
        <charset val="134"/>
      </rPr>
      <t>HOSE POWER STEERING B1832BMY</t>
    </r>
  </si>
  <si>
    <r>
      <rPr>
        <sz val="9"/>
        <color rgb="FF000000"/>
        <rFont val="Arial"/>
        <charset val="134"/>
      </rPr>
      <t>INJECTOR B1832BMY</t>
    </r>
  </si>
  <si>
    <r>
      <rPr>
        <sz val="9"/>
        <color rgb="FF000000"/>
        <rFont val="Arial"/>
        <charset val="134"/>
      </rPr>
      <t>KARET STOPPER (BOOT+BUSA) FEBI B2794SJA</t>
    </r>
  </si>
  <si>
    <r>
      <rPr>
        <sz val="9"/>
        <color rgb="FF000000"/>
        <rFont val="Arial"/>
        <charset val="134"/>
      </rPr>
      <t>KARET SUPPORT SHOCK DEPAN (ORI) B2794SJA</t>
    </r>
  </si>
  <si>
    <r>
      <rPr>
        <sz val="9"/>
        <color rgb="FF000000"/>
        <rFont val="Arial"/>
        <charset val="134"/>
      </rPr>
      <t>KLEM BOOT DRIVE SHAFT BK1745PM</t>
    </r>
  </si>
  <si>
    <r>
      <rPr>
        <sz val="9"/>
        <color rgb="FF000000"/>
        <rFont val="Arial"/>
        <charset val="134"/>
      </rPr>
      <t>LC 0437160070 JOINT KH1519M</t>
    </r>
  </si>
  <si>
    <r>
      <rPr>
        <sz val="9"/>
        <color rgb="FF000000"/>
        <rFont val="Arial"/>
        <charset val="134"/>
      </rPr>
      <t>LEM B1832BMY</t>
    </r>
  </si>
  <si>
    <r>
      <rPr>
        <sz val="9"/>
        <color rgb="FF000000"/>
        <rFont val="Arial"/>
        <charset val="134"/>
      </rPr>
      <t>LEM LOCTITE (D 1516 AAG)</t>
    </r>
  </si>
  <si>
    <r>
      <rPr>
        <sz val="9"/>
        <color rgb="FF000000"/>
        <rFont val="Arial"/>
        <charset val="134"/>
      </rPr>
      <t>LEM LOCTITED (B 1663 PRU)</t>
    </r>
  </si>
  <si>
    <r>
      <rPr>
        <sz val="9"/>
        <color rgb="FF000000"/>
        <rFont val="Arial"/>
        <charset val="134"/>
      </rPr>
      <t>LEM REINZOSIL  (B 2482 BIH)</t>
    </r>
  </si>
  <si>
    <r>
      <rPr>
        <sz val="9"/>
        <color rgb="FF000000"/>
        <rFont val="Arial"/>
        <charset val="134"/>
      </rPr>
      <t>LINK STABIL RR B2AM</t>
    </r>
  </si>
  <si>
    <r>
      <rPr>
        <sz val="9"/>
        <color rgb="FF000000"/>
        <rFont val="Arial"/>
        <charset val="134"/>
      </rPr>
      <t>LONG TIE ROD SERENA (B2282KMP)</t>
    </r>
  </si>
  <si>
    <r>
      <rPr>
        <sz val="9"/>
        <color rgb="FF000000"/>
        <rFont val="Arial"/>
        <charset val="134"/>
      </rPr>
      <t>LOWER ARM FR LH (B1671WOJ)</t>
    </r>
  </si>
  <si>
    <r>
      <rPr>
        <sz val="9"/>
        <color rgb="FF000000"/>
        <rFont val="Arial"/>
        <charset val="134"/>
      </rPr>
      <t>LOWER ARM FR RH (B1671WOJ)</t>
    </r>
  </si>
  <si>
    <r>
      <rPr>
        <sz val="9"/>
        <color rgb="FF000000"/>
        <rFont val="Arial"/>
        <charset val="134"/>
      </rPr>
      <t>LOWER ARM SERENA (B2282KMP)</t>
    </r>
  </si>
  <si>
    <r>
      <rPr>
        <sz val="9"/>
        <color rgb="FF000000"/>
        <rFont val="Arial"/>
        <charset val="134"/>
      </rPr>
      <t>MAGNETIC CLUTCH B1009JCU</t>
    </r>
  </si>
  <si>
    <r>
      <rPr>
        <sz val="9"/>
        <color rgb="FF000000"/>
        <rFont val="Arial"/>
        <charset val="134"/>
      </rPr>
      <t>MAHLE OIL FILTER (MOF0002)</t>
    </r>
  </si>
  <si>
    <r>
      <rPr>
        <sz val="9"/>
        <color rgb="FF000000"/>
        <rFont val="Arial"/>
        <charset val="134"/>
      </rPr>
      <t>MAHLE OIL FILTER (OC110)</t>
    </r>
  </si>
  <si>
    <r>
      <rPr>
        <sz val="9"/>
        <color rgb="FF000000"/>
        <rFont val="Arial"/>
        <charset val="134"/>
      </rPr>
      <t>MAHLE OIL FILTER (OX133D)</t>
    </r>
  </si>
  <si>
    <r>
      <rPr>
        <sz val="9"/>
        <color rgb="FF000000"/>
        <rFont val="Arial"/>
        <charset val="134"/>
      </rPr>
      <t>MASSIV Battery Thunder(MF)-46B24L NS60L 12V-45Ah</t>
    </r>
  </si>
  <si>
    <r>
      <rPr>
        <sz val="9"/>
        <color rgb="FF000000"/>
        <rFont val="Arial"/>
        <charset val="134"/>
      </rPr>
      <t>MAZDA OIL FILTER (CA02-14-302A) (B 2689 JIN)</t>
    </r>
  </si>
  <si>
    <r>
      <rPr>
        <sz val="9"/>
        <color rgb="FF000000"/>
        <rFont val="Arial"/>
        <charset val="134"/>
      </rPr>
      <t>MAZDA SPARK PLUG (ILKAR7L) (B 2593 RFS)</t>
    </r>
  </si>
  <si>
    <r>
      <rPr>
        <sz val="9"/>
        <color rgb="FF000000"/>
        <rFont val="Arial"/>
        <charset val="134"/>
      </rPr>
      <t>MAZDA SPARK PLUG 9S7E12405 B1486BIE</t>
    </r>
  </si>
  <si>
    <r>
      <rPr>
        <sz val="9"/>
        <color rgb="FF000000"/>
        <rFont val="Arial"/>
        <charset val="134"/>
      </rPr>
      <t>MERCEDEZ SENSOR KAMPAS REM (B 2211 SXE)</t>
    </r>
  </si>
  <si>
    <r>
      <rPr>
        <sz val="9"/>
        <color rgb="FF000000"/>
        <rFont val="Arial"/>
        <charset val="134"/>
      </rPr>
      <t>MERCY 8718279040253 OIL TRANSMISSION B111YTI</t>
    </r>
  </si>
  <si>
    <r>
      <rPr>
        <sz val="9"/>
        <color rgb="FF000000"/>
        <rFont val="Arial"/>
        <charset val="134"/>
      </rPr>
      <t>MERCY F026407199 FILTER OLI B111YTI</t>
    </r>
  </si>
  <si>
    <r>
      <rPr>
        <sz val="9"/>
        <color rgb="FF000000"/>
        <rFont val="Arial"/>
        <charset val="134"/>
      </rPr>
      <t>MITSUBISHI BYPASS HOSE (MR360218) (D 1516 AAG)</t>
    </r>
  </si>
  <si>
    <r>
      <rPr>
        <sz val="9"/>
        <color rgb="FF000000"/>
        <rFont val="Arial"/>
        <charset val="134"/>
      </rPr>
      <t>MITSUBISHI GASKET KIT O/H (1000B452) (D 1516 AAG)</t>
    </r>
  </si>
  <si>
    <r>
      <rPr>
        <sz val="9"/>
        <color rgb="FF000000"/>
        <rFont val="Arial"/>
        <charset val="134"/>
      </rPr>
      <t>MITSUBISHI HOUSING THERMOSTAT 1305A402 (D 1516 AAG)</t>
    </r>
  </si>
  <si>
    <r>
      <rPr>
        <sz val="9"/>
        <color rgb="FF000000"/>
        <rFont val="Arial"/>
        <charset val="134"/>
      </rPr>
      <t>MITSUBISHI KLEMAN BESI (D 1516 AAG)</t>
    </r>
  </si>
  <si>
    <r>
      <rPr>
        <sz val="9"/>
        <color rgb="FF000000"/>
        <rFont val="Arial"/>
        <charset val="134"/>
      </rPr>
      <t>MITSUBISHI RING PISTON STD 1110A436 (D 1516 AAG)</t>
    </r>
  </si>
  <si>
    <r>
      <rPr>
        <sz val="9"/>
        <color rgb="FF000000"/>
        <rFont val="Arial"/>
        <charset val="134"/>
      </rPr>
      <t>MITSUBISHI SELANG BUNTU (D 1516 AAG)</t>
    </r>
  </si>
  <si>
    <r>
      <rPr>
        <sz val="9"/>
        <color rgb="FF000000"/>
        <rFont val="Arial"/>
        <charset val="134"/>
      </rPr>
      <t>MITSUBISHI SPARK PLUG (B 2798 UKS)</t>
    </r>
  </si>
  <si>
    <r>
      <rPr>
        <sz val="9"/>
        <color rgb="FF000000"/>
        <rFont val="Arial"/>
        <charset val="134"/>
      </rPr>
      <t>MITSUBISHI THERMOSTAT 1305A802 (D 1516 AAG)</t>
    </r>
  </si>
  <si>
    <r>
      <rPr>
        <sz val="9"/>
        <color rgb="FF000000"/>
        <rFont val="Arial"/>
        <charset val="134"/>
      </rPr>
      <t>MONROE Shock Absorber 378041SP Rear</t>
    </r>
  </si>
  <si>
    <r>
      <rPr>
        <sz val="9"/>
        <color rgb="FF000000"/>
        <rFont val="Arial"/>
        <charset val="134"/>
      </rPr>
      <t>MONROE Shock Absorber 378048SP Rear</t>
    </r>
  </si>
  <si>
    <r>
      <rPr>
        <sz val="9"/>
        <color rgb="FF000000"/>
        <rFont val="Arial"/>
        <charset val="134"/>
      </rPr>
      <t>MONROE Shock Absorber 378062SP Rear</t>
    </r>
  </si>
  <si>
    <r>
      <rPr>
        <sz val="9"/>
        <color rgb="FF000000"/>
        <rFont val="Arial"/>
        <charset val="134"/>
      </rPr>
      <t>MONROE Shock Absorber 378170SP Rear</t>
    </r>
  </si>
  <si>
    <r>
      <rPr>
        <sz val="9"/>
        <color rgb="FF000000"/>
        <rFont val="Arial"/>
        <charset val="134"/>
      </rPr>
      <t>MONROE Shock Absorber 378191SP Rear</t>
    </r>
  </si>
  <si>
    <r>
      <rPr>
        <sz val="9"/>
        <color rgb="FF000000"/>
        <rFont val="Arial"/>
        <charset val="134"/>
      </rPr>
      <t>MONROE Shock Absorber 378306SP Rear</t>
    </r>
  </si>
  <si>
    <r>
      <rPr>
        <sz val="9"/>
        <color rgb="FF000000"/>
        <rFont val="Arial"/>
        <charset val="134"/>
      </rPr>
      <t>MONROE Shock Absorber 744053SP Front</t>
    </r>
  </si>
  <si>
    <r>
      <rPr>
        <sz val="9"/>
        <color rgb="FF000000"/>
        <rFont val="Arial"/>
        <charset val="134"/>
      </rPr>
      <t>MONROE Shock Absorber 744055SP Front-LH</t>
    </r>
  </si>
  <si>
    <r>
      <rPr>
        <sz val="9"/>
        <color rgb="FF000000"/>
        <rFont val="Arial"/>
        <charset val="134"/>
      </rPr>
      <t>MONROE Shock Absorber 744110SP Front-RH</t>
    </r>
  </si>
  <si>
    <r>
      <rPr>
        <sz val="9"/>
        <color rgb="FF000000"/>
        <rFont val="Arial"/>
        <charset val="134"/>
      </rPr>
      <t>MONROE Shock Absorber 744111SP Front-LH</t>
    </r>
  </si>
  <si>
    <r>
      <rPr>
        <sz val="9"/>
        <color rgb="FF000000"/>
        <rFont val="Arial"/>
        <charset val="134"/>
      </rPr>
      <t>MONROE Shock Absorber 744119SP Front</t>
    </r>
  </si>
  <si>
    <r>
      <rPr>
        <sz val="9"/>
        <color rgb="FF000000"/>
        <rFont val="Arial"/>
        <charset val="134"/>
      </rPr>
      <t>MONROE Shock Absorber 744148SP Rear-RH</t>
    </r>
  </si>
  <si>
    <r>
      <rPr>
        <sz val="9"/>
        <color rgb="FF000000"/>
        <rFont val="Arial"/>
        <charset val="134"/>
      </rPr>
      <t>MONROE Shock Absorber 744149SP Rear-LH</t>
    </r>
  </si>
  <si>
    <r>
      <rPr>
        <sz val="9"/>
        <color rgb="FF000000"/>
        <rFont val="Arial"/>
        <charset val="134"/>
      </rPr>
      <t>MONROE Shock Absorber 744318SP Front-RH</t>
    </r>
  </si>
  <si>
    <r>
      <rPr>
        <sz val="9"/>
        <color rgb="FF000000"/>
        <rFont val="Arial"/>
        <charset val="134"/>
      </rPr>
      <t>MONROE Shock Absorber 744319SP Front-LH</t>
    </r>
  </si>
  <si>
    <r>
      <rPr>
        <sz val="9"/>
        <color rgb="FF000000"/>
        <rFont val="Arial"/>
        <charset val="134"/>
      </rPr>
      <t>MONROE Shock Absorber 744323SP Rear</t>
    </r>
  </si>
  <si>
    <r>
      <rPr>
        <sz val="9"/>
        <color rgb="FF000000"/>
        <rFont val="Arial"/>
        <charset val="134"/>
      </rPr>
      <t>MONROE Shock Absorber 744402SP Front-RH</t>
    </r>
  </si>
  <si>
    <r>
      <rPr>
        <sz val="9"/>
        <color rgb="FF000000"/>
        <rFont val="Arial"/>
        <charset val="134"/>
      </rPr>
      <t>MONROE Shock Absorber 744403SP Front-LH</t>
    </r>
  </si>
  <si>
    <r>
      <rPr>
        <sz val="9"/>
        <color rgb="FF000000"/>
        <rFont val="Arial"/>
        <charset val="134"/>
      </rPr>
      <t>MONROE Shock Absorber 744562SP Front-RH</t>
    </r>
  </si>
  <si>
    <r>
      <rPr>
        <sz val="9"/>
        <color rgb="FF000000"/>
        <rFont val="Arial"/>
        <charset val="134"/>
      </rPr>
      <t>MONROE Shock Absorber 744563SP Front-LH</t>
    </r>
  </si>
  <si>
    <r>
      <rPr>
        <sz val="9"/>
        <color rgb="FF000000"/>
        <rFont val="Arial"/>
        <charset val="134"/>
      </rPr>
      <t>MOTOR SERVO ALPHARD BELAKANG B6HDA</t>
    </r>
  </si>
  <si>
    <r>
      <rPr>
        <sz val="9"/>
        <color rgb="FF000000"/>
        <rFont val="Arial"/>
        <charset val="134"/>
      </rPr>
      <t>MOTOR SERVO ALPHARD DEPAN B6HDA</t>
    </r>
  </si>
  <si>
    <r>
      <rPr>
        <sz val="9"/>
        <color rgb="FF000000"/>
        <rFont val="Arial"/>
        <charset val="134"/>
      </rPr>
      <t>MOTUL H-TECH 100 PLUS 5W-30 4L</t>
    </r>
  </si>
  <si>
    <r>
      <rPr>
        <sz val="9"/>
        <color rgb="FF000000"/>
        <rFont val="Arial"/>
        <charset val="134"/>
      </rPr>
      <t>NGK SPARK PLUG (FR6F-11K) (B 2008 PKJ)</t>
    </r>
  </si>
  <si>
    <r>
      <rPr>
        <sz val="9"/>
        <color rgb="FF000000"/>
        <rFont val="Arial"/>
        <charset val="134"/>
      </rPr>
      <t>NGK SPARK PLUG IRIDIUM (ILKAR6B11) (B 2299 HN)</t>
    </r>
  </si>
  <si>
    <r>
      <rPr>
        <sz val="9"/>
        <color rgb="FF000000"/>
        <rFont val="Arial"/>
        <charset val="134"/>
      </rPr>
      <t>NIL  44017TG1  BOOT DRIVE SHAFT B1926ZVI</t>
    </r>
  </si>
  <si>
    <r>
      <rPr>
        <sz val="9"/>
        <color rgb="FF000000"/>
        <rFont val="Arial"/>
        <charset val="134"/>
      </rPr>
      <t>NIL LINK STABILIZER (48820-BZ060) (B 2646 TYG)</t>
    </r>
  </si>
  <si>
    <r>
      <rPr>
        <sz val="9"/>
        <color rgb="FF000000"/>
        <rFont val="Arial"/>
        <charset val="134"/>
      </rPr>
      <t>NISSAN LINK STABILIZER (54618-JY00A) (B 2052 BKO)</t>
    </r>
  </si>
  <si>
    <r>
      <rPr>
        <sz val="9"/>
        <color rgb="FF000000"/>
        <rFont val="Arial"/>
        <charset val="134"/>
      </rPr>
      <t>NOK BULATAN HEAD ADS (D 1516 AAG)</t>
    </r>
  </si>
  <si>
    <r>
      <rPr>
        <sz val="9"/>
        <color rgb="FF000000"/>
        <rFont val="Arial"/>
        <charset val="134"/>
      </rPr>
      <t>O RING FILTER OLI(B 2482 BIH)</t>
    </r>
  </si>
  <si>
    <r>
      <rPr>
        <sz val="9"/>
        <color rgb="FF000000"/>
        <rFont val="Arial"/>
        <charset val="134"/>
      </rPr>
      <t>O-RING 1/2 B1009JCU</t>
    </r>
  </si>
  <si>
    <r>
      <rPr>
        <sz val="9"/>
        <color rgb="FF000000"/>
        <rFont val="Arial"/>
        <charset val="134"/>
      </rPr>
      <t>O-RING 5/16 B1009JCU</t>
    </r>
  </si>
  <si>
    <r>
      <rPr>
        <sz val="9"/>
        <color rgb="FF000000"/>
        <rFont val="Arial"/>
        <charset val="134"/>
      </rPr>
      <t>O-RING 5/8 B1009JCU</t>
    </r>
  </si>
  <si>
    <r>
      <rPr>
        <sz val="9"/>
        <color rgb="FF000000"/>
        <rFont val="Arial"/>
        <charset val="134"/>
      </rPr>
      <t>O-RING COOLER B2AM</t>
    </r>
  </si>
  <si>
    <r>
      <rPr>
        <sz val="9"/>
        <color rgb="FF000000"/>
        <rFont val="Arial"/>
        <charset val="134"/>
      </rPr>
      <t>OIL FILTER B1832BMY</t>
    </r>
  </si>
  <si>
    <r>
      <rPr>
        <sz val="9"/>
        <color rgb="FF000000"/>
        <rFont val="Arial"/>
        <charset val="134"/>
      </rPr>
      <t>OLI VITCO FAN (B 1663 PRU)</t>
    </r>
  </si>
  <si>
    <r>
      <rPr>
        <sz val="9"/>
        <color rgb="FF000000"/>
        <rFont val="Arial"/>
        <charset val="134"/>
      </rPr>
      <t>PACKING CYLINDER HEAD (D 1516 AAG)</t>
    </r>
  </si>
  <si>
    <r>
      <rPr>
        <sz val="9"/>
        <color rgb="FF000000"/>
        <rFont val="Arial"/>
        <charset val="134"/>
      </rPr>
      <t>PACKING HEAD ADS (D 1516 AAG)</t>
    </r>
  </si>
  <si>
    <r>
      <rPr>
        <sz val="9"/>
        <color rgb="FF000000"/>
        <rFont val="Arial"/>
        <charset val="134"/>
      </rPr>
      <t>PAD KIT FR SERENA (B2282KMP)</t>
    </r>
  </si>
  <si>
    <r>
      <rPr>
        <sz val="9"/>
        <color rgb="FF000000"/>
        <rFont val="Arial"/>
        <charset val="134"/>
      </rPr>
      <t>PIN DISC BRAKE CYLINDER B1933KYV</t>
    </r>
  </si>
  <si>
    <r>
      <rPr>
        <sz val="9"/>
        <color rgb="FF000000"/>
        <rFont val="Arial"/>
        <charset val="134"/>
      </rPr>
      <t>PISTON REM BELAKANG B2AM</t>
    </r>
  </si>
  <si>
    <r>
      <rPr>
        <sz val="9"/>
        <color rgb="FF000000"/>
        <rFont val="Arial"/>
        <charset val="134"/>
      </rPr>
      <t>PISTON REM DEPAN B2AM</t>
    </r>
  </si>
  <si>
    <r>
      <rPr>
        <sz val="9"/>
        <color rgb="FF000000"/>
        <rFont val="Arial"/>
        <charset val="134"/>
      </rPr>
      <t>RACK END, FR, LH&amp;RH (B 1909 KJD)</t>
    </r>
  </si>
  <si>
    <r>
      <rPr>
        <sz val="8"/>
        <color rgb="FF000000"/>
        <rFont val="Courier"/>
        <charset val="134"/>
      </rPr>
      <t>Page Break 65</t>
    </r>
  </si>
  <si>
    <r>
      <rPr>
        <sz val="9"/>
        <color rgb="FF000000"/>
        <rFont val="Arial"/>
        <charset val="134"/>
      </rPr>
      <t>SAM CAL-KIT (01463-S04-V00) (B 1603 UYH)</t>
    </r>
  </si>
  <si>
    <r>
      <rPr>
        <sz val="9"/>
        <color rgb="FF000000"/>
        <rFont val="Arial"/>
        <charset val="134"/>
      </rPr>
      <t>SEAL BALANCE B2AM</t>
    </r>
  </si>
  <si>
    <r>
      <rPr>
        <sz val="9"/>
        <color rgb="FF000000"/>
        <rFont val="Arial"/>
        <charset val="134"/>
      </rPr>
      <t>SEAL BUSI (BH 1208 MI)</t>
    </r>
  </si>
  <si>
    <r>
      <rPr>
        <sz val="9"/>
        <color rgb="FF000000"/>
        <rFont val="Arial"/>
        <charset val="134"/>
      </rPr>
      <t>SEAL CALIPER BELAKANG B2AM</t>
    </r>
  </si>
  <si>
    <r>
      <rPr>
        <sz val="9"/>
        <color rgb="FF000000"/>
        <rFont val="Arial"/>
        <charset val="134"/>
      </rPr>
      <t>SEAL CALIPER DEPAN B2AM</t>
    </r>
  </si>
  <si>
    <r>
      <rPr>
        <sz val="9"/>
        <color rgb="FF000000"/>
        <rFont val="Arial"/>
        <charset val="134"/>
      </rPr>
      <t>SEAL COVER VALVE (BH 1208 MI)</t>
    </r>
  </si>
  <si>
    <r>
      <rPr>
        <sz val="9"/>
        <color rgb="FF000000"/>
        <rFont val="Arial"/>
        <charset val="134"/>
      </rPr>
      <t>SEAL DEPAN B2AM</t>
    </r>
  </si>
  <si>
    <r>
      <rPr>
        <sz val="8"/>
        <color rgb="FF000000"/>
        <rFont val="Courier"/>
        <charset val="134"/>
      </rPr>
      <t>Page Break 66</t>
    </r>
  </si>
  <si>
    <r>
      <rPr>
        <sz val="9"/>
        <color rgb="FF000000"/>
        <rFont val="Arial"/>
        <charset val="134"/>
      </rPr>
      <t>SEAL HEAD COVER B2995TOI</t>
    </r>
  </si>
  <si>
    <r>
      <rPr>
        <sz val="9"/>
        <color rgb="FF000000"/>
        <rFont val="Arial"/>
        <charset val="134"/>
      </rPr>
      <t>SEAL KIT REM DEPAN B1216BJB</t>
    </r>
  </si>
  <si>
    <r>
      <rPr>
        <sz val="9"/>
        <color rgb="FF000000"/>
        <rFont val="Arial"/>
        <charset val="134"/>
      </rPr>
      <t>SEAL KIT SET CALIPER FR B2995TOI</t>
    </r>
  </si>
  <si>
    <r>
      <rPr>
        <sz val="9"/>
        <color rgb="FF000000"/>
        <rFont val="Arial"/>
        <charset val="134"/>
      </rPr>
      <t>SEAL KLEP (D 1516 AAG)</t>
    </r>
  </si>
  <si>
    <r>
      <rPr>
        <sz val="9"/>
        <color rgb="FF000000"/>
        <rFont val="Arial"/>
        <charset val="134"/>
      </rPr>
      <t>SEAL KLEP SET ADS (D 1516 AAG)</t>
    </r>
  </si>
  <si>
    <r>
      <rPr>
        <sz val="9"/>
        <color rgb="FF000000"/>
        <rFont val="Arial"/>
        <charset val="134"/>
      </rPr>
      <t>SEAL NOKEN AS B2AM</t>
    </r>
  </si>
  <si>
    <r>
      <rPr>
        <sz val="8"/>
        <color rgb="FF000000"/>
        <rFont val="Courier"/>
        <charset val="134"/>
      </rPr>
      <t>Page Break 67</t>
    </r>
  </si>
  <si>
    <r>
      <rPr>
        <sz val="9"/>
        <color rgb="FF000000"/>
        <rFont val="Arial"/>
        <charset val="134"/>
      </rPr>
      <t>SEAL O STAINER (B 2482 BIH)</t>
    </r>
  </si>
  <si>
    <r>
      <rPr>
        <sz val="9"/>
        <color rgb="FF000000"/>
        <rFont val="Arial"/>
        <charset val="134"/>
      </rPr>
      <t>SEAL TRANSMISI BK1745PM</t>
    </r>
  </si>
  <si>
    <r>
      <rPr>
        <sz val="9"/>
        <color rgb="FF000000"/>
        <rFont val="Arial"/>
        <charset val="134"/>
      </rPr>
      <t>SELANG COOLER 204 B2AM</t>
    </r>
  </si>
  <si>
    <r>
      <rPr>
        <sz val="9"/>
        <color rgb="FF000000"/>
        <rFont val="Arial"/>
        <charset val="134"/>
      </rPr>
      <t>SELANG COOLER 205 B2AM</t>
    </r>
  </si>
  <si>
    <r>
      <rPr>
        <sz val="8"/>
        <color rgb="FF000000"/>
        <rFont val="Courier"/>
        <charset val="134"/>
      </rPr>
      <t>Page Break 68</t>
    </r>
  </si>
  <si>
    <r>
      <rPr>
        <sz val="9"/>
        <color rgb="FF000000"/>
        <rFont val="Arial"/>
        <charset val="134"/>
      </rPr>
      <t>SELANG HEATER (D 1516 AAG)</t>
    </r>
  </si>
  <si>
    <r>
      <rPr>
        <sz val="9"/>
        <color rgb="FF000000"/>
        <rFont val="Arial"/>
        <charset val="134"/>
      </rPr>
      <t>SENSOR REM RH B2794SJA</t>
    </r>
  </si>
  <si>
    <r>
      <rPr>
        <sz val="9"/>
        <color rgb="FF000000"/>
        <rFont val="Arial"/>
        <charset val="134"/>
      </rPr>
      <t>SERVO MOTOR B1009JCU</t>
    </r>
  </si>
  <si>
    <r>
      <rPr>
        <sz val="8"/>
        <color rgb="FF000000"/>
        <rFont val="Courier"/>
        <charset val="134"/>
      </rPr>
      <t>Page Break 69</t>
    </r>
  </si>
  <si>
    <r>
      <rPr>
        <sz val="8"/>
        <color rgb="FF000000"/>
        <rFont val="Courier"/>
        <charset val="134"/>
      </rPr>
      <t>Page Break 70</t>
    </r>
  </si>
  <si>
    <r>
      <rPr>
        <sz val="8"/>
        <color rgb="FF000000"/>
        <rFont val="Courier"/>
        <charset val="134"/>
      </rPr>
      <t>Page Break 71</t>
    </r>
  </si>
  <si>
    <r>
      <rPr>
        <sz val="9"/>
        <color rgb="FF000000"/>
        <rFont val="Arial"/>
        <charset val="134"/>
      </rPr>
      <t>SHOCK ABS BELAKANG (1 SET) B1832BMY</t>
    </r>
  </si>
  <si>
    <r>
      <rPr>
        <sz val="9"/>
        <color rgb="FF000000"/>
        <rFont val="Arial"/>
        <charset val="134"/>
      </rPr>
      <t>SHOCK ABS DEPAN (1 SET) B1832BMY</t>
    </r>
  </si>
  <si>
    <r>
      <rPr>
        <sz val="9"/>
        <color rgb="FF000000"/>
        <rFont val="Arial"/>
        <charset val="134"/>
      </rPr>
      <t>SHOCK DEPAN B2794SJA</t>
    </r>
  </si>
  <si>
    <r>
      <rPr>
        <sz val="8"/>
        <color rgb="FF000000"/>
        <rFont val="Courier"/>
        <charset val="134"/>
      </rPr>
      <t>Page Break 72</t>
    </r>
  </si>
  <si>
    <r>
      <rPr>
        <sz val="9"/>
        <color rgb="FF000000"/>
        <rFont val="Arial"/>
        <charset val="134"/>
      </rPr>
      <t>SHOE KIT RR SERENA (B2282KMP)</t>
    </r>
  </si>
  <si>
    <r>
      <rPr>
        <sz val="9"/>
        <color rgb="FF000000"/>
        <rFont val="Arial"/>
        <charset val="134"/>
      </rPr>
      <t>STAINER OIL (B 2482 BIH)</t>
    </r>
  </si>
  <si>
    <r>
      <rPr>
        <sz val="9"/>
        <color rgb="FF000000"/>
        <rFont val="Arial"/>
        <charset val="134"/>
      </rPr>
      <t>STECKER COIL HONDA MOBILIO (B2617UFB)</t>
    </r>
  </si>
  <si>
    <r>
      <rPr>
        <sz val="9"/>
        <color rgb="FF000000"/>
        <rFont val="Arial"/>
        <charset val="134"/>
      </rPr>
      <t>STOPER FRONT B1810JVL</t>
    </r>
  </si>
  <si>
    <r>
      <rPr>
        <sz val="9"/>
        <color rgb="FF000000"/>
        <rFont val="Arial"/>
        <charset val="134"/>
      </rPr>
      <t>STOPPER SHOCK DEPAN B1832BMY</t>
    </r>
  </si>
  <si>
    <r>
      <rPr>
        <sz val="8"/>
        <color rgb="FF000000"/>
        <rFont val="Courier"/>
        <charset val="134"/>
      </rPr>
      <t>Page Break 73</t>
    </r>
  </si>
  <si>
    <r>
      <rPr>
        <sz val="9"/>
        <color rgb="FF000000"/>
        <rFont val="Arial"/>
        <charset val="134"/>
      </rPr>
      <t>SUZUKI FRONT BRAKE PAD (55810M66R00-00) (B 2518 TVG)</t>
    </r>
  </si>
  <si>
    <r>
      <rPr>
        <sz val="9"/>
        <color rgb="FF000000"/>
        <rFont val="Arial"/>
        <charset val="134"/>
      </rPr>
      <t>TENSIONER BALANCE B2AM</t>
    </r>
  </si>
  <si>
    <r>
      <rPr>
        <sz val="9"/>
        <color rgb="FF000000"/>
        <rFont val="Arial"/>
        <charset val="134"/>
      </rPr>
      <t>TENSIONER BESAR B2AM</t>
    </r>
  </si>
  <si>
    <r>
      <rPr>
        <sz val="9"/>
        <color rgb="FF000000"/>
        <rFont val="Arial"/>
        <charset val="134"/>
      </rPr>
      <t>THROTTLE BODY B2AM</t>
    </r>
  </si>
  <si>
    <r>
      <rPr>
        <sz val="9"/>
        <color rgb="FF000000"/>
        <rFont val="Arial"/>
        <charset val="134"/>
      </rPr>
      <t>TIE ROD END, OUT, LH (B 1909 KJD)</t>
    </r>
  </si>
  <si>
    <r>
      <rPr>
        <sz val="9"/>
        <color rgb="FF000000"/>
        <rFont val="Arial"/>
        <charset val="134"/>
      </rPr>
      <t>TIE ROD END, OUT, RH (B 1909 KJD)</t>
    </r>
  </si>
  <si>
    <r>
      <rPr>
        <sz val="8"/>
        <color rgb="FF000000"/>
        <rFont val="Courier"/>
        <charset val="134"/>
      </rPr>
      <t>Page Break 74</t>
    </r>
  </si>
  <si>
    <r>
      <rPr>
        <sz val="9"/>
        <color rgb="FF000000"/>
        <rFont val="Arial"/>
        <charset val="134"/>
      </rPr>
      <t>TIMING BELT B2AM</t>
    </r>
  </si>
  <si>
    <r>
      <rPr>
        <sz val="9"/>
        <color rgb="FF000000"/>
        <rFont val="Arial"/>
        <charset val="134"/>
      </rPr>
      <t>TOYOTA  SHAFT, DRIVE (04437-BZ050) (B 2646 TYG)</t>
    </r>
  </si>
  <si>
    <r>
      <rPr>
        <sz val="9"/>
        <color rgb="FF000000"/>
        <rFont val="Arial"/>
        <charset val="134"/>
      </rPr>
      <t>TOYOTA BELT,V-RIBBED (99367-K150) (B 1417 LG)</t>
    </r>
  </si>
  <si>
    <r>
      <rPr>
        <sz val="9"/>
        <color rgb="FF000000"/>
        <rFont val="Arial"/>
        <charset val="134"/>
      </rPr>
      <t>TOYOTA BYPASS RADIATOR (B 1105 TS)</t>
    </r>
  </si>
  <si>
    <r>
      <rPr>
        <sz val="9"/>
        <color rgb="FF000000"/>
        <rFont val="Arial"/>
        <charset val="134"/>
      </rPr>
      <t>TOYOTA CLAMP,PIPING (88718-BZ280)</t>
    </r>
  </si>
  <si>
    <r>
      <rPr>
        <sz val="9"/>
        <color rgb="FF000000"/>
        <rFont val="Arial"/>
        <charset val="134"/>
      </rPr>
      <t>TOYOTA DEK LAHER (B 1663 PRU)</t>
    </r>
  </si>
  <si>
    <r>
      <rPr>
        <sz val="8"/>
        <color rgb="FF000000"/>
        <rFont val="Courier"/>
        <charset val="134"/>
      </rPr>
      <t>Page Break 75</t>
    </r>
  </si>
  <si>
    <r>
      <rPr>
        <sz val="9"/>
        <color rgb="FF000000"/>
        <rFont val="Arial"/>
        <charset val="134"/>
      </rPr>
      <t>TOYOTA DISC CLUTCH / COVER CLUTCH (B 1663 PRU)</t>
    </r>
  </si>
  <si>
    <r>
      <rPr>
        <sz val="9"/>
        <color rgb="FF000000"/>
        <rFont val="Arial"/>
        <charset val="134"/>
      </rPr>
      <t>TOYOTA GASKET,CYL HEAD (11213-BZ011) (B 1063 TFR)</t>
    </r>
  </si>
  <si>
    <r>
      <rPr>
        <sz val="9"/>
        <color rgb="FF000000"/>
        <rFont val="Arial"/>
        <charset val="134"/>
      </rPr>
      <t>TOYOTA GASKET,CYLINDER (11213-31050) (B 1417 LG)</t>
    </r>
  </si>
  <si>
    <r>
      <rPr>
        <sz val="9"/>
        <color rgb="FF000000"/>
        <rFont val="Arial"/>
        <charset val="134"/>
      </rPr>
      <t>TOYOTA GASKET,CYLINDER (11214-31020) (B 1417 LG)</t>
    </r>
  </si>
  <si>
    <r>
      <rPr>
        <sz val="9"/>
        <color rgb="FF000000"/>
        <rFont val="Arial"/>
        <charset val="134"/>
      </rPr>
      <t>TOYOTA KOPLING SET (B 2237 TBL)</t>
    </r>
  </si>
  <si>
    <r>
      <rPr>
        <sz val="8"/>
        <color rgb="FF000000"/>
        <rFont val="Courier"/>
        <charset val="134"/>
      </rPr>
      <t>Page Break 76</t>
    </r>
  </si>
  <si>
    <r>
      <rPr>
        <sz val="9"/>
        <color rgb="FF000000"/>
        <rFont val="Arial"/>
        <charset val="134"/>
      </rPr>
      <t>TOYOTA METAL BULAN (B 2237 TBL)</t>
    </r>
  </si>
  <si>
    <r>
      <rPr>
        <sz val="9"/>
        <color rgb="FF000000"/>
        <rFont val="Arial"/>
        <charset val="134"/>
      </rPr>
      <t>TOYOTA METAL DUDUK (B 2237 TBL)</t>
    </r>
  </si>
  <si>
    <r>
      <rPr>
        <sz val="9"/>
        <color rgb="FF000000"/>
        <rFont val="Arial"/>
        <charset val="134"/>
      </rPr>
      <t>TOYOTA METAL JALAN (B 2237 TBL)</t>
    </r>
  </si>
  <si>
    <r>
      <rPr>
        <sz val="9"/>
        <color rgb="FF000000"/>
        <rFont val="Arial"/>
        <charset val="134"/>
      </rPr>
      <t>TOYOTA PACKING FULL SET (B 1663 PRU)</t>
    </r>
  </si>
  <si>
    <r>
      <rPr>
        <sz val="9"/>
        <color rgb="FF000000"/>
        <rFont val="Arial"/>
        <charset val="134"/>
      </rPr>
      <t>TOYOTA PACKING FULLSET (B 2237 TBL)</t>
    </r>
  </si>
  <si>
    <r>
      <rPr>
        <sz val="9"/>
        <color rgb="FF000000"/>
        <rFont val="Arial"/>
        <charset val="134"/>
      </rPr>
      <t>TOYOTA PEDAL SUB-ASSY, CLUTCH (31340BZ020) (B 2237 TBL)</t>
    </r>
  </si>
  <si>
    <r>
      <rPr>
        <sz val="8"/>
        <color rgb="FF000000"/>
        <rFont val="Courier"/>
        <charset val="134"/>
      </rPr>
      <t>Page Break 77</t>
    </r>
  </si>
  <si>
    <r>
      <rPr>
        <sz val="9"/>
        <color rgb="FF000000"/>
        <rFont val="Arial"/>
        <charset val="134"/>
      </rPr>
      <t>TOYOTA PISTON (B 2237 TBL)</t>
    </r>
  </si>
  <si>
    <r>
      <rPr>
        <sz val="9"/>
        <color rgb="FF000000"/>
        <rFont val="Arial"/>
        <charset val="134"/>
      </rPr>
      <t>TOYOTA RING PISTON (B 2237 TBL)</t>
    </r>
  </si>
  <si>
    <r>
      <rPr>
        <sz val="9"/>
        <color rgb="FF000000"/>
        <rFont val="Arial"/>
        <charset val="134"/>
      </rPr>
      <t>TOYOTA RING PISTON SET (B 1663 PRU)</t>
    </r>
  </si>
  <si>
    <r>
      <rPr>
        <sz val="9"/>
        <color rgb="FF000000"/>
        <rFont val="Arial"/>
        <charset val="134"/>
      </rPr>
      <t>TOYOTA SEAL THERMOSTHAT (1634135010) (B 2237 TBL)</t>
    </r>
  </si>
  <si>
    <r>
      <rPr>
        <sz val="9"/>
        <color rgb="FF000000"/>
        <rFont val="Arial"/>
        <charset val="134"/>
      </rPr>
      <t>TOYOTA THERMOSTHAT (9004833088) (B 2237 TBL)</t>
    </r>
  </si>
  <si>
    <r>
      <rPr>
        <sz val="8"/>
        <color rgb="FF000000"/>
        <rFont val="Courier"/>
        <charset val="134"/>
      </rPr>
      <t>Page Break 78</t>
    </r>
  </si>
  <si>
    <r>
      <rPr>
        <sz val="9"/>
        <color rgb="FF000000"/>
        <rFont val="Arial"/>
        <charset val="134"/>
      </rPr>
      <t>WHEEL CYLINDER B1810JVL</t>
    </r>
  </si>
  <si>
    <r>
      <rPr>
        <sz val="8"/>
        <color rgb="FF000000"/>
        <rFont val="Courier"/>
        <charset val="134"/>
      </rPr>
      <t>Page Break 79</t>
    </r>
  </si>
  <si>
    <r>
      <rPr>
        <sz val="11"/>
        <color rgb="FF000000"/>
        <rFont val="Courier"/>
        <charset val="134"/>
      </rPr>
      <t>From 01 Dec 2025 until 31 Dec 2025</t>
    </r>
  </si>
  <si>
    <r>
      <rPr>
        <sz val="9"/>
        <color rgb="FF000000"/>
        <rFont val="Arial"/>
        <charset val="134"/>
      </rPr>
      <t>11213-0H030 TOYOTA GASKET, V/SEAL C/VALVE</t>
    </r>
  </si>
  <si>
    <r>
      <rPr>
        <sz val="9"/>
        <color rgb="FF000000"/>
        <rFont val="Arial"/>
        <charset val="134"/>
      </rPr>
      <t>11213-BZ090 TOYOTA GASKET COVER VALVE</t>
    </r>
  </si>
  <si>
    <r>
      <rPr>
        <sz val="9"/>
        <color rgb="FF000000"/>
        <rFont val="Arial"/>
        <charset val="134"/>
      </rPr>
      <t>1340A181 MITSUBISH BELT, FAN</t>
    </r>
  </si>
  <si>
    <r>
      <rPr>
        <sz val="9"/>
        <color rgb="FF000000"/>
        <rFont val="Arial"/>
        <charset val="134"/>
      </rPr>
      <t>47550-BZ010 SAM WHEEL CYL ASSY</t>
    </r>
  </si>
  <si>
    <r>
      <rPr>
        <sz val="9"/>
        <color rgb="FF000000"/>
        <rFont val="Arial"/>
        <charset val="134"/>
      </rPr>
      <t>47560-BZ010 SAM WHEEL CYL ASSY</t>
    </r>
  </si>
  <si>
    <r>
      <rPr>
        <sz val="9"/>
        <color rgb="FF000000"/>
        <rFont val="Arial"/>
        <charset val="134"/>
      </rPr>
      <t>555 LINK STABILIZER (1 SET) VOXY B2779BFY</t>
    </r>
  </si>
  <si>
    <r>
      <rPr>
        <sz val="9"/>
        <color rgb="FF000000"/>
        <rFont val="Arial"/>
        <charset val="134"/>
      </rPr>
      <t>A6 WAGON OIL FILTER (B 1191 SDZ)</t>
    </r>
  </si>
  <si>
    <r>
      <rPr>
        <sz val="8"/>
        <color rgb="FF000000"/>
        <rFont val="Courier"/>
        <charset val="134"/>
      </rPr>
      <t>Printed on 2 February 2026 - 09:41</t>
    </r>
  </si>
  <si>
    <r>
      <rPr>
        <sz val="9"/>
        <color rgb="FF000000"/>
        <rFont val="Arial"/>
        <charset val="134"/>
      </rPr>
      <t>AIR FILTER B1918CYR</t>
    </r>
  </si>
  <si>
    <r>
      <rPr>
        <sz val="9"/>
        <color rgb="FF000000"/>
        <rFont val="Arial"/>
        <charset val="134"/>
      </rPr>
      <t>ASUKI LINK STABIL BH1003NM</t>
    </r>
  </si>
  <si>
    <r>
      <rPr>
        <sz val="9"/>
        <color rgb="FF000000"/>
        <rFont val="Arial"/>
        <charset val="134"/>
      </rPr>
      <t>ASUKI WHEEL CYLINDER REAR BH1003NM</t>
    </r>
  </si>
  <si>
    <r>
      <rPr>
        <sz val="9"/>
        <color rgb="FF000000"/>
        <rFont val="Arial"/>
        <charset val="134"/>
      </rPr>
      <t>BEARING ASSY RR (B 1232 ERF)</t>
    </r>
  </si>
  <si>
    <r>
      <rPr>
        <sz val="9"/>
        <color rgb="FF000000"/>
        <rFont val="Arial"/>
        <charset val="134"/>
      </rPr>
      <t>BENDIX Brake Pad BS 5052 / DS 0808 Rear</t>
    </r>
  </si>
  <si>
    <r>
      <rPr>
        <sz val="9"/>
        <color rgb="FF000000"/>
        <rFont val="Arial"/>
        <charset val="134"/>
      </rPr>
      <t>BENDIX Brake Pad DB 1163 Rear</t>
    </r>
  </si>
  <si>
    <r>
      <rPr>
        <sz val="9"/>
        <color rgb="FF000000"/>
        <rFont val="Arial"/>
        <charset val="134"/>
      </rPr>
      <t>BENDIX Brake Pad DB 1286 Front</t>
    </r>
  </si>
  <si>
    <r>
      <rPr>
        <sz val="9"/>
        <color rgb="FF000000"/>
        <rFont val="Arial"/>
        <charset val="134"/>
      </rPr>
      <t>BENDIX Brake Pad DB 1333 Front</t>
    </r>
  </si>
  <si>
    <r>
      <rPr>
        <sz val="9"/>
        <color rgb="FF000000"/>
        <rFont val="Arial"/>
        <charset val="134"/>
      </rPr>
      <t>BENDIX Brake Pad DB 1460 Front</t>
    </r>
  </si>
  <si>
    <r>
      <rPr>
        <sz val="9"/>
        <color rgb="FF000000"/>
        <rFont val="Arial"/>
        <charset val="134"/>
      </rPr>
      <t>BENDIX Brake Pad DB 1728 Rear</t>
    </r>
  </si>
  <si>
    <r>
      <rPr>
        <sz val="9"/>
        <color rgb="FF000000"/>
        <rFont val="Arial"/>
        <charset val="134"/>
      </rPr>
      <t>BENDIX Brake Pad DB 1820 Front</t>
    </r>
  </si>
  <si>
    <r>
      <rPr>
        <sz val="9"/>
        <color rgb="FF000000"/>
        <rFont val="Arial"/>
        <charset val="134"/>
      </rPr>
      <t>BENDIX Brake Pad DB 1835 Front</t>
    </r>
  </si>
  <si>
    <r>
      <rPr>
        <sz val="9"/>
        <color rgb="FF000000"/>
        <rFont val="Arial"/>
        <charset val="134"/>
      </rPr>
      <t>BENDIX Brake Pad DB 1843 Front</t>
    </r>
  </si>
  <si>
    <r>
      <rPr>
        <sz val="9"/>
        <color rgb="FF000000"/>
        <rFont val="Arial"/>
        <charset val="134"/>
      </rPr>
      <t>BENDIX Brake Pad DB 1941 Front</t>
    </r>
  </si>
  <si>
    <r>
      <rPr>
        <sz val="9"/>
        <color rgb="FF000000"/>
        <rFont val="Arial"/>
        <charset val="134"/>
      </rPr>
      <t>BENDIX Brake Pad DB 2245 Rear</t>
    </r>
  </si>
  <si>
    <r>
      <rPr>
        <sz val="9"/>
        <color rgb="FF000000"/>
        <rFont val="Arial"/>
        <charset val="134"/>
      </rPr>
      <t>BENDIX Brake Pad DB 2304 Front</t>
    </r>
  </si>
  <si>
    <r>
      <rPr>
        <sz val="9"/>
        <color rgb="FF000000"/>
        <rFont val="Arial"/>
        <charset val="134"/>
      </rPr>
      <t>BENDIX Brake Pad DB 2374 Rear</t>
    </r>
  </si>
  <si>
    <r>
      <rPr>
        <sz val="9"/>
        <color rgb="FF000000"/>
        <rFont val="Arial"/>
        <charset val="134"/>
      </rPr>
      <t>BENDIX Brake Pad DB 2450 Rear</t>
    </r>
  </si>
  <si>
    <r>
      <rPr>
        <sz val="9"/>
        <color rgb="FF000000"/>
        <rFont val="Arial"/>
        <charset val="134"/>
      </rPr>
      <t>BENDIX Brake Pad DB 2490 Front</t>
    </r>
  </si>
  <si>
    <r>
      <rPr>
        <sz val="9"/>
        <color rgb="FF000000"/>
        <rFont val="Arial"/>
        <charset val="134"/>
      </rPr>
      <t>BOHLAMP H16 B2316POO</t>
    </r>
  </si>
  <si>
    <r>
      <rPr>
        <sz val="9"/>
        <color rgb="FF000000"/>
        <rFont val="Arial"/>
        <charset val="134"/>
      </rPr>
      <t>BOSCH Air Filter A 2342</t>
    </r>
  </si>
  <si>
    <r>
      <rPr>
        <sz val="9"/>
        <color rgb="FF000000"/>
        <rFont val="Arial"/>
        <charset val="134"/>
      </rPr>
      <t>BOSCH Battery AMS +E110 100D23L 12V-70Ah</t>
    </r>
  </si>
  <si>
    <r>
      <rPr>
        <sz val="9"/>
        <color rgb="FF000000"/>
        <rFont val="Arial"/>
        <charset val="134"/>
      </rPr>
      <t>BOSCH Battery MF Blue NX11005 80D26R 12V-70Ah</t>
    </r>
  </si>
  <si>
    <r>
      <rPr>
        <sz val="9"/>
        <color rgb="FF000000"/>
        <rFont val="Arial"/>
        <charset val="134"/>
      </rPr>
      <t>BOSCH Battery MF Hightech AGM DIN60 LN2 12V-60Ah</t>
    </r>
  </si>
  <si>
    <r>
      <rPr>
        <sz val="9"/>
        <color rgb="FF000000"/>
        <rFont val="Arial"/>
        <charset val="134"/>
      </rPr>
      <t>BOSCH Brake Pad 0986AB2268 /BP2268 Front</t>
    </r>
  </si>
  <si>
    <r>
      <rPr>
        <sz val="9"/>
        <color rgb="FF000000"/>
        <rFont val="Arial"/>
        <charset val="134"/>
      </rPr>
      <t>BOSCH Brake Pad 0986T18183 /BP2493N Front</t>
    </r>
  </si>
  <si>
    <r>
      <rPr>
        <sz val="9"/>
        <color rgb="FF000000"/>
        <rFont val="Arial"/>
        <charset val="134"/>
      </rPr>
      <t>BOSCH Brake Pad 0986T18189 /BP2373N Front</t>
    </r>
  </si>
  <si>
    <r>
      <rPr>
        <sz val="9"/>
        <color rgb="FF000000"/>
        <rFont val="Arial"/>
        <charset val="134"/>
      </rPr>
      <t>BOSCH Cabin Filter R 2424</t>
    </r>
  </si>
  <si>
    <r>
      <rPr>
        <sz val="9"/>
        <color rgb="FF000000"/>
        <rFont val="Arial"/>
        <charset val="134"/>
      </rPr>
      <t>BOSCH Cabin Filter R 5503</t>
    </r>
  </si>
  <si>
    <r>
      <rPr>
        <sz val="9"/>
        <color rgb="FF000000"/>
        <rFont val="Arial"/>
        <charset val="134"/>
      </rPr>
      <t>BOSCH Cabin Filter S 4454</t>
    </r>
  </si>
  <si>
    <r>
      <rPr>
        <sz val="9"/>
        <color rgb="FF000000"/>
        <rFont val="Arial"/>
        <charset val="134"/>
      </rPr>
      <t>BOSCH Light Bulb P21W 24V 21W -BA15s ECO Auxiliary</t>
    </r>
  </si>
  <si>
    <r>
      <rPr>
        <sz val="9"/>
        <color rgb="FF000000"/>
        <rFont val="Arial"/>
        <charset val="134"/>
      </rPr>
      <t>BOSCH Oil Filter O 1066</t>
    </r>
  </si>
  <si>
    <r>
      <rPr>
        <sz val="9"/>
        <color rgb="FF000000"/>
        <rFont val="Arial"/>
        <charset val="134"/>
      </rPr>
      <t>BOSCH Oil Filter P 7166</t>
    </r>
  </si>
  <si>
    <r>
      <rPr>
        <sz val="9"/>
        <color rgb="FF000000"/>
        <rFont val="Arial"/>
        <charset val="134"/>
      </rPr>
      <t>BOSCH Oil Filter P 7175</t>
    </r>
  </si>
  <si>
    <r>
      <rPr>
        <sz val="9"/>
        <color rgb="FF000000"/>
        <rFont val="Arial"/>
        <charset val="134"/>
      </rPr>
      <t>BOSCH PLUG SPARK K7TC</t>
    </r>
  </si>
  <si>
    <r>
      <rPr>
        <sz val="9"/>
        <color rgb="FF000000"/>
        <rFont val="Arial"/>
        <charset val="134"/>
      </rPr>
      <t>BOSCH Spark Plug FR6LII330X - Iridium</t>
    </r>
  </si>
  <si>
    <r>
      <rPr>
        <sz val="9"/>
        <color rgb="FF000000"/>
        <rFont val="Arial"/>
        <charset val="134"/>
      </rPr>
      <t>BOSCH Spark Plug YR7MPP33 - Platinum</t>
    </r>
  </si>
  <si>
    <r>
      <rPr>
        <sz val="9"/>
        <color rgb="FF000000"/>
        <rFont val="Arial"/>
        <charset val="134"/>
      </rPr>
      <t>BOSCH Wiper Aerotwin (Set) A399S</t>
    </r>
  </si>
  <si>
    <r>
      <rPr>
        <sz val="9"/>
        <color rgb="FF000000"/>
        <rFont val="Arial"/>
        <charset val="134"/>
      </rPr>
      <t>BOSCH Wiper Aerotwin Retrofit 14 BBA350</t>
    </r>
  </si>
  <si>
    <r>
      <rPr>
        <sz val="9"/>
        <color rgb="FF000000"/>
        <rFont val="Arial"/>
        <charset val="134"/>
      </rPr>
      <t>BRAKE PAD FRONT B111YTI</t>
    </r>
  </si>
  <si>
    <r>
      <rPr>
        <sz val="9"/>
        <color rgb="FF000000"/>
        <rFont val="Arial"/>
        <charset val="134"/>
      </rPr>
      <t>BRAKE PAD FRONT B1918CYR</t>
    </r>
  </si>
  <si>
    <r>
      <rPr>
        <sz val="9"/>
        <color rgb="FF000000"/>
        <rFont val="Arial"/>
        <charset val="134"/>
      </rPr>
      <t>BRAKE PAD REAR B111YTI</t>
    </r>
  </si>
  <si>
    <r>
      <rPr>
        <sz val="9"/>
        <color rgb="FF000000"/>
        <rFont val="Arial"/>
        <charset val="134"/>
      </rPr>
      <t>BRAKE SHOE B2815UOD</t>
    </r>
  </si>
  <si>
    <r>
      <rPr>
        <sz val="9"/>
        <color rgb="FF000000"/>
        <rFont val="Arial"/>
        <charset val="134"/>
      </rPr>
      <t>BRAKE WHEEL CYLINDER B1021G</t>
    </r>
  </si>
  <si>
    <r>
      <rPr>
        <sz val="9"/>
        <color rgb="FF000000"/>
        <rFont val="Arial"/>
        <charset val="134"/>
      </rPr>
      <t>BRIDGESTONE TIRE Techno Sports 195/55R16 87V</t>
    </r>
  </si>
  <si>
    <r>
      <rPr>
        <sz val="9"/>
        <color rgb="FF000000"/>
        <rFont val="Arial"/>
        <charset val="134"/>
      </rPr>
      <t>BRIDGESTONE TIRE Turanza 6 185/55R16 83V</t>
    </r>
  </si>
  <si>
    <r>
      <rPr>
        <sz val="9"/>
        <color rgb="FF000000"/>
        <rFont val="Arial"/>
        <charset val="134"/>
      </rPr>
      <t>BRIDGESTONE TIRE Turanza 6 215/65R16</t>
    </r>
  </si>
  <si>
    <r>
      <rPr>
        <sz val="9"/>
        <color rgb="FF000000"/>
        <rFont val="Arial"/>
        <charset val="134"/>
      </rPr>
      <t>BCS-1 KELAPA GADING--Promotion Warehouse</t>
    </r>
  </si>
  <si>
    <r>
      <rPr>
        <sz val="9"/>
        <color rgb="FF000000"/>
        <rFont val="Arial"/>
        <charset val="134"/>
      </rPr>
      <t>BRIDGESTONE TIRE Turanza 6 235/60R18 107W</t>
    </r>
  </si>
  <si>
    <r>
      <rPr>
        <sz val="9"/>
        <color rgb="FF000000"/>
        <rFont val="Arial"/>
        <charset val="134"/>
      </rPr>
      <t>BRIGTON GREASE (B 2975 KMT)</t>
    </r>
  </si>
  <si>
    <r>
      <rPr>
        <sz val="9"/>
        <color rgb="FF000000"/>
        <rFont val="Arial"/>
        <charset val="134"/>
      </rPr>
      <t>CARBON Fuel System/Combustion Chamber Cleaner-T3 300ml</t>
    </r>
  </si>
  <si>
    <r>
      <rPr>
        <sz val="9"/>
        <color rgb="FF000000"/>
        <rFont val="Arial"/>
        <charset val="134"/>
      </rPr>
      <t>COOLTECK RADIATOR ASSY (15161118) (B 1206 TOW)</t>
    </r>
  </si>
  <si>
    <r>
      <rPr>
        <sz val="9"/>
        <color rgb="FF000000"/>
        <rFont val="Arial"/>
        <charset val="134"/>
      </rPr>
      <t>COVER, OUT MIRROR LH 87945-BZ640</t>
    </r>
  </si>
  <si>
    <r>
      <rPr>
        <sz val="9"/>
        <color rgb="FF000000"/>
        <rFont val="Arial"/>
        <charset val="134"/>
      </rPr>
      <t>DAIHATSU FAN BELT (9004A-91067) (B 8959 RI)</t>
    </r>
  </si>
  <si>
    <r>
      <rPr>
        <sz val="9"/>
        <color rgb="FF000000"/>
        <rFont val="Arial"/>
        <charset val="134"/>
      </rPr>
      <t>DAIHATSU SUPPORT SUB-ASSY (48609-BZ120-001) (B 1864 TYJ)</t>
    </r>
  </si>
  <si>
    <r>
      <rPr>
        <sz val="9"/>
        <color rgb="FF000000"/>
        <rFont val="Arial"/>
        <charset val="134"/>
      </rPr>
      <t>DENSO Oil Filter DXE-1001</t>
    </r>
  </si>
  <si>
    <r>
      <rPr>
        <sz val="9"/>
        <color rgb="FF000000"/>
        <rFont val="Arial"/>
        <charset val="134"/>
      </rPr>
      <t>DENSO Spark Plug XU20EPR-U - Nickel</t>
    </r>
  </si>
  <si>
    <r>
      <rPr>
        <sz val="9"/>
        <color rgb="FF000000"/>
        <rFont val="Arial"/>
        <charset val="134"/>
      </rPr>
      <t>DENSO Spark Plug XU22PR9 - Nickel</t>
    </r>
  </si>
  <si>
    <r>
      <rPr>
        <sz val="9"/>
        <color rgb="FF000000"/>
        <rFont val="Arial"/>
        <charset val="134"/>
      </rPr>
      <t>DFSK OIL FILTER (1012200F0000)</t>
    </r>
  </si>
  <si>
    <r>
      <rPr>
        <sz val="9"/>
        <color rgb="FF000000"/>
        <rFont val="Arial"/>
        <charset val="134"/>
      </rPr>
      <t>DISC BRAKE DEPAN B2992EBB</t>
    </r>
  </si>
  <si>
    <r>
      <rPr>
        <sz val="9"/>
        <color rgb="FF000000"/>
        <rFont val="Arial"/>
        <charset val="134"/>
      </rPr>
      <t>DUNLOP TIRE SP Touring R1 205/60R16 92T</t>
    </r>
  </si>
  <si>
    <r>
      <rPr>
        <sz val="9"/>
        <color rgb="FF000000"/>
        <rFont val="Arial"/>
        <charset val="134"/>
      </rPr>
      <t>ENGINE MOUNTING TRANSMISI REAR B1651URL</t>
    </r>
  </si>
  <si>
    <r>
      <rPr>
        <sz val="9"/>
        <color rgb="FF000000"/>
        <rFont val="Arial"/>
        <charset val="134"/>
      </rPr>
      <t>EVAPORATOR AC B2815UOD</t>
    </r>
  </si>
  <si>
    <r>
      <rPr>
        <sz val="9"/>
        <color rgb="FF000000"/>
        <rFont val="Arial"/>
        <charset val="134"/>
      </rPr>
      <t>FILTER SOLAR B521JDC</t>
    </r>
  </si>
  <si>
    <r>
      <rPr>
        <sz val="9"/>
        <color rgb="FF000000"/>
        <rFont val="Arial"/>
        <charset val="134"/>
      </rPr>
      <t>FILTER UDARA B521JDC</t>
    </r>
  </si>
  <si>
    <r>
      <rPr>
        <sz val="9"/>
        <color rgb="FF000000"/>
        <rFont val="Arial"/>
        <charset val="134"/>
      </rPr>
      <t>FORD CABIN AIR FILTER (MB3B-19N61-9DA)</t>
    </r>
  </si>
  <si>
    <r>
      <rPr>
        <sz val="9"/>
        <color rgb="FF000000"/>
        <rFont val="Arial"/>
        <charset val="134"/>
      </rPr>
      <t>Four-in-one air conditioner cleaning machine</t>
    </r>
  </si>
  <si>
    <r>
      <rPr>
        <sz val="9"/>
        <color rgb="FF000000"/>
        <rFont val="Arial"/>
        <charset val="134"/>
      </rPr>
      <t>GLOSSXPERT Engine Cleaner Uk. 350ml</t>
    </r>
  </si>
  <si>
    <r>
      <rPr>
        <sz val="9"/>
        <color rgb="FF000000"/>
        <rFont val="Arial"/>
        <charset val="134"/>
      </rPr>
      <t>GLOSSXPERT Engine Dressing Uk. 350ml</t>
    </r>
  </si>
  <si>
    <r>
      <rPr>
        <sz val="9"/>
        <color rgb="FF000000"/>
        <rFont val="Arial"/>
        <charset val="134"/>
      </rPr>
      <t>GLOSSXPERT Tire And Wheel Cleaner Uk. 350ml</t>
    </r>
  </si>
  <si>
    <r>
      <rPr>
        <sz val="9"/>
        <color rgb="FF000000"/>
        <rFont val="Arial"/>
        <charset val="134"/>
      </rPr>
      <t>GOODYEAR TIRE ASSURANCE TRIPLEMAX 2 195/60R16</t>
    </r>
  </si>
  <si>
    <r>
      <rPr>
        <sz val="9"/>
        <color rgb="FF000000"/>
        <rFont val="Arial"/>
        <charset val="134"/>
      </rPr>
      <t>GTRADIAL TIRE Champiro Ecotec* 175/60R13 -</t>
    </r>
  </si>
  <si>
    <r>
      <rPr>
        <sz val="9"/>
        <color rgb="FF000000"/>
        <rFont val="Arial"/>
        <charset val="134"/>
      </rPr>
      <t>GTRADIAL TIRE Champiro Ecotec* 175/65R14 -</t>
    </r>
  </si>
  <si>
    <r>
      <rPr>
        <sz val="9"/>
        <color rgb="FF000000"/>
        <rFont val="Arial"/>
        <charset val="134"/>
      </rPr>
      <t>GTRADIAL TIRE Champiro Ecotec* 175/70R13 -</t>
    </r>
  </si>
  <si>
    <r>
      <rPr>
        <sz val="9"/>
        <color rgb="FF000000"/>
        <rFont val="Arial"/>
        <charset val="134"/>
      </rPr>
      <t>GTRADIAL TIRE Champiro Gtx Pro 225/55R17 -</t>
    </r>
  </si>
  <si>
    <r>
      <rPr>
        <sz val="9"/>
        <color rgb="FF000000"/>
        <rFont val="Arial"/>
        <charset val="134"/>
      </rPr>
      <t>GTRADIAL TIRE Savero SUV 215/55R17 -</t>
    </r>
  </si>
  <si>
    <r>
      <rPr>
        <sz val="9"/>
        <color rgb="FF000000"/>
        <rFont val="Arial"/>
        <charset val="134"/>
      </rPr>
      <t>GTRADIAL TIRE Savero SUV 225/60R17 -</t>
    </r>
  </si>
  <si>
    <r>
      <rPr>
        <sz val="9"/>
        <color rgb="FF000000"/>
        <rFont val="Arial"/>
        <charset val="134"/>
      </rPr>
      <t>GTRADIAL TIRE Savero SUV 225/65R17 -</t>
    </r>
  </si>
  <si>
    <r>
      <rPr>
        <sz val="9"/>
        <color rgb="FF000000"/>
        <rFont val="Arial"/>
        <charset val="134"/>
      </rPr>
      <t>GTRADIAL TIRE Savero SUV 235/60R18 -</t>
    </r>
  </si>
  <si>
    <r>
      <rPr>
        <sz val="9"/>
        <color rgb="FF000000"/>
        <rFont val="Arial"/>
        <charset val="134"/>
      </rPr>
      <t>HEIKER RACK STEER H-MRT-003</t>
    </r>
  </si>
  <si>
    <r>
      <rPr>
        <sz val="9"/>
        <color rgb="FF000000"/>
        <rFont val="Arial"/>
        <charset val="134"/>
      </rPr>
      <t>HONDA AIR FILTER (W 1206 XJ)</t>
    </r>
  </si>
  <si>
    <r>
      <rPr>
        <sz val="9"/>
        <color rgb="FF000000"/>
        <rFont val="Arial"/>
        <charset val="134"/>
      </rPr>
      <t>HONDA FAN BELT (31110-5EA-K02) (B 2654 TOG)</t>
    </r>
  </si>
  <si>
    <r>
      <rPr>
        <sz val="9"/>
        <color rgb="FF000000"/>
        <rFont val="Arial"/>
        <charset val="134"/>
      </rPr>
      <t>HONDA SPARK PLUG (W 1206 XJ)</t>
    </r>
  </si>
  <si>
    <r>
      <rPr>
        <sz val="9"/>
        <color rgb="FF000000"/>
        <rFont val="Arial"/>
        <charset val="134"/>
      </rPr>
      <t>HONDA SUPPORT 51920-TG4-T01</t>
    </r>
  </si>
  <si>
    <r>
      <rPr>
        <sz val="9"/>
        <color rgb="FF000000"/>
        <rFont val="Arial"/>
        <charset val="134"/>
      </rPr>
      <t>HONDA V-BELT (B 2963 KFQ)</t>
    </r>
  </si>
  <si>
    <r>
      <rPr>
        <sz val="9"/>
        <color rgb="FF000000"/>
        <rFont val="Arial"/>
        <charset val="134"/>
      </rPr>
      <t>HONGTAI Air conditioner Condenser Cleaner 450ml</t>
    </r>
  </si>
  <si>
    <r>
      <rPr>
        <sz val="9"/>
        <color rgb="FF000000"/>
        <rFont val="Arial"/>
        <charset val="134"/>
      </rPr>
      <t>HONGTAI Air conditioner Evaporator Cleaner-Kit 450ml+450ml</t>
    </r>
  </si>
  <si>
    <r>
      <rPr>
        <sz val="9"/>
        <color rgb="FF000000"/>
        <rFont val="Arial"/>
        <charset val="134"/>
      </rPr>
      <t>HONGTAI Car Interior Cleaner-Kit 420ml+50ml</t>
    </r>
  </si>
  <si>
    <r>
      <rPr>
        <sz val="9"/>
        <color rgb="FF000000"/>
        <rFont val="Arial"/>
        <charset val="134"/>
      </rPr>
      <t>IGNITION COIL B1651URL</t>
    </r>
  </si>
  <si>
    <r>
      <rPr>
        <sz val="9"/>
        <color rgb="FF000000"/>
        <rFont val="Arial"/>
        <charset val="134"/>
      </rPr>
      <t>INNER FENDER B2316POO</t>
    </r>
  </si>
  <si>
    <r>
      <rPr>
        <sz val="9"/>
        <color rgb="FF000000"/>
        <rFont val="Arial"/>
        <charset val="134"/>
      </rPr>
      <t>INNER FENDER FR LH B2949BZJ</t>
    </r>
  </si>
  <si>
    <r>
      <rPr>
        <sz val="9"/>
        <color rgb="FF000000"/>
        <rFont val="Arial"/>
        <charset val="134"/>
      </rPr>
      <t>In-cylinder pulse carbon removal cleaning machine</t>
    </r>
  </si>
  <si>
    <r>
      <rPr>
        <sz val="9"/>
        <color rgb="FF000000"/>
        <rFont val="Arial"/>
        <charset val="134"/>
      </rPr>
      <t>LINK STABIL B111YTI</t>
    </r>
  </si>
  <si>
    <r>
      <rPr>
        <sz val="9"/>
        <color rgb="FF000000"/>
        <rFont val="Arial"/>
        <charset val="134"/>
      </rPr>
      <t>LINK STABILIZER B2035BZZ</t>
    </r>
  </si>
  <si>
    <r>
      <rPr>
        <sz val="9"/>
        <color rgb="FF000000"/>
        <rFont val="Arial"/>
        <charset val="134"/>
      </rPr>
      <t>LONG TIE ROD B521JDC</t>
    </r>
  </si>
  <si>
    <r>
      <rPr>
        <sz val="9"/>
        <color rgb="FF000000"/>
        <rFont val="Arial"/>
        <charset val="134"/>
      </rPr>
      <t>LOWER ARM B1651URL</t>
    </r>
  </si>
  <si>
    <r>
      <rPr>
        <sz val="9"/>
        <color rgb="FF000000"/>
        <rFont val="Arial"/>
        <charset val="134"/>
      </rPr>
      <t>LOWER ARM B2949BZJ</t>
    </r>
  </si>
  <si>
    <r>
      <rPr>
        <sz val="9"/>
        <color rgb="FF000000"/>
        <rFont val="Arial"/>
        <charset val="134"/>
      </rPr>
      <t>LOWER ARM BK1745PM</t>
    </r>
  </si>
  <si>
    <r>
      <rPr>
        <sz val="9"/>
        <color rgb="FF000000"/>
        <rFont val="Arial"/>
        <charset val="134"/>
      </rPr>
      <t>MANDO OIL FILTER (F 1890 NC)</t>
    </r>
  </si>
  <si>
    <r>
      <rPr>
        <sz val="9"/>
        <color rgb="FF000000"/>
        <rFont val="Arial"/>
        <charset val="134"/>
      </rPr>
      <t>MANN OIL FILTER 204/271 HU 514 X</t>
    </r>
  </si>
  <si>
    <r>
      <rPr>
        <sz val="9"/>
        <color rgb="FF000000"/>
        <rFont val="Arial"/>
        <charset val="134"/>
      </rPr>
      <t>MASSIV Battery Thunder(MF)-80D26L NX110-5L 12V-80Ah</t>
    </r>
  </si>
  <si>
    <r>
      <rPr>
        <sz val="9"/>
        <color rgb="FF000000"/>
        <rFont val="Arial"/>
        <charset val="134"/>
      </rPr>
      <t>MASTER REM B1236BJP</t>
    </r>
  </si>
  <si>
    <r>
      <rPr>
        <sz val="9"/>
        <color rgb="FF000000"/>
        <rFont val="Arial"/>
        <charset val="134"/>
      </rPr>
      <t>MITSUBISHI FILTER SOLAR (B2822SJC)</t>
    </r>
  </si>
  <si>
    <r>
      <rPr>
        <sz val="9"/>
        <color rgb="FF000000"/>
        <rFont val="Arial"/>
        <charset val="134"/>
      </rPr>
      <t>MMKSI OIL FILTER (1230A182A)</t>
    </r>
  </si>
  <si>
    <r>
      <rPr>
        <sz val="9"/>
        <color rgb="FF000000"/>
        <rFont val="Arial"/>
        <charset val="134"/>
      </rPr>
      <t>MONROE Shock Absorber 378014SP Rear</t>
    </r>
  </si>
  <si>
    <r>
      <rPr>
        <sz val="9"/>
        <color rgb="FF000000"/>
        <rFont val="Arial"/>
        <charset val="134"/>
      </rPr>
      <t>MONROE Shock Absorber 378030SP Rear</t>
    </r>
  </si>
  <si>
    <r>
      <rPr>
        <sz val="9"/>
        <color rgb="FF000000"/>
        <rFont val="Arial"/>
        <charset val="134"/>
      </rPr>
      <t>MONROE Shock Absorber 378040SP Rear</t>
    </r>
  </si>
  <si>
    <r>
      <rPr>
        <sz val="9"/>
        <color rgb="FF000000"/>
        <rFont val="Arial"/>
        <charset val="134"/>
      </rPr>
      <t>MONROE Shock Absorber 378059SP Rear</t>
    </r>
  </si>
  <si>
    <r>
      <rPr>
        <sz val="9"/>
        <color rgb="FF000000"/>
        <rFont val="Arial"/>
        <charset val="134"/>
      </rPr>
      <t>MONROE Shock Absorber 378073SP Rear</t>
    </r>
  </si>
  <si>
    <r>
      <rPr>
        <sz val="9"/>
        <color rgb="FF000000"/>
        <rFont val="Arial"/>
        <charset val="134"/>
      </rPr>
      <t>MONROE Shock Absorber 378101SP Rear</t>
    </r>
  </si>
  <si>
    <r>
      <rPr>
        <sz val="9"/>
        <color rgb="FF000000"/>
        <rFont val="Arial"/>
        <charset val="134"/>
      </rPr>
      <t>MONROE Shock Absorber 378111SP Rear</t>
    </r>
  </si>
  <si>
    <r>
      <rPr>
        <sz val="9"/>
        <color rgb="FF000000"/>
        <rFont val="Arial"/>
        <charset val="134"/>
      </rPr>
      <t>MONROE Shock Absorber 378311SP Rear</t>
    </r>
  </si>
  <si>
    <r>
      <rPr>
        <sz val="9"/>
        <color rgb="FF000000"/>
        <rFont val="Arial"/>
        <charset val="134"/>
      </rPr>
      <t>MONROE Shock Absorber 744020SP Front-RH</t>
    </r>
  </si>
  <si>
    <r>
      <rPr>
        <sz val="9"/>
        <color rgb="FF000000"/>
        <rFont val="Arial"/>
        <charset val="134"/>
      </rPr>
      <t>MONROE Shock Absorber 744021SP Front-LH</t>
    </r>
  </si>
  <si>
    <r>
      <rPr>
        <sz val="9"/>
        <color rgb="FF000000"/>
        <rFont val="Arial"/>
        <charset val="134"/>
      </rPr>
      <t>MONROE Shock Absorber 744026SP Front-RH</t>
    </r>
  </si>
  <si>
    <r>
      <rPr>
        <sz val="9"/>
        <color rgb="FF000000"/>
        <rFont val="Arial"/>
        <charset val="134"/>
      </rPr>
      <t>MONROE Shock Absorber 744027SP Front-LH</t>
    </r>
  </si>
  <si>
    <r>
      <rPr>
        <sz val="9"/>
        <color rgb="FF000000"/>
        <rFont val="Arial"/>
        <charset val="134"/>
      </rPr>
      <t>MONROE Shock Absorber 744056SP Front</t>
    </r>
  </si>
  <si>
    <r>
      <rPr>
        <sz val="9"/>
        <color rgb="FF000000"/>
        <rFont val="Arial"/>
        <charset val="134"/>
      </rPr>
      <t>MONROE Shock Absorber 744088SP Front-RH</t>
    </r>
  </si>
  <si>
    <r>
      <rPr>
        <sz val="9"/>
        <color rgb="FF000000"/>
        <rFont val="Arial"/>
        <charset val="134"/>
      </rPr>
      <t>MONROE Shock Absorber 744089SP Front-LH</t>
    </r>
  </si>
  <si>
    <r>
      <rPr>
        <sz val="9"/>
        <color rgb="FF000000"/>
        <rFont val="Arial"/>
        <charset val="134"/>
      </rPr>
      <t>MONROE Shock Absorber 744106SP Front-RH</t>
    </r>
  </si>
  <si>
    <r>
      <rPr>
        <sz val="9"/>
        <color rgb="FF000000"/>
        <rFont val="Arial"/>
        <charset val="134"/>
      </rPr>
      <t>MONROE Shock Absorber 744107SP Front-LH</t>
    </r>
  </si>
  <si>
    <r>
      <rPr>
        <sz val="9"/>
        <color rgb="FF000000"/>
        <rFont val="Arial"/>
        <charset val="134"/>
      </rPr>
      <t>MONROE Shock Absorber 744290SP Front-RH</t>
    </r>
  </si>
  <si>
    <r>
      <rPr>
        <sz val="9"/>
        <color rgb="FF000000"/>
        <rFont val="Arial"/>
        <charset val="134"/>
      </rPr>
      <t>MONROE Shock Absorber 744291SP Front-LH</t>
    </r>
  </si>
  <si>
    <r>
      <rPr>
        <sz val="9"/>
        <color rgb="FF000000"/>
        <rFont val="Arial"/>
        <charset val="134"/>
      </rPr>
      <t>MONROE Shock Absorber 744292SP Rear-RH</t>
    </r>
  </si>
  <si>
    <r>
      <rPr>
        <sz val="9"/>
        <color rgb="FF000000"/>
        <rFont val="Arial"/>
        <charset val="134"/>
      </rPr>
      <t>MONROE Shock Absorber 744293SP Rear-LH</t>
    </r>
  </si>
  <si>
    <r>
      <rPr>
        <sz val="9"/>
        <color rgb="FF000000"/>
        <rFont val="Arial"/>
        <charset val="134"/>
      </rPr>
      <t>MONROE Shock Absorber 744296SP Front-RH</t>
    </r>
  </si>
  <si>
    <r>
      <rPr>
        <sz val="9"/>
        <color rgb="FF000000"/>
        <rFont val="Arial"/>
        <charset val="134"/>
      </rPr>
      <t>MONROE Shock Absorber 744297SP Front-LH</t>
    </r>
  </si>
  <si>
    <r>
      <rPr>
        <sz val="9"/>
        <color rgb="FF000000"/>
        <rFont val="Arial"/>
        <charset val="134"/>
      </rPr>
      <t>MONROE Shock Absorber 744354SP Rear</t>
    </r>
  </si>
  <si>
    <r>
      <rPr>
        <sz val="9"/>
        <color rgb="FF000000"/>
        <rFont val="Arial"/>
        <charset val="134"/>
      </rPr>
      <t>MONROE Shock Absorber 744372SP Front-RH</t>
    </r>
  </si>
  <si>
    <r>
      <rPr>
        <sz val="9"/>
        <color rgb="FF000000"/>
        <rFont val="Arial"/>
        <charset val="134"/>
      </rPr>
      <t>MONROE Shock Absorber 744373SP Front-LH</t>
    </r>
  </si>
  <si>
    <r>
      <rPr>
        <sz val="9"/>
        <color rgb="FF000000"/>
        <rFont val="Arial"/>
        <charset val="134"/>
      </rPr>
      <t>MONROE Shock Absorber 744416SP Front-RH</t>
    </r>
  </si>
  <si>
    <r>
      <rPr>
        <sz val="9"/>
        <color rgb="FF000000"/>
        <rFont val="Arial"/>
        <charset val="134"/>
      </rPr>
      <t>MONROE Shock Absorber 744417SP Front-LH</t>
    </r>
  </si>
  <si>
    <r>
      <rPr>
        <sz val="9"/>
        <color rgb="FF000000"/>
        <rFont val="Arial"/>
        <charset val="134"/>
      </rPr>
      <t>MONROE Shock Absorber 744450SP Front-RH</t>
    </r>
  </si>
  <si>
    <r>
      <rPr>
        <sz val="9"/>
        <color rgb="FF000000"/>
        <rFont val="Arial"/>
        <charset val="134"/>
      </rPr>
      <t>MONROE Shock Absorber 744451SP Front-LH</t>
    </r>
  </si>
  <si>
    <r>
      <rPr>
        <sz val="9"/>
        <color rgb="FF000000"/>
        <rFont val="Arial"/>
        <charset val="134"/>
      </rPr>
      <t>MONROE Shock Absorber 744682SP Front-RH</t>
    </r>
  </si>
  <si>
    <r>
      <rPr>
        <sz val="9"/>
        <color rgb="FF000000"/>
        <rFont val="Arial"/>
        <charset val="134"/>
      </rPr>
      <t>MONROE Shock Absorber 744683SP Front-LH</t>
    </r>
  </si>
  <si>
    <r>
      <rPr>
        <sz val="9"/>
        <color rgb="FF000000"/>
        <rFont val="Arial"/>
        <charset val="134"/>
      </rPr>
      <t>NGK SPARK PLUGS IRIDIUM (DILZKAR7C11H) (B 2914 UIO)</t>
    </r>
  </si>
  <si>
    <r>
      <rPr>
        <sz val="9"/>
        <color rgb="FF000000"/>
        <rFont val="Arial"/>
        <charset val="134"/>
      </rPr>
      <t>NISSAN OIL FILTER 15208 EB70D (B1539PJQ)</t>
    </r>
  </si>
  <si>
    <r>
      <rPr>
        <sz val="9"/>
        <color rgb="FF000000"/>
        <rFont val="Arial"/>
        <charset val="134"/>
      </rPr>
      <t>PRESTONE Brake Parts Cleaner- 500ml</t>
    </r>
  </si>
  <si>
    <r>
      <rPr>
        <sz val="9"/>
        <color rgb="FF000000"/>
        <rFont val="Arial"/>
        <charset val="134"/>
      </rPr>
      <t>RACK END B2035BZZ</t>
    </r>
  </si>
  <si>
    <r>
      <rPr>
        <sz val="9"/>
        <color rgb="FF000000"/>
        <rFont val="Arial"/>
        <charset val="134"/>
      </rPr>
      <t>SAKURA AIR FILTER A-3306 (B2488SXQ)</t>
    </r>
  </si>
  <si>
    <r>
      <rPr>
        <sz val="9"/>
        <color rgb="FF000000"/>
        <rFont val="Arial"/>
        <charset val="134"/>
      </rPr>
      <t>SAKURA CABIN AIR FILTER (CA-17110-S)</t>
    </r>
  </si>
  <si>
    <r>
      <rPr>
        <sz val="9"/>
        <color rgb="FF000000"/>
        <rFont val="Arial"/>
        <charset val="134"/>
      </rPr>
      <t>SARINGAN UDARA (B 1259 FBP)</t>
    </r>
  </si>
  <si>
    <r>
      <rPr>
        <sz val="9"/>
        <color rgb="FF000000"/>
        <rFont val="Arial"/>
        <charset val="134"/>
      </rPr>
      <t>SEAL AC VW 4E0260749A B1232UMH</t>
    </r>
  </si>
  <si>
    <r>
      <rPr>
        <sz val="9"/>
        <color rgb="FF000000"/>
        <rFont val="Arial"/>
        <charset val="134"/>
      </rPr>
      <t>SEAL AC VW 8E0260749C B1232UMH</t>
    </r>
  </si>
  <si>
    <r>
      <rPr>
        <sz val="9"/>
        <color rgb="FF000000"/>
        <rFont val="Arial"/>
        <charset val="134"/>
      </rPr>
      <t>SEAL COVER HEAD B1230UZQ</t>
    </r>
  </si>
  <si>
    <r>
      <rPr>
        <sz val="9"/>
        <color rgb="FF000000"/>
        <rFont val="Arial"/>
        <charset val="134"/>
      </rPr>
      <t>SEAL COVER HEAD B8789BW</t>
    </r>
  </si>
  <si>
    <r>
      <rPr>
        <sz val="9"/>
        <color rgb="FF000000"/>
        <rFont val="Arial"/>
        <charset val="134"/>
      </rPr>
      <t>SEAL CRANKSHAFT BELAKANG B1230UZQ</t>
    </r>
  </si>
  <si>
    <r>
      <rPr>
        <sz val="9"/>
        <color rgb="FF000000"/>
        <rFont val="Arial"/>
        <charset val="134"/>
      </rPr>
      <t>SEAL DRIVE SHAFT B1230UZQ</t>
    </r>
  </si>
  <si>
    <r>
      <rPr>
        <sz val="9"/>
        <color rgb="FF000000"/>
        <rFont val="Arial"/>
        <charset val="134"/>
      </rPr>
      <t>SEAL INPUT SHAFT TRANSMISI B1230UZQ</t>
    </r>
  </si>
  <si>
    <r>
      <rPr>
        <sz val="9"/>
        <color rgb="FF000000"/>
        <rFont val="Arial"/>
        <charset val="134"/>
      </rPr>
      <t>SEAL KIT CALIPER DEPAN B2213JF</t>
    </r>
  </si>
  <si>
    <r>
      <rPr>
        <sz val="9"/>
        <color rgb="FF000000"/>
        <rFont val="Arial"/>
        <charset val="134"/>
      </rPr>
      <t>SEAL KIT REM BELAKANG B1236BJP</t>
    </r>
  </si>
  <si>
    <r>
      <rPr>
        <sz val="9"/>
        <color rgb="FF000000"/>
        <rFont val="Arial"/>
        <charset val="134"/>
      </rPr>
      <t>SEAL O-RING TUTUP CHAM B1230UZQ</t>
    </r>
  </si>
  <si>
    <r>
      <rPr>
        <sz val="9"/>
        <color rgb="FF000000"/>
        <rFont val="Arial"/>
        <charset val="134"/>
      </rPr>
      <t>SEAL THERMOSTAT (B 2474 OU)</t>
    </r>
  </si>
  <si>
    <r>
      <rPr>
        <sz val="9"/>
        <color rgb="FF000000"/>
        <rFont val="Arial"/>
        <charset val="134"/>
      </rPr>
      <t>SEAL TUAS PERSENELING B1230UZQ</t>
    </r>
  </si>
  <si>
    <r>
      <rPr>
        <sz val="9"/>
        <color rgb="FF000000"/>
        <rFont val="Arial"/>
        <charset val="134"/>
      </rPr>
      <t>SEAL V-TECH B1230UZQ</t>
    </r>
  </si>
  <si>
    <r>
      <rPr>
        <sz val="9"/>
        <color rgb="FF000000"/>
        <rFont val="Arial"/>
        <charset val="134"/>
      </rPr>
      <t>SEALENT B1230UZQ</t>
    </r>
  </si>
  <si>
    <r>
      <rPr>
        <sz val="9"/>
        <color rgb="FF000000"/>
        <rFont val="Arial"/>
        <charset val="134"/>
      </rPr>
      <t>SELANG BYPASS (B 2474 OU)</t>
    </r>
  </si>
  <si>
    <r>
      <rPr>
        <sz val="9"/>
        <color rgb="FF000000"/>
        <rFont val="Arial"/>
        <charset val="134"/>
      </rPr>
      <t>SELANG MASTER KOPLING G.LIVINA (B 1730 UHN)</t>
    </r>
  </si>
  <si>
    <r>
      <rPr>
        <sz val="9"/>
        <color rgb="FF000000"/>
        <rFont val="Arial"/>
        <charset val="134"/>
      </rPr>
      <t>SENKIA Catalytic System Cleaner 325ml</t>
    </r>
  </si>
  <si>
    <r>
      <rPr>
        <sz val="9"/>
        <color rgb="FF000000"/>
        <rFont val="Arial"/>
        <charset val="134"/>
      </rPr>
      <t>SENKIA Engine Oil Sludge Flush 300ml</t>
    </r>
  </si>
  <si>
    <r>
      <rPr>
        <sz val="9"/>
        <color rgb="FF000000"/>
        <rFont val="Arial"/>
        <charset val="134"/>
      </rPr>
      <t>SENSOR TPS B2794SJA</t>
    </r>
  </si>
  <si>
    <r>
      <rPr>
        <sz val="9"/>
        <color rgb="FF000000"/>
        <rFont val="Arial"/>
        <charset val="134"/>
      </rPr>
      <t>SPARK PLUG DENSO XU20EPR-U.</t>
    </r>
  </si>
  <si>
    <r>
      <rPr>
        <sz val="9"/>
        <color rgb="FF000000"/>
        <rFont val="Arial"/>
        <charset val="134"/>
      </rPr>
      <t>STEERING RACK B2949BZJ</t>
    </r>
  </si>
  <si>
    <r>
      <rPr>
        <sz val="9"/>
        <color rgb="FF000000"/>
        <rFont val="Arial"/>
        <charset val="134"/>
      </rPr>
      <t>STOPPER FR LOWER ARM B521JDC</t>
    </r>
  </si>
  <si>
    <r>
      <rPr>
        <sz val="9"/>
        <color rgb="FF000000"/>
        <rFont val="Arial"/>
        <charset val="134"/>
      </rPr>
      <t>THERMOSTAT (B 2474 OU)</t>
    </r>
  </si>
  <si>
    <r>
      <rPr>
        <sz val="9"/>
        <color rgb="FF000000"/>
        <rFont val="Arial"/>
        <charset val="134"/>
      </rPr>
      <t>TIE ROD B521JDC</t>
    </r>
  </si>
  <si>
    <r>
      <rPr>
        <sz val="9"/>
        <color rgb="FF000000"/>
        <rFont val="Arial"/>
        <charset val="134"/>
      </rPr>
      <t>TIE ROD END B2949BZJ</t>
    </r>
  </si>
  <si>
    <r>
      <rPr>
        <sz val="9"/>
        <color rgb="FF000000"/>
        <rFont val="Arial"/>
        <charset val="134"/>
      </rPr>
      <t>TOYOTA BLADE RR WIPER (852420-K010) (B 2975 KMT)</t>
    </r>
  </si>
  <si>
    <r>
      <rPr>
        <sz val="9"/>
        <color rgb="FF000000"/>
        <rFont val="Arial"/>
        <charset val="134"/>
      </rPr>
      <t>TOYOTA BOOT AS RODA (B 2975 KMT)</t>
    </r>
  </si>
  <si>
    <r>
      <rPr>
        <sz val="9"/>
        <color rgb="FF000000"/>
        <rFont val="Arial"/>
        <charset val="134"/>
      </rPr>
      <t>TOYOTA BUSI SPARK PLUG (B 1079 NAE)</t>
    </r>
  </si>
  <si>
    <r>
      <rPr>
        <sz val="9"/>
        <color rgb="FF000000"/>
        <rFont val="Arial"/>
        <charset val="134"/>
      </rPr>
      <t>TOYOTA FUSE BOX (82620-28270) (B 1578 SEI)</t>
    </r>
  </si>
  <si>
    <r>
      <rPr>
        <sz val="9"/>
        <color rgb="FF000000"/>
        <rFont val="Arial"/>
        <charset val="134"/>
      </rPr>
      <t>TOYOTA LOWER ARM (24TLA0705SH) (B 2975 KMT)</t>
    </r>
  </si>
  <si>
    <r>
      <rPr>
        <sz val="9"/>
        <color rgb="FF000000"/>
        <rFont val="Arial"/>
        <charset val="134"/>
      </rPr>
      <t>TOYOTA PLUG K20HR-U11</t>
    </r>
  </si>
  <si>
    <r>
      <rPr>
        <sz val="9"/>
        <color rgb="FF000000"/>
        <rFont val="Arial"/>
        <charset val="134"/>
      </rPr>
      <t>TOYOTA SAKLAR FOGLAMP (B 1600 RKM)</t>
    </r>
  </si>
  <si>
    <r>
      <rPr>
        <sz val="9"/>
        <color rgb="FF000000"/>
        <rFont val="Arial"/>
        <charset val="134"/>
      </rPr>
      <t>TOYOTA SEAL COVER VALVE (B 1079 NAE)</t>
    </r>
  </si>
  <si>
    <r>
      <rPr>
        <sz val="9"/>
        <color rgb="FF000000"/>
        <rFont val="Arial"/>
        <charset val="134"/>
      </rPr>
      <t>TOYOTA SUPPORT ABSORBER (48609-BZ070) (F1029 DL)</t>
    </r>
  </si>
  <si>
    <r>
      <rPr>
        <sz val="9"/>
        <color rgb="FF000000"/>
        <rFont val="Arial"/>
        <charset val="134"/>
      </rPr>
      <t>TPMS HYUNDAI STARGAZER B2678UIL</t>
    </r>
  </si>
  <si>
    <r>
      <rPr>
        <sz val="9"/>
        <color rgb="FF000000"/>
        <rFont val="Arial"/>
        <charset val="134"/>
      </rPr>
      <t>TRIVINDO BEARING RODA DEPAN B1704PKM</t>
    </r>
  </si>
  <si>
    <r>
      <rPr>
        <sz val="9"/>
        <color rgb="FF000000"/>
        <rFont val="Arial"/>
        <charset val="134"/>
      </rPr>
      <t>Tire Promo-Bridgestone TIRE Dueler H/L 33 235/60R18</t>
    </r>
  </si>
  <si>
    <r>
      <rPr>
        <sz val="9"/>
        <color rgb="FF000000"/>
        <rFont val="Arial"/>
        <charset val="134"/>
      </rPr>
      <t>BCS-2 PIK 2--Promotion Warehouse</t>
    </r>
  </si>
  <si>
    <r>
      <rPr>
        <sz val="8"/>
        <color rgb="FF000000"/>
        <rFont val="Courier"/>
        <charset val="134"/>
      </rPr>
      <t>Page Break 80</t>
    </r>
  </si>
  <si>
    <r>
      <rPr>
        <sz val="9"/>
        <color rgb="FF000000"/>
        <rFont val="Arial"/>
        <charset val="134"/>
      </rPr>
      <t>Tire Promo-Bridgestone TIRE Dueler H/T 470 225/65R17</t>
    </r>
  </si>
  <si>
    <r>
      <rPr>
        <sz val="9"/>
        <color rgb="FF000000"/>
        <rFont val="Arial"/>
        <charset val="134"/>
      </rPr>
      <t>Tire Promo-Bridgestone TIRE Ecopia EP150 165/80R13</t>
    </r>
  </si>
  <si>
    <r>
      <rPr>
        <sz val="9"/>
        <color rgb="FF000000"/>
        <rFont val="Arial"/>
        <charset val="134"/>
      </rPr>
      <t>Tire Promo-Bridgestone TIRE Ecopia EP150 205/55R17</t>
    </r>
  </si>
  <si>
    <r>
      <rPr>
        <sz val="9"/>
        <color rgb="FF000000"/>
        <rFont val="Arial"/>
        <charset val="134"/>
      </rPr>
      <t>Tire Promo-Bridgestone TIRE Ecopia EP300 Enliten 185/60R15</t>
    </r>
  </si>
  <si>
    <r>
      <rPr>
        <sz val="9"/>
        <color rgb="FF000000"/>
        <rFont val="Arial"/>
        <charset val="134"/>
      </rPr>
      <t>Tire Promo-Bridgestone TIRE Ecopia EP300 Enliten 195/60R16</t>
    </r>
  </si>
  <si>
    <r>
      <rPr>
        <sz val="9"/>
        <color rgb="FF000000"/>
        <rFont val="Arial"/>
        <charset val="134"/>
      </rPr>
      <t>Tire Promo-Bridgestone TIRE Ecopia EP300 Enliten 205/55R16</t>
    </r>
  </si>
  <si>
    <r>
      <rPr>
        <sz val="9"/>
        <color rgb="FF000000"/>
        <rFont val="Arial"/>
        <charset val="134"/>
      </rPr>
      <t>Tire Promo-Bridgestone TIRE Ecopia EP300 Enliten 205/65R15</t>
    </r>
  </si>
  <si>
    <r>
      <rPr>
        <sz val="8"/>
        <color rgb="FF000000"/>
        <rFont val="Courier"/>
        <charset val="134"/>
      </rPr>
      <t>Page Break 81</t>
    </r>
  </si>
  <si>
    <r>
      <rPr>
        <sz val="9"/>
        <color rgb="FF000000"/>
        <rFont val="Arial"/>
        <charset val="134"/>
      </rPr>
      <t>Tire Promo-Bridgestone TIRE Techno Sports 185/55R16</t>
    </r>
  </si>
  <si>
    <r>
      <rPr>
        <sz val="9"/>
        <color rgb="FF000000"/>
        <rFont val="Arial"/>
        <charset val="134"/>
      </rPr>
      <t>Tire Promo-Bridgestone TIRE Turanza 6 185/70R14</t>
    </r>
  </si>
  <si>
    <r>
      <rPr>
        <sz val="9"/>
        <color rgb="FF000000"/>
        <rFont val="Arial"/>
        <charset val="134"/>
      </rPr>
      <t>Tire Promo-Bridgestone TIRE Turanza 6 195/50R16</t>
    </r>
  </si>
  <si>
    <r>
      <rPr>
        <sz val="9"/>
        <color rgb="FF000000"/>
        <rFont val="Arial"/>
        <charset val="134"/>
      </rPr>
      <t>Tire Promo-Bridgestone TIRE Turanza 6 205/55R16</t>
    </r>
  </si>
  <si>
    <r>
      <rPr>
        <sz val="9"/>
        <color rgb="FF000000"/>
        <rFont val="Arial"/>
        <charset val="134"/>
      </rPr>
      <t>Tire Promo-Bridgestone TIRE Turanza 6 205/60R16</t>
    </r>
  </si>
  <si>
    <r>
      <rPr>
        <sz val="8"/>
        <color rgb="FF000000"/>
        <rFont val="Courier"/>
        <charset val="134"/>
      </rPr>
      <t>Page Break 82</t>
    </r>
  </si>
  <si>
    <r>
      <rPr>
        <sz val="9"/>
        <color rgb="FF000000"/>
        <rFont val="Arial"/>
        <charset val="134"/>
      </rPr>
      <t>Tire Promo-Bridgestone TIRE Turanza 6 235/55R18</t>
    </r>
  </si>
  <si>
    <r>
      <rPr>
        <sz val="9"/>
        <color rgb="FF000000"/>
        <rFont val="Arial"/>
        <charset val="134"/>
      </rPr>
      <t>Tire Promo-Bridgestone TIRE Turanza ER33 215/55R17</t>
    </r>
  </si>
  <si>
    <r>
      <rPr>
        <sz val="9"/>
        <color rgb="FF000000"/>
        <rFont val="Arial"/>
        <charset val="134"/>
      </rPr>
      <t>Tire Promo-Dunlop TIRE Enasave EC300+ 205/65R15</t>
    </r>
  </si>
  <si>
    <r>
      <rPr>
        <sz val="9"/>
        <color rgb="FF000000"/>
        <rFont val="Arial"/>
        <charset val="134"/>
      </rPr>
      <t>Tire Promo-Dunlop TIRE Grandtrek ST20 235/60R16</t>
    </r>
  </si>
  <si>
    <r>
      <rPr>
        <sz val="9"/>
        <color rgb="FF000000"/>
        <rFont val="Arial"/>
        <charset val="134"/>
      </rPr>
      <t>Tire Promo-Dunlop TIRE SP Sport LM705 185/60R15</t>
    </r>
  </si>
  <si>
    <r>
      <rPr>
        <sz val="9"/>
        <color rgb="FF000000"/>
        <rFont val="Arial"/>
        <charset val="134"/>
      </rPr>
      <t>Tire Promo-Goodyear TIRE Assurance Duraplus 2 205/65R15</t>
    </r>
  </si>
  <si>
    <r>
      <rPr>
        <sz val="9"/>
        <color rgb="FF000000"/>
        <rFont val="Arial"/>
        <charset val="134"/>
      </rPr>
      <t>Tire Promo-Goodyear TIRE Assurance Duraplus 2 205/65R16</t>
    </r>
  </si>
  <si>
    <r>
      <rPr>
        <sz val="8"/>
        <color rgb="FF000000"/>
        <rFont val="Courier"/>
        <charset val="134"/>
      </rPr>
      <t>Page Break 83</t>
    </r>
  </si>
  <si>
    <r>
      <rPr>
        <sz val="9"/>
        <color rgb="FF000000"/>
        <rFont val="Arial"/>
        <charset val="134"/>
      </rPr>
      <t>Tire Promo-Goodyear TIRE Assurance Triplemax 2 215/60R17</t>
    </r>
  </si>
  <si>
    <r>
      <rPr>
        <sz val="9"/>
        <color rgb="FF000000"/>
        <rFont val="Arial"/>
        <charset val="134"/>
      </rPr>
      <t>Tire Promo-PIRELLI SCORPION VERDE 265/60R18</t>
    </r>
  </si>
  <si>
    <r>
      <rPr>
        <sz val="9"/>
        <color rgb="FF000000"/>
        <rFont val="Arial"/>
        <charset val="134"/>
      </rPr>
      <t>V-BELT B1230UZQ</t>
    </r>
  </si>
  <si>
    <r>
      <rPr>
        <sz val="9"/>
        <color rgb="FF000000"/>
        <rFont val="Arial"/>
        <charset val="134"/>
      </rPr>
      <t>V-BELT B1918CYR</t>
    </r>
  </si>
  <si>
    <r>
      <rPr>
        <sz val="8"/>
        <color rgb="FF000000"/>
        <rFont val="Courier"/>
        <charset val="134"/>
      </rPr>
      <t>Page Break 84</t>
    </r>
  </si>
  <si>
    <r>
      <rPr>
        <sz val="9"/>
        <color rgb="FF000000"/>
        <rFont val="Arial"/>
        <charset val="134"/>
      </rPr>
      <t>WIPER BLADE B1885HFU</t>
    </r>
  </si>
  <si>
    <r>
      <rPr>
        <sz val="8"/>
        <color rgb="FF000000"/>
        <rFont val="Courier"/>
        <charset val="134"/>
      </rPr>
      <t>Page Break 85</t>
    </r>
  </si>
  <si>
    <r>
      <rPr>
        <sz val="11"/>
        <color rgb="FF000000"/>
        <rFont val="Courier"/>
        <charset val="134"/>
      </rPr>
      <t>From 01 Jan 2026 until 31 Jan 2026</t>
    </r>
  </si>
  <si>
    <r>
      <rPr>
        <sz val="9"/>
        <color rgb="FF000000"/>
        <rFont val="Arial"/>
        <charset val="134"/>
      </rPr>
      <t>04478BZ170 TOYOTA R/KIT, BRAKE M/CYL (B1227VOX)</t>
    </r>
  </si>
  <si>
    <r>
      <rPr>
        <sz val="9"/>
        <color rgb="FF000000"/>
        <rFont val="Arial"/>
        <charset val="134"/>
      </rPr>
      <t>47731-BZ010 TOYOTA PISTON CYL (B1227VOX)</t>
    </r>
  </si>
  <si>
    <r>
      <rPr>
        <sz val="9"/>
        <color rgb="FF000000"/>
        <rFont val="Arial"/>
        <charset val="134"/>
      </rPr>
      <t>555 LINK STABILIZER (48820-0K030) (B 1701 TLT)</t>
    </r>
  </si>
  <si>
    <r>
      <rPr>
        <sz val="9"/>
        <color rgb="FF000000"/>
        <rFont val="Arial"/>
        <charset val="134"/>
      </rPr>
      <t>555 LINK STABILIZER (B1864UIU)</t>
    </r>
  </si>
  <si>
    <r>
      <rPr>
        <sz val="9"/>
        <color rgb="FF000000"/>
        <rFont val="Arial"/>
        <charset val="134"/>
      </rPr>
      <t>555 LINK STABILIZER FR (B 1774 UYP)</t>
    </r>
  </si>
  <si>
    <r>
      <rPr>
        <sz val="9"/>
        <color rgb="FF000000"/>
        <rFont val="Arial"/>
        <charset val="134"/>
      </rPr>
      <t>555 LONG TIROD (B 1133 SJN)</t>
    </r>
  </si>
  <si>
    <r>
      <rPr>
        <sz val="9"/>
        <color rgb="FF000000"/>
        <rFont val="Arial"/>
        <charset val="134"/>
      </rPr>
      <t>555 TIE ROD END (B1864UIU)</t>
    </r>
  </si>
  <si>
    <r>
      <rPr>
        <sz val="8"/>
        <color rgb="FF000000"/>
        <rFont val="Courier"/>
        <charset val="134"/>
      </rPr>
      <t>Printed on 2 February 2026 - 09:40</t>
    </r>
  </si>
  <si>
    <r>
      <rPr>
        <sz val="9"/>
        <color rgb="FF000000"/>
        <rFont val="Arial"/>
        <charset val="134"/>
      </rPr>
      <t>ALTERNATOR ASSY B2003BM</t>
    </r>
  </si>
  <si>
    <r>
      <rPr>
        <sz val="9"/>
        <color rgb="FF000000"/>
        <rFont val="Arial"/>
        <charset val="134"/>
      </rPr>
      <t>ASKHP WCA-2587 WHEEL CYL ASSY</t>
    </r>
  </si>
  <si>
    <r>
      <rPr>
        <sz val="9"/>
        <color rgb="FF000000"/>
        <rFont val="Arial"/>
        <charset val="134"/>
      </rPr>
      <t>ASUKI BRAKE DRUM REAR ABD-6807 KB8243GD</t>
    </r>
  </si>
  <si>
    <r>
      <rPr>
        <sz val="9"/>
        <color rgb="FF000000"/>
        <rFont val="Arial"/>
        <charset val="134"/>
      </rPr>
      <t>ASUKI CALIPER KITS FRONT DBSK-6013-F KB8243GD</t>
    </r>
  </si>
  <si>
    <r>
      <rPr>
        <sz val="9"/>
        <color rgb="FF000000"/>
        <rFont val="Arial"/>
        <charset val="134"/>
      </rPr>
      <t>ASUKI DISC BRAKE FRONT ADR-6247 KB8243GD</t>
    </r>
  </si>
  <si>
    <r>
      <rPr>
        <sz val="9"/>
        <color rgb="FF000000"/>
        <rFont val="Arial"/>
        <charset val="134"/>
      </rPr>
      <t>ASUKI LINK STABILIZER B1265HFT</t>
    </r>
  </si>
  <si>
    <r>
      <rPr>
        <sz val="9"/>
        <color rgb="FF000000"/>
        <rFont val="Arial"/>
        <charset val="134"/>
      </rPr>
      <t>ASUKI LINK STABILIZER SL-3890L</t>
    </r>
  </si>
  <si>
    <r>
      <rPr>
        <sz val="9"/>
        <color rgb="FF000000"/>
        <rFont val="Arial"/>
        <charset val="134"/>
      </rPr>
      <t>ASUKI LINK STABILIZER SL-3890R</t>
    </r>
  </si>
  <si>
    <r>
      <rPr>
        <sz val="9"/>
        <color rgb="FF000000"/>
        <rFont val="Arial"/>
        <charset val="134"/>
      </rPr>
      <t>BATTERY CR2032</t>
    </r>
  </si>
  <si>
    <r>
      <rPr>
        <sz val="9"/>
        <color rgb="FF000000"/>
        <rFont val="Arial"/>
        <charset val="134"/>
      </rPr>
      <t>BAUT + MUR (BK1737XG)</t>
    </r>
  </si>
  <si>
    <r>
      <rPr>
        <sz val="9"/>
        <color rgb="FF000000"/>
        <rFont val="Arial"/>
        <charset val="134"/>
      </rPr>
      <t>BCS Body Repair And Painting</t>
    </r>
  </si>
  <si>
    <r>
      <rPr>
        <sz val="9"/>
        <color rgb="FF000000"/>
        <rFont val="Arial"/>
        <charset val="134"/>
      </rPr>
      <t>BEARING BELAKANG NTN (B2386FF)</t>
    </r>
  </si>
  <si>
    <r>
      <rPr>
        <sz val="9"/>
        <color rgb="FF000000"/>
        <rFont val="Arial"/>
        <charset val="134"/>
      </rPr>
      <t>BEARING RR NTN HRV (BE1473CR)</t>
    </r>
  </si>
  <si>
    <r>
      <rPr>
        <sz val="9"/>
        <color rgb="FF000000"/>
        <rFont val="Arial"/>
        <charset val="134"/>
      </rPr>
      <t>BEARING SOPPORT (B2753UBC)</t>
    </r>
  </si>
  <si>
    <r>
      <rPr>
        <sz val="9"/>
        <color rgb="FF000000"/>
        <rFont val="Arial"/>
        <charset val="134"/>
      </rPr>
      <t>BENDIX Brake Pad BS 5018 / DS 6741 Rear</t>
    </r>
  </si>
  <si>
    <r>
      <rPr>
        <sz val="9"/>
        <color rgb="FF000000"/>
        <rFont val="Arial"/>
        <charset val="134"/>
      </rPr>
      <t>BENDIX Brake Pad BS 5027 / DS 2367 Rear</t>
    </r>
  </si>
  <si>
    <r>
      <rPr>
        <sz val="9"/>
        <color rgb="FF000000"/>
        <rFont val="Arial"/>
        <charset val="134"/>
      </rPr>
      <t>BENDIX Brake Pad BS 5055 / DS 0809 Rear</t>
    </r>
  </si>
  <si>
    <r>
      <rPr>
        <sz val="9"/>
        <color rgb="FF000000"/>
        <rFont val="Arial"/>
        <charset val="134"/>
      </rPr>
      <t>BENDIX Brake Pad BS 5274 Rear</t>
    </r>
  </si>
  <si>
    <r>
      <rPr>
        <sz val="9"/>
        <color rgb="FF000000"/>
        <rFont val="Arial"/>
        <charset val="134"/>
      </rPr>
      <t>BENDIX Brake Pad DB 1380 Front</t>
    </r>
  </si>
  <si>
    <r>
      <rPr>
        <sz val="9"/>
        <color rgb="FF000000"/>
        <rFont val="Arial"/>
        <charset val="134"/>
      </rPr>
      <t>BENDIX Brake Pad DB 1390 Rear</t>
    </r>
  </si>
  <si>
    <r>
      <rPr>
        <sz val="9"/>
        <color rgb="FF000000"/>
        <rFont val="Arial"/>
        <charset val="134"/>
      </rPr>
      <t>BENDIX Brake Pad DB 1509 Rear</t>
    </r>
  </si>
  <si>
    <r>
      <rPr>
        <sz val="9"/>
        <color rgb="FF000000"/>
        <rFont val="Arial"/>
        <charset val="134"/>
      </rPr>
      <t>BENDIX Brake Pad DB 1785 Front</t>
    </r>
  </si>
  <si>
    <r>
      <rPr>
        <sz val="9"/>
        <color rgb="FF000000"/>
        <rFont val="Arial"/>
        <charset val="134"/>
      </rPr>
      <t>BENDIX Brake Pad DB 1786 Rear</t>
    </r>
  </si>
  <si>
    <r>
      <rPr>
        <sz val="9"/>
        <color rgb="FF000000"/>
        <rFont val="Arial"/>
        <charset val="134"/>
      </rPr>
      <t>BENDIX Brake Pad DB 2262 Front</t>
    </r>
  </si>
  <si>
    <r>
      <rPr>
        <sz val="9"/>
        <color rgb="FF000000"/>
        <rFont val="Arial"/>
        <charset val="134"/>
      </rPr>
      <t>BENDIX Brake Pad DB 2380 Front</t>
    </r>
  </si>
  <si>
    <r>
      <rPr>
        <sz val="9"/>
        <color rgb="FF000000"/>
        <rFont val="Arial"/>
        <charset val="134"/>
      </rPr>
      <t>BENSCO IGNATION COIL (60-3030-109) (B 1878 VVM)</t>
    </r>
  </si>
  <si>
    <r>
      <rPr>
        <sz val="9"/>
        <color rgb="FF000000"/>
        <rFont val="Arial"/>
        <charset val="134"/>
      </rPr>
      <t>BENSCO SHOCK ABSORBER (60-474914-105) (B 1878 VVM)</t>
    </r>
  </si>
  <si>
    <r>
      <rPr>
        <sz val="9"/>
        <color rgb="FF000000"/>
        <rFont val="Arial"/>
        <charset val="134"/>
      </rPr>
      <t>BOOT DRIVE SHAFT DALAM (B1864UIU)</t>
    </r>
  </si>
  <si>
    <r>
      <rPr>
        <sz val="9"/>
        <color rgb="FF000000"/>
        <rFont val="Arial"/>
        <charset val="134"/>
      </rPr>
      <t>BOOT SHOCK ABSORBER (B2753UBC)</t>
    </r>
  </si>
  <si>
    <r>
      <rPr>
        <sz val="9"/>
        <color rgb="FF000000"/>
        <rFont val="Arial"/>
        <charset val="134"/>
      </rPr>
      <t>BOSCH Air Filter S 0380</t>
    </r>
  </si>
  <si>
    <r>
      <rPr>
        <sz val="9"/>
        <color rgb="FF000000"/>
        <rFont val="Arial"/>
        <charset val="134"/>
      </rPr>
      <t>BOSCH Battery MF Blue 55559 12V-55Ah</t>
    </r>
  </si>
  <si>
    <r>
      <rPr>
        <sz val="9"/>
        <color rgb="FF000000"/>
        <rFont val="Arial"/>
        <charset val="134"/>
      </rPr>
      <t>BOSCH Battery MF Blue 80D23L 12V-70Ah</t>
    </r>
  </si>
  <si>
    <r>
      <rPr>
        <sz val="9"/>
        <color rgb="FF000000"/>
        <rFont val="Arial"/>
        <charset val="134"/>
      </rPr>
      <t>BOSCH Battery MF EFB Q85 ISS-65A 95D23L 12V</t>
    </r>
  </si>
  <si>
    <r>
      <rPr>
        <sz val="9"/>
        <color rgb="FF000000"/>
        <rFont val="Arial"/>
        <charset val="134"/>
      </rPr>
      <t>BOSCH Cabin Filter R 5001</t>
    </r>
  </si>
  <si>
    <r>
      <rPr>
        <sz val="9"/>
        <color rgb="FF000000"/>
        <rFont val="Arial"/>
        <charset val="134"/>
      </rPr>
      <t>BOSCH Cabin Filter S 4453</t>
    </r>
  </si>
  <si>
    <r>
      <rPr>
        <sz val="9"/>
        <color rgb="FF000000"/>
        <rFont val="Arial"/>
        <charset val="134"/>
      </rPr>
      <t>BOSCH Light Bulb H4 24V 100/90W -P43t Trucklight</t>
    </r>
  </si>
  <si>
    <r>
      <rPr>
        <sz val="9"/>
        <color rgb="FF000000"/>
        <rFont val="Arial"/>
        <charset val="134"/>
      </rPr>
      <t>BOSCH Spark Plug FR7SI30 - Iridium</t>
    </r>
  </si>
  <si>
    <r>
      <rPr>
        <sz val="9"/>
        <color rgb="FF000000"/>
        <rFont val="Arial"/>
        <charset val="134"/>
      </rPr>
      <t>BOSCH Spark Plug YR8MEU - Standard</t>
    </r>
  </si>
  <si>
    <r>
      <rPr>
        <sz val="9"/>
        <color rgb="FF000000"/>
        <rFont val="Arial"/>
        <charset val="134"/>
      </rPr>
      <t>BOSCH Wiper Aerotwin Plus 22 inch AP22U</t>
    </r>
  </si>
  <si>
    <r>
      <rPr>
        <sz val="9"/>
        <color rgb="FF000000"/>
        <rFont val="Arial"/>
        <charset val="134"/>
      </rPr>
      <t>BRIDGESTONE TIRE Turanza 6 235/50R18 101W</t>
    </r>
  </si>
  <si>
    <r>
      <rPr>
        <sz val="9"/>
        <color rgb="FF000000"/>
        <rFont val="Arial"/>
        <charset val="134"/>
      </rPr>
      <t>BURGARI GEMUK (D 1109 XHE)</t>
    </r>
  </si>
  <si>
    <r>
      <rPr>
        <sz val="9"/>
        <color rgb="FF000000"/>
        <rFont val="Arial"/>
        <charset val="134"/>
      </rPr>
      <t>BUSI ORIGINAL SET (B2390SXN)</t>
    </r>
  </si>
  <si>
    <r>
      <rPr>
        <sz val="9"/>
        <color rgb="FF000000"/>
        <rFont val="Arial"/>
        <charset val="134"/>
      </rPr>
      <t>COIL IGNITION (B2748FYJ)</t>
    </r>
  </si>
  <si>
    <r>
      <rPr>
        <sz val="9"/>
        <color rgb="FF000000"/>
        <rFont val="Arial"/>
        <charset val="134"/>
      </rPr>
      <t>DAIHATSU FAN BELT 9004A-91067</t>
    </r>
  </si>
  <si>
    <r>
      <rPr>
        <sz val="9"/>
        <color rgb="FF000000"/>
        <rFont val="Arial"/>
        <charset val="134"/>
      </rPr>
      <t>DENSO Air Filter DXA-1046</t>
    </r>
  </si>
  <si>
    <r>
      <rPr>
        <sz val="9"/>
        <color rgb="FF000000"/>
        <rFont val="Arial"/>
        <charset val="134"/>
      </rPr>
      <t>DENSO Air Filter DXA-1048</t>
    </r>
  </si>
  <si>
    <r>
      <rPr>
        <sz val="9"/>
        <color rgb="FF000000"/>
        <rFont val="Arial"/>
        <charset val="134"/>
      </rPr>
      <t>DENSO DRYER B2035BZZ</t>
    </r>
  </si>
  <si>
    <r>
      <rPr>
        <sz val="9"/>
        <color rgb="FF000000"/>
        <rFont val="Arial"/>
        <charset val="134"/>
      </rPr>
      <t>DENSO Diesel Fuel Filter 086300-4040</t>
    </r>
  </si>
  <si>
    <r>
      <rPr>
        <sz val="9"/>
        <color rgb="FF000000"/>
        <rFont val="Arial"/>
        <charset val="134"/>
      </rPr>
      <t>DENSO EXPANSION VALVE B2035BZZ</t>
    </r>
  </si>
  <si>
    <r>
      <rPr>
        <sz val="9"/>
        <color rgb="FF000000"/>
        <rFont val="Arial"/>
        <charset val="134"/>
      </rPr>
      <t>DENSO SERVO MOTOR B7HDA</t>
    </r>
  </si>
  <si>
    <r>
      <rPr>
        <sz val="9"/>
        <color rgb="FF000000"/>
        <rFont val="Arial"/>
        <charset val="134"/>
      </rPr>
      <t>DUNLOP TIRE Enasave EC300+ 215/60R16 95H-OEM</t>
    </r>
  </si>
  <si>
    <r>
      <rPr>
        <sz val="9"/>
        <color rgb="FF000000"/>
        <rFont val="Arial"/>
        <charset val="134"/>
      </rPr>
      <t>DUNLOP TIRE SP Sport LM705 205/60R16 92H</t>
    </r>
  </si>
  <si>
    <r>
      <rPr>
        <sz val="9"/>
        <color rgb="FF000000"/>
        <rFont val="Arial"/>
        <charset val="134"/>
      </rPr>
      <t>Daihatsu Ignition Coil</t>
    </r>
  </si>
  <si>
    <r>
      <rPr>
        <sz val="9"/>
        <color rgb="FF000000"/>
        <rFont val="Arial"/>
        <charset val="134"/>
      </rPr>
      <t>EVAPORATOR B2035BZZ</t>
    </r>
  </si>
  <si>
    <r>
      <rPr>
        <sz val="9"/>
        <color rgb="FF000000"/>
        <rFont val="Arial"/>
        <charset val="134"/>
      </rPr>
      <t>FABBER Shock Support F-TSM-011</t>
    </r>
  </si>
  <si>
    <r>
      <rPr>
        <sz val="9"/>
        <color rgb="FF000000"/>
        <rFont val="Arial"/>
        <charset val="134"/>
      </rPr>
      <t>FABBER Shock Support F-TSM-040</t>
    </r>
  </si>
  <si>
    <r>
      <rPr>
        <sz val="9"/>
        <color rgb="FF000000"/>
        <rFont val="Arial"/>
        <charset val="134"/>
      </rPr>
      <t>FILTER AC B100DDD</t>
    </r>
  </si>
  <si>
    <r>
      <rPr>
        <sz val="9"/>
        <color rgb="FF000000"/>
        <rFont val="Arial"/>
        <charset val="134"/>
      </rPr>
      <t>FILTER OLI BN1788TB</t>
    </r>
  </si>
  <si>
    <r>
      <rPr>
        <sz val="9"/>
        <color rgb="FF000000"/>
        <rFont val="Arial"/>
        <charset val="134"/>
      </rPr>
      <t>FILTER UDARA B2003BM</t>
    </r>
  </si>
  <si>
    <r>
      <rPr>
        <sz val="9"/>
        <color rgb="FF000000"/>
        <rFont val="Arial"/>
        <charset val="134"/>
      </rPr>
      <t>FILTER UDARA B9529BAX</t>
    </r>
  </si>
  <si>
    <r>
      <rPr>
        <sz val="9"/>
        <color rgb="FF000000"/>
        <rFont val="Arial"/>
        <charset val="134"/>
      </rPr>
      <t>FILTER UDARA BN1788TB</t>
    </r>
  </si>
  <si>
    <r>
      <rPr>
        <sz val="9"/>
        <color rgb="FF000000"/>
        <rFont val="Arial"/>
        <charset val="134"/>
      </rPr>
      <t>GEMUK ODOL (B1864UIU)</t>
    </r>
  </si>
  <si>
    <r>
      <rPr>
        <sz val="9"/>
        <color rgb="FF000000"/>
        <rFont val="Arial"/>
        <charset val="134"/>
      </rPr>
      <t>GOODYEAR TIRE Assurance Maxguard 215/55R17 94V</t>
    </r>
  </si>
  <si>
    <r>
      <rPr>
        <sz val="9"/>
        <color rgb="FF000000"/>
        <rFont val="Arial"/>
        <charset val="134"/>
      </rPr>
      <t>GTRADIAL TIRE Champiro Ecotec* 185/70R14 -</t>
    </r>
  </si>
  <si>
    <r>
      <rPr>
        <sz val="9"/>
        <color rgb="FF000000"/>
        <rFont val="Arial"/>
        <charset val="134"/>
      </rPr>
      <t>GTRADIAL TIRE Savero SUV 265/50R20 -</t>
    </r>
  </si>
  <si>
    <r>
      <rPr>
        <sz val="9"/>
        <color rgb="FF000000"/>
        <rFont val="Arial"/>
        <charset val="134"/>
      </rPr>
      <t>HIQ BALL JOINT (T-SBKK020-HIQ) (B 1936 TRO)</t>
    </r>
  </si>
  <si>
    <r>
      <rPr>
        <sz val="9"/>
        <color rgb="FF000000"/>
        <rFont val="Arial"/>
        <charset val="134"/>
      </rPr>
      <t>HONDA ,COOLING FAN (19030-5PF-N11) (B 115 MLH)</t>
    </r>
  </si>
  <si>
    <r>
      <rPr>
        <sz val="9"/>
        <color rgb="FF000000"/>
        <rFont val="Arial"/>
        <charset val="134"/>
      </rPr>
      <t>HONDA BELT-ACG (38920-REA-Z01L)</t>
    </r>
  </si>
  <si>
    <r>
      <rPr>
        <sz val="9"/>
        <color rgb="FF000000"/>
        <rFont val="Arial"/>
        <charset val="134"/>
      </rPr>
      <t>HONDA BELT_ACG (31110-55A-Z02)</t>
    </r>
  </si>
  <si>
    <r>
      <rPr>
        <sz val="9"/>
        <color rgb="FF000000"/>
        <rFont val="Arial"/>
        <charset val="134"/>
      </rPr>
      <t>HONDA DISK COMP_FRICTION (22200-5EC-003) (B 2928 WGZ)</t>
    </r>
  </si>
  <si>
    <r>
      <rPr>
        <sz val="9"/>
        <color rgb="FF000000"/>
        <rFont val="Arial"/>
        <charset val="134"/>
      </rPr>
      <t>HONDA PACKING COVER VALVE (B1889UOJ)</t>
    </r>
  </si>
  <si>
    <r>
      <rPr>
        <sz val="9"/>
        <color rgb="FF000000"/>
        <rFont val="Arial"/>
        <charset val="134"/>
      </rPr>
      <t>HONDA RELEASE BEARING (B 2928 WGZ)</t>
    </r>
  </si>
  <si>
    <r>
      <rPr>
        <sz val="9"/>
        <color rgb="FF000000"/>
        <rFont val="Arial"/>
        <charset val="134"/>
      </rPr>
      <t>HONDA SET SEAL TIE TIROD (53429-T5E-003) (B 1175 BSJP)</t>
    </r>
  </si>
  <si>
    <r>
      <rPr>
        <sz val="9"/>
        <color rgb="FF000000"/>
        <rFont val="Arial"/>
        <charset val="134"/>
      </rPr>
      <t>HONDA SUPPORT ABSORBER FR (K1722CP)</t>
    </r>
  </si>
  <si>
    <r>
      <rPr>
        <sz val="9"/>
        <color rgb="FF000000"/>
        <rFont val="Arial"/>
        <charset val="134"/>
      </rPr>
      <t>HONDA SUPPORT SHOCK (B2386FF)</t>
    </r>
  </si>
  <si>
    <r>
      <rPr>
        <sz val="9"/>
        <color rgb="FF000000"/>
        <rFont val="Arial"/>
        <charset val="134"/>
      </rPr>
      <t>HONDA V-BELT (38920-REA-Z01L) (F 1564 ZQ)</t>
    </r>
  </si>
  <si>
    <r>
      <rPr>
        <sz val="9"/>
        <color rgb="FF000000"/>
        <rFont val="Arial"/>
        <charset val="134"/>
      </rPr>
      <t>HONDA V-BELT (K1722CP)</t>
    </r>
  </si>
  <si>
    <r>
      <rPr>
        <sz val="9"/>
        <color rgb="FF000000"/>
        <rFont val="Arial"/>
        <charset val="134"/>
      </rPr>
      <t>HYUNDAI CABIN FILTER AC 976174H900</t>
    </r>
  </si>
  <si>
    <r>
      <rPr>
        <sz val="9"/>
        <color rgb="FF000000"/>
        <rFont val="Arial"/>
        <charset val="134"/>
      </rPr>
      <t>IGNITION COIL BN1788TB</t>
    </r>
  </si>
  <si>
    <r>
      <rPr>
        <sz val="9"/>
        <color rgb="FF000000"/>
        <rFont val="Arial"/>
        <charset val="134"/>
      </rPr>
      <t>KARET STABIL B1129KBP</t>
    </r>
  </si>
  <si>
    <r>
      <rPr>
        <sz val="9"/>
        <color rgb="FF000000"/>
        <rFont val="Arial"/>
        <charset val="134"/>
      </rPr>
      <t>KARET SUPPORT (B2386FF)</t>
    </r>
  </si>
  <si>
    <r>
      <rPr>
        <sz val="9"/>
        <color rgb="FF000000"/>
        <rFont val="Arial"/>
        <charset val="134"/>
      </rPr>
      <t>LATERAL BUSHING LH B1787UYE</t>
    </r>
  </si>
  <si>
    <r>
      <rPr>
        <sz val="9"/>
        <color rgb="FF000000"/>
        <rFont val="Arial"/>
        <charset val="134"/>
      </rPr>
      <t>LATERAL BUSHING RH B1787UYE</t>
    </r>
  </si>
  <si>
    <r>
      <rPr>
        <sz val="9"/>
        <color rgb="FF000000"/>
        <rFont val="Arial"/>
        <charset val="134"/>
      </rPr>
      <t>LINK STABIL B1129KBP</t>
    </r>
  </si>
  <si>
    <r>
      <rPr>
        <sz val="9"/>
        <color rgb="FF000000"/>
        <rFont val="Arial"/>
        <charset val="134"/>
      </rPr>
      <t>LINK STABILIZER (B2386FF)</t>
    </r>
  </si>
  <si>
    <r>
      <rPr>
        <sz val="9"/>
        <color rgb="FF000000"/>
        <rFont val="Arial"/>
        <charset val="134"/>
      </rPr>
      <t>MANDO FILTER ASSY AIR (T-MD-MOF041) (B 1936 TRO)</t>
    </r>
  </si>
  <si>
    <r>
      <rPr>
        <sz val="9"/>
        <color rgb="FF000000"/>
        <rFont val="Arial"/>
        <charset val="134"/>
      </rPr>
      <t>MANDO LINK STABILIZER FRT (T-SLKH055-HIQ) (B 1936 TRO)</t>
    </r>
  </si>
  <si>
    <r>
      <rPr>
        <sz val="9"/>
        <color rgb="FF000000"/>
        <rFont val="Arial"/>
        <charset val="134"/>
      </rPr>
      <t>MANDO SHOCK ABSORBER RR (T-MD-EX5531007100) (B 1936 TRO)</t>
    </r>
  </si>
  <si>
    <r>
      <rPr>
        <sz val="9"/>
        <color rgb="FF000000"/>
        <rFont val="Arial"/>
        <charset val="134"/>
      </rPr>
      <t>MASSIV Battery Thunder(MF)-95D31L NX120-7L 12V-100Ah</t>
    </r>
  </si>
  <si>
    <r>
      <rPr>
        <sz val="9"/>
        <color rgb="FF000000"/>
        <rFont val="Arial"/>
        <charset val="134"/>
      </rPr>
      <t>MONROE Shock Absorber 378039SP Rear</t>
    </r>
  </si>
  <si>
    <r>
      <rPr>
        <sz val="9"/>
        <color rgb="FF000000"/>
        <rFont val="Arial"/>
        <charset val="134"/>
      </rPr>
      <t>MONROE Shock Absorber 378053SP Rear</t>
    </r>
  </si>
  <si>
    <r>
      <rPr>
        <sz val="9"/>
        <color rgb="FF000000"/>
        <rFont val="Arial"/>
        <charset val="134"/>
      </rPr>
      <t>MONROE Shock Absorber 378070SP Rear</t>
    </r>
  </si>
  <si>
    <r>
      <rPr>
        <sz val="9"/>
        <color rgb="FF000000"/>
        <rFont val="Arial"/>
        <charset val="134"/>
      </rPr>
      <t>MONROE Shock Absorber 378290SP Rear</t>
    </r>
  </si>
  <si>
    <r>
      <rPr>
        <sz val="9"/>
        <color rgb="FF000000"/>
        <rFont val="Arial"/>
        <charset val="134"/>
      </rPr>
      <t>MONROE Shock Absorber 744052SP Front</t>
    </r>
  </si>
  <si>
    <r>
      <rPr>
        <sz val="9"/>
        <color rgb="FF000000"/>
        <rFont val="Arial"/>
        <charset val="134"/>
      </rPr>
      <t>MONROE Shock Absorber 744057SP Front</t>
    </r>
  </si>
  <si>
    <r>
      <rPr>
        <sz val="9"/>
        <color rgb="FF000000"/>
        <rFont val="Arial"/>
        <charset val="134"/>
      </rPr>
      <t>MONROE Shock Absorber 744216SP Front-RH</t>
    </r>
  </si>
  <si>
    <r>
      <rPr>
        <sz val="9"/>
        <color rgb="FF000000"/>
        <rFont val="Arial"/>
        <charset val="134"/>
      </rPr>
      <t>MONROE Shock Absorber 744217SP Front-LH</t>
    </r>
  </si>
  <si>
    <r>
      <rPr>
        <sz val="9"/>
        <color rgb="FF000000"/>
        <rFont val="Arial"/>
        <charset val="134"/>
      </rPr>
      <t>MONROE Shock Absorber 744352SP Front-RH</t>
    </r>
  </si>
  <si>
    <r>
      <rPr>
        <sz val="9"/>
        <color rgb="FF000000"/>
        <rFont val="Arial"/>
        <charset val="134"/>
      </rPr>
      <t>MONROE Shock Absorber 744353SP Front-LH</t>
    </r>
  </si>
  <si>
    <r>
      <rPr>
        <sz val="9"/>
        <color rgb="FF000000"/>
        <rFont val="Arial"/>
        <charset val="134"/>
      </rPr>
      <t>MOTORCRAFT SPARK PLUG (SP-535-X) (B 1336 JVD)</t>
    </r>
  </si>
  <si>
    <r>
      <rPr>
        <sz val="9"/>
        <color rgb="FF000000"/>
        <rFont val="Arial"/>
        <charset val="134"/>
      </rPr>
      <t>MOTUL Brake Fluid DOT 5.1 - 500ml</t>
    </r>
  </si>
  <si>
    <r>
      <rPr>
        <sz val="9"/>
        <color rgb="FF000000"/>
        <rFont val="Arial"/>
        <charset val="134"/>
      </rPr>
      <t>MOTUL Engine Oil H-TECH 100 Plus 5W-30 4L</t>
    </r>
  </si>
  <si>
    <r>
      <rPr>
        <sz val="9"/>
        <color rgb="FF000000"/>
        <rFont val="Arial"/>
        <charset val="134"/>
      </rPr>
      <t>NGK SPARK PLUG (FR6F-11K)</t>
    </r>
  </si>
  <si>
    <r>
      <rPr>
        <sz val="9"/>
        <color rgb="FF000000"/>
        <rFont val="Arial"/>
        <charset val="134"/>
      </rPr>
      <t>NISSAN GASKET,ROCK (1035A991) (B 2254 BIO)</t>
    </r>
  </si>
  <si>
    <r>
      <rPr>
        <sz val="9"/>
        <color rgb="FF000000"/>
        <rFont val="Arial"/>
        <charset val="134"/>
      </rPr>
      <t>O RING NOKEN AS (B2733BZF)</t>
    </r>
  </si>
  <si>
    <r>
      <rPr>
        <sz val="9"/>
        <color rgb="FF000000"/>
        <rFont val="Arial"/>
        <charset val="134"/>
      </rPr>
      <t>O RING OIL FILTER (D1796MO)</t>
    </r>
  </si>
  <si>
    <r>
      <rPr>
        <sz val="9"/>
        <color rgb="FF000000"/>
        <rFont val="Arial"/>
        <charset val="134"/>
      </rPr>
      <t>PACKING KLEP (D1796MO)</t>
    </r>
  </si>
  <si>
    <r>
      <rPr>
        <sz val="9"/>
        <color rgb="FF000000"/>
        <rFont val="Arial"/>
        <charset val="134"/>
      </rPr>
      <t>PIRELLI 245/35R20 95Y PWRGY</t>
    </r>
  </si>
  <si>
    <r>
      <rPr>
        <sz val="9"/>
        <color rgb="FF000000"/>
        <rFont val="Arial"/>
        <charset val="134"/>
      </rPr>
      <t>PULLEY ALTERNATOR B2003BM</t>
    </r>
  </si>
  <si>
    <r>
      <rPr>
        <sz val="9"/>
        <color rgb="FF000000"/>
        <rFont val="Arial"/>
        <charset val="134"/>
      </rPr>
      <t>Radiant Coolant 5L</t>
    </r>
  </si>
  <si>
    <r>
      <rPr>
        <sz val="9"/>
        <color rgb="FF000000"/>
        <rFont val="Arial"/>
        <charset val="134"/>
      </rPr>
      <t>SEAL AS BELAKANG B1129KBP</t>
    </r>
  </si>
  <si>
    <r>
      <rPr>
        <sz val="9"/>
        <color rgb="FF000000"/>
        <rFont val="Arial"/>
        <charset val="134"/>
      </rPr>
      <t>SEAL BUSI B1129KBP</t>
    </r>
  </si>
  <si>
    <r>
      <rPr>
        <sz val="9"/>
        <color rgb="FF000000"/>
        <rFont val="Arial"/>
        <charset val="134"/>
      </rPr>
      <t>SEAL COVER VALVE (B2390SXN)</t>
    </r>
  </si>
  <si>
    <r>
      <rPr>
        <sz val="9"/>
        <color rgb="FF000000"/>
        <rFont val="Arial"/>
        <charset val="134"/>
      </rPr>
      <t>SEAL COVER VALVE (B2733BZF)</t>
    </r>
  </si>
  <si>
    <r>
      <rPr>
        <sz val="9"/>
        <color rgb="FF000000"/>
        <rFont val="Arial"/>
        <charset val="134"/>
      </rPr>
      <t>SEAL COVER VALVE ASSY (B1813JUF)</t>
    </r>
  </si>
  <si>
    <r>
      <rPr>
        <sz val="9"/>
        <color rgb="FF000000"/>
        <rFont val="Arial"/>
        <charset val="134"/>
      </rPr>
      <t>SEAL COVER VALVE B1129KBP</t>
    </r>
  </si>
  <si>
    <r>
      <rPr>
        <sz val="9"/>
        <color rgb="FF000000"/>
        <rFont val="Arial"/>
        <charset val="134"/>
      </rPr>
      <t>SEAL COVER VALVE B1651URL</t>
    </r>
  </si>
  <si>
    <r>
      <rPr>
        <sz val="9"/>
        <color rgb="FF000000"/>
        <rFont val="Arial"/>
        <charset val="134"/>
      </rPr>
      <t>SEAL INPUT SHAFT OIL B1129KBP</t>
    </r>
  </si>
  <si>
    <r>
      <rPr>
        <sz val="9"/>
        <color rgb="FF000000"/>
        <rFont val="Arial"/>
        <charset val="134"/>
      </rPr>
      <t>SEAL V-TEC (B2733BZF)</t>
    </r>
  </si>
  <si>
    <r>
      <rPr>
        <sz val="9"/>
        <color rgb="FF000000"/>
        <rFont val="Arial"/>
        <charset val="134"/>
      </rPr>
      <t>SGMW FAN ASSY (23733156) (B 1776 HOF)</t>
    </r>
  </si>
  <si>
    <r>
      <rPr>
        <sz val="9"/>
        <color rgb="FF000000"/>
        <rFont val="Arial"/>
        <charset val="134"/>
      </rPr>
      <t>SGMW SENSOR ASM-ELEK BRK (23948558)</t>
    </r>
  </si>
  <si>
    <r>
      <rPr>
        <sz val="9"/>
        <color rgb="FF000000"/>
        <rFont val="Arial"/>
        <charset val="134"/>
      </rPr>
      <t>SGP TENSIONER BELT B9481WUD</t>
    </r>
  </si>
  <si>
    <r>
      <rPr>
        <sz val="9"/>
        <color rgb="FF000000"/>
        <rFont val="Arial"/>
        <charset val="134"/>
      </rPr>
      <t>SGP V-BELT AC B9481WUD</t>
    </r>
  </si>
  <si>
    <r>
      <rPr>
        <sz val="9"/>
        <color rgb="FF000000"/>
        <rFont val="Arial"/>
        <charset val="134"/>
      </rPr>
      <t>SGP V-BELT ALTERNATOR B9481WUD</t>
    </r>
  </si>
  <si>
    <r>
      <rPr>
        <sz val="9"/>
        <color rgb="FF000000"/>
        <rFont val="Arial"/>
        <charset val="134"/>
      </rPr>
      <t>SHOCK BELAKANG SET (B2386FF)</t>
    </r>
  </si>
  <si>
    <r>
      <rPr>
        <sz val="9"/>
        <color rgb="FF000000"/>
        <rFont val="Arial"/>
        <charset val="134"/>
      </rPr>
      <t>SHOCK DEPAN SET (B2386FF)</t>
    </r>
  </si>
  <si>
    <r>
      <rPr>
        <sz val="9"/>
        <color rgb="FF000000"/>
        <rFont val="Arial"/>
        <charset val="134"/>
      </rPr>
      <t>SPARK PLUG BN1788TB</t>
    </r>
  </si>
  <si>
    <r>
      <rPr>
        <sz val="9"/>
        <color rgb="FF000000"/>
        <rFont val="Arial"/>
        <charset val="134"/>
      </rPr>
      <t>STEERING RACK B9529BAX</t>
    </r>
  </si>
  <si>
    <r>
      <rPr>
        <sz val="9"/>
        <color rgb="FF000000"/>
        <rFont val="Arial"/>
        <charset val="134"/>
      </rPr>
      <t>STOPER ABSORBER FR (B1190TRJ)</t>
    </r>
  </si>
  <si>
    <r>
      <rPr>
        <sz val="9"/>
        <color rgb="FF000000"/>
        <rFont val="Arial"/>
        <charset val="134"/>
      </rPr>
      <t>STOPER BELAKANG HRV (B2386FF)</t>
    </r>
  </si>
  <si>
    <r>
      <rPr>
        <sz val="9"/>
        <color rgb="FF000000"/>
        <rFont val="Arial"/>
        <charset val="134"/>
      </rPr>
      <t>SUPPORT ABSORBER (B2753UBC)</t>
    </r>
  </si>
  <si>
    <r>
      <rPr>
        <sz val="9"/>
        <color rgb="FF000000"/>
        <rFont val="Arial"/>
        <charset val="134"/>
      </rPr>
      <t>SUZUKI BAUT RODA (BH 1376 MX)</t>
    </r>
  </si>
  <si>
    <r>
      <rPr>
        <sz val="9"/>
        <color rgb="FF000000"/>
        <rFont val="Arial"/>
        <charset val="134"/>
      </rPr>
      <t>SUZUKI SEAL BUSI (11179-81402) (R 1721 AL)</t>
    </r>
  </si>
  <si>
    <r>
      <rPr>
        <sz val="9"/>
        <color rgb="FF000000"/>
        <rFont val="Arial"/>
        <charset val="134"/>
      </rPr>
      <t>SUZUKI SEAL COVER VALVE (11189-65J00) (R 1721 AL)</t>
    </r>
  </si>
  <si>
    <r>
      <rPr>
        <sz val="9"/>
        <color rgb="FF000000"/>
        <rFont val="Arial"/>
        <charset val="134"/>
      </rPr>
      <t>SUZUKI SENSOR FR WHEEL (56220-73R00-000) (B 2415 UZT)</t>
    </r>
  </si>
  <si>
    <r>
      <rPr>
        <sz val="9"/>
        <color rgb="FF000000"/>
        <rFont val="Arial"/>
        <charset val="134"/>
      </rPr>
      <t>SWITCH P/W DRIVER B1795UAD</t>
    </r>
  </si>
  <si>
    <r>
      <rPr>
        <sz val="9"/>
        <color rgb="FF000000"/>
        <rFont val="Arial"/>
        <charset val="134"/>
      </rPr>
      <t>TENSIONER V-BELT B2003BM</t>
    </r>
  </si>
  <si>
    <r>
      <rPr>
        <sz val="9"/>
        <color rgb="FF000000"/>
        <rFont val="Arial"/>
        <charset val="134"/>
      </rPr>
      <t>TOYOTA ABSORBER ASSY FR (48510-8Z195) (B 1701 TLT)</t>
    </r>
  </si>
  <si>
    <r>
      <rPr>
        <sz val="9"/>
        <color rgb="FF000000"/>
        <rFont val="Arial"/>
        <charset val="134"/>
      </rPr>
      <t>TOYOTA ABSORBER SET RR(48531-09800) (B 1701 TLT)</t>
    </r>
  </si>
  <si>
    <r>
      <rPr>
        <sz val="9"/>
        <color rgb="FF000000"/>
        <rFont val="Arial"/>
        <charset val="134"/>
      </rPr>
      <t>TOYOTA BELT V-RIBBED (90916-T2039) (B 2214 KZB)</t>
    </r>
  </si>
  <si>
    <r>
      <rPr>
        <sz val="9"/>
        <color rgb="FF000000"/>
        <rFont val="Arial"/>
        <charset val="134"/>
      </rPr>
      <t>TOYOTA BELT, V-RIBBED (90916-T2029) (B 2532 TFJ)</t>
    </r>
  </si>
  <si>
    <r>
      <rPr>
        <sz val="9"/>
        <color rgb="FF000000"/>
        <rFont val="Arial"/>
        <charset val="134"/>
      </rPr>
      <t>TOYOTA BOOT AS RODA + KLEMAN (D 1109 XHE)</t>
    </r>
  </si>
  <si>
    <r>
      <rPr>
        <sz val="9"/>
        <color rgb="FF000000"/>
        <rFont val="Arial"/>
        <charset val="134"/>
      </rPr>
      <t>TOYOTA DUMPER SHOCK (B 1134 FZR)</t>
    </r>
  </si>
  <si>
    <r>
      <rPr>
        <sz val="9"/>
        <color rgb="FF000000"/>
        <rFont val="Arial"/>
        <charset val="134"/>
      </rPr>
      <t>TOYOTA GASKET ,CYLINDER (11213-BZ011) (B 1774 UYP)</t>
    </r>
  </si>
  <si>
    <r>
      <rPr>
        <sz val="9"/>
        <color rgb="FF000000"/>
        <rFont val="Arial"/>
        <charset val="134"/>
      </rPr>
      <t>TOYOTA GASKET ,CYLINDER (11213-BZ011-000)</t>
    </r>
  </si>
  <si>
    <r>
      <rPr>
        <sz val="9"/>
        <color rgb="FF000000"/>
        <rFont val="Arial"/>
        <charset val="134"/>
      </rPr>
      <t>TOYOTA GASKET CYLINDER (11213-0Y030-000) (B 2291 KMV)</t>
    </r>
  </si>
  <si>
    <r>
      <rPr>
        <sz val="9"/>
        <color rgb="FF000000"/>
        <rFont val="Arial"/>
        <charset val="134"/>
      </rPr>
      <t>TOYOTA GASKET,CYLINDER HEAD (11213-0C011) (B 1836 UZP)</t>
    </r>
  </si>
  <si>
    <r>
      <rPr>
        <sz val="9"/>
        <color rgb="FF000000"/>
        <rFont val="Arial"/>
        <charset val="134"/>
      </rPr>
      <t>TOYOTA GASKET,CYLINDER HEAD (11214-0C011) (B 1836 UZP)</t>
    </r>
  </si>
  <si>
    <r>
      <rPr>
        <sz val="9"/>
        <color rgb="FF000000"/>
        <rFont val="Arial"/>
        <charset val="134"/>
      </rPr>
      <t>TOYOTA GASKET,CYLINDER HEAD COVER (11213-0Y07-000) (B 1134 FZR)</t>
    </r>
  </si>
  <si>
    <r>
      <rPr>
        <sz val="9"/>
        <color rgb="FF000000"/>
        <rFont val="Arial"/>
        <charset val="134"/>
      </rPr>
      <t>TOYOTA IGNITION COIL 90919-T2007 D1429GW</t>
    </r>
  </si>
  <si>
    <r>
      <rPr>
        <sz val="9"/>
        <color rgb="FF000000"/>
        <rFont val="Arial"/>
        <charset val="134"/>
      </rPr>
      <t>TOYOTA KIT CALIPER (B 2717 PQF)</t>
    </r>
  </si>
  <si>
    <r>
      <rPr>
        <sz val="9"/>
        <color rgb="FF000000"/>
        <rFont val="Arial"/>
        <charset val="134"/>
      </rPr>
      <t>TOYOTA LINK STABILIZER (B 1134 FZR)</t>
    </r>
  </si>
  <si>
    <r>
      <rPr>
        <sz val="9"/>
        <color rgb="FF000000"/>
        <rFont val="Arial"/>
        <charset val="134"/>
      </rPr>
      <t>TOYOTA LINK STABILIZER FR (2779 KZW)</t>
    </r>
  </si>
  <si>
    <r>
      <rPr>
        <sz val="9"/>
        <color rgb="FF000000"/>
        <rFont val="Arial"/>
        <charset val="134"/>
      </rPr>
      <t>TOYOTA LONG TIROD (45503-0K070) (B 567 IMS)</t>
    </r>
  </si>
  <si>
    <r>
      <rPr>
        <sz val="9"/>
        <color rgb="FF000000"/>
        <rFont val="Arial"/>
        <charset val="134"/>
      </rPr>
      <t>TOYOTA MOTOR ,COOLING FAN (16363-0Y050) (B 2532 TFJ)</t>
    </r>
  </si>
  <si>
    <r>
      <rPr>
        <sz val="9"/>
        <color rgb="FF000000"/>
        <rFont val="Arial"/>
        <charset val="134"/>
      </rPr>
      <t>TOYOTA MOTOR WASHER (AD1683GU)</t>
    </r>
  </si>
  <si>
    <r>
      <rPr>
        <sz val="9"/>
        <color rgb="FF000000"/>
        <rFont val="Arial"/>
        <charset val="134"/>
      </rPr>
      <t>TOYOTA MOUNTING BELAKANG (B 2279 KZW)</t>
    </r>
  </si>
  <si>
    <r>
      <rPr>
        <sz val="9"/>
        <color rgb="FF000000"/>
        <rFont val="Arial"/>
        <charset val="134"/>
      </rPr>
      <t>TOYOTA MOUNTING KANAN (B 2279 KZW)</t>
    </r>
  </si>
  <si>
    <r>
      <rPr>
        <sz val="9"/>
        <color rgb="FF000000"/>
        <rFont val="Arial"/>
        <charset val="134"/>
      </rPr>
      <t>TOYOTA MOUNTING TRANSMISI (B 2279 KZW)</t>
    </r>
  </si>
  <si>
    <r>
      <rPr>
        <sz val="9"/>
        <color rgb="FF000000"/>
        <rFont val="Arial"/>
        <charset val="134"/>
      </rPr>
      <t>TOYOTA PISTON REM (B 2717 PQF)</t>
    </r>
  </si>
  <si>
    <r>
      <rPr>
        <sz val="9"/>
        <color rgb="FF000000"/>
        <rFont val="Arial"/>
        <charset val="134"/>
      </rPr>
      <t>TOYOTA RUBBER ,RR WIPER BLADE (85243-BZ150) (B 1100 RZG)</t>
    </r>
  </si>
  <si>
    <r>
      <rPr>
        <sz val="9"/>
        <color rgb="FF000000"/>
        <rFont val="Arial"/>
        <charset val="134"/>
      </rPr>
      <t>TOYOTA SEAL AS RODA (D 1109 XHE)</t>
    </r>
  </si>
  <si>
    <r>
      <rPr>
        <sz val="9"/>
        <color rgb="FF000000"/>
        <rFont val="Arial"/>
        <charset val="134"/>
      </rPr>
      <t>TOYOTA SHOCK ABSORBER RR (48531-0DE20) (W 1484 SS)</t>
    </r>
  </si>
  <si>
    <r>
      <rPr>
        <sz val="9"/>
        <color rgb="FF000000"/>
        <rFont val="Arial"/>
        <charset val="134"/>
      </rPr>
      <t>TOYOTA SUPPORT ABSORBER FR (B1864UIU)</t>
    </r>
  </si>
  <si>
    <r>
      <rPr>
        <sz val="9"/>
        <color rgb="FF000000"/>
        <rFont val="Arial"/>
        <charset val="134"/>
      </rPr>
      <t>TOYOTA SUPPORT S/A (48609-BZ070) (B 1134 FZR)</t>
    </r>
  </si>
  <si>
    <r>
      <rPr>
        <sz val="9"/>
        <color rgb="FF000000"/>
        <rFont val="Arial"/>
        <charset val="134"/>
      </rPr>
      <t>TOYOTA SUPPORT SHOCK OEM (B 1774 UYP)</t>
    </r>
  </si>
  <si>
    <r>
      <rPr>
        <sz val="9"/>
        <color rgb="FF000000"/>
        <rFont val="Arial"/>
        <charset val="134"/>
      </rPr>
      <t>TOYOTA TENSIONER ASSY (16620-0Y061) (B 2214 KZB)</t>
    </r>
  </si>
  <si>
    <r>
      <rPr>
        <sz val="9"/>
        <color rgb="FF000000"/>
        <rFont val="Arial"/>
        <charset val="134"/>
      </rPr>
      <t>Tire Promo-Bridgestone TIRE Alenza 001A 215/60R17</t>
    </r>
  </si>
  <si>
    <r>
      <rPr>
        <sz val="9"/>
        <color rgb="FF000000"/>
        <rFont val="Arial"/>
        <charset val="134"/>
      </rPr>
      <t>Tire Promo-Bridgestone TIRE Turanza 6 215/55R17</t>
    </r>
  </si>
  <si>
    <r>
      <rPr>
        <sz val="9"/>
        <color rgb="FF000000"/>
        <rFont val="Arial"/>
        <charset val="134"/>
      </rPr>
      <t>Tire Promo-DUNLOP TIRE SP Sportmaxx 050+ 215/55R17</t>
    </r>
  </si>
  <si>
    <r>
      <rPr>
        <sz val="9"/>
        <color rgb="FF000000"/>
        <rFont val="Arial"/>
        <charset val="134"/>
      </rPr>
      <t>Tire Promo-Dunlop TIRE Enasave EC300+ 215/60R17</t>
    </r>
  </si>
  <si>
    <r>
      <rPr>
        <sz val="9"/>
        <color rgb="FF000000"/>
        <rFont val="Arial"/>
        <charset val="134"/>
      </rPr>
      <t>Tire Promo-GOODYEAR TIRE Wrangler Duratrac RT LT245/70R16</t>
    </r>
  </si>
  <si>
    <r>
      <rPr>
        <sz val="9"/>
        <color rgb="FF000000"/>
        <rFont val="Arial"/>
        <charset val="134"/>
      </rPr>
      <t>V-BELT (D1796MO)</t>
    </r>
  </si>
  <si>
    <r>
      <rPr>
        <sz val="9"/>
        <color rgb="FF000000"/>
        <rFont val="Arial"/>
        <charset val="134"/>
      </rPr>
      <t>V-BELT AC (F1845AA)</t>
    </r>
  </si>
  <si>
    <r>
      <rPr>
        <sz val="9"/>
        <color rgb="FF000000"/>
        <rFont val="Arial"/>
        <charset val="134"/>
      </rPr>
      <t>V-BELT B2003BM</t>
    </r>
  </si>
  <si>
    <r>
      <rPr>
        <sz val="9"/>
        <color rgb="FF000000"/>
        <rFont val="Arial"/>
        <charset val="134"/>
      </rPr>
      <t>V-BELT B9529BAX</t>
    </r>
  </si>
  <si>
    <r>
      <rPr>
        <sz val="9"/>
        <color rgb="FF000000"/>
        <rFont val="Arial"/>
        <charset val="134"/>
      </rPr>
      <t>V-BELT DINAMO (F1845AA)</t>
    </r>
  </si>
  <si>
    <r>
      <rPr>
        <sz val="9"/>
        <color rgb="FF000000"/>
        <rFont val="Arial"/>
        <charset val="134"/>
      </rPr>
      <t>V-BELT PANJANG (B2390SXN)</t>
    </r>
  </si>
  <si>
    <r>
      <rPr>
        <sz val="9"/>
        <color rgb="FF000000"/>
        <rFont val="Arial"/>
        <charset val="134"/>
      </rPr>
      <t>V-BELT PENDEK (B2390SXN)</t>
    </r>
  </si>
  <si>
    <r>
      <rPr>
        <sz val="9"/>
        <color rgb="FF000000"/>
        <rFont val="Arial"/>
        <charset val="134"/>
      </rPr>
      <t>WATERPUMP B2003BM</t>
    </r>
  </si>
  <si>
    <r>
      <rPr>
        <sz val="9"/>
        <color rgb="FF000000"/>
        <rFont val="Arial"/>
        <charset val="134"/>
      </rPr>
      <t>WHEEL CYLINDER ASSY B1787UYE</t>
    </r>
  </si>
  <si>
    <r>
      <rPr>
        <sz val="8"/>
        <color rgb="FF000000"/>
        <rFont val="Courier"/>
        <charset val="134"/>
      </rPr>
      <t>Page Break 86</t>
    </r>
  </si>
  <si>
    <r>
      <rPr>
        <sz val="9"/>
        <color rgb="FF000000"/>
        <rFont val="Arial"/>
        <charset val="134"/>
      </rPr>
      <t>商品名称</t>
    </r>
  </si>
  <si>
    <r>
      <rPr>
        <sz val="9"/>
        <color rgb="FF000000"/>
        <rFont val="Arial"/>
        <charset val="134"/>
      </rPr>
      <t>仓库</t>
    </r>
  </si>
  <si>
    <r>
      <rPr>
        <sz val="9"/>
        <color rgb="FF000000"/>
        <rFont val="Arial"/>
        <charset val="134"/>
      </rPr>
      <t>数量</t>
    </r>
  </si>
  <si>
    <r>
      <rPr>
        <sz val="9"/>
        <color rgb="FF000000"/>
        <rFont val="Arial"/>
        <charset val="134"/>
      </rPr>
      <t>销售金额</t>
    </r>
  </si>
  <si>
    <r>
      <rPr>
        <sz val="9"/>
        <color rgb="FF000000"/>
        <rFont val="Arial"/>
        <charset val="134"/>
      </rPr>
      <t>555 LINK STABILIZER SL-3870 SET (B1218PYO)</t>
    </r>
  </si>
  <si>
    <r>
      <rPr>
        <sz val="9"/>
        <color rgb="FF000000"/>
        <rFont val="Arial"/>
        <charset val="134"/>
      </rPr>
      <t>Total 仓库</t>
    </r>
  </si>
  <si>
    <r>
      <rPr>
        <sz val="9"/>
        <color rgb="FF000000"/>
        <rFont val="Arial"/>
        <charset val="134"/>
      </rPr>
      <t>89690BZ010 ACTUATOR ASSY B2423TVC</t>
    </r>
  </si>
  <si>
    <r>
      <rPr>
        <sz val="9"/>
        <color rgb="FF000000"/>
        <rFont val="Arial"/>
        <charset val="134"/>
      </rPr>
      <t>ASUKI BRAKE PAD (MF-0822MS) (B 2131 FMB)</t>
    </r>
  </si>
  <si>
    <r>
      <rPr>
        <sz val="9"/>
        <color rgb="FF000000"/>
        <rFont val="Arial"/>
        <charset val="134"/>
      </rPr>
      <t>ASUKI FA5868_ASKFT AIR FILTER</t>
    </r>
  </si>
  <si>
    <r>
      <rPr>
        <sz val="9"/>
        <color rgb="FF000000"/>
        <rFont val="Arial"/>
        <charset val="134"/>
      </rPr>
      <t>ASUKI FA5895V_ASKFT AIR FILTER</t>
    </r>
  </si>
  <si>
    <r>
      <rPr>
        <sz val="9"/>
        <color rgb="FF000000"/>
        <rFont val="Arial"/>
        <charset val="134"/>
      </rPr>
      <t>Asuki Filter Udara Alphard/Vellfire FA-2022</t>
    </r>
  </si>
  <si>
    <r>
      <rPr>
        <sz val="8"/>
        <color rgb="FF000000"/>
        <rFont val="Courier"/>
        <charset val="134"/>
      </rPr>
      <t xml:space="preserve"> 的 80</t>
    </r>
  </si>
  <si>
    <r>
      <rPr>
        <sz val="9"/>
        <color rgb="FF000000"/>
        <rFont val="Arial"/>
        <charset val="134"/>
      </rPr>
      <t>BAUT CALIPER B1682UIW</t>
    </r>
  </si>
  <si>
    <r>
      <rPr>
        <sz val="9"/>
        <color rgb="FF000000"/>
        <rFont val="Arial"/>
        <charset val="134"/>
      </rPr>
      <t>BEARING RODA RR MARCH B1867ZME</t>
    </r>
  </si>
  <si>
    <r>
      <rPr>
        <sz val="9"/>
        <color rgb="FF000000"/>
        <rFont val="Arial"/>
        <charset val="134"/>
      </rPr>
      <t>BENDIX Brake Pad BS 1768 / DS 2335 Rear</t>
    </r>
  </si>
  <si>
    <r>
      <rPr>
        <sz val="9"/>
        <color rgb="FF000000"/>
        <rFont val="Arial"/>
        <charset val="134"/>
      </rPr>
      <t>BENDIX Brake Pad BS 5008 / DS 2395 Rear</t>
    </r>
  </si>
  <si>
    <r>
      <rPr>
        <sz val="9"/>
        <color rgb="FF000000"/>
        <rFont val="Arial"/>
        <charset val="134"/>
      </rPr>
      <t>BENDIX Brake Pad BS 5237 Rear</t>
    </r>
  </si>
  <si>
    <r>
      <rPr>
        <sz val="9"/>
        <color rgb="FF000000"/>
        <rFont val="Arial"/>
        <charset val="134"/>
      </rPr>
      <t>BENDIX Brake Pad BS 5300 Rear</t>
    </r>
  </si>
  <si>
    <r>
      <rPr>
        <sz val="9"/>
        <color rgb="FF000000"/>
        <rFont val="Arial"/>
        <charset val="134"/>
      </rPr>
      <t>BENDIX Brake Pad DB 1262 Front</t>
    </r>
  </si>
  <si>
    <r>
      <rPr>
        <sz val="9"/>
        <color rgb="FF000000"/>
        <rFont val="Arial"/>
        <charset val="134"/>
      </rPr>
      <t>BENDIX Brake Pad DB 1912 Front</t>
    </r>
  </si>
  <si>
    <r>
      <rPr>
        <sz val="9"/>
        <color rgb="FF000000"/>
        <rFont val="Arial"/>
        <charset val="134"/>
      </rPr>
      <t>BENDIX Brake Pad DB 2226 Front</t>
    </r>
  </si>
  <si>
    <r>
      <rPr>
        <sz val="9"/>
        <color rgb="FF000000"/>
        <rFont val="Arial"/>
        <charset val="134"/>
      </rPr>
      <t>BENDIX Brake Pad DB 2227 Rear</t>
    </r>
  </si>
  <si>
    <r>
      <rPr>
        <sz val="9"/>
        <color rgb="FF000000"/>
        <rFont val="Arial"/>
        <charset val="134"/>
      </rPr>
      <t>BOLT ISC B2423TVC</t>
    </r>
  </si>
  <si>
    <r>
      <rPr>
        <sz val="9"/>
        <color rgb="FF000000"/>
        <rFont val="Arial"/>
        <charset val="134"/>
      </rPr>
      <t>BOSCH Battery MF Blue 58014 12V-80Ah</t>
    </r>
  </si>
  <si>
    <r>
      <rPr>
        <sz val="9"/>
        <color rgb="FF000000"/>
        <rFont val="Arial"/>
        <charset val="134"/>
      </rPr>
      <t>BOSCH Battery MF Blue 58024 12V-74Ah</t>
    </r>
  </si>
  <si>
    <r>
      <rPr>
        <sz val="9"/>
        <color rgb="FF000000"/>
        <rFont val="Arial"/>
        <charset val="134"/>
      </rPr>
      <t>BOSCH Brake Disc 0986AB9779 - BD9726S-Front</t>
    </r>
  </si>
  <si>
    <r>
      <rPr>
        <sz val="9"/>
        <color rgb="FF000000"/>
        <rFont val="Arial"/>
        <charset val="134"/>
      </rPr>
      <t>BOSCH Cabin Filter AP-T02</t>
    </r>
  </si>
  <si>
    <r>
      <rPr>
        <sz val="9"/>
        <color rgb="FF000000"/>
        <rFont val="Arial"/>
        <charset val="134"/>
      </rPr>
      <t>BOSCH HALF MICRO RELAY 12V 20A 4 PINS (0986AH0092)</t>
    </r>
  </si>
  <si>
    <r>
      <rPr>
        <sz val="9"/>
        <color rgb="FF000000"/>
        <rFont val="Arial"/>
        <charset val="134"/>
      </rPr>
      <t>BOSCH Light Bulb H11 24V 70W -PGJ19-2 Trucklight</t>
    </r>
  </si>
  <si>
    <r>
      <rPr>
        <sz val="9"/>
        <color rgb="FF000000"/>
        <rFont val="Arial"/>
        <charset val="134"/>
      </rPr>
      <t>BOSCH Light Bulb H3 12V 55W -PK22s ECO</t>
    </r>
  </si>
  <si>
    <r>
      <rPr>
        <sz val="9"/>
        <color rgb="FF000000"/>
        <rFont val="Arial"/>
        <charset val="134"/>
      </rPr>
      <t>BOSCH Light Bulb H8 12V 35W -PGJ19-1 ECO</t>
    </r>
  </si>
  <si>
    <r>
      <rPr>
        <sz val="9"/>
        <color rgb="FF000000"/>
        <rFont val="Arial"/>
        <charset val="134"/>
      </rPr>
      <t>BOSCH Oil Filter O 0203</t>
    </r>
  </si>
  <si>
    <r>
      <rPr>
        <sz val="9"/>
        <color rgb="FF000000"/>
        <rFont val="Arial"/>
        <charset val="134"/>
      </rPr>
      <t>BOSCH SPARK PLUG YR7DPP30 - Platinum</t>
    </r>
  </si>
  <si>
    <r>
      <rPr>
        <sz val="9"/>
        <color rgb="FF000000"/>
        <rFont val="Arial"/>
        <charset val="134"/>
      </rPr>
      <t>BOSCH Spark Plug YR7DI30 - Iridium</t>
    </r>
  </si>
  <si>
    <r>
      <rPr>
        <sz val="9"/>
        <color rgb="FF000000"/>
        <rFont val="Arial"/>
        <charset val="134"/>
      </rPr>
      <t>BOSCH WHEEL BRAKE CYLINDER WC-T21</t>
    </r>
  </si>
  <si>
    <r>
      <rPr>
        <sz val="9"/>
        <color rgb="FF000000"/>
        <rFont val="Arial"/>
        <charset val="134"/>
      </rPr>
      <t>BOSCH Wiper Advantage 28 inch BA28</t>
    </r>
  </si>
  <si>
    <r>
      <rPr>
        <sz val="9"/>
        <color rgb="FF000000"/>
        <rFont val="Arial"/>
        <charset val="134"/>
      </rPr>
      <t>BRIDGESTONE TIRE Techno 185/65R15 88S</t>
    </r>
  </si>
  <si>
    <r>
      <rPr>
        <sz val="9"/>
        <color rgb="FF000000"/>
        <rFont val="Arial"/>
        <charset val="134"/>
      </rPr>
      <t>BRIDGESTONE TIRE Techno Sports 225/45R17 94V</t>
    </r>
  </si>
  <si>
    <r>
      <rPr>
        <sz val="9"/>
        <color rgb="FF000000"/>
        <rFont val="Arial"/>
        <charset val="134"/>
      </rPr>
      <t>BRIDGESTONE TIRE Turanza 6 195/60R16 89H</t>
    </r>
  </si>
  <si>
    <r>
      <rPr>
        <sz val="9"/>
        <color rgb="FF000000"/>
        <rFont val="Arial"/>
        <charset val="134"/>
      </rPr>
      <t>BRIDGESTONE TIRE Turanza 6 215/60R17 100H</t>
    </r>
  </si>
  <si>
    <r>
      <rPr>
        <sz val="9"/>
        <color rgb="FF000000"/>
        <rFont val="Arial"/>
        <charset val="134"/>
      </rPr>
      <t>BRIGHTON GREASE MULTI PURPOSE</t>
    </r>
  </si>
  <si>
    <r>
      <rPr>
        <sz val="9"/>
        <color rgb="FF000000"/>
        <rFont val="Arial"/>
        <charset val="134"/>
      </rPr>
      <t>BUSH BEARING 90043-85174 (B2012UKG)</t>
    </r>
  </si>
  <si>
    <r>
      <rPr>
        <sz val="9"/>
        <color rgb="FF000000"/>
        <rFont val="Arial"/>
        <charset val="134"/>
      </rPr>
      <t>Baut Roda B2834KFR</t>
    </r>
  </si>
  <si>
    <r>
      <rPr>
        <sz val="9"/>
        <color rgb="FF000000"/>
        <rFont val="Arial"/>
        <charset val="134"/>
      </rPr>
      <t>Bearing Roda FR Innova T1895AB</t>
    </r>
  </si>
  <si>
    <r>
      <rPr>
        <sz val="9"/>
        <color rgb="FF000000"/>
        <rFont val="Arial"/>
        <charset val="134"/>
      </rPr>
      <t>Cargloss Wiper Fluid (Bottle) 1L</t>
    </r>
  </si>
  <si>
    <r>
      <rPr>
        <sz val="9"/>
        <color rgb="FF000000"/>
        <rFont val="Arial"/>
        <charset val="134"/>
      </rPr>
      <t>Cargloss Wiper Fluid (Pouch) 1L</t>
    </r>
  </si>
  <si>
    <r>
      <rPr>
        <sz val="9"/>
        <color rgb="FF000000"/>
        <rFont val="Arial"/>
        <charset val="134"/>
      </rPr>
      <t>DAIHATSU WHEEL CYILINDER (B 2131 FMB)</t>
    </r>
  </si>
  <si>
    <r>
      <rPr>
        <sz val="9"/>
        <color rgb="FF000000"/>
        <rFont val="Arial"/>
        <charset val="134"/>
      </rPr>
      <t>DAIKI CABIN FILTER MAZDA (D09W61J6X)</t>
    </r>
  </si>
  <si>
    <r>
      <rPr>
        <sz val="9"/>
        <color rgb="FF000000"/>
        <rFont val="Arial"/>
        <charset val="134"/>
      </rPr>
      <t>DENSO Air Filter DXA-1002</t>
    </r>
  </si>
  <si>
    <r>
      <rPr>
        <sz val="9"/>
        <color rgb="FF000000"/>
        <rFont val="Arial"/>
        <charset val="134"/>
      </rPr>
      <t>DENSO DRIER SILICA T1895AB</t>
    </r>
  </si>
  <si>
    <r>
      <rPr>
        <sz val="9"/>
        <color rgb="FF000000"/>
        <rFont val="Arial"/>
        <charset val="134"/>
      </rPr>
      <t>DENSO EVAPORATOR FRONT T1895AB</t>
    </r>
  </si>
  <si>
    <r>
      <rPr>
        <sz val="9"/>
        <color rgb="FF000000"/>
        <rFont val="Arial"/>
        <charset val="134"/>
      </rPr>
      <t>DENSO EVAPORATOR REAR T1895AB</t>
    </r>
  </si>
  <si>
    <r>
      <rPr>
        <sz val="9"/>
        <color rgb="FF000000"/>
        <rFont val="Arial"/>
        <charset val="134"/>
      </rPr>
      <t>DENSO EXPANSION VALVE FRONT T1895AB</t>
    </r>
  </si>
  <si>
    <r>
      <rPr>
        <sz val="9"/>
        <color rgb="FF000000"/>
        <rFont val="Arial"/>
        <charset val="134"/>
      </rPr>
      <t>DENSO EXPANSION VALVE REAR T1895AB</t>
    </r>
  </si>
  <si>
    <r>
      <rPr>
        <sz val="9"/>
        <color rgb="FF000000"/>
        <rFont val="Arial"/>
        <charset val="134"/>
      </rPr>
      <t>Door Lock Depan Kiri B2316POO</t>
    </r>
  </si>
  <si>
    <r>
      <rPr>
        <sz val="9"/>
        <color rgb="FF000000"/>
        <rFont val="Arial"/>
        <charset val="134"/>
      </rPr>
      <t>Engine Mounting Kanan BP1935G</t>
    </r>
  </si>
  <si>
    <r>
      <rPr>
        <sz val="9"/>
        <color rgb="FF000000"/>
        <rFont val="Arial"/>
        <charset val="134"/>
      </rPr>
      <t>Engine Mounting Kiri BP1935G</t>
    </r>
  </si>
  <si>
    <r>
      <rPr>
        <sz val="9"/>
        <color rgb="FF000000"/>
        <rFont val="Arial"/>
        <charset val="134"/>
      </rPr>
      <t>FILTER SOLAR (B2947PVC)</t>
    </r>
  </si>
  <si>
    <r>
      <rPr>
        <sz val="9"/>
        <color rgb="FF000000"/>
        <rFont val="Arial"/>
        <charset val="134"/>
      </rPr>
      <t>GASKET, SEAL COVER VALVE 11213-BZ090 (B1808COK)</t>
    </r>
  </si>
  <si>
    <r>
      <rPr>
        <sz val="9"/>
        <color rgb="FF000000"/>
        <rFont val="Arial"/>
        <charset val="134"/>
      </rPr>
      <t>GTRADIAL TIRE Champiro Ecotec* 185/65R15 -</t>
    </r>
  </si>
  <si>
    <r>
      <rPr>
        <sz val="9"/>
        <color rgb="FF000000"/>
        <rFont val="Arial"/>
        <charset val="134"/>
      </rPr>
      <t>GTRADIAL TIRE Champiro Ecotec* 205/50R17 -</t>
    </r>
  </si>
  <si>
    <r>
      <rPr>
        <sz val="9"/>
        <color rgb="FF000000"/>
        <rFont val="Arial"/>
        <charset val="134"/>
      </rPr>
      <t>GTRADIAL TIRE Champiro Ecotec* 205/65R15 -</t>
    </r>
  </si>
  <si>
    <r>
      <rPr>
        <sz val="9"/>
        <color rgb="FF000000"/>
        <rFont val="Arial"/>
        <charset val="134"/>
      </rPr>
      <t>GTRADIAL TIRE Champiro Hpy 205/55ZR16 -</t>
    </r>
  </si>
  <si>
    <r>
      <rPr>
        <sz val="9"/>
        <color rgb="FF000000"/>
        <rFont val="Arial"/>
        <charset val="134"/>
      </rPr>
      <t>HONDA AIR FILTER (17220-5X6-J00) (B 8075 Z)</t>
    </r>
  </si>
  <si>
    <r>
      <rPr>
        <sz val="9"/>
        <color rgb="FF000000"/>
        <rFont val="Arial"/>
        <charset val="134"/>
      </rPr>
      <t>HONDA AIR FILTER (17220-R5A-A00) (B 1210 UJM)</t>
    </r>
  </si>
  <si>
    <r>
      <rPr>
        <sz val="9"/>
        <color rgb="FF000000"/>
        <rFont val="Arial"/>
        <charset val="134"/>
      </rPr>
      <t>HONDA BOOT INBOND (44017-TE7-K51) (F 1741 ZS)</t>
    </r>
  </si>
  <si>
    <r>
      <rPr>
        <sz val="9"/>
        <color rgb="FF000000"/>
        <rFont val="Arial"/>
        <charset val="134"/>
      </rPr>
      <t>HONDA BOOT LONG (B2074KMM)</t>
    </r>
  </si>
  <si>
    <r>
      <rPr>
        <sz val="9"/>
        <color rgb="FF000000"/>
        <rFont val="Arial"/>
        <charset val="134"/>
      </rPr>
      <t>HONDA LOWER ARM ASSY 51350-TG0-003 (B1491BFL)</t>
    </r>
  </si>
  <si>
    <r>
      <rPr>
        <sz val="9"/>
        <color rgb="FF000000"/>
        <rFont val="Arial"/>
        <charset val="134"/>
      </rPr>
      <t>HONDA MT RUB DUMPER FR (51920-TG4-T01) (B 1993 PVM)</t>
    </r>
  </si>
  <si>
    <r>
      <rPr>
        <sz val="9"/>
        <color rgb="FF000000"/>
        <rFont val="Arial"/>
        <charset val="134"/>
      </rPr>
      <t>HONDA SET,FR CALIPER (01463-S2A-000) (B 1822 BON)</t>
    </r>
  </si>
  <si>
    <r>
      <rPr>
        <sz val="9"/>
        <color rgb="FF000000"/>
        <rFont val="Arial"/>
        <charset val="134"/>
      </rPr>
      <t>HONDA SHOCK ABSORBER FR SET (51621-TG4-K12) (B 1993 PVM)</t>
    </r>
  </si>
  <si>
    <r>
      <rPr>
        <sz val="9"/>
        <color rgb="FF000000"/>
        <rFont val="Arial"/>
        <charset val="134"/>
      </rPr>
      <t>HONDA STOPER (B2074KMM)</t>
    </r>
  </si>
  <si>
    <r>
      <rPr>
        <sz val="9"/>
        <color rgb="FF000000"/>
        <rFont val="Arial"/>
        <charset val="134"/>
      </rPr>
      <t>HONDA STOPER SHOCK FR 51722-SAA-E01 (B1491BFL)</t>
    </r>
  </si>
  <si>
    <r>
      <rPr>
        <sz val="9"/>
        <color rgb="FF000000"/>
        <rFont val="Arial"/>
        <charset val="134"/>
      </rPr>
      <t>HONDA STOPPER SHOCK (52722-T5A-J02) (B 2347 SMF)</t>
    </r>
  </si>
  <si>
    <r>
      <rPr>
        <sz val="9"/>
        <color rgb="FF000000"/>
        <rFont val="Arial"/>
        <charset val="134"/>
      </rPr>
      <t>HONDA SUPPORT 51920-TG4-T01 (B1491BFL)</t>
    </r>
  </si>
  <si>
    <r>
      <rPr>
        <sz val="9"/>
        <color rgb="FF000000"/>
        <rFont val="Arial"/>
        <charset val="134"/>
      </rPr>
      <t>HONDA SUPPORT ABSORBER 51920-TG-T01 (R1862MF)</t>
    </r>
  </si>
  <si>
    <r>
      <rPr>
        <sz val="9"/>
        <color rgb="FF000000"/>
        <rFont val="Arial"/>
        <charset val="134"/>
      </rPr>
      <t>HONDA TUBE AIR FLOW (17228-R5A-A00) (B 1210 UJM)</t>
    </r>
  </si>
  <si>
    <r>
      <rPr>
        <sz val="9"/>
        <color rgb="FF000000"/>
        <rFont val="Arial"/>
        <charset val="134"/>
      </rPr>
      <t>HONDA V-BELT 31110-5EA-K02</t>
    </r>
  </si>
  <si>
    <r>
      <rPr>
        <sz val="9"/>
        <color rgb="FF000000"/>
        <rFont val="Arial"/>
        <charset val="134"/>
      </rPr>
      <t>HONDA V-BELT 38920-RE2-E51 (R1862MF)</t>
    </r>
  </si>
  <si>
    <r>
      <rPr>
        <sz val="9"/>
        <color rgb="FF000000"/>
        <rFont val="Arial"/>
        <charset val="134"/>
      </rPr>
      <t>INSULATOR FR COIL 48157-BZ040 (B2012UKG)</t>
    </r>
  </si>
  <si>
    <r>
      <rPr>
        <sz val="9"/>
        <color rgb="FF000000"/>
        <rFont val="Arial"/>
        <charset val="134"/>
      </rPr>
      <t>JCAP SHOCK ABSROBER RR 52610-TG0-305 (B1491BFL)</t>
    </r>
  </si>
  <si>
    <r>
      <rPr>
        <sz val="9"/>
        <color rgb="FF000000"/>
        <rFont val="Arial"/>
        <charset val="134"/>
      </rPr>
      <t>LEM THREEBOND B1350NYM</t>
    </r>
  </si>
  <si>
    <r>
      <rPr>
        <sz val="9"/>
        <color rgb="FF000000"/>
        <rFont val="Arial"/>
        <charset val="134"/>
      </rPr>
      <t>Link Stabil BP1935G</t>
    </r>
  </si>
  <si>
    <r>
      <rPr>
        <sz val="9"/>
        <color rgb="FF000000"/>
        <rFont val="Arial"/>
        <charset val="134"/>
      </rPr>
      <t>Long Tie Rod BP1935G</t>
    </r>
  </si>
  <si>
    <r>
      <rPr>
        <sz val="9"/>
        <color rgb="FF000000"/>
        <rFont val="Arial"/>
        <charset val="134"/>
      </rPr>
      <t>MAN OIL FILTER HU 718/5 (B8165FO)</t>
    </r>
  </si>
  <si>
    <r>
      <rPr>
        <sz val="9"/>
        <color rgb="FF000000"/>
        <rFont val="Arial"/>
        <charset val="134"/>
      </rPr>
      <t>MANN OIL FILTER (HU10002Z) (B 2941 SYW)</t>
    </r>
  </si>
  <si>
    <r>
      <rPr>
        <sz val="9"/>
        <color rgb="FF000000"/>
        <rFont val="Arial"/>
        <charset val="134"/>
      </rPr>
      <t>MAZDA OIL FILTER (SH01-14-302TT)</t>
    </r>
  </si>
  <si>
    <r>
      <rPr>
        <sz val="9"/>
        <color rgb="FF000000"/>
        <rFont val="Arial"/>
        <charset val="134"/>
      </rPr>
      <t>MAZDA OIL OIL FILTER PE01-14-302A</t>
    </r>
  </si>
  <si>
    <r>
      <rPr>
        <sz val="9"/>
        <color rgb="FF000000"/>
        <rFont val="Arial"/>
        <charset val="134"/>
      </rPr>
      <t>MERCEDES-BENZ OIL FILTER (A2701800109) (B 11 KEE)</t>
    </r>
  </si>
  <si>
    <r>
      <rPr>
        <sz val="9"/>
        <color rgb="FF000000"/>
        <rFont val="Arial"/>
        <charset val="134"/>
      </rPr>
      <t>MITSUBISHI LINK STABILIZER MN101368 (B2075UFX)</t>
    </r>
  </si>
  <si>
    <r>
      <rPr>
        <sz val="9"/>
        <color rgb="FF000000"/>
        <rFont val="Arial"/>
        <charset val="134"/>
      </rPr>
      <t>MITSUBISHI SOPPORT ABSORBER FR MN101372 (B2075UFX)</t>
    </r>
  </si>
  <si>
    <r>
      <rPr>
        <sz val="9"/>
        <color rgb="FF000000"/>
        <rFont val="Arial"/>
        <charset val="134"/>
      </rPr>
      <t>MOBIL Engine Oil Mobil 1 0W-40 1L</t>
    </r>
  </si>
  <si>
    <r>
      <rPr>
        <sz val="9"/>
        <color rgb="FF000000"/>
        <rFont val="Arial"/>
        <charset val="134"/>
      </rPr>
      <t>MONROE Shock Absorber 378149SP Rear</t>
    </r>
  </si>
  <si>
    <r>
      <rPr>
        <sz val="9"/>
        <color rgb="FF000000"/>
        <rFont val="Arial"/>
        <charset val="134"/>
      </rPr>
      <t>MONROE Shock Absorber 744128SP Front-RH</t>
    </r>
  </si>
  <si>
    <r>
      <rPr>
        <sz val="9"/>
        <color rgb="FF000000"/>
        <rFont val="Arial"/>
        <charset val="134"/>
      </rPr>
      <t>MONROE Shock Absorber 744129SP Front-LH</t>
    </r>
  </si>
  <si>
    <r>
      <rPr>
        <sz val="9"/>
        <color rgb="FF000000"/>
        <rFont val="Arial"/>
        <charset val="134"/>
      </rPr>
      <t>MONROE Shock Absorber 744242SP Front-RH</t>
    </r>
  </si>
  <si>
    <r>
      <rPr>
        <sz val="9"/>
        <color rgb="FF000000"/>
        <rFont val="Arial"/>
        <charset val="134"/>
      </rPr>
      <t>MONROE Shock Absorber 744243SP Front-LH</t>
    </r>
  </si>
  <si>
    <r>
      <rPr>
        <sz val="9"/>
        <color rgb="FF000000"/>
        <rFont val="Arial"/>
        <charset val="134"/>
      </rPr>
      <t>MONROE Shock Absorber 744355SP Rear</t>
    </r>
  </si>
  <si>
    <r>
      <rPr>
        <sz val="9"/>
        <color rgb="FF000000"/>
        <rFont val="Arial"/>
        <charset val="134"/>
      </rPr>
      <t>MONROE Shock Absorber 744396SP Front-RH</t>
    </r>
  </si>
  <si>
    <r>
      <rPr>
        <sz val="9"/>
        <color rgb="FF000000"/>
        <rFont val="Arial"/>
        <charset val="134"/>
      </rPr>
      <t>MONROE Shock Absorber 744397SP Front-LH</t>
    </r>
  </si>
  <si>
    <r>
      <rPr>
        <sz val="9"/>
        <color rgb="FF000000"/>
        <rFont val="Arial"/>
        <charset val="134"/>
      </rPr>
      <t>MONROE Shock Absorber 744412SP Front-RH</t>
    </r>
  </si>
  <si>
    <r>
      <rPr>
        <sz val="9"/>
        <color rgb="FF000000"/>
        <rFont val="Arial"/>
        <charset val="134"/>
      </rPr>
      <t>MONROE Shock Absorber 744413SP Front-LH</t>
    </r>
  </si>
  <si>
    <r>
      <rPr>
        <sz val="9"/>
        <color rgb="FF000000"/>
        <rFont val="Arial"/>
        <charset val="134"/>
      </rPr>
      <t>Magnet Clutch  BP1935G</t>
    </r>
  </si>
  <si>
    <r>
      <rPr>
        <sz val="9"/>
        <color rgb="FF000000"/>
        <rFont val="Arial"/>
        <charset val="134"/>
      </rPr>
      <t>Motor Assy Slide Door Kanan VOXY B2779BFY</t>
    </r>
  </si>
  <si>
    <r>
      <rPr>
        <sz val="9"/>
        <color rgb="FF000000"/>
        <rFont val="Arial"/>
        <charset val="134"/>
      </rPr>
      <t>Motor Assy Slide Door Kiri VOXY B2779BFY</t>
    </r>
  </si>
  <si>
    <r>
      <rPr>
        <sz val="9"/>
        <color rgb="FF000000"/>
        <rFont val="Arial"/>
        <charset val="134"/>
      </rPr>
      <t>O-RING THERMOSTAT INNOVA T1895AB</t>
    </r>
  </si>
  <si>
    <r>
      <rPr>
        <sz val="9"/>
        <color rgb="FF000000"/>
        <rFont val="Arial"/>
        <charset val="134"/>
      </rPr>
      <t>OIL FILTER (B2947PVC)</t>
    </r>
  </si>
  <si>
    <r>
      <rPr>
        <sz val="9"/>
        <color rgb="FF000000"/>
        <rFont val="Arial"/>
        <charset val="134"/>
      </rPr>
      <t>PACKING COVER VALVE B1682UIW</t>
    </r>
  </si>
  <si>
    <r>
      <rPr>
        <sz val="9"/>
        <color rgb="FF000000"/>
        <rFont val="Arial"/>
        <charset val="134"/>
      </rPr>
      <t>PISTON REM B1682UIW</t>
    </r>
  </si>
  <si>
    <r>
      <rPr>
        <sz val="9"/>
        <color rgb="FF000000"/>
        <rFont val="Arial"/>
        <charset val="134"/>
      </rPr>
      <t>PRESTONE Brake Fluid DOT 3 - 1000ml (Clear)</t>
    </r>
  </si>
  <si>
    <r>
      <rPr>
        <sz val="9"/>
        <color rgb="FF000000"/>
        <rFont val="Arial"/>
        <charset val="134"/>
      </rPr>
      <t>PRESTONE Brake Fluid DOT 3 - 300ml (Red)</t>
    </r>
  </si>
  <si>
    <r>
      <rPr>
        <sz val="9"/>
        <color rgb="FF000000"/>
        <rFont val="Arial"/>
        <charset val="134"/>
      </rPr>
      <t>Pipa Bypass B1002UFI</t>
    </r>
  </si>
  <si>
    <r>
      <rPr>
        <sz val="9"/>
        <color rgb="FF000000"/>
        <rFont val="Arial"/>
        <charset val="134"/>
      </rPr>
      <t>Piston Rem FR B2834KFR</t>
    </r>
  </si>
  <si>
    <r>
      <rPr>
        <sz val="9"/>
        <color rgb="FF000000"/>
        <rFont val="Arial"/>
        <charset val="134"/>
      </rPr>
      <t>SEAL COVER VALVE (B2701UFN)</t>
    </r>
  </si>
  <si>
    <r>
      <rPr>
        <sz val="9"/>
        <color rgb="FF000000"/>
        <rFont val="Arial"/>
        <charset val="134"/>
      </rPr>
      <t>SEAL COVER VALVE SERENA C26 B1350NYM</t>
    </r>
  </si>
  <si>
    <r>
      <rPr>
        <sz val="9"/>
        <color rgb="FF000000"/>
        <rFont val="Arial"/>
        <charset val="134"/>
      </rPr>
      <t>SEAL KIT CALIPER B1682UIW</t>
    </r>
  </si>
  <si>
    <r>
      <rPr>
        <sz val="9"/>
        <color rgb="FF000000"/>
        <rFont val="Arial"/>
        <charset val="134"/>
      </rPr>
      <t>SGP V-BELT 4PK 95141-77M00 (B2586STD)</t>
    </r>
  </si>
  <si>
    <r>
      <rPr>
        <sz val="9"/>
        <color rgb="FF000000"/>
        <rFont val="Arial"/>
        <charset val="134"/>
      </rPr>
      <t>SGP V-BELT WATER PUMP 17521-77M00 (B2586STD)</t>
    </r>
  </si>
  <si>
    <r>
      <rPr>
        <sz val="9"/>
        <color rgb="FF000000"/>
        <rFont val="Arial"/>
        <charset val="134"/>
      </rPr>
      <t>STOPPER SHOCK RR (B2822OP)</t>
    </r>
  </si>
  <si>
    <r>
      <rPr>
        <sz val="9"/>
        <color rgb="FF000000"/>
        <rFont val="Arial"/>
        <charset val="134"/>
      </rPr>
      <t>SUPPORT SHOCK B1350UJG</t>
    </r>
  </si>
  <si>
    <r>
      <rPr>
        <sz val="9"/>
        <color rgb="FF000000"/>
        <rFont val="Arial"/>
        <charset val="134"/>
      </rPr>
      <t>SUZUKI CABIN AIR FILTER (95860-51K00-000) (R 1608 R)</t>
    </r>
  </si>
  <si>
    <r>
      <rPr>
        <sz val="9"/>
        <color rgb="FF000000"/>
        <rFont val="Arial"/>
        <charset val="134"/>
      </rPr>
      <t>SUZUKI ELEMENT AIR CLEANER (13780-73R00-000) (AD 1285 DD)</t>
    </r>
  </si>
  <si>
    <r>
      <rPr>
        <sz val="9"/>
        <color rgb="FF000000"/>
        <rFont val="Arial"/>
        <charset val="134"/>
      </rPr>
      <t>SUZUKI MOUNTING ENG (11610-73R10-000) ( AD 1285 DD)</t>
    </r>
  </si>
  <si>
    <r>
      <rPr>
        <sz val="9"/>
        <color rgb="FF000000"/>
        <rFont val="Arial"/>
        <charset val="134"/>
      </rPr>
      <t>Seal Crankshaft Belakang B2834KFR</t>
    </r>
  </si>
  <si>
    <r>
      <rPr>
        <sz val="9"/>
        <color rgb="FF000000"/>
        <rFont val="Arial"/>
        <charset val="134"/>
      </rPr>
      <t>Seal Input Transmisi B2834KFR</t>
    </r>
  </si>
  <si>
    <r>
      <rPr>
        <sz val="9"/>
        <color rgb="FF000000"/>
        <rFont val="Arial"/>
        <charset val="134"/>
      </rPr>
      <t>Seal Kit Caliper FR B2834KFR</t>
    </r>
  </si>
  <si>
    <r>
      <rPr>
        <sz val="9"/>
        <color rgb="FF000000"/>
        <rFont val="Arial"/>
        <charset val="134"/>
      </rPr>
      <t>Seal Kit Caliper FR BM1142OH</t>
    </r>
  </si>
  <si>
    <r>
      <rPr>
        <sz val="9"/>
        <color rgb="FF000000"/>
        <rFont val="Arial"/>
        <charset val="134"/>
      </rPr>
      <t>Selang Buntu B1002UFI</t>
    </r>
  </si>
  <si>
    <r>
      <rPr>
        <sz val="9"/>
        <color rgb="FF000000"/>
        <rFont val="Arial"/>
        <charset val="134"/>
      </rPr>
      <t>Selang Bypass B1002UFI</t>
    </r>
  </si>
  <si>
    <r>
      <rPr>
        <sz val="9"/>
        <color rgb="FF000000"/>
        <rFont val="Arial"/>
        <charset val="134"/>
      </rPr>
      <t>Shock Belakang B2834KFR</t>
    </r>
  </si>
  <si>
    <r>
      <rPr>
        <sz val="9"/>
        <color rgb="FF000000"/>
        <rFont val="Arial"/>
        <charset val="134"/>
      </rPr>
      <t>THERMOSTAT INNOVA T1895AB</t>
    </r>
  </si>
  <si>
    <r>
      <rPr>
        <sz val="9"/>
        <color rgb="FF000000"/>
        <rFont val="Arial"/>
        <charset val="134"/>
      </rPr>
      <t>TOYOTA  PISTON DISC BRAKE (47731-BZ010) (F 1682 VK)</t>
    </r>
  </si>
  <si>
    <r>
      <rPr>
        <sz val="9"/>
        <color rgb="FF000000"/>
        <rFont val="Arial"/>
        <charset val="134"/>
      </rPr>
      <t>TOYOTA BELT V-RIBBED (90916-T2038) (B 1460 SMT)</t>
    </r>
  </si>
  <si>
    <r>
      <rPr>
        <sz val="9"/>
        <color rgb="FF000000"/>
        <rFont val="Arial"/>
        <charset val="134"/>
      </rPr>
      <t>TOYOTA BELT V.RIBBED (90916-T2014)</t>
    </r>
  </si>
  <si>
    <r>
      <rPr>
        <sz val="9"/>
        <color rgb="FF000000"/>
        <rFont val="Arial"/>
        <charset val="134"/>
      </rPr>
      <t>TOYOTA BELT, V-RIBBED (9004A-91067-001) (F 1682 VK)</t>
    </r>
  </si>
  <si>
    <r>
      <rPr>
        <sz val="9"/>
        <color rgb="FF000000"/>
        <rFont val="Arial"/>
        <charset val="134"/>
      </rPr>
      <t>TOYOTA BELT,V-RIBBED (9004A-91067-001) (B 2478 KMJ)</t>
    </r>
  </si>
  <si>
    <r>
      <rPr>
        <sz val="9"/>
        <color rgb="FF000000"/>
        <rFont val="Arial"/>
        <charset val="134"/>
      </rPr>
      <t>TOYOTA CYLINDER KIT FR (04478-BZ170-001) (F 1682 VK)</t>
    </r>
  </si>
  <si>
    <r>
      <rPr>
        <sz val="9"/>
        <color rgb="FF000000"/>
        <rFont val="Arial"/>
        <charset val="134"/>
      </rPr>
      <t>TOYOTA DISK FR (43512-BZ290) (F 1682 VK)</t>
    </r>
  </si>
  <si>
    <r>
      <rPr>
        <sz val="9"/>
        <color rgb="FF000000"/>
        <rFont val="Arial"/>
        <charset val="134"/>
      </rPr>
      <t>TOYOTA GASKET CYLINDER HEAD (11213-BZ011) (B 8100 OJ)</t>
    </r>
  </si>
  <si>
    <r>
      <rPr>
        <sz val="9"/>
        <color rgb="FF000000"/>
        <rFont val="Arial"/>
        <charset val="134"/>
      </rPr>
      <t>TOYOTA GASKET, CYLINDER HEAD COVER (11213-0Y030-000) (B 2898 SED)</t>
    </r>
  </si>
  <si>
    <r>
      <rPr>
        <sz val="9"/>
        <color rgb="FF000000"/>
        <rFont val="Arial"/>
        <charset val="134"/>
      </rPr>
      <t>TOYOTA GASKET,CYLINDER HEAD (11213-0H030)</t>
    </r>
  </si>
  <si>
    <r>
      <rPr>
        <sz val="9"/>
        <color rgb="FF000000"/>
        <rFont val="Arial"/>
        <charset val="134"/>
      </rPr>
      <t>TOYOTA KIT CALIPER FR (B 8100 OJ)</t>
    </r>
  </si>
  <si>
    <r>
      <rPr>
        <sz val="9"/>
        <color rgb="FF000000"/>
        <rFont val="Arial"/>
        <charset val="134"/>
      </rPr>
      <t>TOYOTA MASTER REM FR (B 8100 OJ)</t>
    </r>
  </si>
  <si>
    <r>
      <rPr>
        <sz val="9"/>
        <color rgb="FF000000"/>
        <rFont val="Arial"/>
        <charset val="134"/>
      </rPr>
      <t>TOYOTA PISTON REM (B 8100 OJ)</t>
    </r>
  </si>
  <si>
    <r>
      <rPr>
        <sz val="9"/>
        <color rgb="FF000000"/>
        <rFont val="Arial"/>
        <charset val="134"/>
      </rPr>
      <t>TOYOTA PUMP ASSY WATER (16100-B9490-001) (B 1159 UMJ)</t>
    </r>
  </si>
  <si>
    <r>
      <rPr>
        <sz val="9"/>
        <color rgb="FF000000"/>
        <rFont val="Arial"/>
        <charset val="134"/>
      </rPr>
      <t>TOYOTA SEAL BUSI (B 1839 UMG)</t>
    </r>
  </si>
  <si>
    <r>
      <rPr>
        <sz val="9"/>
        <color rgb="FF000000"/>
        <rFont val="Arial"/>
        <charset val="134"/>
      </rPr>
      <t>TOYOTA SEAL COVER VALVE (B 1839 UMG)</t>
    </r>
  </si>
  <si>
    <r>
      <rPr>
        <sz val="9"/>
        <color rgb="FF000000"/>
        <rFont val="Arial"/>
        <charset val="134"/>
      </rPr>
      <t>TOYOTA SEAL TYPE T OIL (90311-T0074) (B 2898 SED)</t>
    </r>
  </si>
  <si>
    <r>
      <rPr>
        <sz val="9"/>
        <color rgb="FF000000"/>
        <rFont val="Arial"/>
        <charset val="134"/>
      </rPr>
      <t>TOYOTA SERVO S/A DAMPER (87106-0K210) (B 2288 UKG)</t>
    </r>
  </si>
  <si>
    <r>
      <rPr>
        <sz val="9"/>
        <color rgb="FF000000"/>
        <rFont val="Arial"/>
        <charset val="134"/>
      </rPr>
      <t>TOYOTA SUPPORT ABSORBER FR (B1218PYO)</t>
    </r>
  </si>
  <si>
    <r>
      <rPr>
        <sz val="9"/>
        <color rgb="FF000000"/>
        <rFont val="Arial"/>
        <charset val="134"/>
      </rPr>
      <t>TOYOTA WHEEL CYLINDER (B 8100 OJ)</t>
    </r>
  </si>
  <si>
    <r>
      <rPr>
        <sz val="9"/>
        <color rgb="FF000000"/>
        <rFont val="Arial"/>
        <charset val="134"/>
      </rPr>
      <t>Thermistor BP1935G</t>
    </r>
  </si>
  <si>
    <r>
      <rPr>
        <sz val="9"/>
        <color rgb="FF000000"/>
        <rFont val="Arial"/>
        <charset val="134"/>
      </rPr>
      <t>Tie Rod  Out T1895AB</t>
    </r>
  </si>
  <si>
    <r>
      <rPr>
        <sz val="9"/>
        <color rgb="FF000000"/>
        <rFont val="Arial"/>
        <charset val="134"/>
      </rPr>
      <t>Tie Rod In T1895AB</t>
    </r>
  </si>
  <si>
    <r>
      <rPr>
        <sz val="9"/>
        <color rgb="FF000000"/>
        <rFont val="Arial"/>
        <charset val="134"/>
      </rPr>
      <t>Tire Promo-Goodyear TIRE Assurance Maxguard 185/60R15</t>
    </r>
  </si>
  <si>
    <r>
      <rPr>
        <sz val="9"/>
        <color rgb="FF000000"/>
        <rFont val="Arial"/>
        <charset val="134"/>
      </rPr>
      <t>Tutup Radiator B1002UFI</t>
    </r>
  </si>
  <si>
    <r>
      <rPr>
        <sz val="9"/>
        <color rgb="FF000000"/>
        <rFont val="Arial"/>
        <charset val="134"/>
      </rPr>
      <t>V-BELT (B2701UFN)</t>
    </r>
  </si>
  <si>
    <r>
      <rPr>
        <sz val="9"/>
        <color rgb="FF000000"/>
        <rFont val="Arial"/>
        <charset val="134"/>
      </rPr>
      <t>Wheel Cylinder Sigra B1671UIU</t>
    </r>
  </si>
  <si>
    <r>
      <rPr>
        <sz val="9"/>
        <color rgb="FF000000"/>
        <rFont val="Arial"/>
        <charset val="134"/>
      </rPr>
      <t>Total 商品名称</t>
    </r>
  </si>
  <si>
    <t>No.</t>
  </si>
  <si>
    <t>商品名称</t>
  </si>
  <si>
    <t>商品代码</t>
  </si>
  <si>
    <t>多单位</t>
  </si>
  <si>
    <t>3M 33327 Perfect It Paste Compound</t>
  </si>
  <si>
    <t>108378</t>
  </si>
  <si>
    <t xml:space="preserve"> pcs</t>
  </si>
  <si>
    <t>3M 5996 Machine Polish</t>
  </si>
  <si>
    <t>108651</t>
  </si>
  <si>
    <t>3M Double Tape Coklat</t>
  </si>
  <si>
    <t>108379</t>
  </si>
  <si>
    <t>3M Saringan Cat Mangkuk</t>
  </si>
  <si>
    <t>108380</t>
  </si>
  <si>
    <t>AMB Proclean 325ml</t>
  </si>
  <si>
    <t>108573</t>
  </si>
  <si>
    <t>ARMORAL GLOSS FINISH PROTECTANT 300ML</t>
  </si>
  <si>
    <t>110400</t>
  </si>
  <si>
    <t>ASUKA AMPLAS 80 GRIT</t>
  </si>
  <si>
    <t>102164</t>
  </si>
  <si>
    <t>ASUKI AIR FILTER FA-5908</t>
  </si>
  <si>
    <t>111520</t>
  </si>
  <si>
    <t xml:space="preserve"> PCS</t>
  </si>
  <si>
    <t>Assylex Orange Disc (6")</t>
  </si>
  <si>
    <t>110394</t>
  </si>
  <si>
    <t>BATTERY CR2032</t>
  </si>
  <si>
    <t>111283</t>
  </si>
  <si>
    <t>BENDIX Brake Pad BS 1607 / DS 0022 Rear</t>
  </si>
  <si>
    <t>110083</t>
  </si>
  <si>
    <t>BENDIX Brake Pad BS 1682 / DS 0032 Rear</t>
  </si>
  <si>
    <t>109971</t>
  </si>
  <si>
    <t>BENDIX Brake Pad BS 1692 / DS 5527 Rear</t>
  </si>
  <si>
    <t>110097</t>
  </si>
  <si>
    <t>BENDIX Brake Pad BS 1764 / DS 5524 Rear</t>
  </si>
  <si>
    <t>110041</t>
  </si>
  <si>
    <t>BENDIX Brake Pad BS 1768 / DS 2335 Rear</t>
  </si>
  <si>
    <t>110149</t>
  </si>
  <si>
    <t>BENDIX Brake Pad BS 1772 / DS 2350 Rear</t>
  </si>
  <si>
    <t>110049</t>
  </si>
  <si>
    <t>BENDIX Brake Pad BS 5002 / DS 1267 Rear</t>
  </si>
  <si>
    <t>110060</t>
  </si>
  <si>
    <t>BENDIX Brake Pad BS 5008 / DS 2395 Rear</t>
  </si>
  <si>
    <t>110370</t>
  </si>
  <si>
    <t>BENDIX Brake Pad BS 5012 / DS 5534 Rear</t>
  </si>
  <si>
    <t>110020</t>
  </si>
  <si>
    <t>BENDIX Brake Pad BS 5027 / DS 2367 Rear</t>
  </si>
  <si>
    <t>109984</t>
  </si>
  <si>
    <t>BENDIX Brake Pad BS 5055 / DS 0809 Rear</t>
  </si>
  <si>
    <t>110095</t>
  </si>
  <si>
    <t>BENDIX Brake Pad BS 5215 Rear</t>
  </si>
  <si>
    <t>110210</t>
  </si>
  <si>
    <t>BENDIX Brake Pad BS 5237 Rear</t>
  </si>
  <si>
    <t>109974</t>
  </si>
  <si>
    <t>BENDIX Brake Pad BS 5262 / DS 2342 Rear</t>
  </si>
  <si>
    <t>109975</t>
  </si>
  <si>
    <t>BENDIX Brake Pad BS 5274 Rear</t>
  </si>
  <si>
    <t>110255</t>
  </si>
  <si>
    <t>BENDIX Brake Pad BS 5276 Rear</t>
  </si>
  <si>
    <t>110195</t>
  </si>
  <si>
    <t>BENDIX Brake Pad BS 5300 Rear</t>
  </si>
  <si>
    <t>110027</t>
  </si>
  <si>
    <t>BENDIX Brake Pad BS 5302 Rear</t>
  </si>
  <si>
    <t>110148</t>
  </si>
  <si>
    <t>BENDIX Brake Pad BS 6008 Rear</t>
  </si>
  <si>
    <t>110179</t>
  </si>
  <si>
    <t>BENDIX Brake Pad BS 6033 Rear</t>
  </si>
  <si>
    <t>110081</t>
  </si>
  <si>
    <t>BENDIX Brake Pad DB 1142 Rear</t>
  </si>
  <si>
    <t>109987</t>
  </si>
  <si>
    <t>BENDIX Brake Pad DB 1163 Rear</t>
  </si>
  <si>
    <t>109954</t>
  </si>
  <si>
    <t>BENDIX Brake Pad DB 1232 Front</t>
  </si>
  <si>
    <t>110182</t>
  </si>
  <si>
    <t>BENDIX Brake Pad DB 1262 Front</t>
  </si>
  <si>
    <t>110064</t>
  </si>
  <si>
    <t>BENDIX Brake Pad DB 1286 Front</t>
  </si>
  <si>
    <t>110127</t>
  </si>
  <si>
    <t>BENDIX Brake Pad DB 1314 Front</t>
  </si>
  <si>
    <t>109991</t>
  </si>
  <si>
    <t>BENDIX Brake Pad DB 1333 Front</t>
  </si>
  <si>
    <t>110284</t>
  </si>
  <si>
    <t>BENDIX Brake Pad DB 1380 Front</t>
  </si>
  <si>
    <t>110302</t>
  </si>
  <si>
    <t>BENDIX Brake Pad DB 1429 Rear</t>
  </si>
  <si>
    <t>109992</t>
  </si>
  <si>
    <t>BENDIX Brake Pad DB 1441 Front</t>
  </si>
  <si>
    <t>110163</t>
  </si>
  <si>
    <t>BENDIX Brake Pad DB 1447 Front</t>
  </si>
  <si>
    <t>110017</t>
  </si>
  <si>
    <t>BENDIX Brake Pad DB 1481 Front</t>
  </si>
  <si>
    <t>110113</t>
  </si>
  <si>
    <t>BENDIX Brake Pad DB 1482 Rear</t>
  </si>
  <si>
    <t>110303</t>
  </si>
  <si>
    <t>BENDIX Brake Pad DB 1509 Rear</t>
  </si>
  <si>
    <t>110030</t>
  </si>
  <si>
    <t>BENDIX Brake Pad DB 1660 Rear</t>
  </si>
  <si>
    <t>110123</t>
  </si>
  <si>
    <t>BENDIX Brake Pad DB 1679 Front</t>
  </si>
  <si>
    <t>110224</t>
  </si>
  <si>
    <t>BENDIX Brake Pad DB 1724 Front</t>
  </si>
  <si>
    <t>110285</t>
  </si>
  <si>
    <t>BENDIX Brake Pad DB 1728 Rear</t>
  </si>
  <si>
    <t>110197</t>
  </si>
  <si>
    <t>BENDIX Brake Pad DB 1739 Rear</t>
  </si>
  <si>
    <t>110296</t>
  </si>
  <si>
    <t>BENDIX Brake Pad DB 1751 Front</t>
  </si>
  <si>
    <t>110142</t>
  </si>
  <si>
    <t>BENDIX Brake Pad DB 1768 Front</t>
  </si>
  <si>
    <t>110093</t>
  </si>
  <si>
    <t>BENDIX Brake Pad DB 1785 Front</t>
  </si>
  <si>
    <t>110225</t>
  </si>
  <si>
    <t>BENDIX Brake Pad DB 1786 Rear</t>
  </si>
  <si>
    <t>110257</t>
  </si>
  <si>
    <t>BENDIX Brake Pad DB 1800 Front</t>
  </si>
  <si>
    <t>110226</t>
  </si>
  <si>
    <t>BENDIX Brake Pad DB 1818 Front</t>
  </si>
  <si>
    <t>110168</t>
  </si>
  <si>
    <t>BENDIX Brake Pad DB 1819 Front</t>
  </si>
  <si>
    <t>110159</t>
  </si>
  <si>
    <t>BENDIX Brake Pad DB 1820 Front</t>
  </si>
  <si>
    <t>110199</t>
  </si>
  <si>
    <t>BENDIX Brake Pad DB 1830 Front</t>
  </si>
  <si>
    <t>110200</t>
  </si>
  <si>
    <t>BENDIX Brake Pad DB 1832 Rear</t>
  </si>
  <si>
    <t>110079</t>
  </si>
  <si>
    <t>BENDIX Brake Pad DB 1835 Front</t>
  </si>
  <si>
    <t>110326</t>
  </si>
  <si>
    <t>BENDIX Brake Pad DB 1912 Front</t>
  </si>
  <si>
    <t>110201</t>
  </si>
  <si>
    <t>BENDIX Brake Pad DB 1913 Front</t>
  </si>
  <si>
    <t>110328</t>
  </si>
  <si>
    <t>BENDIX Brake Pad DB 1916 Front</t>
  </si>
  <si>
    <t>110266</t>
  </si>
  <si>
    <t>BENDIX Brake Pad DB 193 Rear</t>
  </si>
  <si>
    <t>109976</t>
  </si>
  <si>
    <t>BENDIX Brake Pad DB 1941 Front</t>
  </si>
  <si>
    <t>110202</t>
  </si>
  <si>
    <t>BENDIX Brake Pad DB 1946 Front</t>
  </si>
  <si>
    <t>110300</t>
  </si>
  <si>
    <t>BENDIX Brake Pad DB 1958 Front</t>
  </si>
  <si>
    <t>110247</t>
  </si>
  <si>
    <t>BENDIX Brake Pad DB 2088 Rear</t>
  </si>
  <si>
    <t>110178</t>
  </si>
  <si>
    <t>BENDIX Brake Pad DB 2221 Front</t>
  </si>
  <si>
    <t>110288</t>
  </si>
  <si>
    <t>BENDIX Brake Pad DB 2226 Front</t>
  </si>
  <si>
    <t>110304</t>
  </si>
  <si>
    <t>BENDIX Brake Pad DB 2227 Rear</t>
  </si>
  <si>
    <t>110204</t>
  </si>
  <si>
    <t>BENDIX Brake Pad DB 2261 Front</t>
  </si>
  <si>
    <t>110145</t>
  </si>
  <si>
    <t>BENDIX Brake Pad DB 2262 Front</t>
  </si>
  <si>
    <t>110298</t>
  </si>
  <si>
    <t>BENDIX Brake Pad DB 2278 Rear</t>
  </si>
  <si>
    <t>110133</t>
  </si>
  <si>
    <t>BENDIX Brake Pad DB 2304 Front</t>
  </si>
  <si>
    <t>110268</t>
  </si>
  <si>
    <t>BENDIX Brake Pad DB 2334 Front</t>
  </si>
  <si>
    <t>110242</t>
  </si>
  <si>
    <t>BENDIX Brake Pad DB 2341 Front</t>
  </si>
  <si>
    <t>110207</t>
  </si>
  <si>
    <t>BENDIX Brake Pad DB 2355 Rear</t>
  </si>
  <si>
    <t>110191</t>
  </si>
  <si>
    <t>BENDIX Brake Pad DB 2357 Rear</t>
  </si>
  <si>
    <t>110355</t>
  </si>
  <si>
    <t>BENDIX Brake Pad DB 2366 Front</t>
  </si>
  <si>
    <t>110337</t>
  </si>
  <si>
    <t>BENDIX Brake Pad DB 2374 Rear</t>
  </si>
  <si>
    <t>110363</t>
  </si>
  <si>
    <t>BENDIX Brake Pad DB 2380 Front</t>
  </si>
  <si>
    <t>110289</t>
  </si>
  <si>
    <t>BENDIX Brake Pad DB 2396 Front</t>
  </si>
  <si>
    <t>110277</t>
  </si>
  <si>
    <t>BENDIX Brake Pad DB 2419 Rear</t>
  </si>
  <si>
    <t>110262</t>
  </si>
  <si>
    <t>BENDIX Brake Pad DB 2449 Front</t>
  </si>
  <si>
    <t>110335</t>
  </si>
  <si>
    <t>BENDIX Brake Pad DB 2450 Rear</t>
  </si>
  <si>
    <t>110309</t>
  </si>
  <si>
    <t>BENDIX Brake Pad DB 2496 Front</t>
  </si>
  <si>
    <t>110231</t>
  </si>
  <si>
    <t>BENDIX Brake Pad DB 2527 Front</t>
  </si>
  <si>
    <t>110135</t>
  </si>
  <si>
    <t>BENDIX Brake Pad DB 2529 Rear</t>
  </si>
  <si>
    <t>110136</t>
  </si>
  <si>
    <t>BENDIX Brake Pad DB 2544 Front</t>
  </si>
  <si>
    <t>110356</t>
  </si>
  <si>
    <t>BENDIX Brake Pad DB 2734 Rear</t>
  </si>
  <si>
    <t>110171</t>
  </si>
  <si>
    <t>BENDIX Brake Pad DB 292 Front</t>
  </si>
  <si>
    <t>109979</t>
  </si>
  <si>
    <t>BENDIX Brake Pad DB 300P Front</t>
  </si>
  <si>
    <t>109993</t>
  </si>
  <si>
    <t>BIRKENS AIR FILTER (TB-SAF-003) (F 1844 BV)</t>
  </si>
  <si>
    <t>108226</t>
  </si>
  <si>
    <t>BOSCH AIR FILTER 0986AF2666</t>
  </si>
  <si>
    <t>107759</t>
  </si>
  <si>
    <t>BOSCH Air Filter A 2180</t>
  </si>
  <si>
    <t>101858</t>
  </si>
  <si>
    <t>BOSCH Air Filter A 2342</t>
  </si>
  <si>
    <t>101809</t>
  </si>
  <si>
    <t>BOSCH Air Filter A 2354</t>
  </si>
  <si>
    <t>102271</t>
  </si>
  <si>
    <t>BOSCH Air Filter A 2423</t>
  </si>
  <si>
    <t>102272</t>
  </si>
  <si>
    <t>BOSCH Air Filter A 2666</t>
  </si>
  <si>
    <t>101798</t>
  </si>
  <si>
    <t>BOSCH Air Filter S 0018</t>
  </si>
  <si>
    <t>102285</t>
  </si>
  <si>
    <t>BOSCH Air Filter S 0134</t>
  </si>
  <si>
    <t>102286</t>
  </si>
  <si>
    <t>BOSCH Air Filter S 0380</t>
  </si>
  <si>
    <t>102287</t>
  </si>
  <si>
    <t>BOSCH Air Filter S 0381</t>
  </si>
  <si>
    <t>102288</t>
  </si>
  <si>
    <t>BOSCH Air Filter S 0480</t>
  </si>
  <si>
    <t>102289</t>
  </si>
  <si>
    <t>BOSCH Air Filter S 0504</t>
  </si>
  <si>
    <t>102290</t>
  </si>
  <si>
    <t>BOSCH Air Filter S 0507</t>
  </si>
  <si>
    <t>101831</t>
  </si>
  <si>
    <t>BOSCH Air Filter S 3043</t>
  </si>
  <si>
    <t>102276</t>
  </si>
  <si>
    <t>BOSCH Air Filter S 3085</t>
  </si>
  <si>
    <t>102277</t>
  </si>
  <si>
    <t>BOSCH Air Filter S 3093</t>
  </si>
  <si>
    <t>102278</t>
  </si>
  <si>
    <t>BOSCH Air Filter S 3585</t>
  </si>
  <si>
    <t>102279</t>
  </si>
  <si>
    <t>BOSCH Air Filter S 3607</t>
  </si>
  <si>
    <t>102280</t>
  </si>
  <si>
    <t>BOSCH Air Filter S 3697</t>
  </si>
  <si>
    <t>102281</t>
  </si>
  <si>
    <t>BOSCH Air Filter S 3698</t>
  </si>
  <si>
    <t>102282</t>
  </si>
  <si>
    <t>BOSCH Air Filter S 3699</t>
  </si>
  <si>
    <t>102283</t>
  </si>
  <si>
    <t>BOSCH Air Filter S 3715</t>
  </si>
  <si>
    <t>102284</t>
  </si>
  <si>
    <t>BOSCH Air Filter S 9814</t>
  </si>
  <si>
    <t>102273</t>
  </si>
  <si>
    <t>BOSCH Air Filter S 9928</t>
  </si>
  <si>
    <t>102274</t>
  </si>
  <si>
    <t>BOSCH Air Filter S 9964</t>
  </si>
  <si>
    <t>102275</t>
  </si>
  <si>
    <t>BOSCH BATTERY HIGHTECH AGM LN2</t>
  </si>
  <si>
    <t>107762</t>
  </si>
  <si>
    <t>BOSCH BATTERY HIGHTECH AGM LN3</t>
  </si>
  <si>
    <t>107763</t>
  </si>
  <si>
    <t>BOSCH BRAKE PAD BP1925 KOSONG</t>
  </si>
  <si>
    <t>101895</t>
  </si>
  <si>
    <t>BOSCH BRAKE PAD BP2421 KOSONG</t>
  </si>
  <si>
    <t>101887</t>
  </si>
  <si>
    <t>BOSCH BRAKE PAD KOSONG</t>
  </si>
  <si>
    <t>101866</t>
  </si>
  <si>
    <t>BOSCH Battery MF Blue NS60 46B24R 12V-42Ah</t>
  </si>
  <si>
    <t>102132</t>
  </si>
  <si>
    <t>BOSCH Battery MF Blue NS60LS 46B24LS 12V-42Ah</t>
  </si>
  <si>
    <t>102136</t>
  </si>
  <si>
    <t>BOSCH Battery MF Blue NX100-S6L 55B24L 12V-45Ah</t>
  </si>
  <si>
    <t>109885</t>
  </si>
  <si>
    <t>BOSCH Battery MF Hightech AGM DIN60 LN2 12V-60Ah</t>
  </si>
  <si>
    <t>108120</t>
  </si>
  <si>
    <t>BOSCH Brake Pad 0986AB1662 /BP2271 Rear</t>
  </si>
  <si>
    <t>101865</t>
  </si>
  <si>
    <t>BOSCH Brake Pad 0986AB2268 /BP2268 Front</t>
  </si>
  <si>
    <t>108132</t>
  </si>
  <si>
    <t>BOSCH Brake Pad 0986AB2542 /BP2542 Front</t>
  </si>
  <si>
    <t>108133</t>
  </si>
  <si>
    <t>BOSCH Brake Pad 0986AB2543 /BP2543 Rear</t>
  </si>
  <si>
    <t>108134</t>
  </si>
  <si>
    <t>BOSCH Brake Pad 0986T18178</t>
  </si>
  <si>
    <t>107767</t>
  </si>
  <si>
    <t>BOSCH Brake Pad 0986T18178 /BP8178 Front</t>
  </si>
  <si>
    <t>101864</t>
  </si>
  <si>
    <t>BOSCH Brake Pad 0986T18180 /BP2421 Front</t>
  </si>
  <si>
    <t>107766</t>
  </si>
  <si>
    <t>BOSCH Brake Pad 0986T18181 /BP1169N Front</t>
  </si>
  <si>
    <t>107764</t>
  </si>
  <si>
    <t>BOSCH Brake Pad 0986T18182 /BP1925 Front</t>
  </si>
  <si>
    <t>107775</t>
  </si>
  <si>
    <t>BOSCH Brake Pad 0986T18183 /BP2493N Front</t>
  </si>
  <si>
    <t>101876</t>
  </si>
  <si>
    <t>BOSCH Brake Pad 0986T18184 /BP1405 Front</t>
  </si>
  <si>
    <t>101875</t>
  </si>
  <si>
    <t>BOSCH Brake Pad 0986T18185 /BP2777 Front</t>
  </si>
  <si>
    <t>101896</t>
  </si>
  <si>
    <t>BOSCH Brake Pad 0986T18186 /BP1326 Front</t>
  </si>
  <si>
    <t>107770</t>
  </si>
  <si>
    <t>BOSCH Brake Pad 0986T18187 /BP2268 Front</t>
  </si>
  <si>
    <t>101899</t>
  </si>
  <si>
    <t>BOSCH Brake Pad 0986T18188 /BP2001N Front</t>
  </si>
  <si>
    <t>108131</t>
  </si>
  <si>
    <t>BOSCH Brake Pad 0986T18189 /BP2373N Front</t>
  </si>
  <si>
    <t>101878</t>
  </si>
  <si>
    <t>BOSCH Brake Pad 0986T18190 /BP1620N Front</t>
  </si>
  <si>
    <t>101877</t>
  </si>
  <si>
    <t>BOSCH CABIN FILTER 0986AF7004</t>
  </si>
  <si>
    <t>107753</t>
  </si>
  <si>
    <t>BOSCH CABIN FILTER 0986AF7011</t>
  </si>
  <si>
    <t>107756</t>
  </si>
  <si>
    <t>BOSCH Cabin Filter AP-H06</t>
  </si>
  <si>
    <t>101851</t>
  </si>
  <si>
    <t>BOSCH Cabin Filter AP-H07</t>
  </si>
  <si>
    <t>107798</t>
  </si>
  <si>
    <t>BOSCH Cabin Filter AP-M03</t>
  </si>
  <si>
    <t>101850</t>
  </si>
  <si>
    <t>BOSCH Cabin Filter AP-N02</t>
  </si>
  <si>
    <t>101859</t>
  </si>
  <si>
    <t>BOSCH Cabin Filter AP-T02</t>
  </si>
  <si>
    <t>101853</t>
  </si>
  <si>
    <t>BOSCH Cabin Filter AP-T10</t>
  </si>
  <si>
    <t>101854</t>
  </si>
  <si>
    <t>BOSCH Cabin Filter R 2301</t>
  </si>
  <si>
    <t>102291</t>
  </si>
  <si>
    <t>BOSCH Cabin Filter R 2315</t>
  </si>
  <si>
    <t>102297</t>
  </si>
  <si>
    <t>BOSCH Cabin Filter R 2336</t>
  </si>
  <si>
    <t>102298</t>
  </si>
  <si>
    <t>BOSCH Cabin Filter R 2361</t>
  </si>
  <si>
    <t>102299</t>
  </si>
  <si>
    <t>BOSCH Cabin Filter R 2364</t>
  </si>
  <si>
    <t>102292</t>
  </si>
  <si>
    <t>BOSCH Cabin Filter R 2381</t>
  </si>
  <si>
    <t>102293</t>
  </si>
  <si>
    <t>BOSCH Cabin Filter R 2402</t>
  </si>
  <si>
    <t>102300</t>
  </si>
  <si>
    <t>BOSCH Cabin Filter R 2424</t>
  </si>
  <si>
    <t>102301</t>
  </si>
  <si>
    <t>BOSCH Cabin Filter R 2425</t>
  </si>
  <si>
    <t>102302</t>
  </si>
  <si>
    <t>BOSCH Cabin Filter R 2542</t>
  </si>
  <si>
    <t>102303</t>
  </si>
  <si>
    <t>BOSCH Cabin Filter R 2570</t>
  </si>
  <si>
    <t>102294</t>
  </si>
  <si>
    <t>BOSCH Cabin Filter R 5503</t>
  </si>
  <si>
    <t>102304</t>
  </si>
  <si>
    <t>BOSCH Cabin Filter R 5505</t>
  </si>
  <si>
    <t>102296</t>
  </si>
  <si>
    <t>BOSCH Cabin Filter R 5582</t>
  </si>
  <si>
    <t>102305</t>
  </si>
  <si>
    <t>BOSCH Cabin Filter S 4047</t>
  </si>
  <si>
    <t>101772</t>
  </si>
  <si>
    <t>BOSCH Cabin Filter S 4061</t>
  </si>
  <si>
    <t>101786</t>
  </si>
  <si>
    <t>BOSCH Cabin Filter S 4453</t>
  </si>
  <si>
    <t>110375</t>
  </si>
  <si>
    <t>BOSCH ELECTRIC FUEL PUMP 0986AG1304</t>
  </si>
  <si>
    <t>101893</t>
  </si>
  <si>
    <t>BOSCH Fuel Filter D 6100</t>
  </si>
  <si>
    <t>101776</t>
  </si>
  <si>
    <t>BOSCH Fuel Filter D 6292</t>
  </si>
  <si>
    <t>101847</t>
  </si>
  <si>
    <t>BOSCH Light Bulb P21/5W 12V 21W/5W -BAY15d Auxiliary</t>
  </si>
  <si>
    <t>101724</t>
  </si>
  <si>
    <t>BOSCH Light Bulb W16W 12V 16W -W2,1x9,5d ECO Auxiliary</t>
  </si>
  <si>
    <t>102047</t>
  </si>
  <si>
    <t>BOSCH Light Bulb W21/5W 12V 21W/5W -W3x16q ECO Auxiliary</t>
  </si>
  <si>
    <t>110664</t>
  </si>
  <si>
    <t>BOSCH Light Bulb W21W 12V 21W -W3x16d ECO Auxiliary</t>
  </si>
  <si>
    <t>102042</t>
  </si>
  <si>
    <t>BOSCH Light Bulb W5W 12V 5W -W2,1x9,5d ECO Auxiliary</t>
  </si>
  <si>
    <t>101723</t>
  </si>
  <si>
    <t>BOSCH Oil Filter O 0126</t>
  </si>
  <si>
    <t>101736</t>
  </si>
  <si>
    <t>BOSCH Oil Filter O 0220</t>
  </si>
  <si>
    <t>101735</t>
  </si>
  <si>
    <t>BOSCH Oil Filter O 1001</t>
  </si>
  <si>
    <t>101750</t>
  </si>
  <si>
    <t>BOSCH Oil Filter O 1014</t>
  </si>
  <si>
    <t>101742</t>
  </si>
  <si>
    <t>BOSCH Oil Filter O 1019</t>
  </si>
  <si>
    <t>101782</t>
  </si>
  <si>
    <t>BOSCH Oil Filter O 1041</t>
  </si>
  <si>
    <t>101737</t>
  </si>
  <si>
    <t>BOSCH Oil Filter O 1042</t>
  </si>
  <si>
    <t>101743</t>
  </si>
  <si>
    <t>BOSCH Oil Filter O 1043</t>
  </si>
  <si>
    <t>101749</t>
  </si>
  <si>
    <t>BOSCH Oil Filter O 1106</t>
  </si>
  <si>
    <t>101764</t>
  </si>
  <si>
    <t>BOSCH Oil Filter O 1131</t>
  </si>
  <si>
    <t>102306</t>
  </si>
  <si>
    <t>BOSCH Oil Filter O 1178</t>
  </si>
  <si>
    <t>102307</t>
  </si>
  <si>
    <t>BOSCH Oil Filter O 1502</t>
  </si>
  <si>
    <t>102308</t>
  </si>
  <si>
    <t>BOSCH Oil Filter O 1504</t>
  </si>
  <si>
    <t>102309</t>
  </si>
  <si>
    <t>BOSCH Oil Filter O 1505</t>
  </si>
  <si>
    <t>102310</t>
  </si>
  <si>
    <t>BOSCH Oil Filter O 1506</t>
  </si>
  <si>
    <t>102311</t>
  </si>
  <si>
    <t>BOSCH Oil Filter O 1508</t>
  </si>
  <si>
    <t>102313</t>
  </si>
  <si>
    <t>BOSCH Oil Filter P 7072</t>
  </si>
  <si>
    <t>102316</t>
  </si>
  <si>
    <t>BOSCH Oil Filter P 7123</t>
  </si>
  <si>
    <t>102317</t>
  </si>
  <si>
    <t>BOSCH Oil Filter P 7166</t>
  </si>
  <si>
    <t>102318</t>
  </si>
  <si>
    <t>BOSCH Oil Filter P 7175</t>
  </si>
  <si>
    <t>102319</t>
  </si>
  <si>
    <t>BOSCH Oil Filter P 7199</t>
  </si>
  <si>
    <t>102320</t>
  </si>
  <si>
    <t>BOSCH Oil Filter P 7204</t>
  </si>
  <si>
    <t>102321</t>
  </si>
  <si>
    <t>BOSCH Oil Filter P 7237</t>
  </si>
  <si>
    <t>102322</t>
  </si>
  <si>
    <t>BOSCH Oil Filter P 9122</t>
  </si>
  <si>
    <t>101669</t>
  </si>
  <si>
    <t>BOSCH Oil Filter P 9141</t>
  </si>
  <si>
    <t>102314</t>
  </si>
  <si>
    <t>BOSCH Oil Filter P 9760</t>
  </si>
  <si>
    <t>102315</t>
  </si>
  <si>
    <t>BOSCH Spark Plug DF7REC2(YR7DC+) - Standard</t>
  </si>
  <si>
    <t>101726</t>
  </si>
  <si>
    <t>BOSCH Spark Plug F8DC4 - Standard</t>
  </si>
  <si>
    <t>109895</t>
  </si>
  <si>
    <t>BOSCH Spark Plug FGR7DQP+ - Platinum</t>
  </si>
  <si>
    <t>109920</t>
  </si>
  <si>
    <t>BOSCH Spark Plug FR6LII330X - Iridium</t>
  </si>
  <si>
    <t>107930</t>
  </si>
  <si>
    <t>BOSCH Spark Plug FR7KPP332 - Platinum</t>
  </si>
  <si>
    <t>109918</t>
  </si>
  <si>
    <t>BOSCH Spark Plug FR7SI30 - Iridium</t>
  </si>
  <si>
    <t>108272</t>
  </si>
  <si>
    <t>BOSCH Spark Plug FR8MII33X - Iridium</t>
  </si>
  <si>
    <t>101795</t>
  </si>
  <si>
    <t>BOSCH Spark Plug FR8SC+ - Standard</t>
  </si>
  <si>
    <t>101733</t>
  </si>
  <si>
    <t>BOSCH Spark Plug K6TC0R(FR8DCX+) - Standard</t>
  </si>
  <si>
    <t>101727</t>
  </si>
  <si>
    <t>BOSCH Spark Plug VR8SII33X - Iridium</t>
  </si>
  <si>
    <t>108270</t>
  </si>
  <si>
    <t>BOSCH Spark Plug YR7DI30 - Iridium</t>
  </si>
  <si>
    <t>101755</t>
  </si>
  <si>
    <t>BOSCH Spark Plug YR7MPP33 - Platinum</t>
  </si>
  <si>
    <t>109909</t>
  </si>
  <si>
    <t>BOSCH Spark Plug YR7SII330U - Iridium</t>
  </si>
  <si>
    <t>107929</t>
  </si>
  <si>
    <t>BOSCH Spark Plug YR8MEU - Standard</t>
  </si>
  <si>
    <t>109897</t>
  </si>
  <si>
    <t>BOSCH Spark Plug ZR5TPP33 - Platinum</t>
  </si>
  <si>
    <t>109913</t>
  </si>
  <si>
    <t>BOSCH Wiper Advantage 12 inch BA12</t>
  </si>
  <si>
    <t>101739</t>
  </si>
  <si>
    <t>BOSCH Wiper Advantage 14 inch BA14</t>
  </si>
  <si>
    <t>101740</t>
  </si>
  <si>
    <t>BOSCH Wiper Advantage 16 inch BA16</t>
  </si>
  <si>
    <t>101741</t>
  </si>
  <si>
    <t>BOSCH Wiper Advantage 17 inch BA17</t>
  </si>
  <si>
    <t>101745</t>
  </si>
  <si>
    <t>BOSCH Wiper Advantage 18 inch BA18</t>
  </si>
  <si>
    <t>101746</t>
  </si>
  <si>
    <t>BOSCH Wiper Advantage 19 inch BA19</t>
  </si>
  <si>
    <t>101747</t>
  </si>
  <si>
    <t>BOSCH Wiper Advantage 20 inch BA20</t>
  </si>
  <si>
    <t>101748</t>
  </si>
  <si>
    <t>BOSCH Wiper Advantage 21 inch BA21</t>
  </si>
  <si>
    <t>101752</t>
  </si>
  <si>
    <t>BOSCH Wiper Advantage 22 inch BA22</t>
  </si>
  <si>
    <t>101759</t>
  </si>
  <si>
    <t>BOSCH Wiper Advantage 24 inch BA24</t>
  </si>
  <si>
    <t>101758</t>
  </si>
  <si>
    <t>BOSCH Wiper Advantage 26 inch BA26</t>
  </si>
  <si>
    <t>101777</t>
  </si>
  <si>
    <t>BOSCH Wiper Advantage 28 inch BA28</t>
  </si>
  <si>
    <t>107898</t>
  </si>
  <si>
    <t>BOSCH Wiper Aerotwin (Set) A399S</t>
  </si>
  <si>
    <t>102343</t>
  </si>
  <si>
    <t>BOSCH Wiper Aerotwin (Set) A516S</t>
  </si>
  <si>
    <t>102345</t>
  </si>
  <si>
    <t>BOSCH Wiper Aerotwin Plus 19 inch AP19U</t>
  </si>
  <si>
    <t>101825</t>
  </si>
  <si>
    <t>BOSCH Wiper Aerotwin Retrofit 14 BBA350</t>
  </si>
  <si>
    <t>109740</t>
  </si>
  <si>
    <t>BOSCH Wiper Aerotwin Retrofit 26 BBA650</t>
  </si>
  <si>
    <t>107900</t>
  </si>
  <si>
    <t>BOSCH Wiper Clear Advantage 14 inch BCA14</t>
  </si>
  <si>
    <t>101761</t>
  </si>
  <si>
    <t>BOSCH Wiper Clear Advantage 16 inch BCA16</t>
  </si>
  <si>
    <t>101762</t>
  </si>
  <si>
    <t>BOSCH Wiper Clear Advantage 17 inch BCA17</t>
  </si>
  <si>
    <t>101769</t>
  </si>
  <si>
    <t>BOSCH Wiper Clear Advantage 18 inch BCA18</t>
  </si>
  <si>
    <t>101770</t>
  </si>
  <si>
    <t>BOSCH Wiper Clear Advantage 19 inch BCA19</t>
  </si>
  <si>
    <t>101778</t>
  </si>
  <si>
    <t>BOSCH Wiper Clear Advantage 20 inch BCA20</t>
  </si>
  <si>
    <t>101779</t>
  </si>
  <si>
    <t>BOSCH Wiper Clear Advantage 21 inch BCA21</t>
  </si>
  <si>
    <t>101780</t>
  </si>
  <si>
    <t>BOSCH Wiper Clear Advantage 22 inch BCA22</t>
  </si>
  <si>
    <t>101787</t>
  </si>
  <si>
    <t>BOSCH Wiper Clear Advantage 24 inch BCA24</t>
  </si>
  <si>
    <t>101788</t>
  </si>
  <si>
    <t>BOSCH Wiper Clear Advantage 26 inch BCA26</t>
  </si>
  <si>
    <t>101791</t>
  </si>
  <si>
    <t>BOSCH Wiper Clear Advantage 28 inch BCA28</t>
  </si>
  <si>
    <t>101802</t>
  </si>
  <si>
    <t>BOSCH Wiper-Rear 429/Lock 2 12 inch H307</t>
  </si>
  <si>
    <t>101765</t>
  </si>
  <si>
    <t>BOSCH Wiper-Rear 430/Lock 2 14 inch H352</t>
  </si>
  <si>
    <t>101774</t>
  </si>
  <si>
    <t>BOSCH Wiper-Rear 432/Lock 3 12 inch H306</t>
  </si>
  <si>
    <t>101785</t>
  </si>
  <si>
    <t>BOSCH Wiper-Rear 433/Lock 3 14 inch H354</t>
  </si>
  <si>
    <t>101781</t>
  </si>
  <si>
    <t>BOSCH Wiper-Rear 629/Lock 3 10 inch H250</t>
  </si>
  <si>
    <t>101773</t>
  </si>
  <si>
    <t>BRIDGESTONE TIRE Alenza H/L 33 225/50R18 95V-OEM</t>
  </si>
  <si>
    <t>108610</t>
  </si>
  <si>
    <t>BRIDGESTONE TIRE Dueler H/T 684II 265/60R18 110H-OEM</t>
  </si>
  <si>
    <t>107818</t>
  </si>
  <si>
    <t>BRIDGESTONE TIRE Dueler H/T 684II 265/65R17 112S-OEM</t>
  </si>
  <si>
    <t>101674</t>
  </si>
  <si>
    <t>BRIDGESTONE TIRE Dueler H/T 687 225/65R17 101S-OEM</t>
  </si>
  <si>
    <t>108893</t>
  </si>
  <si>
    <t>BRIDGESTONE TIRE Dueler H/T 687 235/60R16 100H-OEM</t>
  </si>
  <si>
    <t>107827</t>
  </si>
  <si>
    <t>BRIDGESTONE TIRE Ecopia EP150 175/65R14 82T-OEM</t>
  </si>
  <si>
    <t>101677</t>
  </si>
  <si>
    <t>BRIDGESTONE TIRE Ecopia EP150 175/65R15 84H</t>
  </si>
  <si>
    <t>108926</t>
  </si>
  <si>
    <t>BRIDGESTONE TIRE Ecopia EP150 185/70R14 88S-OEM</t>
  </si>
  <si>
    <t>101678</t>
  </si>
  <si>
    <t>BRIDGESTONE TIRE Ecopia EP150 205/55R17 91V-OEM</t>
  </si>
  <si>
    <t>101680</t>
  </si>
  <si>
    <t>BRIDGESTONE TIRE Ecopia EP300 Enliten 185/60R15 84H</t>
  </si>
  <si>
    <t>101681</t>
  </si>
  <si>
    <t>BRIDGESTONE TIRE Ecopia EP300 Enliten 185/65R15 88H</t>
  </si>
  <si>
    <t>107812</t>
  </si>
  <si>
    <t>BRIDGESTONE TIRE Ecopia EP300 Enliten 195/60R16 89H</t>
  </si>
  <si>
    <t>101682</t>
  </si>
  <si>
    <t>BRIDGESTONE TIRE Ecopia EP300 Enliten 195/65R15 91H</t>
  </si>
  <si>
    <t>107821</t>
  </si>
  <si>
    <t>BRIDGESTONE TIRE Ecopia EP300 Enliten 205/55R16 91V</t>
  </si>
  <si>
    <t>101683</t>
  </si>
  <si>
    <t>BRIDGESTONE TIRE Ecopia EP300 Enliten 205/65R15 94H</t>
  </si>
  <si>
    <t>101684</t>
  </si>
  <si>
    <t>BRIDGESTONE TIRE Ecopia EP300 Enliten 205/65R16 95H</t>
  </si>
  <si>
    <t>107813</t>
  </si>
  <si>
    <t>BRIDGESTONE TIRE Techno 175/65R14 82S</t>
  </si>
  <si>
    <t>107825</t>
  </si>
  <si>
    <t>BRIDGESTONE TIRE Techno 185/65R15 88S</t>
  </si>
  <si>
    <t>108991</t>
  </si>
  <si>
    <t>BRIDGESTONE TIRE Techno 185/70R14 88S</t>
  </si>
  <si>
    <t>101686</t>
  </si>
  <si>
    <t>BRIDGESTONE TIRE Techno 195/60R15 88H</t>
  </si>
  <si>
    <t>108490</t>
  </si>
  <si>
    <t>BRIDGESTONE TIRE Techno 195/70R14 91S</t>
  </si>
  <si>
    <t>108995</t>
  </si>
  <si>
    <t>BRIDGESTONE TIRE Techno Sports 195/50R16 84V</t>
  </si>
  <si>
    <t>101688</t>
  </si>
  <si>
    <t>BRIDGESTONE TIRE Turanza 6 185/55R16 83V</t>
  </si>
  <si>
    <t>109015</t>
  </si>
  <si>
    <t>BRIDGESTONE TIRE Turanza 6 195/55R16 91V</t>
  </si>
  <si>
    <t>109018</t>
  </si>
  <si>
    <t>BRIDGESTONE TIRE Turanza 6 195/60R16 89H</t>
  </si>
  <si>
    <t>109020</t>
  </si>
  <si>
    <t>BRIDGESTONE TIRE Turanza 6 205/55R16 94W</t>
  </si>
  <si>
    <t>101691</t>
  </si>
  <si>
    <t>BRIDGESTONE TIRE Turanza 6 215/55R17 94W</t>
  </si>
  <si>
    <t>101695</t>
  </si>
  <si>
    <t>BRIDGESTONE TIRE Turanza 6 225/50R18 95V</t>
  </si>
  <si>
    <t>109033</t>
  </si>
  <si>
    <t>BRIDGESTONE TIRE Turanza 6 235/50R18 101W</t>
  </si>
  <si>
    <t>109039</t>
  </si>
  <si>
    <t>BRIDGESTONE TIRE Turanza 6 235/60R18 107W</t>
  </si>
  <si>
    <t>109040</t>
  </si>
  <si>
    <t>Batu Gerinda Flexible RESIBON</t>
  </si>
  <si>
    <t>110822</t>
  </si>
  <si>
    <t>Batu Gerinda Kain</t>
  </si>
  <si>
    <t>108381</t>
  </si>
  <si>
    <t>CABIN AIR FILTER NISSAN KEN D-6934 X-TRAIL</t>
  </si>
  <si>
    <t>108256</t>
  </si>
  <si>
    <t>CAMELION BATTERY AA</t>
  </si>
  <si>
    <t>102371</t>
  </si>
  <si>
    <t>CAMELION BATTERY AAA</t>
  </si>
  <si>
    <t>102372</t>
  </si>
  <si>
    <t>CARBON Combustion Chamber Cleaner-T1 300ml</t>
  </si>
  <si>
    <t>109736</t>
  </si>
  <si>
    <t>CARBON Fuel System/Combustion Chamber Cleaner-T3 300ml</t>
  </si>
  <si>
    <t>110873</t>
  </si>
  <si>
    <t>101754</t>
  </si>
  <si>
    <t>CASTROL Engine Oil GTX 10W-40 1L</t>
  </si>
  <si>
    <t>101763</t>
  </si>
  <si>
    <t>CASTROL Engine Oil GTX 10W-40 4L</t>
  </si>
  <si>
    <t>101871</t>
  </si>
  <si>
    <t>CASTROL Engine Oil MAGNATEC 10W-40 1L</t>
  </si>
  <si>
    <t>101794</t>
  </si>
  <si>
    <t>CASTROL Engine Oil MAGNATEC 10W-40 4L</t>
  </si>
  <si>
    <t>101902</t>
  </si>
  <si>
    <t>CASTROL Engine Oil MAGNATEC 5W-30 1L</t>
  </si>
  <si>
    <t>101826</t>
  </si>
  <si>
    <t>CASTROL Engine Oil MAGNATEC 5W-30 4L</t>
  </si>
  <si>
    <t>101947</t>
  </si>
  <si>
    <t>CASTROL Engine Oil MAGNATEC SUV 5W-40 1L</t>
  </si>
  <si>
    <t>101808</t>
  </si>
  <si>
    <t>CAT BUMPER DEPAN TYPE 1</t>
  </si>
  <si>
    <t>102383</t>
  </si>
  <si>
    <t>COATING FACTORY ALL PURPOSE CLEANER 500ML</t>
  </si>
  <si>
    <t>102050</t>
  </si>
  <si>
    <t>COATING FACTORY GLASS POLISH 100ML</t>
  </si>
  <si>
    <t>102051</t>
  </si>
  <si>
    <t>COATING FACTORY POWER CLEANER 500ML</t>
  </si>
  <si>
    <t>102049</t>
  </si>
  <si>
    <t>COOL GEAR DRYER DI445910-16003D</t>
  </si>
  <si>
    <t>102036</t>
  </si>
  <si>
    <t>Cargloss Wiper Fluid (Bottle) 1L</t>
  </si>
  <si>
    <t>111364</t>
  </si>
  <si>
    <t>Cargloss Wiper Fluid (Pouch) 1L</t>
  </si>
  <si>
    <t>111350</t>
  </si>
  <si>
    <t>DCS Engine Super Conditioner- 203ml</t>
  </si>
  <si>
    <t>102260</t>
  </si>
  <si>
    <t>DENSO Air Filter DXA-1001</t>
  </si>
  <si>
    <t>108327</t>
  </si>
  <si>
    <t>DENSO Air Filter DXA-1002</t>
  </si>
  <si>
    <t>108328</t>
  </si>
  <si>
    <t>DENSO Air Filter DXA-1003</t>
  </si>
  <si>
    <t>108329</t>
  </si>
  <si>
    <t>DENSO Air Filter DXA-1005</t>
  </si>
  <si>
    <t>108330</t>
  </si>
  <si>
    <t>DENSO Air Filter DXA-1007</t>
  </si>
  <si>
    <t>109815</t>
  </si>
  <si>
    <t>DENSO Air Filter DXA-1009</t>
  </si>
  <si>
    <t>108331</t>
  </si>
  <si>
    <t>DENSO Air Filter DXA-1011</t>
  </si>
  <si>
    <t>108332</t>
  </si>
  <si>
    <t>DENSO Air Filter DXA-1012</t>
  </si>
  <si>
    <t>108333</t>
  </si>
  <si>
    <t>DENSO Air Filter DXA-1013</t>
  </si>
  <si>
    <t>108334</t>
  </si>
  <si>
    <t>DENSO Air Filter DXA-1015</t>
  </si>
  <si>
    <t>108415</t>
  </si>
  <si>
    <t>DENSO Air Filter DXA-1016</t>
  </si>
  <si>
    <t>108336</t>
  </si>
  <si>
    <t>DENSO Air Filter DXA-1017</t>
  </si>
  <si>
    <t>108337</t>
  </si>
  <si>
    <t>DENSO Air Filter DXA-1018</t>
  </si>
  <si>
    <t>108338</t>
  </si>
  <si>
    <t>DENSO Air Filter DXA-1019</t>
  </si>
  <si>
    <t>108339</t>
  </si>
  <si>
    <t>DENSO Air Filter DXA-1021</t>
  </si>
  <si>
    <t>108340</t>
  </si>
  <si>
    <t>DENSO Air Filter DXA-1023</t>
  </si>
  <si>
    <t>108341</t>
  </si>
  <si>
    <t>DENSO Air Filter DXA-1024</t>
  </si>
  <si>
    <t>108342</t>
  </si>
  <si>
    <t>DENSO Air Filter DXA-1025</t>
  </si>
  <si>
    <t>108343</t>
  </si>
  <si>
    <t>DENSO Air Filter DXA-1026</t>
  </si>
  <si>
    <t>108344</t>
  </si>
  <si>
    <t>DENSO Air Filter DXA-1031</t>
  </si>
  <si>
    <t>108345</t>
  </si>
  <si>
    <t>DENSO Air Filter DXA-1032</t>
  </si>
  <si>
    <t>108346</t>
  </si>
  <si>
    <t>DENSO Air Filter DXA-1033</t>
  </si>
  <si>
    <t>108347</t>
  </si>
  <si>
    <t>DENSO Air Filter DXA-1035</t>
  </si>
  <si>
    <t>108348</t>
  </si>
  <si>
    <t>DENSO Air Filter DXA-1039</t>
  </si>
  <si>
    <t>108350</t>
  </si>
  <si>
    <t>DENSO Air Filter DXA-1041</t>
  </si>
  <si>
    <t>108351</t>
  </si>
  <si>
    <t>DENSO Air Filter DXA-1043</t>
  </si>
  <si>
    <t>108352</t>
  </si>
  <si>
    <t>DENSO Air Filter DXA-1044</t>
  </si>
  <si>
    <t>108353</t>
  </si>
  <si>
    <t>DENSO Air Filter DXA-1045</t>
  </si>
  <si>
    <t>108354</t>
  </si>
  <si>
    <t>DENSO Air Filter DXA-1046</t>
  </si>
  <si>
    <t>108355</t>
  </si>
  <si>
    <t>DENSO Air Filter DXA-1047</t>
  </si>
  <si>
    <t>108356</t>
  </si>
  <si>
    <t>DENSO Air Filter DXA-1048</t>
  </si>
  <si>
    <t>108357</t>
  </si>
  <si>
    <t>DENSO Air Filter DXA-1049</t>
  </si>
  <si>
    <t>108358</t>
  </si>
  <si>
    <t>DENSO Air Filter DXA-1052</t>
  </si>
  <si>
    <t>108359</t>
  </si>
  <si>
    <t>DENSO Air Filter DXA-1054</t>
  </si>
  <si>
    <t>108360</t>
  </si>
  <si>
    <t>DENSO Air Filter DXA-1055</t>
  </si>
  <si>
    <t>108361</t>
  </si>
  <si>
    <t>DENSO Air Filter DXA-1057</t>
  </si>
  <si>
    <t>108363</t>
  </si>
  <si>
    <t>DENSO Air Filter DXA-1058</t>
  </si>
  <si>
    <t>108364</t>
  </si>
  <si>
    <t>DENSO Air Filter DXA-1059</t>
  </si>
  <si>
    <t>108365</t>
  </si>
  <si>
    <t>DENSO CAP RADIATOR JK022510-3341</t>
  </si>
  <si>
    <t>110777</t>
  </si>
  <si>
    <t>DENSO Cabin Filter 145520-2370</t>
  </si>
  <si>
    <t>102195</t>
  </si>
  <si>
    <t>DENSO Cabin Filter 145520-2390</t>
  </si>
  <si>
    <t>102196</t>
  </si>
  <si>
    <t>DENSO Cabin Filter 145520-2500</t>
  </si>
  <si>
    <t>102197</t>
  </si>
  <si>
    <t>DENSO Cabin Filter 145520-2540</t>
  </si>
  <si>
    <t>102199</t>
  </si>
  <si>
    <t>DENSO Cabin Filter 145520-2550</t>
  </si>
  <si>
    <t>102200</t>
  </si>
  <si>
    <t>DENSO Cabin Filter 145520-3540</t>
  </si>
  <si>
    <t>102201</t>
  </si>
  <si>
    <t>DENSO Cabin Filter 145520-3700</t>
  </si>
  <si>
    <t>102202</t>
  </si>
  <si>
    <t>DENSO Cabin Filter 145520-3830</t>
  </si>
  <si>
    <t>102204</t>
  </si>
  <si>
    <t>DENSO Cabin Filter 145520-3890</t>
  </si>
  <si>
    <t>102205</t>
  </si>
  <si>
    <t>DENSO Cabin Filter 145520-4010</t>
  </si>
  <si>
    <t>102206</t>
  </si>
  <si>
    <t>DENSO Cabin Filter 145520-4020</t>
  </si>
  <si>
    <t>102207</t>
  </si>
  <si>
    <t>DENSO Cabin Filter 145520-4100</t>
  </si>
  <si>
    <t>102127</t>
  </si>
  <si>
    <t>DENSO Cabin Filter 145520-4410</t>
  </si>
  <si>
    <t>102208</t>
  </si>
  <si>
    <t>DENSO Cabin Filter 145520-4830</t>
  </si>
  <si>
    <t>102209</t>
  </si>
  <si>
    <t>DENSO Cabin Filter 145520-4900</t>
  </si>
  <si>
    <t>102210</t>
  </si>
  <si>
    <t>DENSO Cabin Filter 145520-4950</t>
  </si>
  <si>
    <t>102211</t>
  </si>
  <si>
    <t>DENSO Cabin Filter 145520-4960</t>
  </si>
  <si>
    <t>102198</t>
  </si>
  <si>
    <t>DENSO Cabin Filter 145520-5360</t>
  </si>
  <si>
    <t>102212</t>
  </si>
  <si>
    <t>DENSO Cabin Filter 145520-5830</t>
  </si>
  <si>
    <t>102213</t>
  </si>
  <si>
    <t>DENSO Cabin Filter 145520-5850</t>
  </si>
  <si>
    <t>102215</t>
  </si>
  <si>
    <t>DENSO Cabin Filter 145520-5940</t>
  </si>
  <si>
    <t>102203</t>
  </si>
  <si>
    <t>DENSO Diesel Fuel Filter 086300-4040</t>
  </si>
  <si>
    <t>111190</t>
  </si>
  <si>
    <t>DENSO Oil Filter DXE-1001</t>
  </si>
  <si>
    <t>109800</t>
  </si>
  <si>
    <t>DENSO Oil Filter DXE-1007</t>
  </si>
  <si>
    <t>108371</t>
  </si>
  <si>
    <t>DENSO Oil Filter DXE-1011</t>
  </si>
  <si>
    <t>108372</t>
  </si>
  <si>
    <t>DENSO Oil Filter DXE-1019</t>
  </si>
  <si>
    <t>102216</t>
  </si>
  <si>
    <t>DENSO Oil Filter DXE-1024</t>
  </si>
  <si>
    <t>102218</t>
  </si>
  <si>
    <t>DENSO Spark Plug IK16TT - Iridium</t>
  </si>
  <si>
    <t>108292</t>
  </si>
  <si>
    <t>DENSO Spark Plug IKH20TT - Iridium</t>
  </si>
  <si>
    <t>108294</t>
  </si>
  <si>
    <t>DENSO Spark Plug IT20 - Iridium</t>
  </si>
  <si>
    <t>108299</t>
  </si>
  <si>
    <t>DENSO Spark Plug IT20TT - Iridium</t>
  </si>
  <si>
    <t>108298</t>
  </si>
  <si>
    <t>DENSO Spark Plug ITV20 - Iridium</t>
  </si>
  <si>
    <t>108300</t>
  </si>
  <si>
    <t>DENSO Spark Plug ITV22 - Iridium</t>
  </si>
  <si>
    <t>108301</t>
  </si>
  <si>
    <t>DENSO Spark Plug IXEH20TT - Iridium</t>
  </si>
  <si>
    <t>108291</t>
  </si>
  <si>
    <t>DENSO Spark Plug K20HR-U11 - Nickel</t>
  </si>
  <si>
    <t>108397</t>
  </si>
  <si>
    <t>DENSO Spark Plug SC16HR11 -Iridium</t>
  </si>
  <si>
    <t>107716</t>
  </si>
  <si>
    <t>DENSO Spark Plug XU20EPR-U - Nickel</t>
  </si>
  <si>
    <t>108312</t>
  </si>
  <si>
    <t>DENSO Spark Plug XU20HR9 - Nickel</t>
  </si>
  <si>
    <t>107708</t>
  </si>
  <si>
    <t>DENSO Spark Plug XU22PR9 - Nickel</t>
  </si>
  <si>
    <t>110993</t>
  </si>
  <si>
    <t>DUNLOP TIRE Enasave EC300+ 195/50R16 84V</t>
  </si>
  <si>
    <t>109108</t>
  </si>
  <si>
    <t>DUNLOP TIRE Enasave EC300+ 195/55R16 87V</t>
  </si>
  <si>
    <t>109109</t>
  </si>
  <si>
    <t>DUNLOP TIRE Enasave EC300+ 195/60R16 89H-OEM</t>
  </si>
  <si>
    <t>107824</t>
  </si>
  <si>
    <t>DUNLOP TIRE Enasave EC300+ 205/65R16 95H-OEM</t>
  </si>
  <si>
    <t>109114</t>
  </si>
  <si>
    <t>DUNLOP TIRE Enasave EC300+ 215/60R16 95H-OEM</t>
  </si>
  <si>
    <t>109115</t>
  </si>
  <si>
    <t>DUNLOP TIRE Enasave EC300+ 215/60R17 96H-OEM</t>
  </si>
  <si>
    <t>101699</t>
  </si>
  <si>
    <t>DUNLOP TIRE Enasave EC300+ 215/65R16 98S-OEM</t>
  </si>
  <si>
    <t>101700</t>
  </si>
  <si>
    <t>DUNLOP TIRE SP Touring R1 185/65R15 88S</t>
  </si>
  <si>
    <t>101706</t>
  </si>
  <si>
    <t>Dry Buflex Black 3000 (6")</t>
  </si>
  <si>
    <t>110396</t>
  </si>
  <si>
    <t>Dry Buflex Green 2000 (6")</t>
  </si>
  <si>
    <t>110395</t>
  </si>
  <si>
    <t>Dry Buflex Oranye 1200(6")</t>
  </si>
  <si>
    <t>110825</t>
  </si>
  <si>
    <t>EMKARATE A/C OIL RL 68H 1L</t>
  </si>
  <si>
    <t>102362</t>
  </si>
  <si>
    <t>Epoxy Primer 2100</t>
  </si>
  <si>
    <t>108604</t>
  </si>
  <si>
    <t xml:space="preserve"> Liter</t>
  </si>
  <si>
    <t>FABBER Shock Support F-DSM-005</t>
  </si>
  <si>
    <t>101849</t>
  </si>
  <si>
    <t>FABBER Shock Support F-HSM-001</t>
  </si>
  <si>
    <t>101861</t>
  </si>
  <si>
    <t>FABBER Shock Support F-HSM-005</t>
  </si>
  <si>
    <t>101869</t>
  </si>
  <si>
    <t>FABBER Shock Support F-HSM-008</t>
  </si>
  <si>
    <t>101873</t>
  </si>
  <si>
    <t>FABBER Shock Support F-MSM-001</t>
  </si>
  <si>
    <t>101848</t>
  </si>
  <si>
    <t>FABBER Shock Support F-MSM-003</t>
  </si>
  <si>
    <t>101833</t>
  </si>
  <si>
    <t>FABBER Shock Support F-MZSM-001</t>
  </si>
  <si>
    <t>101839</t>
  </si>
  <si>
    <t>FABBER Shock Support F-MZSM-002</t>
  </si>
  <si>
    <t>101867</t>
  </si>
  <si>
    <t>FABBER Shock Support F-MZSM-003</t>
  </si>
  <si>
    <t>101856</t>
  </si>
  <si>
    <t>FABBER Shock Support F-NSM-008</t>
  </si>
  <si>
    <t>101845</t>
  </si>
  <si>
    <t>FABBER Shock Support F-SSM-018</t>
  </si>
  <si>
    <t>101817</t>
  </si>
  <si>
    <t>FABBER Shock Support F-SSM-019</t>
  </si>
  <si>
    <t>101818</t>
  </si>
  <si>
    <t>FABBER Shock Support F-SSM-022</t>
  </si>
  <si>
    <t>101784</t>
  </si>
  <si>
    <t>FABBER Shock Support F-TSM-008</t>
  </si>
  <si>
    <t>101842</t>
  </si>
  <si>
    <t>FABBER Shock Support F-TSM-009</t>
  </si>
  <si>
    <t>101836</t>
  </si>
  <si>
    <t>FABBER Shock Support F-TSM-011</t>
  </si>
  <si>
    <t>101820</t>
  </si>
  <si>
    <t>FABBER Shock Support F-TSM-019</t>
  </si>
  <si>
    <t>101883</t>
  </si>
  <si>
    <t>FABBER Shock Support F-TSM-028</t>
  </si>
  <si>
    <t>101880</t>
  </si>
  <si>
    <t>FABBER Shock Support F-TSM-040</t>
  </si>
  <si>
    <t>101881</t>
  </si>
  <si>
    <t>FF 155 High Flip Flop Controller 1L</t>
  </si>
  <si>
    <t>110824</t>
  </si>
  <si>
    <t>FILTER AC FIESTA</t>
  </si>
  <si>
    <t>110915</t>
  </si>
  <si>
    <t>FIXCOOL Brake Parts Cleaner 500ml</t>
  </si>
  <si>
    <t>101734</t>
  </si>
  <si>
    <t>FIXCOOL Catalytic System Cleaner 250ml</t>
  </si>
  <si>
    <t>101793</t>
  </si>
  <si>
    <t>FIXCOOL Diesel Injector Cleaner- 300ml</t>
  </si>
  <si>
    <t>101756</t>
  </si>
  <si>
    <t>FIXCOOL Diesel Purge- 400ml</t>
  </si>
  <si>
    <t>101789</t>
  </si>
  <si>
    <t>FIXCOOL Diesel Water Treatment- 250ml</t>
  </si>
  <si>
    <t>107784</t>
  </si>
  <si>
    <t>FIXCOOL Grease Caliper - 100ml</t>
  </si>
  <si>
    <t>101738</t>
  </si>
  <si>
    <t>FIXCOOL Injector Cleaner 300ml</t>
  </si>
  <si>
    <t>101757</t>
  </si>
  <si>
    <t>GENERAL BOOT CLAMP</t>
  </si>
  <si>
    <t>102384</t>
  </si>
  <si>
    <t>GENERAL TUTUP VALVE R134A H&amp;L</t>
  </si>
  <si>
    <t>102369</t>
  </si>
  <si>
    <t>GENERAL WASH MITT</t>
  </si>
  <si>
    <t>102373</t>
  </si>
  <si>
    <t>GIANNIN CABIN AIR FILTER (CF-W2020)</t>
  </si>
  <si>
    <t>110389</t>
  </si>
  <si>
    <t>GLOSSXPERT All Purpose Cleaner Uk.350ml</t>
  </si>
  <si>
    <t>GX1105</t>
  </si>
  <si>
    <t>GLOSSXPERT Chamois Warna Kuning</t>
  </si>
  <si>
    <t>GX1505</t>
  </si>
  <si>
    <t>GLOSSXPERT Engine Cleaner Uk. 350ml</t>
  </si>
  <si>
    <t>108452</t>
  </si>
  <si>
    <t>GLOSSXPERT Engine Dressing Uk. 350ml</t>
  </si>
  <si>
    <t>108453</t>
  </si>
  <si>
    <t>GLOSSXPERT Glass Magic Cloth Microfiber, 320 Gsm Size.30x30cm-Orange CLOTH</t>
  </si>
  <si>
    <t>108459</t>
  </si>
  <si>
    <t>GLOSSXPERT Gloss Enhancing Shampoo Uk. 350ml</t>
  </si>
  <si>
    <t>107750</t>
  </si>
  <si>
    <t>GLOSSXPERT Interior Cleaner Uk. 350ml</t>
  </si>
  <si>
    <t>108454</t>
  </si>
  <si>
    <t>GLOSSXPERT Interior Dressing Uk. 350ml</t>
  </si>
  <si>
    <t>108455</t>
  </si>
  <si>
    <t>GLOSSXPERT MICROFIBER DETAILING CLOTH-BLACK</t>
  </si>
  <si>
    <t>108463</t>
  </si>
  <si>
    <t>GLOSSXPERT MICROFIBER DETAILING CLOTH-GRAY</t>
  </si>
  <si>
    <t>108461</t>
  </si>
  <si>
    <t>GLOSSXPERT Premium Sponge, 22cm x 15cm</t>
  </si>
  <si>
    <t>108458</t>
  </si>
  <si>
    <t>GLOSSXPERT Quick Detaller Uk. 350ml</t>
  </si>
  <si>
    <t>108451</t>
  </si>
  <si>
    <t>GLOSSXPERT Rubbing Compound Uk. 100Gr</t>
  </si>
  <si>
    <t>108460</t>
  </si>
  <si>
    <t>GLOSSXPERT TIRE DRESSING 350ML</t>
  </si>
  <si>
    <t>108457</t>
  </si>
  <si>
    <t>GLOSSXPERT Tire And Wheel Cleaner Uk. 350ml</t>
  </si>
  <si>
    <t>108456</t>
  </si>
  <si>
    <t>GLOSSXPERT ULTIMATE WAX 350ML</t>
  </si>
  <si>
    <t>107749</t>
  </si>
  <si>
    <t>GLOSSXPERT WATERLESS WASH&amp;WAX 350ML</t>
  </si>
  <si>
    <t>108449</t>
  </si>
  <si>
    <t>GTRADIAL TIRE Champiro Ecotec* 175/60R13 -</t>
  </si>
  <si>
    <t>109484</t>
  </si>
  <si>
    <t>GTRADIAL TIRE Champiro Ecotec* 175/65R14 -</t>
  </si>
  <si>
    <t>109485</t>
  </si>
  <si>
    <t>GTRADIAL TIRE Champiro Ecotec* 175/70R13 -</t>
  </si>
  <si>
    <t>109486</t>
  </si>
  <si>
    <t>GTRADIAL TIRE Champiro Ecotec* 185/55R16 -</t>
  </si>
  <si>
    <t>109488</t>
  </si>
  <si>
    <t>GTRADIAL TIRE Champiro Ecotec* 185/65R15 -</t>
  </si>
  <si>
    <t>109491</t>
  </si>
  <si>
    <t>GTRADIAL TIRE Champiro Ecotec* 185/70R14 -</t>
  </si>
  <si>
    <t>109493</t>
  </si>
  <si>
    <t>GTRADIAL TIRE Champiro Ecotec* 195/60R15 -</t>
  </si>
  <si>
    <t>109496</t>
  </si>
  <si>
    <t>GTRADIAL TIRE Champiro Ecotec* 195/70R14 -</t>
  </si>
  <si>
    <t>109499</t>
  </si>
  <si>
    <t>GTRADIAL TIRE Champiro Ecotec* 205/50R17 -</t>
  </si>
  <si>
    <t>109500</t>
  </si>
  <si>
    <t>GTRADIAL TIRE Champiro Ecotec* 205/60R16 -</t>
  </si>
  <si>
    <t>109501</t>
  </si>
  <si>
    <t>GTRADIAL TIRE Champiro Ecotec* 205/65R16 -</t>
  </si>
  <si>
    <t>109504</t>
  </si>
  <si>
    <t>GTRADIAL TIRE Champiro Ecotec* 215/60R16 -</t>
  </si>
  <si>
    <t>109506</t>
  </si>
  <si>
    <t>GTRADIAL TIRE Champiro Gtx Pro 195/55R16 -</t>
  </si>
  <si>
    <t>109521</t>
  </si>
  <si>
    <t>GTRADIAL TIRE Champiro Gtx Pro 205/55R16 -</t>
  </si>
  <si>
    <t>109530</t>
  </si>
  <si>
    <t>GTRADIAL TIRE Champiro Gtx Pro 225/55R17 -</t>
  </si>
  <si>
    <t>109542</t>
  </si>
  <si>
    <t>GTRADIAL TIRE Champiro Hpy 205/55ZR16 -</t>
  </si>
  <si>
    <t>109551</t>
  </si>
  <si>
    <t>GTRADIAL TIRE Savero SUV 225/60R17 -</t>
  </si>
  <si>
    <t>109707</t>
  </si>
  <si>
    <t>GTRADIAL TIRE Savero SUV 225/65R17 -</t>
  </si>
  <si>
    <t>109709</t>
  </si>
  <si>
    <t>HEIKER RACK STEER H-DRT-001</t>
  </si>
  <si>
    <t>102009</t>
  </si>
  <si>
    <t>HEIKER RACK STEER H-DRT-007</t>
  </si>
  <si>
    <t>102017</t>
  </si>
  <si>
    <t>HEIKER RACK STEER H-DRT-009</t>
  </si>
  <si>
    <t>102028</t>
  </si>
  <si>
    <t>HEIKER RACK STEER H-HRT-002</t>
  </si>
  <si>
    <t>102020</t>
  </si>
  <si>
    <t>HEIKER RACK STEER H-HRT-012</t>
  </si>
  <si>
    <t>102031</t>
  </si>
  <si>
    <t>HEIKER RACK STEER H-MRT-005</t>
  </si>
  <si>
    <t>102030</t>
  </si>
  <si>
    <t>HEIKER RACK STEER H-MRT-007</t>
  </si>
  <si>
    <t>102023</t>
  </si>
  <si>
    <t>HEIKER RACK STEER H-NRT-003</t>
  </si>
  <si>
    <t>102018</t>
  </si>
  <si>
    <t>HEIKER RACK STEER H-SRT-007</t>
  </si>
  <si>
    <t>102013</t>
  </si>
  <si>
    <t>HEIKER RACK STEER H-SRT-013</t>
  </si>
  <si>
    <t>102012</t>
  </si>
  <si>
    <t>HEIKER RACK STEER H-TRT-002</t>
  </si>
  <si>
    <t>102024</t>
  </si>
  <si>
    <t>HEIKER RACK STEER H-TRT-005</t>
  </si>
  <si>
    <t>102027</t>
  </si>
  <si>
    <t>HEIKER RACK STEER H-TRT-007</t>
  </si>
  <si>
    <t>102010</t>
  </si>
  <si>
    <t>HEIKER RACK STEER H-TRT-022</t>
  </si>
  <si>
    <t>102015</t>
  </si>
  <si>
    <t>HEIKER RACK STEER H-TRT-023</t>
  </si>
  <si>
    <t>102014</t>
  </si>
  <si>
    <t>HEIKER RACK STEER H-TRT-038</t>
  </si>
  <si>
    <t>102022</t>
  </si>
  <si>
    <t>HONDA BOOT INBOARD (44017-T7W-A01) (F 1741 ZS)</t>
  </si>
  <si>
    <t>111329</t>
  </si>
  <si>
    <t>HONDA CABIN AIR FILTER (80292-S9A-A01)</t>
  </si>
  <si>
    <t>108618</t>
  </si>
  <si>
    <t>HONGTAI Air conditioner Evaporator Cleaner-Kit 450ml+450ml</t>
  </si>
  <si>
    <t>110878</t>
  </si>
  <si>
    <t>HONGTAI Engine Cleaner</t>
  </si>
  <si>
    <t>110876</t>
  </si>
  <si>
    <t>HONGTAI Engine Compartment Cleaner-Kit 5L+5L</t>
  </si>
  <si>
    <t>110874</t>
  </si>
  <si>
    <t>HYBRID CABIN AIR FILTER (7259)</t>
  </si>
  <si>
    <t>111570</t>
  </si>
  <si>
    <t>HYUNDAI CABIN AIR FILTER (97133I7000)</t>
  </si>
  <si>
    <t>108400</t>
  </si>
  <si>
    <t>INCHEMOTO Throttle Body Cleaner- 500ml</t>
  </si>
  <si>
    <t>102377</t>
  </si>
  <si>
    <t>IPO Busa Merah</t>
  </si>
  <si>
    <t>108219</t>
  </si>
  <si>
    <t>KIMTECH Tack Cloth</t>
  </si>
  <si>
    <t>110821</t>
  </si>
  <si>
    <t>Kain Majun Putih</t>
  </si>
  <si>
    <t>108653</t>
  </si>
  <si>
    <t>Kertas Masking</t>
  </si>
  <si>
    <t>108217</t>
  </si>
  <si>
    <t>Kuas 2"</t>
  </si>
  <si>
    <t>108382</t>
  </si>
  <si>
    <t>LIQUIMOLY Catalytic System Cleaner 300ml</t>
  </si>
  <si>
    <t>108367</t>
  </si>
  <si>
    <t>LIQUIMOLY Fuel System Cleaner 1L</t>
  </si>
  <si>
    <t>108368</t>
  </si>
  <si>
    <t>LIQUIMOLY Fuel System Cleaner 300ml</t>
  </si>
  <si>
    <t>108369</t>
  </si>
  <si>
    <t>MAHLE CABIN AIR FILTER (LAK 1156/S)</t>
  </si>
  <si>
    <t>108465</t>
  </si>
  <si>
    <t>MAHLE OIL FILTER (OC110)</t>
  </si>
  <si>
    <t>110392</t>
  </si>
  <si>
    <t>MAHLE OIL FILTER (OX133D)</t>
  </si>
  <si>
    <t>110388</t>
  </si>
  <si>
    <t>MANN OIL FILTER 204/271 HU 514 X</t>
  </si>
  <si>
    <t>110690</t>
  </si>
  <si>
    <t>MASTER PREMIXED 30/70 RADIATOR COOLANT GOLD RED 1 GAL</t>
  </si>
  <si>
    <t>102256</t>
  </si>
  <si>
    <t>MASTER PREMIXED RADIATOR COOLANT GREEN 1 GALON</t>
  </si>
  <si>
    <t>101766</t>
  </si>
  <si>
    <t>MASTER PREMIXED RADIATOR COOLANT GREEN 1QT</t>
  </si>
  <si>
    <t>102348</t>
  </si>
  <si>
    <t>MASTER PREMIXED RADIATOR COOLANT RED 1 GALON</t>
  </si>
  <si>
    <t>101767</t>
  </si>
  <si>
    <t>MASTER PREMIXED RADIATOR COOLANT RED 1QT</t>
  </si>
  <si>
    <t>102349</t>
  </si>
  <si>
    <t>MASTER SILANT SILICONE 600ML</t>
  </si>
  <si>
    <t>102257</t>
  </si>
  <si>
    <t>MEYLE REAR WIPER BLADE MBL0045 (029 280 1210)</t>
  </si>
  <si>
    <t>102033</t>
  </si>
  <si>
    <t>MIRKA Ecowet Grid 1000</t>
  </si>
  <si>
    <t>108060</t>
  </si>
  <si>
    <t>MIRKA Ecowet Grid 1500</t>
  </si>
  <si>
    <t>110397</t>
  </si>
  <si>
    <t>MIRKA Ecowet Grid 2500</t>
  </si>
  <si>
    <t>108222</t>
  </si>
  <si>
    <t>MIRKA Interface (6")</t>
  </si>
  <si>
    <t>108481</t>
  </si>
  <si>
    <t>MOBIL CAR SUNSHADE</t>
  </si>
  <si>
    <t>108606</t>
  </si>
  <si>
    <t>MOBIL Diesel Engine Oil Delvac MDERN 15W-40 1L</t>
  </si>
  <si>
    <t>108106</t>
  </si>
  <si>
    <t>MOBIL Diesel Engine Oil Delvac MDERN 15W-40 5L</t>
  </si>
  <si>
    <t>101884</t>
  </si>
  <si>
    <t>MOBIL Engine Oil Mobil 1 0W-20 1L</t>
  </si>
  <si>
    <t>101860</t>
  </si>
  <si>
    <t>MOBIL Engine Oil Mobil 1 0W-20 4L</t>
  </si>
  <si>
    <t>102003</t>
  </si>
  <si>
    <t>MOBIL Engine Oil Mobil 1 5W-30 1L</t>
  </si>
  <si>
    <t>101829</t>
  </si>
  <si>
    <t>MOBIL Engine Oil Mobil 1 5W-30 4L</t>
  </si>
  <si>
    <t>101969</t>
  </si>
  <si>
    <t>MOBIL Engine Oil Super AIO PROTECTION 0W-20 1L</t>
  </si>
  <si>
    <t>101801</t>
  </si>
  <si>
    <t>MOBIL Engine Oil Super AIO PROTECTION 10W-40 1L</t>
  </si>
  <si>
    <t>108289</t>
  </si>
  <si>
    <t>MOBIL Engine Oil Super AIO PROTECTION 10W-40 4L</t>
  </si>
  <si>
    <t>101882</t>
  </si>
  <si>
    <t>MOBIL Engine Oil Super AIO PROTECTION 5W-30 1L</t>
  </si>
  <si>
    <t>101792</t>
  </si>
  <si>
    <t>MOBIL Engine Oil Super AIO PROTECTION 5W-30 4L</t>
  </si>
  <si>
    <t>101900</t>
  </si>
  <si>
    <t>MOBIL Engine Oil Super AIO PROTECTION 5W-40 4L</t>
  </si>
  <si>
    <t>110933</t>
  </si>
  <si>
    <t xml:space="preserve"> bottle</t>
  </si>
  <si>
    <t>101760</t>
  </si>
  <si>
    <t>MOBIL KEYCHAIN</t>
  </si>
  <si>
    <t>108605</t>
  </si>
  <si>
    <t>108296</t>
  </si>
  <si>
    <t>101771</t>
  </si>
  <si>
    <t>MOBIL U SHAPED PILLOW</t>
  </si>
  <si>
    <t>108607</t>
  </si>
  <si>
    <t>MONROE Shock Absorber 378003SP Rear</t>
  </si>
  <si>
    <t>101889</t>
  </si>
  <si>
    <t>MONROE Shock Absorber 378014SP Rear</t>
  </si>
  <si>
    <t>101885</t>
  </si>
  <si>
    <t>MONROE Shock Absorber 378016SP Rear</t>
  </si>
  <si>
    <t>107802</t>
  </si>
  <si>
    <t>MONROE Shock Absorber 378031SP Rear</t>
  </si>
  <si>
    <t>101890</t>
  </si>
  <si>
    <t>MONROE Shock Absorber 378038SP Rear</t>
  </si>
  <si>
    <t>101886</t>
  </si>
  <si>
    <t>MONROE Shock Absorber 378040SP Rear</t>
  </si>
  <si>
    <t>108722</t>
  </si>
  <si>
    <t>MONROE Shock Absorber 378047SP Rear</t>
  </si>
  <si>
    <t>101906</t>
  </si>
  <si>
    <t>MONROE Shock Absorber 378048SP Rear</t>
  </si>
  <si>
    <t>101915</t>
  </si>
  <si>
    <t>MONROE Shock Absorber 378101SP Rear</t>
  </si>
  <si>
    <t>101928</t>
  </si>
  <si>
    <t>MONROE Shock Absorber 378172SP Rear</t>
  </si>
  <si>
    <t>101909</t>
  </si>
  <si>
    <t>MONROE Shock Absorber 378187SP Rear</t>
  </si>
  <si>
    <t>101898</t>
  </si>
  <si>
    <t>MONROE Shock Absorber 744004SP Front-RH</t>
  </si>
  <si>
    <t>101932</t>
  </si>
  <si>
    <t>MONROE Shock Absorber 744005SP Front-LH</t>
  </si>
  <si>
    <t>101933</t>
  </si>
  <si>
    <t>MONROE Shock Absorber 744026SP Front-RH</t>
  </si>
  <si>
    <t>107800</t>
  </si>
  <si>
    <t>MONROE Shock Absorber 744027SP Front-LH</t>
  </si>
  <si>
    <t>107801</t>
  </si>
  <si>
    <t>MONROE Shock Absorber 744050SP Front-RH</t>
  </si>
  <si>
    <t>101910</t>
  </si>
  <si>
    <t>MONROE Shock Absorber 744051SP Front-LH</t>
  </si>
  <si>
    <t>101911</t>
  </si>
  <si>
    <t>MONROE Shock Absorber 744072SP Front-RH</t>
  </si>
  <si>
    <t>101976</t>
  </si>
  <si>
    <t>MONROE Shock Absorber 744073SP Front-LH</t>
  </si>
  <si>
    <t>101977</t>
  </si>
  <si>
    <t>MONROE Shock Absorber 744074SP Front-RH</t>
  </si>
  <si>
    <t>101978</t>
  </si>
  <si>
    <t>MONROE Shock Absorber 744075SP Front-LH</t>
  </si>
  <si>
    <t>101979</t>
  </si>
  <si>
    <t>MONROE Shock Absorber 744106SP Front-RH</t>
  </si>
  <si>
    <t>101967</t>
  </si>
  <si>
    <t>MONROE Shock Absorber 744107SP Front-LH</t>
  </si>
  <si>
    <t>101968</t>
  </si>
  <si>
    <t>MONROE Shock Absorber 744110SP Front-RH</t>
  </si>
  <si>
    <t>108712</t>
  </si>
  <si>
    <t>MONROE Shock Absorber 744111SP Front-LH</t>
  </si>
  <si>
    <t>108713</t>
  </si>
  <si>
    <t>MONROE Shock Absorber 744120SP Front-RH</t>
  </si>
  <si>
    <t>101954</t>
  </si>
  <si>
    <t>MONROE Shock Absorber 744121SP Front-LH</t>
  </si>
  <si>
    <t>101955</t>
  </si>
  <si>
    <t>MONROE Shock Absorber 744128SP Front-RH</t>
  </si>
  <si>
    <t>101950</t>
  </si>
  <si>
    <t>MONROE Shock Absorber 744129SP Front-LH</t>
  </si>
  <si>
    <t>101951</t>
  </si>
  <si>
    <t>MONROE Shock Absorber 744296SP Front-RH</t>
  </si>
  <si>
    <t>101983</t>
  </si>
  <si>
    <t>MONROE Shock Absorber 744297SP Front-LH</t>
  </si>
  <si>
    <t>101984</t>
  </si>
  <si>
    <t>MONROE Shock Absorber 744318SP Front-RH</t>
  </si>
  <si>
    <t>108717</t>
  </si>
  <si>
    <t>MONROE Shock Absorber 744319SP Front-LH</t>
  </si>
  <si>
    <t>108718</t>
  </si>
  <si>
    <t>MONROE Shock Absorber 744352SP Front-RH</t>
  </si>
  <si>
    <t>102001</t>
  </si>
  <si>
    <t>MONROE Shock Absorber 744353SP Front-LH</t>
  </si>
  <si>
    <t>102002</t>
  </si>
  <si>
    <t>MONROE Shock Absorber 744474SP Front-RH</t>
  </si>
  <si>
    <t>101935</t>
  </si>
  <si>
    <t>MONROE Shock Absorber 744475SP Front-LH</t>
  </si>
  <si>
    <t>101936</t>
  </si>
  <si>
    <t>MONROE Shock Absorber 744496SP Front-RH</t>
  </si>
  <si>
    <t>101964</t>
  </si>
  <si>
    <t>MONROE Shock Absorber 744497SP Front-LH</t>
  </si>
  <si>
    <t>101965</t>
  </si>
  <si>
    <t>MONROE Shock Absorber 744562SP Front-RH</t>
  </si>
  <si>
    <t>101993</t>
  </si>
  <si>
    <t>MONROE Shock Absorber 744563SP Front-LH</t>
  </si>
  <si>
    <t>101994</t>
  </si>
  <si>
    <t>MOTORCRAFT OIL FILTER (WL84-14-302MC)</t>
  </si>
  <si>
    <t>108643</t>
  </si>
  <si>
    <t>101823</t>
  </si>
  <si>
    <t>MOTUL Diesel Engine Oil TEKMA MEGA X 15W-40 1L</t>
  </si>
  <si>
    <t>101799</t>
  </si>
  <si>
    <t>MOTUL Diesel Engine Oil TEKMA TURBO POWER 15W-40 1L</t>
  </si>
  <si>
    <t>101751</t>
  </si>
  <si>
    <t>MOTUL Diesel Engine Oil TRD SPORT 5W-40 1L</t>
  </si>
  <si>
    <t>101824</t>
  </si>
  <si>
    <t>MOTUL Diesel Engine Oil TRD SPORT 5W-40 4L</t>
  </si>
  <si>
    <t>101948</t>
  </si>
  <si>
    <t>MOTUL Engine Oil H-TECH 100 Plus 0W-20 1L</t>
  </si>
  <si>
    <t>101841</t>
  </si>
  <si>
    <t>MOTUL Engine Oil H-TECH 100 Plus 5W-30 1L</t>
  </si>
  <si>
    <t>101821</t>
  </si>
  <si>
    <t>MOTUL Engine Oil MUGEN  MS-A 5W-40 1L</t>
  </si>
  <si>
    <t>101810</t>
  </si>
  <si>
    <t>MOTUL Engine Oil Multigrade Plus 10W-40 1L</t>
  </si>
  <si>
    <t>101775</t>
  </si>
  <si>
    <t>MOTUL Engine Oil Multipower Plus 10W-40 1L</t>
  </si>
  <si>
    <t>101803</t>
  </si>
  <si>
    <t>101840</t>
  </si>
  <si>
    <t>101855</t>
  </si>
  <si>
    <t>101844</t>
  </si>
  <si>
    <t>Masker Debu</t>
  </si>
  <si>
    <t>110747</t>
  </si>
  <si>
    <t>Masking Tape 3M</t>
  </si>
  <si>
    <t>108150</t>
  </si>
  <si>
    <t>NGK SPARK PLUG (FR6F-11K)</t>
  </si>
  <si>
    <t>110792</t>
  </si>
  <si>
    <t>NIPPON FF 152 High Flip Flop Controller 1L</t>
  </si>
  <si>
    <t>107967</t>
  </si>
  <si>
    <t>NIPPON N-Max 441 2k Matt Clear Combi 1L (Doff)</t>
  </si>
  <si>
    <t>108036</t>
  </si>
  <si>
    <t>NIPPON NAX SLOW THINNER 2K POLYURETHANE 5L</t>
  </si>
  <si>
    <t>108061</t>
  </si>
  <si>
    <t>107951</t>
  </si>
  <si>
    <t>NIPPON Nax PRIME Poly Putty 3kg</t>
  </si>
  <si>
    <t>108039</t>
  </si>
  <si>
    <t>NIPPON Nax Premila #30 Slow thinner 4 L</t>
  </si>
  <si>
    <t>108046</t>
  </si>
  <si>
    <t>NIPPON Nax Premila 9800 Clear 2K Hi Solid 1L</t>
  </si>
  <si>
    <t>108051</t>
  </si>
  <si>
    <t>NIPPON Nax Silicone Off # 101 (1L)</t>
  </si>
  <si>
    <t>108045</t>
  </si>
  <si>
    <t>NIPPON Nax Superio 221 2K Clear 1.5L</t>
  </si>
  <si>
    <t>107948</t>
  </si>
  <si>
    <t>NIPPON Nax Superio 541 2K Clear</t>
  </si>
  <si>
    <t>108034</t>
  </si>
  <si>
    <t>NIPPON Nax Superio 921 2K Clear 1.5l</t>
  </si>
  <si>
    <t>108030</t>
  </si>
  <si>
    <t>NIPPON Premila 2200  2 K Primer Gray Base 0.85L</t>
  </si>
  <si>
    <t>108023</t>
  </si>
  <si>
    <t>NIPPON SB 300 B/C Balancer 4L</t>
  </si>
  <si>
    <t>107947</t>
  </si>
  <si>
    <t>NIPPON ST 002 # Crystal Silver Fine 1L</t>
  </si>
  <si>
    <t>107985</t>
  </si>
  <si>
    <t>NIPPON ST 003 # Crystal Silver  Medium 1L</t>
  </si>
  <si>
    <t>107986</t>
  </si>
  <si>
    <t>NIPPON ST 004 # Crystal Silver Coarse 1L</t>
  </si>
  <si>
    <t>107987</t>
  </si>
  <si>
    <t>NIPPON ST 006 # Crystal Silver Extra Coarse 1L</t>
  </si>
  <si>
    <t>107988</t>
  </si>
  <si>
    <t>NIPPON ST 012 # Met. Base Fine 1L</t>
  </si>
  <si>
    <t>108057</t>
  </si>
  <si>
    <t>NIPPON ST 023 # Hight Sparkle Fine 1L</t>
  </si>
  <si>
    <t>107964</t>
  </si>
  <si>
    <t>NIPPON ST 025 # Hight Sparkle Coarse 1L</t>
  </si>
  <si>
    <t>107965</t>
  </si>
  <si>
    <t>NIPPON ST 072 # Mica Base 2W @ Lustre Satin 1L</t>
  </si>
  <si>
    <t>108011</t>
  </si>
  <si>
    <t>NIPPON ST 078 # Mica Base 5W @ Bright White 1L</t>
  </si>
  <si>
    <t>107995</t>
  </si>
  <si>
    <t>NIPPON ST 101 # White B/C 1L</t>
  </si>
  <si>
    <t>107952</t>
  </si>
  <si>
    <t>NIPPON ST 201 # Blue Black 1L</t>
  </si>
  <si>
    <t>108650</t>
  </si>
  <si>
    <t>NIPPON ST 202 # Tinting Black NP 1L</t>
  </si>
  <si>
    <t>107959</t>
  </si>
  <si>
    <t>NIPPON ST 203 # Deep Black 1L</t>
  </si>
  <si>
    <t>107960</t>
  </si>
  <si>
    <t>NIPPON ST 507 # Rubby Red 1L</t>
  </si>
  <si>
    <t>108007</t>
  </si>
  <si>
    <t>NIPPON ST 806 # Hermes Blue 1L</t>
  </si>
  <si>
    <t>107978</t>
  </si>
  <si>
    <t>NIPPON ST 902 # Grass Green 1L</t>
  </si>
  <si>
    <t>107981</t>
  </si>
  <si>
    <t>NIPPON ST 903 # Sun Green 1L</t>
  </si>
  <si>
    <t>107982</t>
  </si>
  <si>
    <t>NIPPON TONER ST 003 # Crystal Silver Medium 1L</t>
  </si>
  <si>
    <t>110393</t>
  </si>
  <si>
    <t>NISSAN LINK STABILIZER (B 2254 BIO)</t>
  </si>
  <si>
    <t>111288</t>
  </si>
  <si>
    <t>NISSAN SHOCK RR ORIGINAL (B 2864 TVF)</t>
  </si>
  <si>
    <t>111566</t>
  </si>
  <si>
    <t>NISSAN SUPPORT SHOCK ORIGINAL (B 2864 TVF)</t>
  </si>
  <si>
    <t>111567</t>
  </si>
  <si>
    <t>OIL FILTER 26300-35056HMI</t>
  </si>
  <si>
    <t>108702</t>
  </si>
  <si>
    <t>PRESTONE Brake Fluid DOT 3 - 1000ml (Clear)</t>
  </si>
  <si>
    <t>102253</t>
  </si>
  <si>
    <t>PRESTONE Brake Fluid DOT 3 - 300ml (Red)</t>
  </si>
  <si>
    <t>111434</t>
  </si>
  <si>
    <t>PRESTONE Engine Flush- 443ml</t>
  </si>
  <si>
    <t>102254</t>
  </si>
  <si>
    <t>Pensil Mitsu-Bishi (Hitam)</t>
  </si>
  <si>
    <t>108482</t>
  </si>
  <si>
    <t>Pensil Mitsu-Bishi (Putih)</t>
  </si>
  <si>
    <t>108483</t>
  </si>
  <si>
    <t>Premila 2200 2 K Primer Gray Base 0.85L</t>
  </si>
  <si>
    <t>108484</t>
  </si>
  <si>
    <t>REFRIGERANT R134A 13.6KG</t>
  </si>
  <si>
    <t>102034</t>
  </si>
  <si>
    <t>ROCK Interface(6'')</t>
  </si>
  <si>
    <t>108839</t>
  </si>
  <si>
    <t>SAKURA CABIN AIR FILTER (CA-14050)</t>
  </si>
  <si>
    <t>108487</t>
  </si>
  <si>
    <t>SAKURA CABIN FILTER CA-28190-S</t>
  </si>
  <si>
    <t>102368</t>
  </si>
  <si>
    <t>SEAL COVER VALVE DFE</t>
  </si>
  <si>
    <t>111563</t>
  </si>
  <si>
    <t>SEAL DRESSING 1L</t>
  </si>
  <si>
    <t>102361</t>
  </si>
  <si>
    <t>SEAL O RING BESAR R134</t>
  </si>
  <si>
    <t>108253</t>
  </si>
  <si>
    <t>SEAL O RING KECIL R134</t>
  </si>
  <si>
    <t>108251</t>
  </si>
  <si>
    <t>SEAL O RING SEDANG R134</t>
  </si>
  <si>
    <t>108252</t>
  </si>
  <si>
    <t>SENKIA Engine Oil Sludge Flush 300ml</t>
  </si>
  <si>
    <t>110869</t>
  </si>
  <si>
    <t>SGMW CABIN AIR FILTER (23569151)</t>
  </si>
  <si>
    <t>107799</t>
  </si>
  <si>
    <t>SGMW FILTER ASM-OIL (24563823)</t>
  </si>
  <si>
    <t>102270</t>
  </si>
  <si>
    <t>SGMW OIL OIL FILTER PE01</t>
  </si>
  <si>
    <t>111468</t>
  </si>
  <si>
    <t>108237</t>
  </si>
  <si>
    <t>SHELL Diesel Engine Oil RIMULA R5 E 10W-40 1L</t>
  </si>
  <si>
    <t>108279</t>
  </si>
  <si>
    <t>SHELL Diesel Engine Oil RIMULA R5 E 10W-40 4L</t>
  </si>
  <si>
    <t>108278</t>
  </si>
  <si>
    <t>SHELL Engine Oil HELIX CITY 0W-20 1L</t>
  </si>
  <si>
    <t>108281</t>
  </si>
  <si>
    <t>SHELL Engine Oil HELIX ECO PLUS 5W-30 0.5L</t>
  </si>
  <si>
    <t>108277</t>
  </si>
  <si>
    <t>SHELL Engine Oil HELIX HX6 10W-40 1L</t>
  </si>
  <si>
    <t>108107</t>
  </si>
  <si>
    <t>SHELL Engine Oil HELIX HX7 Plus 5W-40 1L</t>
  </si>
  <si>
    <t>108283</t>
  </si>
  <si>
    <t>SHELL Engine Oil HELIX HX7 Plus 5W-40 4L</t>
  </si>
  <si>
    <t>108282</t>
  </si>
  <si>
    <t>SHELL Engine Oil HELIX Ultra 5W-30 1L</t>
  </si>
  <si>
    <t>108109</t>
  </si>
  <si>
    <t>SHELL Engine Oil HELIX Ultra 5W-30 4L</t>
  </si>
  <si>
    <t>108110</t>
  </si>
  <si>
    <t>108238</t>
  </si>
  <si>
    <t>108112</t>
  </si>
  <si>
    <t>108111</t>
  </si>
  <si>
    <t>SIKATITAN 258 Sealant Kaca</t>
  </si>
  <si>
    <t>108383</t>
  </si>
  <si>
    <t>SMART PENTIL KARET TR413 MERAH</t>
  </si>
  <si>
    <t>107919</t>
  </si>
  <si>
    <t>SMART WEIGHT BESI BALANCING TEMPEL</t>
  </si>
  <si>
    <t>102259</t>
  </si>
  <si>
    <t xml:space="preserve"> Kardus</t>
  </si>
  <si>
    <t xml:space="preserve"> 4 Box 12 pcs</t>
  </si>
  <si>
    <t>ST 012 #Met. Base Fine 1L</t>
  </si>
  <si>
    <t>108486</t>
  </si>
  <si>
    <t>SUZUKI ELEMENT AIR CLEANER 13780-73R00</t>
  </si>
  <si>
    <t>111437</t>
  </si>
  <si>
    <t>Sarung Tangan Katun</t>
  </si>
  <si>
    <t>108652</t>
  </si>
  <si>
    <t>Soft99 Glass Compound Z</t>
  </si>
  <si>
    <t>111404</t>
  </si>
  <si>
    <t>Sunmight Dry Sanding Paper Grid 120 (6")</t>
  </si>
  <si>
    <t>108597</t>
  </si>
  <si>
    <t>Sunmight Dry Sanding Paper Grid 220 (6")</t>
  </si>
  <si>
    <t>108598</t>
  </si>
  <si>
    <t>Sunmight Dry Sanding Paper Grid 400 (6")</t>
  </si>
  <si>
    <t>108375</t>
  </si>
  <si>
    <t>Sunmight Dry Sanding Paper Grid 600 (6")</t>
  </si>
  <si>
    <t>108376</t>
  </si>
  <si>
    <t>Sunmight Dry Sanding Paper Grid 800 (6")</t>
  </si>
  <si>
    <t>108377</t>
  </si>
  <si>
    <t>TAG BIRKENS CABIN AIR FILTER BT50 06-11</t>
  </si>
  <si>
    <t>108623</t>
  </si>
  <si>
    <t>TENNER R4</t>
  </si>
  <si>
    <t>107807</t>
  </si>
  <si>
    <t>THREEBOND HIGH TEMP RTV SILICONE 30G</t>
  </si>
  <si>
    <t>102163</t>
  </si>
  <si>
    <t>TOYOTA BEARING, STRUT (48619-0D011) (B 1859 BFZ)</t>
  </si>
  <si>
    <t>102245</t>
  </si>
  <si>
    <t>TOYOTA BELT, V-RIBBED (9004A-91072-001) (B 1227 VOX)</t>
  </si>
  <si>
    <t>111427</t>
  </si>
  <si>
    <t>TOYOTA COIL, IGNITION (90919-T2007) (B 1081 UZE)</t>
  </si>
  <si>
    <t>108143</t>
  </si>
  <si>
    <t>TOYOTA ELEMENT KIT, OIL (04152-YZZA1)</t>
  </si>
  <si>
    <t>102350</t>
  </si>
  <si>
    <t>TOYOTA ELEMENT KIT, OIL (04152-YZZD6)</t>
  </si>
  <si>
    <t>102351</t>
  </si>
  <si>
    <t>TOYOTA ELEMENT S/A, OIL FIL (15601-BZ030)</t>
  </si>
  <si>
    <t>108420</t>
  </si>
  <si>
    <t>TOYOTA PLUG SPARK 9004A-91068 / SC16HR11</t>
  </si>
  <si>
    <t>110687</t>
  </si>
  <si>
    <t>Thinner A WP 101</t>
  </si>
  <si>
    <t>110398</t>
  </si>
  <si>
    <t>Thinner PU AR 97</t>
  </si>
  <si>
    <t>108151</t>
  </si>
  <si>
    <t>ZONE ALL PURPOSE SILICONE LUBRICANT 400ML</t>
  </si>
  <si>
    <t>102052</t>
  </si>
  <si>
    <t>fineline 10mm x 55m</t>
  </si>
  <si>
    <t>108666</t>
  </si>
  <si>
    <t>test1</t>
  </si>
  <si>
    <t>108687</t>
  </si>
  <si>
    <t>test2</t>
  </si>
  <si>
    <t>108688</t>
  </si>
  <si>
    <t>ASUKI FA5868_ASKFT AIR FILTER</t>
  </si>
  <si>
    <t>111397</t>
  </si>
  <si>
    <t>ASUKI FA5895V_ASKFT AIR FILTER</t>
  </si>
  <si>
    <t>111398</t>
  </si>
  <si>
    <t>ASUKI MF5128MS_ASKBP BRAKE PAD FRONT</t>
  </si>
  <si>
    <t>111399</t>
  </si>
  <si>
    <t xml:space="preserve"> UNIT</t>
  </si>
  <si>
    <t>ASUKI WHEEL CYLINDER ASSY WCA-6556</t>
  </si>
  <si>
    <t>111510</t>
  </si>
  <si>
    <t>Asuki Brake Pad FR Alphard MF-2265-S</t>
  </si>
  <si>
    <t>111495</t>
  </si>
  <si>
    <t>Asuki Filter Udara Alphard/Vellfire FA-2022</t>
  </si>
  <si>
    <t>111494</t>
  </si>
  <si>
    <t>BENDIX Brake Pad BS 5018 / DS 6741 Rear</t>
  </si>
  <si>
    <t>110344</t>
  </si>
  <si>
    <t>BENDIX Brake Pad BS 5052 / DS 0808 Rear</t>
  </si>
  <si>
    <t>110002</t>
  </si>
  <si>
    <t>BENDIX Brake Pad BS 5116 / DS 1264 Rear</t>
  </si>
  <si>
    <t>110118</t>
  </si>
  <si>
    <t>BENDIX Brake Pad DB 1335 Front</t>
  </si>
  <si>
    <t>110022</t>
  </si>
  <si>
    <t>BENDIX Brake Pad DB 1390 Rear</t>
  </si>
  <si>
    <t>110293</t>
  </si>
  <si>
    <t>BENDIX Brake Pad DB 1393 Front</t>
  </si>
  <si>
    <t>110735</t>
  </si>
  <si>
    <t>BENDIX Brake Pad DB 1460 Front</t>
  </si>
  <si>
    <t>110035</t>
  </si>
  <si>
    <t>BENDIX Brake Pad DB 1774 Front</t>
  </si>
  <si>
    <t>110274</t>
  </si>
  <si>
    <t>BENDIX Brake Pad DB 1843 Front</t>
  </si>
  <si>
    <t>110275</t>
  </si>
  <si>
    <t>BENDIX Brake Pad DB 2245 Rear</t>
  </si>
  <si>
    <t>110205</t>
  </si>
  <si>
    <t>BENDIX Brake Pad DB 2434 Front</t>
  </si>
  <si>
    <t>110134</t>
  </si>
  <si>
    <t>BENDIX Brake Pad DB 2522 Front</t>
  </si>
  <si>
    <t>110243</t>
  </si>
  <si>
    <t>BENDIX Brake Pad DB 2587 Front</t>
  </si>
  <si>
    <t>110245</t>
  </si>
  <si>
    <t>BOSCH Air Filter A 2136</t>
  </si>
  <si>
    <t>108115</t>
  </si>
  <si>
    <t>BOSCH Air Filter S 0427</t>
  </si>
  <si>
    <t>108116</t>
  </si>
  <si>
    <t>BOSCH Air Filter S 3059</t>
  </si>
  <si>
    <t>108114</t>
  </si>
  <si>
    <t>BOSCH Battery AMS +E110 100D23L 12V-70Ah</t>
  </si>
  <si>
    <t>109857</t>
  </si>
  <si>
    <t>BOSCH Battery MF Blue NS40ZL 40B19L 12V</t>
  </si>
  <si>
    <t>102134</t>
  </si>
  <si>
    <t>BOSCH Battery MF Blue NX100-S6 55B24R 12V-45Ah</t>
  </si>
  <si>
    <t>109886</t>
  </si>
  <si>
    <t>BOSCH Battery MF Blue NX11005L 80D26L 12V-70Ah</t>
  </si>
  <si>
    <t>102130</t>
  </si>
  <si>
    <t>BOSCH Battery MF Hightech AGM DIN70 LN3 12V-70Ah</t>
  </si>
  <si>
    <t>108121</t>
  </si>
  <si>
    <t>BOSCH Brake Disc 0986479A98 - BD2158</t>
  </si>
  <si>
    <t>107797</t>
  </si>
  <si>
    <t>BOSCH Brake Disc 0986479R24 - BD1759</t>
  </si>
  <si>
    <t>101908</t>
  </si>
  <si>
    <t>BOSCH Brake Disc 0986479R46 - BD1781</t>
  </si>
  <si>
    <t>101945</t>
  </si>
  <si>
    <t>BOSCH Brake Disc 0986AB5589 - BD5261S-Rear</t>
  </si>
  <si>
    <t>101894</t>
  </si>
  <si>
    <t>BOSCH Brake Disc 0986AB9779 - BD9726S-Front</t>
  </si>
  <si>
    <t>101868</t>
  </si>
  <si>
    <t>BOSCH Brake Disc 0986AB9822 - BD9822 /PBR2718-Front</t>
  </si>
  <si>
    <t>108135</t>
  </si>
  <si>
    <t>BOSCH Brake Disc 0986AB9826 - BD9826-Front</t>
  </si>
  <si>
    <t>101870</t>
  </si>
  <si>
    <t>BOSCH Brake Pad 0986AB1704 /BP1704 Front</t>
  </si>
  <si>
    <t>107765</t>
  </si>
  <si>
    <t>BOSCH Cabin Filter AP-H09</t>
  </si>
  <si>
    <t>101852</t>
  </si>
  <si>
    <t>BOSCH Cabin Filter S 4454</t>
  </si>
  <si>
    <t>102048</t>
  </si>
  <si>
    <t>BOSCH HALF MICRO RELAY 12V 20A 4 PINS (0986AH0091)</t>
  </si>
  <si>
    <t>107927</t>
  </si>
  <si>
    <t>BOSCH HALF MICRO RELAY 12V 20A 4 PINS (0986AH0092)</t>
  </si>
  <si>
    <t>107928</t>
  </si>
  <si>
    <t>BOSCH HORN EC12C STRIDER</t>
  </si>
  <si>
    <t>101814</t>
  </si>
  <si>
    <t>BOSCH LIGHT BULB PLUS 120 H4 12V 60 / 55W</t>
  </si>
  <si>
    <t>110682</t>
  </si>
  <si>
    <t>BOSCH Light Bulb H4 12V 100/90W -P43t ECO</t>
  </si>
  <si>
    <t>101729</t>
  </si>
  <si>
    <t>BOSCH Light Bulb H4 12V 130/90W -P43t Rallye</t>
  </si>
  <si>
    <t>110613</t>
  </si>
  <si>
    <t>BOSCH Light Bulb H4 12V 60/55W -P43t ECO</t>
  </si>
  <si>
    <t>110657</t>
  </si>
  <si>
    <t>BOSCH Light Bulb H7 12V 55W -PX26d Sportec Bright</t>
  </si>
  <si>
    <t>101879</t>
  </si>
  <si>
    <t>BOSCH Light Bulb HB3 12V 60W -P20d ECO</t>
  </si>
  <si>
    <t>102044</t>
  </si>
  <si>
    <t>BOSCH Light Bulb HB4 12V 51W -P22d ECO</t>
  </si>
  <si>
    <t>102045</t>
  </si>
  <si>
    <t>BOSCH Light Bulb P21W 12V 21W -BA15s Auxiliary</t>
  </si>
  <si>
    <t>101725</t>
  </si>
  <si>
    <t>BOSCH Oil Filter O 0203</t>
  </si>
  <si>
    <t>109785</t>
  </si>
  <si>
    <t>BOSCH Oil Filter O 1507</t>
  </si>
  <si>
    <t>102312</t>
  </si>
  <si>
    <t>BOSCH Oil Filter P 9762</t>
  </si>
  <si>
    <t>109799</t>
  </si>
  <si>
    <t>BOSCH SPARK PLUG YR7DPP30 - Platinum</t>
  </si>
  <si>
    <t>110459</t>
  </si>
  <si>
    <t>BOSCH Spark Plug F6TC(W8DC) - Standard</t>
  </si>
  <si>
    <t>109893</t>
  </si>
  <si>
    <t>BOSCH Spark Plug FR8DII33X - Iridium</t>
  </si>
  <si>
    <t>101804</t>
  </si>
  <si>
    <t>BOSCH Spark Plug VR7NII33X - Iridium</t>
  </si>
  <si>
    <t>101796</t>
  </si>
  <si>
    <t>BOSCH Spark Plug VR8SII30X - Iridium</t>
  </si>
  <si>
    <t>101807</t>
  </si>
  <si>
    <t>BOSCH Wiper Aerotwin (Set) A514S</t>
  </si>
  <si>
    <t>102344</t>
  </si>
  <si>
    <t>BOSCH Wiper Aerotwin Plus 24 inch AP600U</t>
  </si>
  <si>
    <t>101837</t>
  </si>
  <si>
    <t>BRIDGESTONE TIRE Dueler A/T 002 265/60R18 114S</t>
  </si>
  <si>
    <t>101671</t>
  </si>
  <si>
    <t>BRIDGESTONE TIRE Dueler H/T 470 225/65R17 102T-OEM</t>
  </si>
  <si>
    <t>101673</t>
  </si>
  <si>
    <t>BRIDGESTONE TIRE Techno 185/55R15 82H</t>
  </si>
  <si>
    <t>101685</t>
  </si>
  <si>
    <t>BRIDGESTONE TIRE Turanza 6 205/60R16 96W</t>
  </si>
  <si>
    <t>101692</t>
  </si>
  <si>
    <t>BRIDGESTONE TIRE Turanza 6 235/55R18 100V</t>
  </si>
  <si>
    <t>101694</t>
  </si>
  <si>
    <t>BRIDGESTONE TIRE Turanza T005A 215/55R18 95V-OEM</t>
  </si>
  <si>
    <t>109073</t>
  </si>
  <si>
    <t>CABIN AIR FILTER FORD ECO SPORT (B 1860 URV)</t>
  </si>
  <si>
    <t>108443</t>
  </si>
  <si>
    <t>101753</t>
  </si>
  <si>
    <t>CASTROL Engine Oil MAGNATEC SUV 5W-40 4L</t>
  </si>
  <si>
    <t>101907</t>
  </si>
  <si>
    <t>CHEVROLET OIL FILTER AVEO</t>
  </si>
  <si>
    <t>108640</t>
  </si>
  <si>
    <t>DENSO Air Filter DXA-1014</t>
  </si>
  <si>
    <t>108335</t>
  </si>
  <si>
    <t>DENSO Air Filter DXA-1037</t>
  </si>
  <si>
    <t>108349</t>
  </si>
  <si>
    <t>DENSO Air Filter DXA-1050</t>
  </si>
  <si>
    <t>109829</t>
  </si>
  <si>
    <t>DENSO Air Filter DXA-1053</t>
  </si>
  <si>
    <t>109831</t>
  </si>
  <si>
    <t>DENSO Air Filter DXA-1056</t>
  </si>
  <si>
    <t>108362</t>
  </si>
  <si>
    <t>DENSO Cabin Filter 145520-5840</t>
  </si>
  <si>
    <t>102214</t>
  </si>
  <si>
    <t>DENSO Oil Filter DXE-1004</t>
  </si>
  <si>
    <t>109803</t>
  </si>
  <si>
    <t>DENSO Oil Filter DXE-1022</t>
  </si>
  <si>
    <t>102217</t>
  </si>
  <si>
    <t>DENSO Spark Plug IK20TT - Iridium</t>
  </si>
  <si>
    <t>108290</t>
  </si>
  <si>
    <t>DENSO Spark Plug IXU22 - Iridium</t>
  </si>
  <si>
    <t>108313</t>
  </si>
  <si>
    <t>DENSO Spark Plug IXU27 - Iridium</t>
  </si>
  <si>
    <t>108302</t>
  </si>
  <si>
    <t>FABBER Shock Support F-DSM-001</t>
  </si>
  <si>
    <t>110467</t>
  </si>
  <si>
    <t>FABBER Shock Support F-DSM-007</t>
  </si>
  <si>
    <t>110470</t>
  </si>
  <si>
    <t>FABBER Shock Support F-DSM-008</t>
  </si>
  <si>
    <t>110471</t>
  </si>
  <si>
    <t>FABBER Shock Support F-HSM-003</t>
  </si>
  <si>
    <t>101790</t>
  </si>
  <si>
    <t>FABBER Shock Support F-MSM-002</t>
  </si>
  <si>
    <t>110509</t>
  </si>
  <si>
    <t>FABBER Shock Support F-NSM-001</t>
  </si>
  <si>
    <t>107810</t>
  </si>
  <si>
    <t>FABBER Shock Support F-NSM-002</t>
  </si>
  <si>
    <t>107811</t>
  </si>
  <si>
    <t>FABBER Shock Support F-SSM-007</t>
  </si>
  <si>
    <t>101815</t>
  </si>
  <si>
    <t>FABBER Shock Support F-SSM-013</t>
  </si>
  <si>
    <t>110542</t>
  </si>
  <si>
    <t>FABBER Shock Support F-TSM-003</t>
  </si>
  <si>
    <t>110549</t>
  </si>
  <si>
    <t>FABBER Shock Support F-TSM-017</t>
  </si>
  <si>
    <t>101812</t>
  </si>
  <si>
    <t>FABBER Shock Support F-TSM-020</t>
  </si>
  <si>
    <t>110556</t>
  </si>
  <si>
    <t>FABBER Shock Support F-TSM-025</t>
  </si>
  <si>
    <t>101783</t>
  </si>
  <si>
    <t>Filter AC B2327STI</t>
  </si>
  <si>
    <t>111538</t>
  </si>
  <si>
    <t>GLOSSXPERT MICROFIBER DETAILING CLOTH-RED</t>
  </si>
  <si>
    <t>108464</t>
  </si>
  <si>
    <t>GOODYEAR TIRE Assurance Maxguard 185/65R15 84H</t>
  </si>
  <si>
    <t>109280</t>
  </si>
  <si>
    <t>GOODYEAR TIRE Assurance Maxguard 215/55R17 94V</t>
  </si>
  <si>
    <t>109297</t>
  </si>
  <si>
    <t>GTRADIAL TIRE Champiro Ecotec* 185/55R15 -</t>
  </si>
  <si>
    <t>109487</t>
  </si>
  <si>
    <t>GTRADIAL TIRE Champiro Ecotec* 205/65R15 -</t>
  </si>
  <si>
    <t>109503</t>
  </si>
  <si>
    <t>GTRADIAL TIRE Champiro Luxe 205/55R16 -</t>
  </si>
  <si>
    <t>109591</t>
  </si>
  <si>
    <t>GTRADIAL TIRE Savero SUV 215/55R17 -</t>
  </si>
  <si>
    <t>109699</t>
  </si>
  <si>
    <t>HEIKER RACK STEER H-HRT-005</t>
  </si>
  <si>
    <t>102021</t>
  </si>
  <si>
    <t>HEIKER RACK STEER H-MRT-008</t>
  </si>
  <si>
    <t>102026</t>
  </si>
  <si>
    <t>HEIKER RACK STEER H-MZRT-001</t>
  </si>
  <si>
    <t>102016</t>
  </si>
  <si>
    <t>HEIKER RACK STEER H-SRT-005</t>
  </si>
  <si>
    <t>102011</t>
  </si>
  <si>
    <t>HEIKER RACK STEER H-TRT-043</t>
  </si>
  <si>
    <t>102025</t>
  </si>
  <si>
    <t>HYUNDAI AIR FILTER 281134H000</t>
  </si>
  <si>
    <t>111223</t>
  </si>
  <si>
    <t>HYUNDAI CABIN FILTER AC 976174H900</t>
  </si>
  <si>
    <t>111221</t>
  </si>
  <si>
    <t>Heat Guard Pro</t>
  </si>
  <si>
    <t>111533</t>
  </si>
  <si>
    <t>INCHEMOTO Engine Flush- 300ml</t>
  </si>
  <si>
    <t>107779</t>
  </si>
  <si>
    <t>LOWER ARM B1821SML</t>
  </si>
  <si>
    <t>111511</t>
  </si>
  <si>
    <t>MERCY OIL FILTER (A2761800009)</t>
  </si>
  <si>
    <t>111280</t>
  </si>
  <si>
    <t>MOBIL Engine Oil Super AIO PROTECTION 5W-40 1L</t>
  </si>
  <si>
    <t>110932</t>
  </si>
  <si>
    <t>MONROE Shock Absorber 378030SP Rear</t>
  </si>
  <si>
    <t>101920</t>
  </si>
  <si>
    <t>MONROE Shock Absorber 378039SP Rear</t>
  </si>
  <si>
    <t>101901</t>
  </si>
  <si>
    <t>MONROE Shock Absorber 378041SP Rear</t>
  </si>
  <si>
    <t>107808</t>
  </si>
  <si>
    <t>MONROE Shock Absorber 378046SP Rear</t>
  </si>
  <si>
    <t>101912</t>
  </si>
  <si>
    <t>MONROE Shock Absorber 378053SP Rear</t>
  </si>
  <si>
    <t>108791</t>
  </si>
  <si>
    <t>MONROE Shock Absorber 378062SP Rear</t>
  </si>
  <si>
    <t>108711</t>
  </si>
  <si>
    <t>MONROE Shock Absorber 378069SP Rear</t>
  </si>
  <si>
    <t>101938</t>
  </si>
  <si>
    <t>MONROE Shock Absorber 378088SP Rear</t>
  </si>
  <si>
    <t>101931</t>
  </si>
  <si>
    <t>MONROE Shock Absorber 378094SP Rear</t>
  </si>
  <si>
    <t>101891</t>
  </si>
  <si>
    <t>MONROE Shock Absorber 378096SP Rear</t>
  </si>
  <si>
    <t>101905</t>
  </si>
  <si>
    <t>MONROE Shock Absorber 378097SP Rear</t>
  </si>
  <si>
    <t>107804</t>
  </si>
  <si>
    <t>MONROE Shock Absorber 378105SP Rear</t>
  </si>
  <si>
    <t>101917</t>
  </si>
  <si>
    <t>MONROE Shock Absorber 378153SP Rear</t>
  </si>
  <si>
    <t>101925</t>
  </si>
  <si>
    <t>MONROE Shock Absorber 378184SP Rear</t>
  </si>
  <si>
    <t>101930</t>
  </si>
  <si>
    <t>MONROE Shock Absorber 378185SP Rear</t>
  </si>
  <si>
    <t>101939</t>
  </si>
  <si>
    <t>MONROE Shock Absorber 378191SP Rear</t>
  </si>
  <si>
    <t>101918</t>
  </si>
  <si>
    <t>MONROE Shock Absorber 378197SP Rear</t>
  </si>
  <si>
    <t>101903</t>
  </si>
  <si>
    <t>MONROE Shock Absorber 378259SP Rear</t>
  </si>
  <si>
    <t>107805</t>
  </si>
  <si>
    <t>MONROE Shock Absorber 378290SP Rear</t>
  </si>
  <si>
    <t>107803</t>
  </si>
  <si>
    <t>MONROE Shock Absorber 378311SP Rear</t>
  </si>
  <si>
    <t>101914</t>
  </si>
  <si>
    <t>MONROE Shock Absorber 744000SP Front-RH</t>
  </si>
  <si>
    <t>101981</t>
  </si>
  <si>
    <t>MONROE Shock Absorber 744001SP Front-LH</t>
  </si>
  <si>
    <t>101982</t>
  </si>
  <si>
    <t>MONROE Shock Absorber 744053SP Front</t>
  </si>
  <si>
    <t>101958</t>
  </si>
  <si>
    <t>MONROE Shock Absorber 744056SP Front</t>
  </si>
  <si>
    <t>108723</t>
  </si>
  <si>
    <t>MONROE Shock Absorber 744066SP Front-RH</t>
  </si>
  <si>
    <t>101962</t>
  </si>
  <si>
    <t>MONROE Shock Absorber 744067SP Front-LH</t>
  </si>
  <si>
    <t>101963</t>
  </si>
  <si>
    <t>MONROE Shock Absorber 744088SP Front-RH</t>
  </si>
  <si>
    <t>108749</t>
  </si>
  <si>
    <t>MONROE Shock Absorber 744089SP Front-LH</t>
  </si>
  <si>
    <t>108750</t>
  </si>
  <si>
    <t>MONROE Shock Absorber 744132SP Front-RH</t>
  </si>
  <si>
    <t>101989</t>
  </si>
  <si>
    <t>MONROE Shock Absorber 744133SP Front-LH</t>
  </si>
  <si>
    <t>101990</t>
  </si>
  <si>
    <t>MONROE Shock Absorber 744148SP Rear-RH</t>
  </si>
  <si>
    <t>108419</t>
  </si>
  <si>
    <t>MONROE Shock Absorber 744149SP Rear-LH</t>
  </si>
  <si>
    <t>108418</t>
  </si>
  <si>
    <t>MONROE Shock Absorber 744192SP Front-RH</t>
  </si>
  <si>
    <t>101970</t>
  </si>
  <si>
    <t>MONROE Shock Absorber 744193SP Front-LH</t>
  </si>
  <si>
    <t>101971</t>
  </si>
  <si>
    <t>MONROE Shock Absorber 744213SP Front</t>
  </si>
  <si>
    <t>101961</t>
  </si>
  <si>
    <t>MONROE Shock Absorber 744216SP Front-RH</t>
  </si>
  <si>
    <t>101972</t>
  </si>
  <si>
    <t>MONROE Shock Absorber 744217SP Front-LH</t>
  </si>
  <si>
    <t>101973</t>
  </si>
  <si>
    <t>MONROE Shock Absorber 744234SP Front-RH</t>
  </si>
  <si>
    <t>101999</t>
  </si>
  <si>
    <t>MONROE Shock Absorber 744235SP Front-LH</t>
  </si>
  <si>
    <t>102000</t>
  </si>
  <si>
    <t>MONROE Shock Absorber 744252SP Front-RH</t>
  </si>
  <si>
    <t>101985</t>
  </si>
  <si>
    <t>MONROE Shock Absorber 744253SP Front-LH</t>
  </si>
  <si>
    <t>101986</t>
  </si>
  <si>
    <t>MONROE Shock Absorber 744258SP Front-RH</t>
  </si>
  <si>
    <t>108766</t>
  </si>
  <si>
    <t>MONROE Shock Absorber 744259SP Front-LH</t>
  </si>
  <si>
    <t>108767</t>
  </si>
  <si>
    <t>MONROE Shock Absorber 744270SP Front-RH</t>
  </si>
  <si>
    <t>108785</t>
  </si>
  <si>
    <t>MONROE Shock Absorber 744271SP Front-LH</t>
  </si>
  <si>
    <t>108786</t>
  </si>
  <si>
    <t>MONROE Shock Absorber 744290SP Front-RH</t>
  </si>
  <si>
    <t>108728</t>
  </si>
  <si>
    <t>MONROE Shock Absorber 744291SP Front-LH</t>
  </si>
  <si>
    <t>108729</t>
  </si>
  <si>
    <t>MONROE Shock Absorber 744292SP Rear-RH</t>
  </si>
  <si>
    <t>108730</t>
  </si>
  <si>
    <t>MONROE Shock Absorber 744293SP Rear-LH</t>
  </si>
  <si>
    <t>108731</t>
  </si>
  <si>
    <t>MONROE Shock Absorber 744298SP Rear</t>
  </si>
  <si>
    <t>101927</t>
  </si>
  <si>
    <t>MONROE Shock Absorber 744320SP Front-RH</t>
  </si>
  <si>
    <t>101997</t>
  </si>
  <si>
    <t>MONROE Shock Absorber 744321SP Front-LH</t>
  </si>
  <si>
    <t>101998</t>
  </si>
  <si>
    <t>MONROE Shock Absorber 744354SP Rear</t>
  </si>
  <si>
    <t>101929</t>
  </si>
  <si>
    <t>MONROE Shock Absorber 744372SP Front-RH</t>
  </si>
  <si>
    <t>101987</t>
  </si>
  <si>
    <t>MONROE Shock Absorber 744373SP Front-LH</t>
  </si>
  <si>
    <t>101988</t>
  </si>
  <si>
    <t>MONROE Shock Absorber 744396SP Front-RH</t>
  </si>
  <si>
    <t>102006</t>
  </si>
  <si>
    <t>MONROE Shock Absorber 744397SP Front-LH</t>
  </si>
  <si>
    <t>102007</t>
  </si>
  <si>
    <t>MONROE Shock Absorber 744402SP Front-RH</t>
  </si>
  <si>
    <t>108745</t>
  </si>
  <si>
    <t>MONROE Shock Absorber 744403SP Front-LH</t>
  </si>
  <si>
    <t>108746</t>
  </si>
  <si>
    <t>MONROE Shock Absorber 744414SP Front-RH</t>
  </si>
  <si>
    <t>101995</t>
  </si>
  <si>
    <t>MONROE Shock Absorber 744415SP Front-LH</t>
  </si>
  <si>
    <t>101996</t>
  </si>
  <si>
    <t>MONROE Shock Absorber 744416SP Front-RH</t>
  </si>
  <si>
    <t>101974</t>
  </si>
  <si>
    <t>MONROE Shock Absorber 744417SP Front-LH</t>
  </si>
  <si>
    <t>101975</t>
  </si>
  <si>
    <t>MONROE Shock Absorber 744436SP Front-RH</t>
  </si>
  <si>
    <t>108789</t>
  </si>
  <si>
    <t>MONROE Shock Absorber 744437SP Front-LH</t>
  </si>
  <si>
    <t>108790</t>
  </si>
  <si>
    <t>MONROE Shock Absorber 744438SP Front-RH</t>
  </si>
  <si>
    <t>101943</t>
  </si>
  <si>
    <t>MONROE Shock Absorber 744439SP Front-LH</t>
  </si>
  <si>
    <t>101944</t>
  </si>
  <si>
    <t>MONROE Shock Absorber 744444SP Rear</t>
  </si>
  <si>
    <t>101904</t>
  </si>
  <si>
    <t>MONROE Shock Absorber 744445SP Front</t>
  </si>
  <si>
    <t>108801</t>
  </si>
  <si>
    <t>MONROE Shock Absorber 744450SP Front-RH</t>
  </si>
  <si>
    <t>108732</t>
  </si>
  <si>
    <t>MONROE Shock Absorber 744451SP Front-LH</t>
  </si>
  <si>
    <t>108733</t>
  </si>
  <si>
    <t>MONROE Shock Absorber 744466SP Front-RH</t>
  </si>
  <si>
    <t>101956</t>
  </si>
  <si>
    <t>MONROE Shock Absorber 744467SP Front-LH</t>
  </si>
  <si>
    <t>101957</t>
  </si>
  <si>
    <t>MONROE Shock Absorber 744640SP Front-RH</t>
  </si>
  <si>
    <t>102004</t>
  </si>
  <si>
    <t>MONROE Shock Absorber 744641SP Front-LH</t>
  </si>
  <si>
    <t>102005</t>
  </si>
  <si>
    <t>MONROE Shock Absorber 744682SP Front-RH</t>
  </si>
  <si>
    <t>101980</t>
  </si>
  <si>
    <t>MONROE Shock Absorber 744683SP Front-LH</t>
  </si>
  <si>
    <t>101966</t>
  </si>
  <si>
    <t>101806</t>
  </si>
  <si>
    <t>MOTUL Engine Oil H-TECH 100 Plus 5W-30 4L</t>
  </si>
  <si>
    <t>110936</t>
  </si>
  <si>
    <t>MOTUL Engine Oil MUGEN  MS-A 5W-30 1L</t>
  </si>
  <si>
    <t>101811</t>
  </si>
  <si>
    <t>SEAL KIT B1821SML</t>
  </si>
  <si>
    <t>111513</t>
  </si>
  <si>
    <t>SGP AIR FILTER ALL NEW ERTIGA 13780-73R00-000</t>
  </si>
  <si>
    <t>111519</t>
  </si>
  <si>
    <t>SHELL Engine Oil HELIX CITY 0W-20 4L</t>
  </si>
  <si>
    <t>108280</t>
  </si>
  <si>
    <t>SHELL Engine Oil HELIX HX6 10W-40 4L</t>
  </si>
  <si>
    <t>108108</t>
  </si>
  <si>
    <t>SHELL Engine Oil HELIX Ultra SQ 0W-20 1L</t>
  </si>
  <si>
    <t>111282</t>
  </si>
  <si>
    <t>SHELL Engine Oil HELIX Ultra SQ 0W-20 4L</t>
  </si>
  <si>
    <t>111281</t>
  </si>
  <si>
    <t xml:space="preserve"> 4 Box 36 pcs</t>
  </si>
  <si>
    <t>SMARTWEIGHT BALANCING KETOK 10 gr</t>
  </si>
  <si>
    <t>111411</t>
  </si>
  <si>
    <t xml:space="preserve"> Box</t>
  </si>
  <si>
    <t>SMARTWEIGHT BALANCING KETOK 15 gr</t>
  </si>
  <si>
    <t>111412</t>
  </si>
  <si>
    <t>SMARTWEIGHT BALANCING KETOK 20 gr</t>
  </si>
  <si>
    <t>111413</t>
  </si>
  <si>
    <t>SMARTWEIGHT BALANCING KETOK 25 gr</t>
  </si>
  <si>
    <t>111420</t>
  </si>
  <si>
    <t>SMARTWEIGHT BALANCING KETOK 30 gr</t>
  </si>
  <si>
    <t>111421</t>
  </si>
  <si>
    <t>SMARTWEIGHT BALANCING KETOK 35gr</t>
  </si>
  <si>
    <t>111422</t>
  </si>
  <si>
    <t>SMARTWEIGHT BALANCING KETOK 5 gr</t>
  </si>
  <si>
    <t>111410</t>
  </si>
  <si>
    <t>STOPPER SHOCK FR B1821SML</t>
  </si>
  <si>
    <t>111512</t>
  </si>
  <si>
    <t>Tire Promo-Bridgestone TIRE Turanza 6 215/65R16</t>
  </si>
  <si>
    <t>101693</t>
  </si>
  <si>
    <t>Universal WiringHarness KIT Horn (XT SERIES) MX AUTOMOTIVE</t>
  </si>
  <si>
    <t>107880</t>
  </si>
  <si>
    <t>n-shield Crystal Guard Advance 7G</t>
  </si>
  <si>
    <t>108832</t>
  </si>
  <si>
    <t>n-shield Crystal Guard Advance 7M</t>
  </si>
  <si>
    <t>108833</t>
  </si>
  <si>
    <t>n-shield Crystal Guard Lite 5G</t>
  </si>
  <si>
    <t>108830</t>
  </si>
  <si>
    <t>n-shield Crystal Guard Lite 5G P</t>
  </si>
  <si>
    <t>108831</t>
  </si>
  <si>
    <t>n-shield Crystal Guard Metallic Black</t>
  </si>
  <si>
    <t>108837</t>
  </si>
  <si>
    <t>n-shield Crystal Guard Pro 10G</t>
  </si>
  <si>
    <t>108834</t>
  </si>
  <si>
    <t>n-shield Crystal Guard Pro 10M</t>
  </si>
  <si>
    <t>108835</t>
  </si>
  <si>
    <t>n-shield Crystal Guard Pro Crystal White</t>
  </si>
  <si>
    <t>108836</t>
  </si>
  <si>
    <t>AUTOBLUB T20 12V 21/5W</t>
  </si>
  <si>
    <t>109734</t>
  </si>
  <si>
    <t>BENDIX Brake Pad DB 1802 Front</t>
  </si>
  <si>
    <t>110215</t>
  </si>
  <si>
    <t>BENDIX Brake Pad DB 2174 Front</t>
  </si>
  <si>
    <t>110287</t>
  </si>
  <si>
    <t>BENDIX Brake Pad DB 2490 Front</t>
  </si>
  <si>
    <t>110283</t>
  </si>
  <si>
    <t>BOSCH Air Filter S 0015</t>
  </si>
  <si>
    <t>107758</t>
  </si>
  <si>
    <t>BOSCH BRAKE PAD BP9155N</t>
  </si>
  <si>
    <t>101862</t>
  </si>
  <si>
    <t>BOSCH Battery AMS 55B19L 12V-41Ah</t>
  </si>
  <si>
    <t>109852</t>
  </si>
  <si>
    <t>BOSCH Battery AMS 55B19R 12V-41Ah</t>
  </si>
  <si>
    <t>109853</t>
  </si>
  <si>
    <t>BOSCH Battery AMS 75B24L 12V-55Ah</t>
  </si>
  <si>
    <t>109855</t>
  </si>
  <si>
    <t>BOSCH Battery AMS 75B24LS 12V</t>
  </si>
  <si>
    <t>109854</t>
  </si>
  <si>
    <t>BOSCH Battery AMS 75B24R 12V-55Ah</t>
  </si>
  <si>
    <t>109856</t>
  </si>
  <si>
    <t>BOSCH Battery AMS DIN45  545.042 12V-45Ah</t>
  </si>
  <si>
    <t>109863</t>
  </si>
  <si>
    <t>BOSCH Battery AMS DIN62 562.051 12V-62Ah</t>
  </si>
  <si>
    <t>109866</t>
  </si>
  <si>
    <t>BOSCH Battery MF Blue 55559 12V-55Ah</t>
  </si>
  <si>
    <t>108122</t>
  </si>
  <si>
    <t>BOSCH Battery MF Blue 55D23L 12V-60Ah</t>
  </si>
  <si>
    <t>102131</t>
  </si>
  <si>
    <t>BOSCH Battery MF Blue 57220 12V-72Ah</t>
  </si>
  <si>
    <t>109880</t>
  </si>
  <si>
    <t>BOSCH Battery MF Blue 58014 12V-80Ah</t>
  </si>
  <si>
    <t>109889</t>
  </si>
  <si>
    <t>BOSCH Battery MF Blue 58024 12V-74Ah</t>
  </si>
  <si>
    <t>109851</t>
  </si>
  <si>
    <t>BOSCH Battery MF Blue 80D23L 12V-70Ah</t>
  </si>
  <si>
    <t>108128</t>
  </si>
  <si>
    <t>BOSCH Battery MF Blue DIN100 60044 12V-100Ah</t>
  </si>
  <si>
    <t>109846</t>
  </si>
  <si>
    <t>BOSCH Battery MF Blue NS40Z 40B19R 12V</t>
  </si>
  <si>
    <t>102133</t>
  </si>
  <si>
    <t>BOSCH Battery MF Blue NS60L 46B24L 12V-42Ah</t>
  </si>
  <si>
    <t>102135</t>
  </si>
  <si>
    <t>BOSCH Battery MF Blue NX120-7 95D31R 12V-85Ah</t>
  </si>
  <si>
    <t>108127</t>
  </si>
  <si>
    <t>BOSCH Battery MF EFB Q85 ISS-65A 95D23L 12V</t>
  </si>
  <si>
    <t>109871</t>
  </si>
  <si>
    <t>BOSCH Brake Disc 0986479U61 - BD2312</t>
  </si>
  <si>
    <t>101888</t>
  </si>
  <si>
    <t>BOSCH Brake Pad 0986AB1362 /BP1362 Front</t>
  </si>
  <si>
    <t>110125</t>
  </si>
  <si>
    <t>BOSCH Brake Pad 0986AB1612 -</t>
  </si>
  <si>
    <t>110116</t>
  </si>
  <si>
    <t>BOSCH Brake Pad 0986AB1698 Rear</t>
  </si>
  <si>
    <t>109951</t>
  </si>
  <si>
    <t>BOSCH Brake Pad 0986AB1722 Front</t>
  </si>
  <si>
    <t>110001</t>
  </si>
  <si>
    <t>BOSCH Brake Pad 0986AB1796 Front</t>
  </si>
  <si>
    <t>110307</t>
  </si>
  <si>
    <t>BOSCH Brake Pad 0986AB3145 Front</t>
  </si>
  <si>
    <t>110194</t>
  </si>
  <si>
    <t>BOSCH Brake Pad 0986T11321 Front</t>
  </si>
  <si>
    <t>110219</t>
  </si>
  <si>
    <t>BOSCH Brake Pad 0986T18179 Front</t>
  </si>
  <si>
    <t>110063</t>
  </si>
  <si>
    <t>BOSCH Cabin Filter AP-N06</t>
  </si>
  <si>
    <t>110382</t>
  </si>
  <si>
    <t>BOSCH Cabin Filter AP-T07</t>
  </si>
  <si>
    <t>101843</t>
  </si>
  <si>
    <t>BOSCH Cabin Filter C 5865</t>
  </si>
  <si>
    <t>110378</t>
  </si>
  <si>
    <t>BOSCH HORN H3F DIGITAL FANFARE</t>
  </si>
  <si>
    <t>110757</t>
  </si>
  <si>
    <t>BOSCH HORN PHANTOM BLACK FANFARE</t>
  </si>
  <si>
    <t>110756</t>
  </si>
  <si>
    <t>BOSCH LIGHT BULB PLUS 120 H7 12V 55W PX26D</t>
  </si>
  <si>
    <t>110683</t>
  </si>
  <si>
    <t>BOSCH Light Bulb C5W 12V 5W -SV8,5-8 ECO Auxiliary</t>
  </si>
  <si>
    <t>110661</t>
  </si>
  <si>
    <t>BOSCH Light Bulb H1 12V 100W -P14.5s Rallye</t>
  </si>
  <si>
    <t>110609</t>
  </si>
  <si>
    <t>BOSCH Light Bulb H1 12V 55W -P14.5s ECO</t>
  </si>
  <si>
    <t>101768</t>
  </si>
  <si>
    <t>BOSCH Light Bulb H1 24V 100W -P14.5s Trucklight</t>
  </si>
  <si>
    <t>110641</t>
  </si>
  <si>
    <t>BOSCH Light Bulb H1 24V 70W -P14.5s ECO</t>
  </si>
  <si>
    <t>110666</t>
  </si>
  <si>
    <t>BOSCH Light Bulb H11 12V 55W -PGJ19-2 ECO</t>
  </si>
  <si>
    <t>110660</t>
  </si>
  <si>
    <t>BOSCH Light Bulb H11 24V 70W -PGJ19-2 Trucklight</t>
  </si>
  <si>
    <t>110680</t>
  </si>
  <si>
    <t>BOSCH Light Bulb H16 12V 19W -PGJ19-3 Standard-Clear</t>
  </si>
  <si>
    <t>102043</t>
  </si>
  <si>
    <t>BOSCH Light Bulb H3 12V 100W -PK22s Rallye</t>
  </si>
  <si>
    <t>110611</t>
  </si>
  <si>
    <t>BOSCH Light Bulb H3 12V 55W -PK22s ECO</t>
  </si>
  <si>
    <t>110656</t>
  </si>
  <si>
    <t>BOSCH Light Bulb H3 24V 100W -PK22s Trucklight</t>
  </si>
  <si>
    <t>110643</t>
  </si>
  <si>
    <t>BOSCH Light Bulb H3 24V 70W -PK22s ECO</t>
  </si>
  <si>
    <t>110667</t>
  </si>
  <si>
    <t>BOSCH Light Bulb H4 24V 100/90W -P43t Trucklight</t>
  </si>
  <si>
    <t>110645</t>
  </si>
  <si>
    <t>BOSCH Light Bulb H7 12V 100W -PX26d Rallye</t>
  </si>
  <si>
    <t>110615</t>
  </si>
  <si>
    <t>BOSCH Light Bulb H7 12V 55W -PX26d ECO</t>
  </si>
  <si>
    <t>110658</t>
  </si>
  <si>
    <t>BOSCH Light Bulb H7 24V 70W -PX26d ECO</t>
  </si>
  <si>
    <t>110669</t>
  </si>
  <si>
    <t>BOSCH Light Bulb H8 12V 35W -PGJ19-1 ECO</t>
  </si>
  <si>
    <t>110659</t>
  </si>
  <si>
    <t>BOSCH Light Bulb HB3 12V 100W -P20d Rallye</t>
  </si>
  <si>
    <t>110616</t>
  </si>
  <si>
    <t>BOSCH Light Bulb HB4 12V 80W -P22d Rallye</t>
  </si>
  <si>
    <t>110617</t>
  </si>
  <si>
    <t>BOSCH Light Bulb HIR2 12V 55W -PX22d Standard-Clear 9012</t>
  </si>
  <si>
    <t>110678</t>
  </si>
  <si>
    <t>BOSCH Light Bulb P21W 24V 21W -BA15s ECO Auxiliary</t>
  </si>
  <si>
    <t>110671</t>
  </si>
  <si>
    <t>BOSCH Light Bulb PY21W 12V 21W -BAU15s ECO</t>
  </si>
  <si>
    <t>102040</t>
  </si>
  <si>
    <t>BOSCH Light Bulb R10W 12V 10W -BA15s Auxiliary</t>
  </si>
  <si>
    <t>110618</t>
  </si>
  <si>
    <t>BOSCH Light Bulb R10W 12V 10W -BA15s ECO Auxiliary</t>
  </si>
  <si>
    <t>102046</t>
  </si>
  <si>
    <t>BOSCH Light Bulb R10W 24V 10W -BA15s ECO Auxiliary</t>
  </si>
  <si>
    <t>110672</t>
  </si>
  <si>
    <t>BOSCH Light Bulb T5 12V 1,2W -W2x4,6d ECO Auxiliary</t>
  </si>
  <si>
    <t>102041</t>
  </si>
  <si>
    <t>BOSCH Light Bulb WY5W 12V 5W -W2,1x9,5d ECO Auxiliary</t>
  </si>
  <si>
    <t>110663</t>
  </si>
  <si>
    <t>BOSCH MINI RELAY 12V 30A 4 PINS 0986AH0140</t>
  </si>
  <si>
    <t>101728</t>
  </si>
  <si>
    <t>BOSCH MINI RELAY 12V 30A 5 PINS  0986AH0150</t>
  </si>
  <si>
    <t>101731</t>
  </si>
  <si>
    <t>BOSCH MINI RELAY 12V 30A 5 PINS  0986AH0250</t>
  </si>
  <si>
    <t>101732</t>
  </si>
  <si>
    <t>BOSCH Oil Filter O 0209</t>
  </si>
  <si>
    <t>109786</t>
  </si>
  <si>
    <t>BOSCH Oil Filter O 1034</t>
  </si>
  <si>
    <t>109787</t>
  </si>
  <si>
    <t>BOSCH Oil Filter O 1064</t>
  </si>
  <si>
    <t>108119</t>
  </si>
  <si>
    <t>BOSCH Oil Filter O 1076</t>
  </si>
  <si>
    <t>109791</t>
  </si>
  <si>
    <t>BOSCH Oil Filter O 1084</t>
  </si>
  <si>
    <t>109792</t>
  </si>
  <si>
    <t>BOSCH Oil Filter P 3219</t>
  </si>
  <si>
    <t>109794</t>
  </si>
  <si>
    <t>BOSCH Spark Plug FR6KI332S - Iridium</t>
  </si>
  <si>
    <t>109926</t>
  </si>
  <si>
    <t>BOSCH Spark Plug FR6MPP332 - Platinum</t>
  </si>
  <si>
    <t>109923</t>
  </si>
  <si>
    <t>BOSCH Spark Plug FR7NPP332 - Platinum</t>
  </si>
  <si>
    <t>109919</t>
  </si>
  <si>
    <t>BOSCH Spark Plug FR8DPP33+ - Platinum</t>
  </si>
  <si>
    <t>109915</t>
  </si>
  <si>
    <t>BOSCH Spark Plug Q7EC(H7DC) - Standard</t>
  </si>
  <si>
    <t>109892</t>
  </si>
  <si>
    <t>BOSCH Spark Plug YR6NPP332 - Platinum</t>
  </si>
  <si>
    <t>109912</t>
  </si>
  <si>
    <t>BOSCH Spark Plug ZR5TPP330 - Platinum</t>
  </si>
  <si>
    <t>109914</t>
  </si>
  <si>
    <t>BOSCH Spark Plug ZR6SII3320 - Iridium</t>
  </si>
  <si>
    <t>109925</t>
  </si>
  <si>
    <t>BOSCH WHEEL BRAKE CYLINDER WC-T21</t>
  </si>
  <si>
    <t>101797</t>
  </si>
  <si>
    <t>BOSCH Wiper Aerotwin Plus 15 inch AP380U</t>
  </si>
  <si>
    <t>101816</t>
  </si>
  <si>
    <t>BOSCH Wiper Aerotwin Plus 17 inch AP425U</t>
  </si>
  <si>
    <t>101827</t>
  </si>
  <si>
    <t>BOSCH Wiper Aerotwin Plus 18 inch AP450U</t>
  </si>
  <si>
    <t>101822</t>
  </si>
  <si>
    <t>BOSCH Wiper Aerotwin Plus 20 inch AP500U</t>
  </si>
  <si>
    <t>101828</t>
  </si>
  <si>
    <t>BOSCH Wiper Aerotwin Plus 21 inch AP530U</t>
  </si>
  <si>
    <t>101830</t>
  </si>
  <si>
    <t>BOSCH Wiper Aerotwin Plus 23 inch AP575U</t>
  </si>
  <si>
    <t>101834</t>
  </si>
  <si>
    <t>BOSCH Wiper Aerotwin Plus 26 inch AP650U</t>
  </si>
  <si>
    <t>101838</t>
  </si>
  <si>
    <t>BOSCH Wiper Aerotwin Plus 28 inch AP700U</t>
  </si>
  <si>
    <t>101846</t>
  </si>
  <si>
    <t>BOSCH Wiper Aerotwin Retrofit 24 BBA600</t>
  </si>
  <si>
    <t>107899</t>
  </si>
  <si>
    <t>BREMBO BRAKE DISC 09.7011.11</t>
  </si>
  <si>
    <t>102032</t>
  </si>
  <si>
    <t>Batu Gerinda tipis "WD"</t>
  </si>
  <si>
    <t>111263</t>
  </si>
  <si>
    <t>CRC BATTERY TERMINAL PROTECTOR</t>
  </si>
  <si>
    <t>111446</t>
  </si>
  <si>
    <t>Cargloss Wiper Fluid (Bottle) 5L</t>
  </si>
  <si>
    <t>111405</t>
  </si>
  <si>
    <t>DENSO Air Filter DXA-1051</t>
  </si>
  <si>
    <t>109830</t>
  </si>
  <si>
    <t>DENSO Spark Plug IKH16TT - Iridium</t>
  </si>
  <si>
    <t>108295</t>
  </si>
  <si>
    <t>DENSO Spark Plug K20R-U11 - Nickel</t>
  </si>
  <si>
    <t>111072</t>
  </si>
  <si>
    <t>FABBER Shock Support F-DSM-010</t>
  </si>
  <si>
    <t>110473</t>
  </si>
  <si>
    <t>FABBER Shock Support F-DSM-011</t>
  </si>
  <si>
    <t>110474</t>
  </si>
  <si>
    <t>FABBER Shock Support F-SSM-017</t>
  </si>
  <si>
    <t>110544</t>
  </si>
  <si>
    <t>FABBER Shock Support F-TSM-007</t>
  </si>
  <si>
    <t>101819</t>
  </si>
  <si>
    <t>FABBER Shock Support F-TSM-029</t>
  </si>
  <si>
    <t>110561</t>
  </si>
  <si>
    <t>Four-in-one air conditioner cleaning machine</t>
  </si>
  <si>
    <t>110908</t>
  </si>
  <si>
    <t>Gerinda potong 4"</t>
  </si>
  <si>
    <t>111222</t>
  </si>
  <si>
    <t>HEIKER RACK STEER H-TRT-031</t>
  </si>
  <si>
    <t>102029</t>
  </si>
  <si>
    <t>HONGTAI Air Conditioner Deodorizer 450ml</t>
  </si>
  <si>
    <t>110880</t>
  </si>
  <si>
    <t>HONGTAI Air conditioner Condenser Cleaner 450ml</t>
  </si>
  <si>
    <t>110877</t>
  </si>
  <si>
    <t>HONGTAI Car Interior Cleaner-Kit 420ml+50ml</t>
  </si>
  <si>
    <t>110871</t>
  </si>
  <si>
    <t>HONGTAI Interior Cleaner 50ml</t>
  </si>
  <si>
    <t>110872</t>
  </si>
  <si>
    <t>IPO FOAM PAD BLACK 5"</t>
  </si>
  <si>
    <t>102156</t>
  </si>
  <si>
    <t>In-cylinder pulse carbon removal cleaning machine</t>
  </si>
  <si>
    <t>110909</t>
  </si>
  <si>
    <t>MASTER PREMIXED 30/70 RADIATOR COOLANT GOLD GREEN 1 GAL</t>
  </si>
  <si>
    <t>102255</t>
  </si>
  <si>
    <t>MIRKA Ecowet Grid 2000</t>
  </si>
  <si>
    <t>108602</t>
  </si>
  <si>
    <t>MOBIL Gear Oil Mobil 1 Syn Gear Lube LS 75W-90 1L</t>
  </si>
  <si>
    <t>111307</t>
  </si>
  <si>
    <t>MONROE Shock Absorber 378059SP Rear</t>
  </si>
  <si>
    <t>101923</t>
  </si>
  <si>
    <t>MONROE Shock Absorber 378082SP Rear</t>
  </si>
  <si>
    <t>108747</t>
  </si>
  <si>
    <t>MONROE Shock Absorber 378109SP Rear</t>
  </si>
  <si>
    <t>101924</t>
  </si>
  <si>
    <t>MONROE Shock Absorber 378170SP Rear</t>
  </si>
  <si>
    <t>108744</t>
  </si>
  <si>
    <t>MONROE Shock Absorber 744057SP Front</t>
  </si>
  <si>
    <t>101949</t>
  </si>
  <si>
    <t>MONROE Shock Absorber 744119SP Front</t>
  </si>
  <si>
    <t>108775</t>
  </si>
  <si>
    <t>MONROE Shock Absorber 744154SP Front-RH</t>
  </si>
  <si>
    <t>108726</t>
  </si>
  <si>
    <t>MONROE Shock Absorber 744155SP Front-LH</t>
  </si>
  <si>
    <t>108727</t>
  </si>
  <si>
    <t>MONROE Shock Absorber 744168SP Front-RH</t>
  </si>
  <si>
    <t>108751</t>
  </si>
  <si>
    <t>MONROE Shock Absorber 744169SP Front-LH</t>
  </si>
  <si>
    <t>108752</t>
  </si>
  <si>
    <t>MONROE Shock Absorber 744412SP Front-RH</t>
  </si>
  <si>
    <t>108725</t>
  </si>
  <si>
    <t>MONROE Shock Absorber 744413SP Front-LH</t>
  </si>
  <si>
    <t>108819</t>
  </si>
  <si>
    <t>MOTUL Engine Oil Multipower Plus 5W-30 1L</t>
  </si>
  <si>
    <t>101805</t>
  </si>
  <si>
    <t>101813</t>
  </si>
  <si>
    <t>MOTUL Transmission Oil Multi DCTF 1L</t>
  </si>
  <si>
    <t>111338</t>
  </si>
  <si>
    <t>NIPPON Nax Premila 9800 HP Velocity Clear 2K 2:1</t>
  </si>
  <si>
    <t>108053</t>
  </si>
  <si>
    <t>NIPPON ST 001 # Crystal Silver Extra Fine 1L</t>
  </si>
  <si>
    <t>107984</t>
  </si>
  <si>
    <t>NIPPON ST 008 # Crystal Silver Super Glamour 1L</t>
  </si>
  <si>
    <t>107989</t>
  </si>
  <si>
    <t>NIPPON ST 033 # White Met. Medium Fine 1L</t>
  </si>
  <si>
    <t>107966</t>
  </si>
  <si>
    <t>NIPPON ST 065 # Mica Base 3B @ Fine Blue 1L</t>
  </si>
  <si>
    <t>107992</t>
  </si>
  <si>
    <t>NIPPON ST 067 # Mica Base 2K @ Red Brown 1L</t>
  </si>
  <si>
    <t>107993</t>
  </si>
  <si>
    <t>NIPPON ST 068 # Mica Base 3U @ Radiant Red 1L</t>
  </si>
  <si>
    <t>108018</t>
  </si>
  <si>
    <t>NIPPON ST 076 # Mica Base 4Y @ Platinum Gold 1L</t>
  </si>
  <si>
    <t>108012</t>
  </si>
  <si>
    <t>NIPPON ST 079 # Mica Base 2V @ Violet 1L</t>
  </si>
  <si>
    <t>107996</t>
  </si>
  <si>
    <t>NIPPON ST 083 # Mica Base 4R @ Red 1L</t>
  </si>
  <si>
    <t>107997</t>
  </si>
  <si>
    <t>NIPPON ST 103 # White LS 1L</t>
  </si>
  <si>
    <t>107958</t>
  </si>
  <si>
    <t>NIPPON ST 401 # Maxim Orange 1L</t>
  </si>
  <si>
    <t>108002</t>
  </si>
  <si>
    <t>NIPPON ST 501 # Strong Red 1L</t>
  </si>
  <si>
    <t>108004</t>
  </si>
  <si>
    <t>NIPPON ST 505 # Spark Red 1L</t>
  </si>
  <si>
    <t>107990</t>
  </si>
  <si>
    <t>NIPPON ST 602 # Pegasus Maroon 1L</t>
  </si>
  <si>
    <t>107991</t>
  </si>
  <si>
    <t>NIPPON ST 701 # Fast Violet 1L</t>
  </si>
  <si>
    <t>107972</t>
  </si>
  <si>
    <t>NIPPON ST 802 # Threne Blue 1L</t>
  </si>
  <si>
    <t>107975</t>
  </si>
  <si>
    <t>Nax Prime Polyester Putty 3kg</t>
  </si>
  <si>
    <t>110374</t>
  </si>
  <si>
    <t>Prestone Windshield Washer Fluid 2 lirer</t>
  </si>
  <si>
    <t>108268</t>
  </si>
  <si>
    <t>SENKIA Air Intake System Cleaner 325ml</t>
  </si>
  <si>
    <t>110868</t>
  </si>
  <si>
    <t>SENKIA Catalytic System Cleaner 325ml</t>
  </si>
  <si>
    <t>110870</t>
  </si>
  <si>
    <t>Sunmight Dry Sanding Paper Grid 320 (6")</t>
  </si>
  <si>
    <t>108600</t>
  </si>
  <si>
    <t>kuas 3"</t>
  </si>
  <si>
    <t>111209</t>
  </si>
  <si>
    <t>wiper Cloth</t>
  </si>
  <si>
    <t>111208</t>
  </si>
  <si>
    <t>Nama</t>
  </si>
  <si>
    <t>Kategori</t>
  </si>
  <si>
    <t>Category</t>
  </si>
  <si>
    <t>Price List</t>
  </si>
  <si>
    <t>Lead Time</t>
  </si>
  <si>
    <t>Est. X-Motors</t>
  </si>
  <si>
    <t xml:space="preserve"> </t>
  </si>
  <si>
    <t>Jasa Lain - Lain</t>
  </si>
  <si>
    <t>Other Services</t>
  </si>
  <si>
    <t>INSPEKSI 170 TITIK KENDARAAN</t>
  </si>
  <si>
    <t>JASA BALANCING VELG &lt;=17"</t>
  </si>
  <si>
    <t>JASA BALANCING VELG &gt;=18"</t>
  </si>
  <si>
    <t>JASA BORROSCOPE EVAPORATOR DEPAN</t>
  </si>
  <si>
    <t>JASA ENGINE SCAN</t>
  </si>
  <si>
    <t>JASA FLUSHING OLI TRANSMISI AT</t>
  </si>
  <si>
    <t>JASA FLUSHING RADIATOR</t>
  </si>
  <si>
    <t>JASA FLUSHING SISTEM AC</t>
  </si>
  <si>
    <t>JASA KURAS NITROGEN</t>
  </si>
  <si>
    <t>Jasa Pelumasan Komponen Setir, Suspensi &amp; Propeller (Truk Ban 4)</t>
  </si>
  <si>
    <t>Jasa Pelumasan Komponen Setir, Suspensi &amp; Propeller (Truk Ban 6)</t>
  </si>
  <si>
    <t>Jasa Pelumasan Komponen Setir, Suspensi &amp; Propeller (Truk Ban diatas 8)</t>
  </si>
  <si>
    <t>JASA PELUMASAN MEKANIKAL</t>
  </si>
  <si>
    <t>JASA PEMBERSIHAN BLOWER DEPAN</t>
  </si>
  <si>
    <t>JASA PEMBERSIHAN CATALYTIC CONVERTER</t>
  </si>
  <si>
    <t>Jasa Pembersihan</t>
  </si>
  <si>
    <t>Cleaning Service</t>
  </si>
  <si>
    <t>JASA PEMBERSIHAN COOLING SYSTEM FF LOW</t>
  </si>
  <si>
    <t>JASA PEMBERSIHAN COOLING SYSTEM FF LUX</t>
  </si>
  <si>
    <t>JASA PEMBERSIHAN COOLING SYSTEM FF MED</t>
  </si>
  <si>
    <t>JASA PEMBERSIHAN COOLING SYSTEM FR LOW</t>
  </si>
  <si>
    <t>JASA PEMBERSIHAN COOLING SYSTEM FR LUX</t>
  </si>
  <si>
    <t>JASA PEMBERSIHAN COOLING SYSTEM TRUCK &amp; BUS</t>
  </si>
  <si>
    <t>JASA PEMBERSIHAN EGR FR LUXURY</t>
  </si>
  <si>
    <t>JASA PEMBERSIHAN FRONT HVAC</t>
  </si>
  <si>
    <t>JASA PEMBERSIHAN FUEL INJECTOR</t>
  </si>
  <si>
    <t>JASA PEMBERSIHAN FUEL TANK FF LOW</t>
  </si>
  <si>
    <t>JASA PEMBERSIHAN FUEL TANK FF LUX</t>
  </si>
  <si>
    <t>JASA PEMBERSIHAN FUEL TANK FF MED</t>
  </si>
  <si>
    <t>JASA PEMBERSIHAN FUEL TANK FR LOW</t>
  </si>
  <si>
    <t>JASA PEMBERSIHAN FUEL TANK FR LUX</t>
  </si>
  <si>
    <t>JASA PEMBERSIHAN FUEL TANK FR MED</t>
  </si>
  <si>
    <t>JASA PEMBERSIHAN FUEL TANK TRUCK &amp; BUS</t>
  </si>
  <si>
    <t>JASA PEMBERSIHAN HOUSING AIR FILTER</t>
  </si>
  <si>
    <t>JASA PEMBERSIHAN TRANSMISSION SOLENOID AT FF LOW</t>
  </si>
  <si>
    <t>JASA PEMBERSIHAN TRANSMISSION SOLENOID AT FF LUX</t>
  </si>
  <si>
    <t>JASA PEMBERSIHAN TRANSMISSION SOLENOID AT FF MED</t>
  </si>
  <si>
    <t>JASA PEMBERSIHAN TRANSMISSION SOLENOID AT FR LOW</t>
  </si>
  <si>
    <t>JASA PEMBERSIHAN TRANSMISSION SOLENOID AT FR LUX</t>
  </si>
  <si>
    <t>JASA PEMBERSIHAN TRANSMISSION SOLENOID AT FR MED</t>
  </si>
  <si>
    <t>JASA PEMBONGKARAN AC DOUBLE BLOWER</t>
  </si>
  <si>
    <t>Jasa Pembongkaran</t>
  </si>
  <si>
    <t>Overhaul Service</t>
  </si>
  <si>
    <t>JASA PEMBONGKARAN ALTERNATOR FF LOW</t>
  </si>
  <si>
    <t>JASA PEMBONGKARAN ALTERNATOR FF LUX</t>
  </si>
  <si>
    <t>JASA PEMBONGKARAN ALTERNATOR FF MED</t>
  </si>
  <si>
    <t>JASA PEMBONGKARAN ALTERNATOR FR LOW</t>
  </si>
  <si>
    <t>JASA PEMBONGKARAN ALTERNATOR FR LUX</t>
  </si>
  <si>
    <t>JASA PEMBONGKARAN ALTERNATOR FR MED</t>
  </si>
  <si>
    <t>JASA PEMBONGKARAN ALTERNATOR TRUCK &amp; BUS</t>
  </si>
  <si>
    <t>JASA PEMBONGKARAN BRAKE ALL FF LOW</t>
  </si>
  <si>
    <t>JASA PEMBONGKARAN BRAKE ALL FF LUX</t>
  </si>
  <si>
    <t>JASA PEMBONGKARAN BRAKE ALL FF MED</t>
  </si>
  <si>
    <t>JASA PEMBONGKARAN BRAKE ALL FR LOW</t>
  </si>
  <si>
    <t>JASA PEMBONGKARAN BRAKE ALL FR LUX</t>
  </si>
  <si>
    <t>JASA PEMBONGKARAN BRAKE ALL FR MED</t>
  </si>
  <si>
    <t>JASA PEMBONGKARAN BRAKE ALL TRUCK &amp; BUS</t>
  </si>
  <si>
    <t>JASA PEMBONGKARAN BRAKE BOOSTER FF LOW</t>
  </si>
  <si>
    <t>JASA PEMBONGKARAN BRAKE BOOSTER FF LUX</t>
  </si>
  <si>
    <t>JASA PEMBONGKARAN BRAKE BOOSTER FF MED</t>
  </si>
  <si>
    <t>JASA PEMBONGKARAN BRAKE BOOSTER FR LOW</t>
  </si>
  <si>
    <t>JASA PEMBONGKARAN BRAKE BOOSTER FR LUX</t>
  </si>
  <si>
    <t>JASA PEMBONGKARAN BRAKE BOOSTER FR MED</t>
  </si>
  <si>
    <t>JASA PEMBONGKARAN BRAKE BOOSTER TRUCK &amp; BUS</t>
  </si>
  <si>
    <t>JASA PEMBONGKARAN CLUTCH MASTER CYLINDER FF LOW</t>
  </si>
  <si>
    <t>JASA PEMBONGKARAN CLUTCH MASTER CYLINDER FF LUX</t>
  </si>
  <si>
    <t>JASA PEMBONGKARAN CLUTCH MASTER CYLINDER FF MED</t>
  </si>
  <si>
    <t>JASA PEMBONGKARAN CLUTCH MASTER CYLINDER FR LOW</t>
  </si>
  <si>
    <t>JASA PEMBONGKARAN CLUTCH MASTER CYLINDER FR LUX</t>
  </si>
  <si>
    <t>JASA PEMBONGKARAN CLUTCH MASTER CYLINDER FR MED</t>
  </si>
  <si>
    <t>JASA PEMBONGKARAN CLUTCH MASTER CYLINDER TRUCK &amp; BUS</t>
  </si>
  <si>
    <t>JASA PEMBONGKARAN CLUTCH RELEASE CYLINDER FF LOW</t>
  </si>
  <si>
    <t>JASA PEMBONGKARAN CLUTCH RELEASE CYLINDER FF LUX</t>
  </si>
  <si>
    <t>JASA PEMBONGKARAN CLUTCH RELEASE CYLINDER FF MED</t>
  </si>
  <si>
    <t>JASA PEMBONGKARAN CLUTCH RELEASE CYLINDER FR LOW</t>
  </si>
  <si>
    <t>JASA PEMBONGKARAN CLUTCH RELEASE CYLINDER FR LUX</t>
  </si>
  <si>
    <t>JASA PEMBONGKARAN CLUTCH RELEASE CYLINDER FR MED</t>
  </si>
  <si>
    <t>JASA PEMBONGKARAN CLUTCH RELEASE CYLINDER TRUCK &amp; BUS</t>
  </si>
  <si>
    <t>JASA PEMBONGKARAN DASHBOARD</t>
  </si>
  <si>
    <t>JASA PEMBONGKARAN DIFFERENTIAL FR LOW</t>
  </si>
  <si>
    <t>JASA PEMBONGKARAN DIFFERENTIAL FR LUX</t>
  </si>
  <si>
    <t>JASA PEMBONGKARAN DIFFERENTIAL FR MED</t>
  </si>
  <si>
    <t>JASA PEMBONGKARAN DIFFERENTIAL TRUCK &amp; BUS</t>
  </si>
  <si>
    <t>JASA PEMBONGKARAN ENGINE FF LOW</t>
  </si>
  <si>
    <t>JASA PEMBONGKARAN ENGINE FF LUX</t>
  </si>
  <si>
    <t>JASA PEMBONGKARAN ENGINE FF MED</t>
  </si>
  <si>
    <t>JASA PEMBONGKARAN ENGINE FR LOW</t>
  </si>
  <si>
    <t>JASA PEMBONGKARAN ENGINE FR LUX</t>
  </si>
  <si>
    <t>JASA PEMBONGKARAN ENGINE FR MED</t>
  </si>
  <si>
    <t>JASA PEMBONGKARAN ENGINE TRUCK &amp; BUS</t>
  </si>
  <si>
    <t>JASA PEMBONGKARAN FRONT WHEEL CYLINDER 1 SIDE FF LOW</t>
  </si>
  <si>
    <t>JASA PEMBONGKARAN FRONT WHEEL CYLINDER 1 SIDE FF LUX</t>
  </si>
  <si>
    <t>JASA PEMBONGKARAN FRONT WHEEL CYLINDER 1 SIDE FF MED</t>
  </si>
  <si>
    <t>JASA PEMBONGKARAN FRONT WHEEL CYLINDER 1 SIDE FR LOW</t>
  </si>
  <si>
    <t>JASA PEMBONGKARAN FRONT WHEEL CYLINDER 1 SIDE FR LUX</t>
  </si>
  <si>
    <t>JASA PEMBONGKARAN FRONT WHEEL CYLINDER 1 SIDE FR MED</t>
  </si>
  <si>
    <t>JASA PEMBONGKARAN FRONT WHEEL CYLINDER 1 SIDE TRUCK &amp; BUS</t>
  </si>
  <si>
    <t>JASA PEMBONGKARAN FRONT WHEEL CYLINDER R&amp;L FF LOW</t>
  </si>
  <si>
    <t>JASA PEMBONGKARAN FRONT WHEEL CYLINDER R&amp;L FF LUX</t>
  </si>
  <si>
    <t>JASA PEMBONGKARAN FRONT WHEEL CYLINDER R&amp;L FF MED</t>
  </si>
  <si>
    <t>JASA PEMBONGKARAN FRONT WHEEL CYLINDER R&amp;L FR LOW</t>
  </si>
  <si>
    <t>JASA PEMBONGKARAN FRONT WHEEL CYLINDER R&amp;L FR LUX</t>
  </si>
  <si>
    <t>JASA PEMBONGKARAN FRONT WHEEL CYLINDER R&amp;L FR MED</t>
  </si>
  <si>
    <t>JASA PEMBONGKARAN FRONT WHEEL CYLINDER R&amp;L TRUCK &amp; BUS</t>
  </si>
  <si>
    <t>JASA PEMBONGKARAN POWER STEERING RACK &amp; PINION FF LOW</t>
  </si>
  <si>
    <t>JASA PEMBONGKARAN POWER STEERING RACK &amp; PINION FF LUX</t>
  </si>
  <si>
    <t>JASA PEMBONGKARAN POWER STEERING RACK &amp; PINION FF MED</t>
  </si>
  <si>
    <t>JASA PEMBONGKARAN POWER STEERING RACK &amp; PINION FR LOW</t>
  </si>
  <si>
    <t>JASA PEMBONGKARAN POWER STEERING RACK &amp; PINION FR LUX</t>
  </si>
  <si>
    <t>JASA PEMBONGKARAN POWER STEERING RACK &amp; PINION FR MED</t>
  </si>
  <si>
    <t>JASA PEMBONGKARAN REAR WHEEL BRAKE CYLINDER 1 SIDE FF LOW</t>
  </si>
  <si>
    <t>JASA PEMBONGKARAN REAR WHEEL BRAKE CYLINDER 1 SIDE FF LUX</t>
  </si>
  <si>
    <t>JASA PEMBONGKARAN REAR WHEEL BRAKE CYLINDER 1 SIDE FF MED</t>
  </si>
  <si>
    <t>JASA PEMBONGKARAN REAR WHEEL BRAKE CYLINDER 1 SIDE FR LOW</t>
  </si>
  <si>
    <t>JASA PEMBONGKARAN REAR WHEEL BRAKE CYLINDER 1 SIDE FR LUX</t>
  </si>
  <si>
    <t>JASA PEMBONGKARAN REAR WHEEL BRAKE CYLINDER 1 SIDE FR MED</t>
  </si>
  <si>
    <t>JASA PEMBONGKARAN REAR WHEEL BRAKE CYLINDER 1 SIDE TRUCK &amp; BUS</t>
  </si>
  <si>
    <t>JASA PEMBONGKARAN REAR WHEEL BRAKE CYLINDER R&amp;L FF LOW</t>
  </si>
  <si>
    <t>JASA PEMBONGKARAN REAR WHEEL BRAKE CYLINDER R&amp;L FF LUX</t>
  </si>
  <si>
    <t>JASA PEMBONGKARAN REAR WHEEL BRAKE CYLINDER R&amp;L FF MED</t>
  </si>
  <si>
    <t>JASA PEMBONGKARAN REAR WHEEL BRAKE CYLINDER R&amp;L FR LOW</t>
  </si>
  <si>
    <t>JASA PEMBONGKARAN REAR WHEEL BRAKE CYLINDER R&amp;L FR LUX</t>
  </si>
  <si>
    <t>JASA PEMBONGKARAN REAR WHEEL BRAKE CYLINDER R&amp;L FR MED</t>
  </si>
  <si>
    <t>JASA PEMBONGKARAN REAR WHEEL BRAKE CYLINDER R&amp;L TRUCK &amp; BUS</t>
  </si>
  <si>
    <t>JASA PEMBONGKARAN STARTER FF LOW</t>
  </si>
  <si>
    <t>JASA PEMBONGKARAN STARTER FF LUX</t>
  </si>
  <si>
    <t>JASA PEMBONGKARAN STARTER FF MED</t>
  </si>
  <si>
    <t>JASA PEMBONGKARAN STARTER FR LOW</t>
  </si>
  <si>
    <t>JASA PEMBONGKARAN STARTER FR LUX</t>
  </si>
  <si>
    <t>JASA PEMBONGKARAN STARTER FR MED</t>
  </si>
  <si>
    <t>JASA PEMBONGKARAN STARTER TRUCK &amp; BUS</t>
  </si>
  <si>
    <t>JASA PEMBONGKARAN STEERING GEAR BOX FR LUX</t>
  </si>
  <si>
    <t>JASA PEMBONGKARAN STEERING GEAR BOX TRUCK &amp; BUS</t>
  </si>
  <si>
    <t>JASA PEMBONGKARAN TANDEM MASTER CYLINDER BRAKE FF LOW</t>
  </si>
  <si>
    <t>JASA PEMBONGKARAN TANDEM MASTER CYLINDER BRAKE FF LUX</t>
  </si>
  <si>
    <t>JASA PEMBONGKARAN TANDEM MASTER CYLINDER BRAKE FF MED</t>
  </si>
  <si>
    <t>JASA PEMBONGKARAN TANDEM MASTER CYLINDER BRAKE FR LOW</t>
  </si>
  <si>
    <t>JASA PEMBONGKARAN TANDEM MASTER CYLINDER BRAKE FR LUX</t>
  </si>
  <si>
    <t>JASA PEMBONGKARAN TANDEM MASTER CYLINDER BRAKE FR MED</t>
  </si>
  <si>
    <t>JASA PEMBONGKARAN TANDEM MASTER CYLINDER BRAKE TRUCK &amp; BUS</t>
  </si>
  <si>
    <t>JASA PEMBONGKARAN TRANSFER CASE FR LUX</t>
  </si>
  <si>
    <t>JASA PEMBONGKARAN TRANSMISSION / TRANSAXLE AT FF LUX</t>
  </si>
  <si>
    <t>JASA PEMBONGKARAN TRANSMISSION / TRANSAXLE AT FR LOW</t>
  </si>
  <si>
    <t>JASA PEMBONGKARAN TRANSMISSION / TRANSAXLE AT FR LUX</t>
  </si>
  <si>
    <t>JASA PEMBONGKARAN TRANSMISSION / TRANSAXLE AT FR MED</t>
  </si>
  <si>
    <t>JASA PEMBONGKARAN TRANSMISSION / TRANSAXLE MT FF LOW</t>
  </si>
  <si>
    <t>JASA PEMBONGKARAN TRANSMISSION / TRANSAXLE MT FF LUX</t>
  </si>
  <si>
    <t>JASA PEMBONGKARAN TRANSMISSION / TRANSAXLE MT FF MED</t>
  </si>
  <si>
    <t>JASA PEMBONGKARAN TRANSMISSION / TRANSAXLE MT FR LOW</t>
  </si>
  <si>
    <t>JASA PEMBONGKARAN TRANSMISSION / TRANSAXLE MT FR LUX</t>
  </si>
  <si>
    <t>JASA PEMBONGKARAN TRANSMISSION / TRANSAXLE MT FR MED</t>
  </si>
  <si>
    <t>JASA PEMBONGKARAN TRANSMISSION / TRANSAXLE MT TRUCK &amp; BUS</t>
  </si>
  <si>
    <t>JASA PEMBONGKARAN VANE PUMP FF LOW</t>
  </si>
  <si>
    <t>JASA PEMBONGKARAN VANE PUMP FF LUX</t>
  </si>
  <si>
    <t>JASA PEMBONGKARAN VANE PUMP FF MED</t>
  </si>
  <si>
    <t>JASA PEMBONGKARAN VANE PUMP FR LUX</t>
  </si>
  <si>
    <t>JASA PEMBONGKARAN VANE PUMP FR MED</t>
  </si>
  <si>
    <t>JASA PENGGANTIAN &amp; KALIBRASI FOG LAMP LED</t>
  </si>
  <si>
    <t>Jasa Penyetelan</t>
  </si>
  <si>
    <t>Adjustment Service</t>
  </si>
  <si>
    <t>JASA PENGGANTIAN &amp; KALIBRASI HEAD LAMP &amp; FOG LAMP LED</t>
  </si>
  <si>
    <t>JASA PENGGANTIAN &amp; KALIBRASI HEAD LAMP (LOW BEAM &amp; HIGH BEAM) &amp; FOG LAMP LED</t>
  </si>
  <si>
    <t>JASA PENGGANTIAN &amp; KALIBRASI HEAD LAMP LED</t>
  </si>
  <si>
    <t>JASA PENGGANTIAN 1 SIDE MIRROR FF LOW</t>
  </si>
  <si>
    <t>Jasa Penggantian</t>
  </si>
  <si>
    <t>Replacement Service</t>
  </si>
  <si>
    <t>JASA PENGGANTIAN 1 SIDE MIRROR FF LUX</t>
  </si>
  <si>
    <t>JASA PENGGANTIAN 1 SIDE MIRROR FF MED</t>
  </si>
  <si>
    <t>JASA PENGGANTIAN 1 SIDE MIRROR FR LOW</t>
  </si>
  <si>
    <t>JASA PENGGANTIAN 1 SIDE MIRROR FR LUX</t>
  </si>
  <si>
    <t>JASA PENGGANTIAN 1 SIDE MIRROR FR MED</t>
  </si>
  <si>
    <t>JASA PENGGANTIAN 1 SIDE MIRROR TRUCK &amp; BUS</t>
  </si>
  <si>
    <t>JASA PENGGANTIAN A/C SUCTION &amp; DISCHARGE PIPE FF LOW</t>
  </si>
  <si>
    <t>JASA PENGGANTIAN A/C SUCTION &amp; DISCHARGE PIPE FF LUX</t>
  </si>
  <si>
    <t>JASA PENGGANTIAN A/C SUCTION &amp; DISCHARGE PIPE FF MED</t>
  </si>
  <si>
    <t>JASA PENGGANTIAN A/C SUCTION &amp; DISCHARGE PIPE FR LOW</t>
  </si>
  <si>
    <t>JASA PENGGANTIAN A/C SUCTION &amp; DISCHARGE PIPE FR LUX</t>
  </si>
  <si>
    <t>JASA PENGGANTIAN A/C SUCTION &amp; DISCHARGE PIPE FR MED</t>
  </si>
  <si>
    <t>JASA PENGGANTIAN A/C SUCTION &amp; DISCHARGE PIPE TRUCK &amp; BUS</t>
  </si>
  <si>
    <t>JASA PENGGANTIAN AKI</t>
  </si>
  <si>
    <t>JASA PENGGANTIAN AKI MOBIL</t>
  </si>
  <si>
    <t>JASA PENGGANTIAN ALTERNATOR FF LOW</t>
  </si>
  <si>
    <t>JASA PENGGANTIAN ALTERNATOR FF LUX</t>
  </si>
  <si>
    <t>JASA PENGGANTIAN ALTERNATOR FF MED</t>
  </si>
  <si>
    <t>JASA PENGGANTIAN ALTERNATOR FR LOW</t>
  </si>
  <si>
    <t>JASA PENGGANTIAN ALTERNATOR FR LUX</t>
  </si>
  <si>
    <t>JASA PENGGANTIAN ALTERNATOR FR MED</t>
  </si>
  <si>
    <t>JASA PENGGANTIAN ALTERNATOR TRUCK &amp; BUS</t>
  </si>
  <si>
    <t>JASA PENGGANTIAN ANTENNA RADIO TUNER FF LOW</t>
  </si>
  <si>
    <t>JASA PENGGANTIAN ANTENNA RADIO TUNER FF LUX</t>
  </si>
  <si>
    <t>JASA PENGGANTIAN ANTENNA RADIO TUNER FF MED</t>
  </si>
  <si>
    <t>JASA PENGGANTIAN ANTENNA RADIO TUNER FR LOW</t>
  </si>
  <si>
    <t>JASA PENGGANTIAN ANTENNA RADIO TUNER FR LUX</t>
  </si>
  <si>
    <t>JASA PENGGANTIAN ANTENNA RADIO TUNER FR MED</t>
  </si>
  <si>
    <t>JASA PENGGANTIAN AUTOMATIC TRANSMISSION OIL FF LOW</t>
  </si>
  <si>
    <t>JASA PENGGANTIAN AUTOMATIC TRANSMISSION OIL FF LUX</t>
  </si>
  <si>
    <t>JASA PENGGANTIAN AUTOMATIC TRANSMISSION OIL FF MED</t>
  </si>
  <si>
    <t>JASA PENGGANTIAN AUTOMATIC TRANSMISSION OIL FR LOW</t>
  </si>
  <si>
    <t>JASA PENGGANTIAN AUTOMATIC TRANSMISSION OIL FR LUX</t>
  </si>
  <si>
    <t>JASA PENGGANTIAN AUTOMATIC TRANSMISSION OIL FR MED</t>
  </si>
  <si>
    <t>JASA PENGGANTIAN AUTOMATIC TRANSMISSION OIL TRUCK &amp; BUS</t>
  </si>
  <si>
    <t>JASA PENGGANTIAN BACK DOOR UPPER STAY 1 SIDE FF MED</t>
  </si>
  <si>
    <t>JASA PENGGANTIAN BACK DOOR UPPER STAY 1 SIDE FR LOW</t>
  </si>
  <si>
    <t>JASA PENGGANTIAN BACK DOOR UPPER STAY 1 SIDE FR LUX</t>
  </si>
  <si>
    <t>JASA PENGGANTIAN BACK DOOR UPPER STAY 1 SIDE FR MED</t>
  </si>
  <si>
    <t>JASA PENGGANTIAN BACK DOOR UPPER STAY R&amp;L FF MED</t>
  </si>
  <si>
    <t>JASA PENGGANTIAN BACK DOOR UPPER STAY R&amp;L FR LOW</t>
  </si>
  <si>
    <t>JASA PENGGANTIAN BACK DOOR UPPER STAY R&amp;L FR LUX</t>
  </si>
  <si>
    <t>JASA PENGGANTIAN BACK DOOR UPPER STAY R&amp;L FR MED</t>
  </si>
  <si>
    <t>JASA PENGGANTIAN BACK-UP LIGHT SWITCH FF LOW</t>
  </si>
  <si>
    <t>JASA PENGGANTIAN BACK-UP LIGHT SWITCH FF LUX</t>
  </si>
  <si>
    <t>JASA PENGGANTIAN BACK-UP LIGHT SWITCH FF MED</t>
  </si>
  <si>
    <t>JASA PENGGANTIAN BACK-UP LIGHT SWITCH FR LOW</t>
  </si>
  <si>
    <t>JASA PENGGANTIAN BACK-UP LIGHT SWITCH FR LUX</t>
  </si>
  <si>
    <t>JASA PENGGANTIAN BACK-UP LIGHT SWITCH FR MED</t>
  </si>
  <si>
    <t>JASA PENGGANTIAN BACK-UP LIGHT SWITCH TRUCK &amp; BUS</t>
  </si>
  <si>
    <t>JASA PENGGANTIAN BAN RFT FF LOW</t>
  </si>
  <si>
    <t>JASA PENGGANTIAN BAN RFT FF LUX</t>
  </si>
  <si>
    <t>JASA PENGGANTIAN BAN RFT FF MED</t>
  </si>
  <si>
    <t>JASA PENGGANTIAN BAN RFT FR LOW</t>
  </si>
  <si>
    <t>JASA PENGGANTIAN BAN RFT FR LUX</t>
  </si>
  <si>
    <t>JASA PENGGANTIAN BAN RFT FR MED</t>
  </si>
  <si>
    <t>JASA PENGGANTIAN BATTERY FF LOW</t>
  </si>
  <si>
    <t>JASA PENGGANTIAN BATTERY FF LUX</t>
  </si>
  <si>
    <t>JASA PENGGANTIAN BATTERY FF MED</t>
  </si>
  <si>
    <t>JASA PENGGANTIAN BATTERY FR LOW</t>
  </si>
  <si>
    <t>JASA PENGGANTIAN BATTERY FR LUX</t>
  </si>
  <si>
    <t>JASA PENGGANTIAN BATTERY FR MED</t>
  </si>
  <si>
    <t>JASA PENGGANTIAN BATTERY TRUCK &amp; BUS</t>
  </si>
  <si>
    <t>JASA PENGGANTIAN BAUT CAMBER 1 SIDE</t>
  </si>
  <si>
    <t>JASA PENGGANTIAN BAUT RODA SATUAN</t>
  </si>
  <si>
    <t>JASA PENGGANTIAN BEARING FRONT WHEEL 1 SIDE FF LOW</t>
  </si>
  <si>
    <t>JASA PENGGANTIAN BEARING FRONT WHEEL 1 SIDE FF LUX</t>
  </si>
  <si>
    <t>JASA PENGGANTIAN BEARING FRONT WHEEL 1 SIDE FF MED</t>
  </si>
  <si>
    <t>JASA PENGGANTIAN BEARING FRONT WHEEL 1 SIDE FR LOW</t>
  </si>
  <si>
    <t>JASA PENGGANTIAN BEARING FRONT WHEEL 1 SIDE FR LUX</t>
  </si>
  <si>
    <t>JASA PENGGANTIAN BEARING FRONT WHEEL 1 SIDE FR MED</t>
  </si>
  <si>
    <t>JASA PENGGANTIAN BEARING FRONT WHEEL 1 SIDE TRUCK &amp; BUS</t>
  </si>
  <si>
    <t>JASA PENGGANTIAN BEARING FRONT WHEEL R&amp;L FF LOW</t>
  </si>
  <si>
    <t>JASA PENGGANTIAN BEARING FRONT WHEEL R&amp;L FF LUX</t>
  </si>
  <si>
    <t>JASA PENGGANTIAN BEARING FRONT WHEEL R&amp;L FF MED</t>
  </si>
  <si>
    <t>JASA PENGGANTIAN BEARING FRONT WHEEL R&amp;L FR LOW</t>
  </si>
  <si>
    <t>JASA PENGGANTIAN BEARING FRONT WHEEL R&amp;L FR LUX</t>
  </si>
  <si>
    <t>JASA PENGGANTIAN BEARING FRONT WHEEL R&amp;L FR MED</t>
  </si>
  <si>
    <t>JASA PENGGANTIAN BEARING FRONT WHEEL R&amp;L TRUCK &amp; BUS</t>
  </si>
  <si>
    <t>JASA PENGGANTIAN BLOWER MOTOR FF LOW</t>
  </si>
  <si>
    <t>JASA PENGGANTIAN BLOWER MOTOR FF LUX</t>
  </si>
  <si>
    <t>JASA PENGGANTIAN BLOWER MOTOR FF MED</t>
  </si>
  <si>
    <t>JASA PENGGANTIAN BLOWER MOTOR FR LOW</t>
  </si>
  <si>
    <t>JASA PENGGANTIAN BLOWER MOTOR FR LUX</t>
  </si>
  <si>
    <t>JASA PENGGANTIAN BLOWER MOTOR FR MED</t>
  </si>
  <si>
    <t>JASA PENGGANTIAN BLOWER RESISTOR FF LOW</t>
  </si>
  <si>
    <t>JASA PENGGANTIAN BLOWER RESISTOR FF LUX</t>
  </si>
  <si>
    <t>JASA PENGGANTIAN BLOWER RESISTOR FF MED</t>
  </si>
  <si>
    <t>JASA PENGGANTIAN BLOWER RESISTOR FR LOW</t>
  </si>
  <si>
    <t>JASA PENGGANTIAN BLOWER RESISTOR FR LUX</t>
  </si>
  <si>
    <t>JASA PENGGANTIAN BLOWER RESISTOR FR MED</t>
  </si>
  <si>
    <t>JASA PENGGANTIAN BRAKE BOOSTER FF LOW</t>
  </si>
  <si>
    <t>JASA PENGGANTIAN BRAKE BOOSTER FF LUX</t>
  </si>
  <si>
    <t>JASA PENGGANTIAN BRAKE BOOSTER FF MED</t>
  </si>
  <si>
    <t>JASA PENGGANTIAN BRAKE BOOSTER FR LOW</t>
  </si>
  <si>
    <t>JASA PENGGANTIAN BRAKE BOOSTER FR LUX</t>
  </si>
  <si>
    <t>JASA PENGGANTIAN BRAKE BOOSTER FR MED</t>
  </si>
  <si>
    <t>JASA PENGGANTIAN BRAKE BOOSTER HOSE</t>
  </si>
  <si>
    <t>JASA PENGGANTIAN BRAKE BOOSTER TRUCK &amp; BUS</t>
  </si>
  <si>
    <t>JASA PENGGANTIAN BRAKE FLUID</t>
  </si>
  <si>
    <t>JASA PENGGANTIAN BRAKE FLUID FF LOW</t>
  </si>
  <si>
    <t>JASA PENGGANTIAN BRAKE FLUID FF LUX</t>
  </si>
  <si>
    <t>JASA PENGGANTIAN BRAKE FLUID FF MED</t>
  </si>
  <si>
    <t>JASA PENGGANTIAN BRAKE FLUID FR LOW</t>
  </si>
  <si>
    <t>JASA PENGGANTIAN BRAKE FLUID FR LUX</t>
  </si>
  <si>
    <t>JASA PENGGANTIAN BRAKE FLUID FR MED</t>
  </si>
  <si>
    <t>JASA PENGGANTIAN BRAKE FLUID TRUCK &amp; BUS</t>
  </si>
  <si>
    <t>JASA PENGGANTIAN BULB REPLACE 1 PC FF LOW</t>
  </si>
  <si>
    <t>JASA PENGGANTIAN BULB REPLACE 1 PC FF LUX</t>
  </si>
  <si>
    <t>JASA PENGGANTIAN BULB REPLACE 1 PC FF MED</t>
  </si>
  <si>
    <t>JASA PENGGANTIAN BULB REPLACE 1 PC FR LOW</t>
  </si>
  <si>
    <t>JASA PENGGANTIAN BULB REPLACE 1 PC FR LUX</t>
  </si>
  <si>
    <t>JASA PENGGANTIAN BULB REPLACE 1 PC FR MED</t>
  </si>
  <si>
    <t>JASA PENGGANTIAN BULB REPLACE 1 PC TRUCK &amp; BUS</t>
  </si>
  <si>
    <t>JASA PENGGANTIAN BUSHING SATUAN FF LOW</t>
  </si>
  <si>
    <t>JASA PENGGANTIAN BUSHING SATUAN FF LUX</t>
  </si>
  <si>
    <t>JASA PENGGANTIAN BUSHING SATUAN FF MED</t>
  </si>
  <si>
    <t>JASA PENGGANTIAN BUSHING SATUAN FR LOW</t>
  </si>
  <si>
    <t>JASA PENGGANTIAN BUSHING SATUAN FR LUX</t>
  </si>
  <si>
    <t>JASA PENGGANTIAN BUSHING SATUAN FR MED</t>
  </si>
  <si>
    <t>JASA PENGGANTIAN BUSHING SATUAN TRUCK &amp; BUS</t>
  </si>
  <si>
    <t>JASA PENGGANTIAN BUSHING STABILIZER FF LOW</t>
  </si>
  <si>
    <t>JASA PENGGANTIAN BUSHING STABILIZER FF LUX</t>
  </si>
  <si>
    <t>JASA PENGGANTIAN BUSHING STABILIZER FF MED</t>
  </si>
  <si>
    <t>JASA PENGGANTIAN BUSHING STABILIZER FR LOW</t>
  </si>
  <si>
    <t>JASA PENGGANTIAN BUSHING STABILIZER FR LUX</t>
  </si>
  <si>
    <t>JASA PENGGANTIAN BUSHING STABILIZER FR MED</t>
  </si>
  <si>
    <t>JASA PENGGANTIAN BUSHING STABILIZER TRUCK &amp; BUS</t>
  </si>
  <si>
    <t>JASA PENGGANTIAN CABIN AIR FILTER</t>
  </si>
  <si>
    <t>JASA PENGGANTIAN CAMSHAFT FF LOW</t>
  </si>
  <si>
    <t>JASA PENGGANTIAN CAMSHAFT FF LUX</t>
  </si>
  <si>
    <t>JASA PENGGANTIAN CAMSHAFT FF MED</t>
  </si>
  <si>
    <t>JASA PENGGANTIAN CAMSHAFT FR LOW</t>
  </si>
  <si>
    <t>JASA PENGGANTIAN CAMSHAFT FR LUX</t>
  </si>
  <si>
    <t>JASA PENGGANTIAN CAMSHAFT FR MED</t>
  </si>
  <si>
    <t>JASA PENGGANTIAN CAMSHAFT TRUCK &amp; BUS</t>
  </si>
  <si>
    <t>JASA PENGGANTIAN CATALYTIC CONVERTER SATUAN</t>
  </si>
  <si>
    <t>JASA PENGGANTIAN CENTER AIRBAG SENSOR FF LOW</t>
  </si>
  <si>
    <t>JASA PENGGANTIAN CENTER AIRBAG SENSOR FF LUX</t>
  </si>
  <si>
    <t>JASA PENGGANTIAN CENTER AIRBAG SENSOR FR MED</t>
  </si>
  <si>
    <t>JASA PENGGANTIAN CENTER SUPPORT BEARING FR LOW</t>
  </si>
  <si>
    <t>JASA PENGGANTIAN CENTER SUPPORT BEARING FR MED</t>
  </si>
  <si>
    <t>JASA PENGGANTIAN CENTER SUPPORT BEARING TRUCK &amp; BUS</t>
  </si>
  <si>
    <t>JASA PENGGANTIAN CIGARETTE LIGHTER FF LOW</t>
  </si>
  <si>
    <t>JASA PENGGANTIAN CIGARETTE LIGHTER FF LUX</t>
  </si>
  <si>
    <t>JASA PENGGANTIAN CIGARETTE LIGHTER FF MED</t>
  </si>
  <si>
    <t>JASA PENGGANTIAN CIGARETTE LIGHTER FR LOW</t>
  </si>
  <si>
    <t>JASA PENGGANTIAN CIGARETTE LIGHTER FR LUX</t>
  </si>
  <si>
    <t>JASA PENGGANTIAN CIGARETTE LIGHTER FR MED</t>
  </si>
  <si>
    <t>JASA PENGGANTIAN CIGARETTE LIGHTER TRUCK &amp; BUS</t>
  </si>
  <si>
    <t>JASA PENGGANTIAN CIRCUIT OPENING RELAY FF LOW</t>
  </si>
  <si>
    <t>JASA PENGGANTIAN CIRCUIT OPENING RELAY FF LUX</t>
  </si>
  <si>
    <t>JASA PENGGANTIAN CIRCUIT OPENING RELAY FR LOW</t>
  </si>
  <si>
    <t>JASA PENGGANTIAN CIRCUIT OPENING RELAY FR MED</t>
  </si>
  <si>
    <t>JASA PENGGANTIAN CLOCK FF LUX</t>
  </si>
  <si>
    <t>JASA PENGGANTIAN CLOCK FF MED</t>
  </si>
  <si>
    <t>JASA PENGGANTIAN CLOCK FR LUX</t>
  </si>
  <si>
    <t>JASA PENGGANTIAN CLOCK FR MED</t>
  </si>
  <si>
    <t>JASA PENGGANTIAN CLUTCH ASSY FF LOW</t>
  </si>
  <si>
    <t>JASA PENGGANTIAN CLUTCH ASSY FF LUX</t>
  </si>
  <si>
    <t>JASA PENGGANTIAN CLUTCH ASSY FF MED</t>
  </si>
  <si>
    <t>JASA PENGGANTIAN CLUTCH ASSY FR LOW</t>
  </si>
  <si>
    <t>JASA PENGGANTIAN CLUTCH ASSY FR LUX</t>
  </si>
  <si>
    <t>JASA PENGGANTIAN CLUTCH ASSY FR MED</t>
  </si>
  <si>
    <t>JASA PENGGANTIAN CLUTCH ASSY TRUCK &amp; BUS</t>
  </si>
  <si>
    <t>JASA PENGGANTIAN CLUTCH MASTER CYLINDER FF LOW</t>
  </si>
  <si>
    <t>JASA PENGGANTIAN CLUTCH MASTER CYLINDER FF LUX</t>
  </si>
  <si>
    <t>JASA PENGGANTIAN CLUTCH MASTER CYLINDER FF MED</t>
  </si>
  <si>
    <t>JASA PENGGANTIAN CLUTCH MASTER CYLINDER FR LOW</t>
  </si>
  <si>
    <t>JASA PENGGANTIAN CLUTCH MASTER CYLINDER FR LUX</t>
  </si>
  <si>
    <t>JASA PENGGANTIAN CLUTCH MASTER CYLINDER FR MED</t>
  </si>
  <si>
    <t>JASA PENGGANTIAN CLUTCH MASTER CYLINDER TRUCK &amp; BUS</t>
  </si>
  <si>
    <t>JASA PENGGANTIAN CLUTCH RELEASE CABLE FF LOW</t>
  </si>
  <si>
    <t>JASA PENGGANTIAN CLUTCH RELEASE CABLE FR LOW</t>
  </si>
  <si>
    <t>JASA PENGGANTIAN CLUTCH RELEASE CYLINDER FF LOW</t>
  </si>
  <si>
    <t>JASA PENGGANTIAN CLUTCH RELEASE CYLINDER FF LUX</t>
  </si>
  <si>
    <t>JASA PENGGANTIAN CLUTCH RELEASE CYLINDER FF MED</t>
  </si>
  <si>
    <t>JASA PENGGANTIAN CLUTCH RELEASE CYLINDER FR LOW</t>
  </si>
  <si>
    <t>JASA PENGGANTIAN CLUTCH RELEASE CYLINDER FR LUX</t>
  </si>
  <si>
    <t>JASA PENGGANTIAN CLUTCH RELEASE CYLINDER FR MED</t>
  </si>
  <si>
    <t>JASA PENGGANTIAN CLUTCH RELEASE CYLINDER TRUCK &amp; BUS</t>
  </si>
  <si>
    <t>JASA PENGGANTIAN COMBINATION METER FF LOW</t>
  </si>
  <si>
    <t>JASA PENGGANTIAN COMBINATION METER FF LUX</t>
  </si>
  <si>
    <t>JASA PENGGANTIAN COMBINATION METER FF MED</t>
  </si>
  <si>
    <t>JASA PENGGANTIAN COMBINATION METER FR LOW</t>
  </si>
  <si>
    <t>JASA PENGGANTIAN COMBINATION METER FR LUX</t>
  </si>
  <si>
    <t>JASA PENGGANTIAN COMBINATION METER FR MED</t>
  </si>
  <si>
    <t>JASA PENGGANTIAN COMBINATION METER TRUCK &amp; BUS</t>
  </si>
  <si>
    <t>JASA PENGGANTIAN COMPRESSOR ASSY FF LOW</t>
  </si>
  <si>
    <t>JASA PENGGANTIAN COMPRESSOR ASSY FF LUX</t>
  </si>
  <si>
    <t>JASA PENGGANTIAN COMPRESSOR ASSY FF MED</t>
  </si>
  <si>
    <t>JASA PENGGANTIAN COMPRESSOR ASSY FR LOW</t>
  </si>
  <si>
    <t>JASA PENGGANTIAN COMPRESSOR ASSY FR LUX</t>
  </si>
  <si>
    <t>JASA PENGGANTIAN COMPRESSOR ASSY FR MED</t>
  </si>
  <si>
    <t>JASA PENGGANTIAN COMPRESSOR ASSY TRUCK &amp; BUS</t>
  </si>
  <si>
    <t>JASA PENGGANTIAN CONDENSOR</t>
  </si>
  <si>
    <t>JASA PENGGANTIAN COOLING FAN MOTOR FF LOW</t>
  </si>
  <si>
    <t>JASA PENGGANTIAN COOLING FAN MOTOR FF LUX</t>
  </si>
  <si>
    <t>JASA PENGGANTIAN COOLING FAN MOTOR FF MED</t>
  </si>
  <si>
    <t>JASA PENGGANTIAN COOLING FAN MOTOR FR LOW</t>
  </si>
  <si>
    <t>JASA PENGGANTIAN COOLING FAN MOTOR FR MED</t>
  </si>
  <si>
    <t>JASA PENGGANTIAN CRANKSHAFT FRONT OIL SEAL FF LOW</t>
  </si>
  <si>
    <t>JASA PENGGANTIAN CRANKSHAFT FRONT OIL SEAL FF LUX</t>
  </si>
  <si>
    <t>JASA PENGGANTIAN CRANKSHAFT FRONT OIL SEAL FF MED</t>
  </si>
  <si>
    <t>JASA PENGGANTIAN CRANKSHAFT FRONT OIL SEAL FR LOW</t>
  </si>
  <si>
    <t>JASA PENGGANTIAN CRANKSHAFT FRONT OIL SEAL FR LUX</t>
  </si>
  <si>
    <t>JASA PENGGANTIAN CRANKSHAFT FRONT OIL SEAL FR MED</t>
  </si>
  <si>
    <t>JASA PENGGANTIAN CRANKSHAFT FRONT OIL SEAL TRUCK &amp; BUS</t>
  </si>
  <si>
    <t>JASA PENGGANTIAN CRANKSHAFT PULLEY FF LOW</t>
  </si>
  <si>
    <t>JASA PENGGANTIAN CRANKSHAFT PULLEY FF LUX</t>
  </si>
  <si>
    <t>JASA PENGGANTIAN CRANKSHAFT PULLEY FF MED</t>
  </si>
  <si>
    <t>JASA PENGGANTIAN CRANKSHAFT PULLEY FR LOW</t>
  </si>
  <si>
    <t>JASA PENGGANTIAN CRANKSHAFT PULLEY FR LUX</t>
  </si>
  <si>
    <t>JASA PENGGANTIAN CRANKSHAFT PULLEY FR MED</t>
  </si>
  <si>
    <t>JASA PENGGANTIAN CRANKSHAFT PULLEY TRUCK &amp; BUS</t>
  </si>
  <si>
    <t>JASA PENGGANTIAN CRANKSHAFT REAR OIL SEAL AT FF LOW</t>
  </si>
  <si>
    <t>JASA PENGGANTIAN CRANKSHAFT REAR OIL SEAL AT FF LUX</t>
  </si>
  <si>
    <t>JASA PENGGANTIAN CRANKSHAFT REAR OIL SEAL AT FF MED</t>
  </si>
  <si>
    <t>JASA PENGGANTIAN CRANKSHAFT REAR OIL SEAL AT FR LUX</t>
  </si>
  <si>
    <t>JASA PENGGANTIAN CRANKSHAFT REAR OIL SEAL AT FR MED</t>
  </si>
  <si>
    <t>JASA PENGGANTIAN CRANKSHAFT REAR OIL SEAL MT FF LOW</t>
  </si>
  <si>
    <t>JASA PENGGANTIAN CRANKSHAFT REAR OIL SEAL MT FF LUX</t>
  </si>
  <si>
    <t>JASA PENGGANTIAN CRANKSHAFT REAR OIL SEAL MT FF MED</t>
  </si>
  <si>
    <t>JASA PENGGANTIAN CRANKSHAFT REAR OIL SEAL MT FR LOW</t>
  </si>
  <si>
    <t>JASA PENGGANTIAN CRANKSHAFT REAR OIL SEAL MT FR LUX</t>
  </si>
  <si>
    <t>JASA PENGGANTIAN CRANKSHAFT REAR OIL SEAL MT FR MED</t>
  </si>
  <si>
    <t>JASA PENGGANTIAN CRANKSHAFT REAR OIL SEAL MT TRUCK &amp; BUS</t>
  </si>
  <si>
    <t>JASA PENGGANTIAN CRUISE CONTROL SWITCH FF LUX</t>
  </si>
  <si>
    <t>JASA PENGGANTIAN CYLINDER BLOCK FF LOW</t>
  </si>
  <si>
    <t>JASA PENGGANTIAN CYLINDER BLOCK FF LUX</t>
  </si>
  <si>
    <t>JASA PENGGANTIAN CYLINDER BLOCK FF MED</t>
  </si>
  <si>
    <t>JASA PENGGANTIAN CYLINDER BLOCK FR LOW</t>
  </si>
  <si>
    <t>JASA PENGGANTIAN CYLINDER BLOCK FR LUX</t>
  </si>
  <si>
    <t>JASA PENGGANTIAN CYLINDER BLOCK FR MED</t>
  </si>
  <si>
    <t>JASA PENGGANTIAN CYLINDER BLOCK TRUCK &amp; BUS</t>
  </si>
  <si>
    <t>JASA PENGGANTIAN CYLINDER HEAD COVER GASKET FF LOW</t>
  </si>
  <si>
    <t>JASA PENGGANTIAN CYLINDER HEAD COVER GASKET FF LUX</t>
  </si>
  <si>
    <t>JASA PENGGANTIAN CYLINDER HEAD COVER GASKET FF MED</t>
  </si>
  <si>
    <t>JASA PENGGANTIAN CYLINDER HEAD COVER GASKET FR LOW</t>
  </si>
  <si>
    <t>JASA PENGGANTIAN CYLINDER HEAD COVER GASKET FR LUX</t>
  </si>
  <si>
    <t>JASA PENGGANTIAN CYLINDER HEAD COVER GASKET FR MED</t>
  </si>
  <si>
    <t>JASA PENGGANTIAN CYLINDER HEAD COVER GASKET TRUCK &amp; BUS</t>
  </si>
  <si>
    <t>JASA PENGGANTIAN CYLINDER HEAD FF LOW</t>
  </si>
  <si>
    <t>JASA PENGGANTIAN CYLINDER HEAD FF LUX</t>
  </si>
  <si>
    <t>JASA PENGGANTIAN CYLINDER HEAD FF MED</t>
  </si>
  <si>
    <t>JASA PENGGANTIAN CYLINDER HEAD FR LOW</t>
  </si>
  <si>
    <t>JASA PENGGANTIAN CYLINDER HEAD FR LUX</t>
  </si>
  <si>
    <t>JASA PENGGANTIAN CYLINDER HEAD FR MED</t>
  </si>
  <si>
    <t>JASA PENGGANTIAN CYLINDER HEAD GASKET FF LOW</t>
  </si>
  <si>
    <t>JASA PENGGANTIAN CYLINDER HEAD GASKET FF LUX</t>
  </si>
  <si>
    <t>JASA PENGGANTIAN CYLINDER HEAD GASKET FF MED</t>
  </si>
  <si>
    <t>JASA PENGGANTIAN CYLINDER HEAD GASKET FR LOW</t>
  </si>
  <si>
    <t>JASA PENGGANTIAN CYLINDER HEAD GASKET FR LUX</t>
  </si>
  <si>
    <t>JASA PENGGANTIAN CYLINDER HEAD GASKET FR MED</t>
  </si>
  <si>
    <t>JASA PENGGANTIAN CYLINDER HEAD GASKET TRUCK &amp; BUS</t>
  </si>
  <si>
    <t>JASA PENGGANTIAN CYLINDER HEAD TRUCK &amp; BUS</t>
  </si>
  <si>
    <t>JASA PENGGANTIAN DIESEL NOZZLE FR LUX</t>
  </si>
  <si>
    <t>JASA PENGGANTIAN DIESEL NOZZLE TRUCK &amp; BUS</t>
  </si>
  <si>
    <t>JASA PENGGANTIAN DIFFERENTIAL CARRIER GASKET FR LOW</t>
  </si>
  <si>
    <t>JASA PENGGANTIAN DIFFERENTIAL CARRIER GASKET FR LUX</t>
  </si>
  <si>
    <t>JASA PENGGANTIAN DIFFERENTIAL CARRIER GASKET FR MED</t>
  </si>
  <si>
    <t>JASA PENGGANTIAN DIFFERENTIAL CARRIER GASKET TRUCK &amp; BUS</t>
  </si>
  <si>
    <t>JASA PENGGANTIAN DIFFERENTIAL FR LOW</t>
  </si>
  <si>
    <t>JASA PENGGANTIAN DIFFERENTIAL FR LUX</t>
  </si>
  <si>
    <t>JASA PENGGANTIAN DIFFERENTIAL FR MED</t>
  </si>
  <si>
    <t>JASA PENGGANTIAN DIFFERENTIAL TRUCK &amp; BUS</t>
  </si>
  <si>
    <t>JASA PENGGANTIAN DISTRIBUTOR FF LOW</t>
  </si>
  <si>
    <t>JASA PENGGANTIAN DISTRIBUTOR FF LUX</t>
  </si>
  <si>
    <t>JASA PENGGANTIAN DISTRIBUTOR FF MED</t>
  </si>
  <si>
    <t>JASA PENGGANTIAN DISTRIBUTOR FR LOW</t>
  </si>
  <si>
    <t>JASA PENGGANTIAN DISTRIBUTOR FR MED</t>
  </si>
  <si>
    <t>JASA PENGGANTIAN DOOR LOCK SWITCH FF LOW</t>
  </si>
  <si>
    <t>JASA PENGGANTIAN DOOR LOCK SWITCH FF LUX</t>
  </si>
  <si>
    <t>JASA PENGGANTIAN DOOR LOCK SWITCH FF MED</t>
  </si>
  <si>
    <t>JASA PENGGANTIAN DOOR LOCK SWITCH FR LOW</t>
  </si>
  <si>
    <t>JASA PENGGANTIAN DOOR LOCK SWITCH FR LUX</t>
  </si>
  <si>
    <t>JASA PENGGANTIAN DOOR LOCK SWITCH FR MED</t>
  </si>
  <si>
    <t>JASA PENGGANTIAN DOOR LOCK SWITCH TRUCK &amp; BUS</t>
  </si>
  <si>
    <t>JASA PENGGANTIAN DRIVE SHAFT BOOT 1 SIDE FF LOW</t>
  </si>
  <si>
    <t>JASA PENGGANTIAN DRIVE SHAFT BOOT 1 SIDE FF LUX</t>
  </si>
  <si>
    <t>JASA PENGGANTIAN DRIVE SHAFT BOOT 1 SIDE FF MED</t>
  </si>
  <si>
    <t>JASA PENGGANTIAN DRIVE SHAFT BOOT R&amp;L FF LOW</t>
  </si>
  <si>
    <t>JASA PENGGANTIAN DRIVE SHAFT BOOT R&amp;L FF LUX</t>
  </si>
  <si>
    <t>JASA PENGGANTIAN DRIVE SHAFT BOOT R&amp;L FF MED</t>
  </si>
  <si>
    <t>JASA PENGGANTIAN ENGINE FF LOW</t>
  </si>
  <si>
    <t>JASA PENGGANTIAN ENGINE FF LUX</t>
  </si>
  <si>
    <t>JASA PENGGANTIAN ENGINE FF MED</t>
  </si>
  <si>
    <t>JASA PENGGANTIAN ENGINE FR LOW</t>
  </si>
  <si>
    <t>JASA PENGGANTIAN ENGINE FR LUX</t>
  </si>
  <si>
    <t>JASA PENGGANTIAN ENGINE FR MED</t>
  </si>
  <si>
    <t>JASA PENGGANTIAN ENGINE MOUNTING 1 PC FF LOW</t>
  </si>
  <si>
    <t>JASA PENGGANTIAN ENGINE MOUNTING 1 PC FF LUX</t>
  </si>
  <si>
    <t>JASA PENGGANTIAN ENGINE MOUNTING 1 PC FF MED</t>
  </si>
  <si>
    <t>JASA PENGGANTIAN ENGINE MOUNTING 1 PC FR LOW</t>
  </si>
  <si>
    <t>JASA PENGGANTIAN ENGINE MOUNTING 1 PC FR LUX</t>
  </si>
  <si>
    <t>JASA PENGGANTIAN ENGINE MOUNTING 1 PC FR MED</t>
  </si>
  <si>
    <t>JASA PENGGANTIAN ENGINE MOUNTING 1 PC TRUCK &amp; BUS</t>
  </si>
  <si>
    <t>JASA PENGGANTIAN ENGINE OIL FF LOW</t>
  </si>
  <si>
    <t>JASA PENGGANTIAN ENGINE OIL FF LUX</t>
  </si>
  <si>
    <t>JASA PENGGANTIAN ENGINE OIL FF MED</t>
  </si>
  <si>
    <t>JASA PENGGANTIAN ENGINE OIL FR LOW</t>
  </si>
  <si>
    <t>JASA PENGGANTIAN ENGINE OIL FR LUX</t>
  </si>
  <si>
    <t>JASA PENGGANTIAN ENGINE OIL FR MED</t>
  </si>
  <si>
    <t>JASA PENGGANTIAN ENGINE OIL TRUCK &amp; BUS</t>
  </si>
  <si>
    <t>JASA PENGGANTIAN ENGINE TRUCK &amp; BUS</t>
  </si>
  <si>
    <t>JASA PENGGANTIAN EXHAUST CENTER PIPE FF LOW</t>
  </si>
  <si>
    <t>JASA PENGGANTIAN EXHAUST CENTER PIPE FF LUX</t>
  </si>
  <si>
    <t>JASA PENGGANTIAN EXHAUST CENTER PIPE FF MED</t>
  </si>
  <si>
    <t>JASA PENGGANTIAN EXHAUST CENTER PIPE FR LUX</t>
  </si>
  <si>
    <t>JASA PENGGANTIAN EXHAUST CENTER PIPE FR MED</t>
  </si>
  <si>
    <t>JASA PENGGANTIAN EXHAUST CENTER PIPE TRUCK &amp; BUS</t>
  </si>
  <si>
    <t>JASA PENGGANTIAN EXHAUST FRONT PIPE FF LOW</t>
  </si>
  <si>
    <t>JASA PENGGANTIAN EXHAUST FRONT PIPE FF LUX</t>
  </si>
  <si>
    <t>JASA PENGGANTIAN EXHAUST FRONT PIPE FF MED</t>
  </si>
  <si>
    <t>JASA PENGGANTIAN EXHAUST FRONT PIPE FR LOW</t>
  </si>
  <si>
    <t>JASA PENGGANTIAN EXHAUST FRONT PIPE FR LUX</t>
  </si>
  <si>
    <t>JASA PENGGANTIAN EXHAUST FRONT PIPE FR MED</t>
  </si>
  <si>
    <t>JASA PENGGANTIAN EXHAUST FRONT PIPE TRUCK &amp; BUS</t>
  </si>
  <si>
    <t>JASA PENGGANTIAN EXHAUST MANIFOLD/DOWNPIPE FF LOW</t>
  </si>
  <si>
    <t>JASA PENGGANTIAN EXHAUST MANIFOLD/DOWNPIPE FF MED</t>
  </si>
  <si>
    <t>JASA PENGGANTIAN EXHAUST MANIFOLD/DOWNPIPE FR LOW</t>
  </si>
  <si>
    <t>JASA PENGGANTIAN EXHAUST MANIFOLD/DOWNPIPE FR LUX</t>
  </si>
  <si>
    <t>JASA PENGGANTIAN EXHAUST MANIFOLD/DOWNPIPE FR MED</t>
  </si>
  <si>
    <t>JASA PENGGANTIAN EXHAUST MANIFOLD/DOWNPIPE TRUCK &amp; BUS</t>
  </si>
  <si>
    <t>JASA PENGGANTIAN EXHAUST PIPE GASKET FF LOW</t>
  </si>
  <si>
    <t>JASA PENGGANTIAN EXHAUST PIPE GASKET FF LUX</t>
  </si>
  <si>
    <t>JASA PENGGANTIAN EXHAUST PIPE GASKET FF MED</t>
  </si>
  <si>
    <t>JASA PENGGANTIAN EXHAUST PIPE GASKET FR LOW</t>
  </si>
  <si>
    <t>JASA PENGGANTIAN EXHAUST PIPE GASKET FR LUX</t>
  </si>
  <si>
    <t>JASA PENGGANTIAN EXHAUST PIPE GASKET FR MED</t>
  </si>
  <si>
    <t>JASA PENGGANTIAN EXHAUST PIPE GASKET TRUCK &amp; BUS</t>
  </si>
  <si>
    <t>JASA PENGGANTIAN EXHAUST SET FF LOW</t>
  </si>
  <si>
    <t>JASA PENGGANTIAN EXHAUST SET FF MED</t>
  </si>
  <si>
    <t>JASA PENGGANTIAN EXHAUST SET FR LOW</t>
  </si>
  <si>
    <t>JASA PENGGANTIAN EXHAUST SET FR MED</t>
  </si>
  <si>
    <t>JASA PENGGANTIAN EXTENSION HOUSING AT FR MED</t>
  </si>
  <si>
    <t>JASA PENGGANTIAN EXTENSION HOUSING MT FR LOW</t>
  </si>
  <si>
    <t>JASA PENGGANTIAN EXTENSION HOUSING MT FR MED</t>
  </si>
  <si>
    <t>JASA PENGGANTIAN FAN BLADE (FOR MOTOR DRIVE) FF LOW</t>
  </si>
  <si>
    <t>JASA PENGGANTIAN FAN BLADE (FOR MOTOR DRIVE) FF LUX</t>
  </si>
  <si>
    <t>JASA PENGGANTIAN FAN BLADE (FOR MOTOR DRIVE) FF MED</t>
  </si>
  <si>
    <t>JASA PENGGANTIAN FAN BLADE (FOR MOTOR DRIVE) FR LOW</t>
  </si>
  <si>
    <t>JASA PENGGANTIAN FAN BLADE (FOR MOTOR DRIVE) FR MED</t>
  </si>
  <si>
    <t>JASA PENGGANTIAN FAN FF LOW</t>
  </si>
  <si>
    <t>JASA PENGGANTIAN FAN FF LUX</t>
  </si>
  <si>
    <t>JASA PENGGANTIAN FAN FF MED</t>
  </si>
  <si>
    <t>JASA PENGGANTIAN FAN FR LOW</t>
  </si>
  <si>
    <t>JASA PENGGANTIAN FAN FR LUX</t>
  </si>
  <si>
    <t>JASA PENGGANTIAN FAN FR MED</t>
  </si>
  <si>
    <t>JASA PENGGANTIAN FAN TRUCK &amp; BUS</t>
  </si>
  <si>
    <t>JASA PENGGANTIAN FENDER LINER FF LOW</t>
  </si>
  <si>
    <t>JASA PENGGANTIAN FENDER LINER FF LUX</t>
  </si>
  <si>
    <t>JASA PENGGANTIAN FENDER LINER FF MED</t>
  </si>
  <si>
    <t>JASA PENGGANTIAN FENDER LINER FR LOW</t>
  </si>
  <si>
    <t>JASA PENGGANTIAN FENDER LINER FR LUX</t>
  </si>
  <si>
    <t>JASA PENGGANTIAN FENDER LINER FR MED</t>
  </si>
  <si>
    <t>JASA PENGGANTIAN FLUID COUPLING FR LOW</t>
  </si>
  <si>
    <t>JASA PENGGANTIAN FLUID COUPLING FR LUX</t>
  </si>
  <si>
    <t>JASA PENGGANTIAN FLUID COUPLING FR MED</t>
  </si>
  <si>
    <t>JASA PENGGANTIAN FLUID COUPLING TRUCK &amp; BUS</t>
  </si>
  <si>
    <t>JASA PENGGANTIAN FOG LIGHT 1 PC FF LOW</t>
  </si>
  <si>
    <t>JASA PENGGANTIAN FOG LIGHT 1 PC FF LUX</t>
  </si>
  <si>
    <t>JASA PENGGANTIAN FOG LIGHT 1 PC FF MED</t>
  </si>
  <si>
    <t>JASA PENGGANTIAN FOG LIGHT 1 PC FR LOW</t>
  </si>
  <si>
    <t>JASA PENGGANTIAN FOG LIGHT 1 PC FR LUX</t>
  </si>
  <si>
    <t>JASA PENGGANTIAN FOG LIGHT 1 PC FR MED</t>
  </si>
  <si>
    <t>JASA PENGGANTIAN FOG LIGHT 1 PC TRUCK &amp; BUS</t>
  </si>
  <si>
    <t>JASA PENGGANTIAN FOG LIGHT BULB 1 PC FF LOW</t>
  </si>
  <si>
    <t>JASA PENGGANTIAN FOG LIGHT BULB 1 PC FF LUX</t>
  </si>
  <si>
    <t>JASA PENGGANTIAN FOG LIGHT BULB 1 PC FF MED</t>
  </si>
  <si>
    <t>JASA PENGGANTIAN FOG LIGHT BULB 1 PC FR LOW</t>
  </si>
  <si>
    <t>JASA PENGGANTIAN FOG LIGHT BULB 1 PC FR LUX</t>
  </si>
  <si>
    <t>JASA PENGGANTIAN FOG LIGHT BULB 1 PC FR MED</t>
  </si>
  <si>
    <t>JASA PENGGANTIAN FOG LIGHT BULB 1 PC TRUCK &amp; BUS</t>
  </si>
  <si>
    <t>JASA PENGGANTIAN FRONT AIRBAG SENSOR 1 SIDE FF LOW</t>
  </si>
  <si>
    <t>JASA PENGGANTIAN FRONT AIRBAG SENSOR 1 SIDE FF LUX</t>
  </si>
  <si>
    <t>JASA PENGGANTIAN FRONT AIRBAG SENSOR 1 SIDE FR MED</t>
  </si>
  <si>
    <t>JASA PENGGANTIAN FRONT AIRBAG SENSOR R&amp;L FF LOW</t>
  </si>
  <si>
    <t>JASA PENGGANTIAN FRONT AIRBAG SENSOR R&amp;L FF LUX</t>
  </si>
  <si>
    <t>JASA PENGGANTIAN FRONT AIRBAG SENSOR R&amp;L FR MED</t>
  </si>
  <si>
    <t>JASA PENGGANTIAN FRONT BRAKE SHOE</t>
  </si>
  <si>
    <t>JASA PENGGANTIAN FRONT BRAKE SHOE TRUCK &amp; BUS</t>
  </si>
  <si>
    <t>JASA PENGGANTIAN FRONT BUMPER FF LOW</t>
  </si>
  <si>
    <t>JASA PENGGANTIAN FRONT BUMPER FF LUX</t>
  </si>
  <si>
    <t>JASA PENGGANTIAN FRONT BUMPER FF MED</t>
  </si>
  <si>
    <t>JASA PENGGANTIAN FRONT BUMPER FR LOW</t>
  </si>
  <si>
    <t>JASA PENGGANTIAN FRONT BUMPER FR LUX</t>
  </si>
  <si>
    <t>JASA PENGGANTIAN FRONT BUMPER FR MED</t>
  </si>
  <si>
    <t>JASA PENGGANTIAN FRONT COIL SPRING 1 SIDE FF LOW</t>
  </si>
  <si>
    <t>JASA PENGGANTIAN FRONT COIL SPRING 1 SIDE FF LUX</t>
  </si>
  <si>
    <t>JASA PENGGANTIAN FRONT COIL SPRING 1 SIDE FF MED</t>
  </si>
  <si>
    <t>JASA PENGGANTIAN FRONT COIL SPRING 1 SIDE FR LOW</t>
  </si>
  <si>
    <t>JASA PENGGANTIAN FRONT COIL SPRING 1 SIDE FR LUX</t>
  </si>
  <si>
    <t>JASA PENGGANTIAN FRONT COIL SPRING 1 SIDE FR MED</t>
  </si>
  <si>
    <t>JASA PENGGANTIAN FRONT COIL SPRING R&amp;L FF LOW</t>
  </si>
  <si>
    <t>JASA PENGGANTIAN FRONT COIL SPRING R&amp;L FF LUX</t>
  </si>
  <si>
    <t>JASA PENGGANTIAN FRONT COIL SPRING R&amp;L FF MED</t>
  </si>
  <si>
    <t>JASA PENGGANTIAN FRONT COIL SPRING R&amp;L FR LOW</t>
  </si>
  <si>
    <t>JASA PENGGANTIAN FRONT COIL SPRING R&amp;L FR LUX</t>
  </si>
  <si>
    <t>JASA PENGGANTIAN FRONT COIL SPRING R&amp;L FR MED</t>
  </si>
  <si>
    <t>JASA PENGGANTIAN FRONT DISC BRAKE PAD FF LOW</t>
  </si>
  <si>
    <t>JASA PENGGANTIAN FRONT DISC BRAKE PAD FF LUX</t>
  </si>
  <si>
    <t>JASA PENGGANTIAN FRONT DISC BRAKE PAD FF MED</t>
  </si>
  <si>
    <t>JASA PENGGANTIAN FRONT DISC BRAKE PAD FR LOW</t>
  </si>
  <si>
    <t>JASA PENGGANTIAN FRONT DISC BRAKE PAD FR LUX</t>
  </si>
  <si>
    <t>JASA PENGGANTIAN FRONT DISC BRAKE PAD FR MED</t>
  </si>
  <si>
    <t>JASA PENGGANTIAN FRONT DOOR GLASS 1 SIDE FF LOW</t>
  </si>
  <si>
    <t>JASA PENGGANTIAN FRONT DOOR GLASS 1 SIDE FF LUX</t>
  </si>
  <si>
    <t>JASA PENGGANTIAN FRONT DOOR GLASS 1 SIDE FF MED</t>
  </si>
  <si>
    <t>JASA PENGGANTIAN FRONT DOOR GLASS 1 SIDE FR LOW</t>
  </si>
  <si>
    <t>JASA PENGGANTIAN FRONT DOOR GLASS 1 SIDE FR LUX</t>
  </si>
  <si>
    <t>JASA PENGGANTIAN FRONT DOOR GLASS 1 SIDE FR MED</t>
  </si>
  <si>
    <t>JASA PENGGANTIAN FRONT DOOR GLASS 1 SIDE TRUCK &amp; BUS</t>
  </si>
  <si>
    <t>JASA PENGGANTIAN FRONT DOOR GLASS INNER WEATHERSTRIP FF LOW</t>
  </si>
  <si>
    <t>JASA PENGGANTIAN FRONT DOOR GLASS INNER WEATHERSTRIP FF LUX</t>
  </si>
  <si>
    <t>JASA PENGGANTIAN FRONT DOOR GLASS INNER WEATHERSTRIP FF MED</t>
  </si>
  <si>
    <t>JASA PENGGANTIAN FRONT DOOR GLASS INNER WEATHERSTRIP FR LOW</t>
  </si>
  <si>
    <t>JASA PENGGANTIAN FRONT DOOR GLASS INNER WEATHERSTRIP FR LUX</t>
  </si>
  <si>
    <t>JASA PENGGANTIAN FRONT DOOR GLASS INNER WEATHERSTRIP TRUCK &amp; BUS</t>
  </si>
  <si>
    <t>JASA PENGGANTIAN FRONT DOOR GLASS OUTER WEATHERSTRIP FF LOW</t>
  </si>
  <si>
    <t>JASA PENGGANTIAN FRONT DOOR GLASS OUTER WEATHERSTRIP FR LOW</t>
  </si>
  <si>
    <t>JASA PENGGANTIAN FRONT DOOR GLASS OUTER WEATHERSTRIP FR LUX</t>
  </si>
  <si>
    <t>JASA PENGGANTIAN FRONT DOOR GLASS OUTER WEATHERSTRIP TRUCK &amp; BUS</t>
  </si>
  <si>
    <t>JASA PENGGANTIAN FRONT DOOR GLASS RUN 1 SIDE FF LOW</t>
  </si>
  <si>
    <t>JASA PENGGANTIAN FRONT DOOR GLASS RUN 1 SIDE FF LUX</t>
  </si>
  <si>
    <t>JASA PENGGANTIAN FRONT DOOR GLASS RUN 1 SIDE FF MED</t>
  </si>
  <si>
    <t>JASA PENGGANTIAN FRONT DOOR GLASS RUN 1 SIDE FR LOW</t>
  </si>
  <si>
    <t>JASA PENGGANTIAN FRONT DOOR GLASS RUN 1 SIDE FR LUX</t>
  </si>
  <si>
    <t>JASA PENGGANTIAN FRONT DOOR GLASS RUN 1 SIDE FR MED</t>
  </si>
  <si>
    <t>JASA PENGGANTIAN FRONT DOOR GLASS RUN 1 SIDE TRUCK &amp; BUS</t>
  </si>
  <si>
    <t>JASA PENGGANTIAN FRONT DOOR MAGNET LOCK SOLENOID FF LOW</t>
  </si>
  <si>
    <t>JASA PENGGANTIAN FRONT DOOR MAGNET LOCK SOLENOID FF LUX</t>
  </si>
  <si>
    <t>JASA PENGGANTIAN FRONT DOOR MAGNET LOCK SOLENOID FF MED</t>
  </si>
  <si>
    <t>JASA PENGGANTIAN FRONT DOOR MAGNET LOCK SOLENOID FR LOW</t>
  </si>
  <si>
    <t>JASA PENGGANTIAN FRONT DOOR MAGNET LOCK SOLENOID FR LUX</t>
  </si>
  <si>
    <t>JASA PENGGANTIAN FRONT DOOR MAGNET LOCK SOLENOID FR MED</t>
  </si>
  <si>
    <t>JASA PENGGANTIAN FRONT DOOR POWER WINDOW REGULATOR FF LOW</t>
  </si>
  <si>
    <t>JASA PENGGANTIAN FRONT DOOR POWER WINDOW REGULATOR FF MED</t>
  </si>
  <si>
    <t>JASA PENGGANTIAN FRONT DOOR POWER WINDOW REGULATOR FR LOW</t>
  </si>
  <si>
    <t>JASA PENGGANTIAN FRONT DOOR POWER WINDOW REGULATOR FR LUX</t>
  </si>
  <si>
    <t>JASA PENGGANTIAN FRONT DOOR POWER WINDOW REGULATOR FR MED</t>
  </si>
  <si>
    <t>JASA PENGGANTIAN FRONT DOOR WEATHERSTRIP 1 SIDE FF LOW</t>
  </si>
  <si>
    <t>JASA PENGGANTIAN FRONT DOOR WEATHERSTRIP 1 SIDE FF LUX</t>
  </si>
  <si>
    <t>JASA PENGGANTIAN FRONT DOOR WEATHERSTRIP 1 SIDE FF MED</t>
  </si>
  <si>
    <t>JASA PENGGANTIAN FRONT DOOR WEATHERSTRIP 1 SIDE FR LOW</t>
  </si>
  <si>
    <t>JASA PENGGANTIAN FRONT DOOR WEATHERSTRIP 1 SIDE FR LUX</t>
  </si>
  <si>
    <t>JASA PENGGANTIAN FRONT DOOR WEATHERSTRIP 1 SIDE FR MED</t>
  </si>
  <si>
    <t>JASA PENGGANTIAN FRONT DOOR WEATHERSTRIP 1 SIDE TRUCK &amp; BUS</t>
  </si>
  <si>
    <t>JASA PENGGANTIAN FRONT DOOR WINDOW REGULATOR FF LOW</t>
  </si>
  <si>
    <t>JASA PENGGANTIAN FRONT DOOR WINDOW REGULATOR FF LUX</t>
  </si>
  <si>
    <t>JASA PENGGANTIAN FRONT DOOR WINDOW REGULATOR FF MED</t>
  </si>
  <si>
    <t>JASA PENGGANTIAN FRONT DOOR WINDOW REGULATOR FR LOW</t>
  </si>
  <si>
    <t>JASA PENGGANTIAN FRONT DOOR WINDOW REGULATOR FR LUX</t>
  </si>
  <si>
    <t>JASA PENGGANTIAN FRONT DOOR WINDOW REGULATOR FR MED</t>
  </si>
  <si>
    <t>JASA PENGGANTIAN FRONT DOOR WINDOW REGULATOR TRUCK &amp; BUS</t>
  </si>
  <si>
    <t>JASA PENGGANTIAN FRONT DRIVE SHAFT 1 SIDE FF LOW</t>
  </si>
  <si>
    <t>JASA PENGGANTIAN FRONT DRIVE SHAFT 1 SIDE FF LUX</t>
  </si>
  <si>
    <t>JASA PENGGANTIAN FRONT DRIVE SHAFT 1 SIDE FF MED</t>
  </si>
  <si>
    <t>JASA PENGGANTIAN FRONT DRIVE SHAFT R&amp;L FF LOW</t>
  </si>
  <si>
    <t>JASA PENGGANTIAN FRONT DRIVE SHAFT R&amp;L FF LUX</t>
  </si>
  <si>
    <t>JASA PENGGANTIAN FRONT DRIVE SHAFT R&amp;L FF MED</t>
  </si>
  <si>
    <t>JASA PENGGANTIAN FRONT POWER SEAT MOTOR 1 PC FF LUX</t>
  </si>
  <si>
    <t>JASA PENGGANTIAN FRONT POWER SEAT SWITCH 1 PC FF LUX</t>
  </si>
  <si>
    <t>JASA PENGGANTIAN FRONT ROTOR DISC BRAKE 1 SIDE FF LOW</t>
  </si>
  <si>
    <t>JASA PENGGANTIAN FRONT ROTOR DISC BRAKE 1 SIDE FF LUX</t>
  </si>
  <si>
    <t>JASA PENGGANTIAN FRONT ROTOR DISC BRAKE 1 SIDE FF MED</t>
  </si>
  <si>
    <t>JASA PENGGANTIAN FRONT ROTOR DISC BRAKE 1 SIDE FR LOW</t>
  </si>
  <si>
    <t>JASA PENGGANTIAN FRONT ROTOR DISC BRAKE 1 SIDE FR LUX</t>
  </si>
  <si>
    <t>JASA PENGGANTIAN FRONT ROTOR DISC BRAKE 1 SIDE FR MED</t>
  </si>
  <si>
    <t>JASA PENGGANTIAN FRONT ROTOR DISC BRAKE R&amp;L FF LOW</t>
  </si>
  <si>
    <t>JASA PENGGANTIAN FRONT ROTOR DISC BRAKE R&amp;L FF LUX</t>
  </si>
  <si>
    <t>JASA PENGGANTIAN FRONT ROTOR DISC BRAKE R&amp;L FF MED</t>
  </si>
  <si>
    <t>JASA PENGGANTIAN FRONT ROTOR DISC BRAKE R&amp;L FR LOW</t>
  </si>
  <si>
    <t>JASA PENGGANTIAN FRONT ROTOR DISC BRAKE R&amp;L FR LUX</t>
  </si>
  <si>
    <t>JASA PENGGANTIAN FRONT ROTOR DISC BRAKE R&amp;L FR MED</t>
  </si>
  <si>
    <t>JASA PENGGANTIAN FRONT SEAT BELT 1 SIDE FF LOW</t>
  </si>
  <si>
    <t>JASA PENGGANTIAN FRONT SEAT BELT 1 SIDE FF LUX</t>
  </si>
  <si>
    <t>JASA PENGGANTIAN FRONT SEAT BELT 1 SIDE FF MED</t>
  </si>
  <si>
    <t>JASA PENGGANTIAN FRONT SEAT BELT 1 SIDE FR LOW</t>
  </si>
  <si>
    <t>JASA PENGGANTIAN FRONT SEAT BELT 1 SIDE FR LUX</t>
  </si>
  <si>
    <t>JASA PENGGANTIAN FRONT SEAT BELT 1 SIDE FR MED</t>
  </si>
  <si>
    <t>JASA PENGGANTIAN FRONT SEAT BELT 1 SIDE TRUCK &amp; BUS</t>
  </si>
  <si>
    <t>JASA PENGGANTIAN FRONT WIPER ARM FF LOW</t>
  </si>
  <si>
    <t>JASA PENGGANTIAN FRONT WIPER ARM FF LUX</t>
  </si>
  <si>
    <t>JASA PENGGANTIAN FRONT WIPER ARM FF MED</t>
  </si>
  <si>
    <t>JASA PENGGANTIAN FRONT WIPER ARM FR LOW</t>
  </si>
  <si>
    <t>JASA PENGGANTIAN FRONT WIPER ARM FR LUX</t>
  </si>
  <si>
    <t>JASA PENGGANTIAN FRONT WIPER ARM FR MED</t>
  </si>
  <si>
    <t>JASA PENGGANTIAN FRONT WIPER ARM TRUCK &amp; BUS</t>
  </si>
  <si>
    <t>JASA PENGGANTIAN FRONT WIPER SWITCH FF LOW</t>
  </si>
  <si>
    <t>JASA PENGGANTIAN FRONT WIPER SWITCH FF LUX</t>
  </si>
  <si>
    <t>JASA PENGGANTIAN FRONT WIPER SWITCH FF MED</t>
  </si>
  <si>
    <t>JASA PENGGANTIAN FRONT WIPER SWITCH FR LOW</t>
  </si>
  <si>
    <t>JASA PENGGANTIAN FRONT WIPER SWITCH FR LUX</t>
  </si>
  <si>
    <t>JASA PENGGANTIAN FRONT WIPER SWITCH FR MED</t>
  </si>
  <si>
    <t>JASA PENGGANTIAN FRONT WIPER SWITCH TRUCK &amp; BUS</t>
  </si>
  <si>
    <t>JASA PENGGANTIAN FUEL FILTER CYLINDER BLOK SIDE FR MED</t>
  </si>
  <si>
    <t>JASA PENGGANTIAN FUEL FILTER FF LOW</t>
  </si>
  <si>
    <t>JASA PENGGANTIAN FUEL FILTER FF LUX</t>
  </si>
  <si>
    <t>JASA PENGGANTIAN FUEL FILTER FF MED</t>
  </si>
  <si>
    <t>JASA PENGGANTIAN FUEL FILTER FR LOW</t>
  </si>
  <si>
    <t>JASA PENGGANTIAN FUEL FILTER FR LUX</t>
  </si>
  <si>
    <t>JASA PENGGANTIAN FUEL FILTER FR MED</t>
  </si>
  <si>
    <t>JASA PENGGANTIAN FUEL FILTER TRUCK &amp; BUS</t>
  </si>
  <si>
    <t>JASA PENGGANTIAN FUEL INJECTOR ALL FF LOW</t>
  </si>
  <si>
    <t>JASA PENGGANTIAN FUEL INJECTOR ALL FF LUX</t>
  </si>
  <si>
    <t>JASA PENGGANTIAN FUEL INJECTOR ALL FF MED</t>
  </si>
  <si>
    <t>JASA PENGGANTIAN FUEL INJECTOR ALL FR LOW</t>
  </si>
  <si>
    <t>JASA PENGGANTIAN FUEL INJECTOR ALL FR LUX</t>
  </si>
  <si>
    <t>JASA PENGGANTIAN FUEL INJECTOR ALL FR MED</t>
  </si>
  <si>
    <t>JASA PENGGANTIAN FUEL PRESSURE REGULATOR</t>
  </si>
  <si>
    <t>JASA PENGGANTIAN FUEL PUMP FF LOW</t>
  </si>
  <si>
    <t>JASA PENGGANTIAN FUEL PUMP FF LUX</t>
  </si>
  <si>
    <t>JASA PENGGANTIAN FUEL PUMP FF MED</t>
  </si>
  <si>
    <t>JASA PENGGANTIAN FUEL PUMP FR LOW</t>
  </si>
  <si>
    <t>JASA PENGGANTIAN FUEL PUMP FR LUX</t>
  </si>
  <si>
    <t>JASA PENGGANTIAN FUEL PUMP FR MED</t>
  </si>
  <si>
    <t>JASA PENGGANTIAN FUEL RECEIVER GAUGE FR LUX</t>
  </si>
  <si>
    <t>JASA PENGGANTIAN FUEL SENDER GAUGE FF LOW</t>
  </si>
  <si>
    <t>JASA PENGGANTIAN FUEL SENDER GAUGE FF LUX</t>
  </si>
  <si>
    <t>JASA PENGGANTIAN FUEL SENDER GAUGE FF MED</t>
  </si>
  <si>
    <t>JASA PENGGANTIAN FUEL SENDER GAUGE FR LOW</t>
  </si>
  <si>
    <t>JASA PENGGANTIAN FUEL SENDER GAUGE FR LUX</t>
  </si>
  <si>
    <t>JASA PENGGANTIAN FUEL SENDER GAUGE FR MED</t>
  </si>
  <si>
    <t>JASA PENGGANTIAN FUEL SENDER GAUGE TRUCK &amp; BUS</t>
  </si>
  <si>
    <t>JASA PENGGANTIAN FUEL TANK FR LUX</t>
  </si>
  <si>
    <t>JASA PENGGANTIAN GLOW PLUG (ALL) FR LUX</t>
  </si>
  <si>
    <t>JASA PENGGANTIAN GLOW PLUG (ALL) TRUCK &amp; BUS</t>
  </si>
  <si>
    <t>JASA PENGGANTIAN GLOW PLUG RELAY FR LUX</t>
  </si>
  <si>
    <t>JASA PENGGANTIAN GLOW PLUG RELAY TRUCK &amp; BUS</t>
  </si>
  <si>
    <t>JASA PENGGANTIAN HAND BRAKE SWITCH FF LOW</t>
  </si>
  <si>
    <t>JASA PENGGANTIAN HAND BRAKE SWITCH FF LUX</t>
  </si>
  <si>
    <t>JASA PENGGANTIAN HAND BRAKE SWITCH FF MED</t>
  </si>
  <si>
    <t>JASA PENGGANTIAN HAND BRAKE SWITCH FR LOW</t>
  </si>
  <si>
    <t>JASA PENGGANTIAN HAND BRAKE SWITCH FR LUX</t>
  </si>
  <si>
    <t>JASA PENGGANTIAN HAND BRAKE SWITCH FR MED</t>
  </si>
  <si>
    <t>JASA PENGGANTIAN HAND BRAKE SWITCH TRUCK &amp; BUS</t>
  </si>
  <si>
    <t>JASA PENGGANTIAN HAZARD WARNING SWITCH FF LOW</t>
  </si>
  <si>
    <t>JASA PENGGANTIAN HAZARD WARNING SWITCH FF LUX</t>
  </si>
  <si>
    <t>JASA PENGGANTIAN HAZARD WARNING SWITCH FF MED</t>
  </si>
  <si>
    <t>JASA PENGGANTIAN HAZARD WARNING SWITCH FR LOW</t>
  </si>
  <si>
    <t>JASA PENGGANTIAN HAZARD WARNING SWITCH FR LUX</t>
  </si>
  <si>
    <t>JASA PENGGANTIAN HAZARD WARNING SWITCH FR MED</t>
  </si>
  <si>
    <t>JASA PENGGANTIAN HAZARD WARNING SWITCH TRUCK &amp; BUS</t>
  </si>
  <si>
    <t>JASA PENGGANTIAN HEADLIGHT BULB 1 PC FF LOW</t>
  </si>
  <si>
    <t>JASA PENGGANTIAN HEADLIGHT BULB 1 PC FF LUX</t>
  </si>
  <si>
    <t>JASA PENGGANTIAN HEADLIGHT BULB 1 PC FF MED</t>
  </si>
  <si>
    <t>JASA PENGGANTIAN HEADLIGHT BULB 1 PC FR LOW</t>
  </si>
  <si>
    <t>JASA PENGGANTIAN HEADLIGHT BULB 1 PC FR LUX</t>
  </si>
  <si>
    <t>JASA PENGGANTIAN HEADLIGHT BULB 1 PC FR MED</t>
  </si>
  <si>
    <t>JASA PENGGANTIAN HEADLIGHT BULB 1 PC TRUCK &amp; BUS</t>
  </si>
  <si>
    <t>JASA PENGGANTIAN HEADLIGHT CONTROL RELAY FF LOW</t>
  </si>
  <si>
    <t>JASA PENGGANTIAN HEADLIGHT CONTROL RELAY FF LUX</t>
  </si>
  <si>
    <t>JASA PENGGANTIAN HEADLIGHT CONTROL RELAY FF MED</t>
  </si>
  <si>
    <t>JASA PENGGANTIAN HEADLIGHT CONTROL RELAY FR LOW</t>
  </si>
  <si>
    <t>JASA PENGGANTIAN HEADLIGHT CONTROL RELAY FR LUX</t>
  </si>
  <si>
    <t>JASA PENGGANTIAN HEADLIGHT CONTROL RELAY FR MED</t>
  </si>
  <si>
    <t>JASA PENGGANTIAN HEADLIGHT CONTROL RELAY TRUCK &amp; BUS</t>
  </si>
  <si>
    <t>JASA PENGGANTIAN HEADLIGHT UNIT 1 PC FF LOW</t>
  </si>
  <si>
    <t>JASA PENGGANTIAN HEADLIGHT UNIT 1 PC FF LUX</t>
  </si>
  <si>
    <t>JASA PENGGANTIAN HEADLIGHT UNIT 1 PC FF MED</t>
  </si>
  <si>
    <t>JASA PENGGANTIAN HEADLIGHT UNIT 1 PC FR LOW</t>
  </si>
  <si>
    <t>JASA PENGGANTIAN HEADLIGHT UNIT 1 PC FR LUX</t>
  </si>
  <si>
    <t>JASA PENGGANTIAN HEADLIGHT UNIT 1 PC FR MED</t>
  </si>
  <si>
    <t>JASA PENGGANTIAN HIGH PRESSURE HOSE FF LOW</t>
  </si>
  <si>
    <t>JASA PENGGANTIAN HIGH PRESSURE HOSE FF LUX</t>
  </si>
  <si>
    <t>JASA PENGGANTIAN HIGH PRESSURE HOSE FF MED</t>
  </si>
  <si>
    <t>JASA PENGGANTIAN HIGH PRESSURE HOSE FR LOW</t>
  </si>
  <si>
    <t>JASA PENGGANTIAN HIGH PRESSURE HOSE FR LUX</t>
  </si>
  <si>
    <t>JASA PENGGANTIAN HIGH PRESSURE HOSE FR MED</t>
  </si>
  <si>
    <t>JASA PENGGANTIAN HOLDER WITH RECTIFIER FF LOW</t>
  </si>
  <si>
    <t>JASA PENGGANTIAN HOLDER WITH RECTIFIER FF LUX</t>
  </si>
  <si>
    <t>JASA PENGGANTIAN HOLDER WITH RECTIFIER FF MED</t>
  </si>
  <si>
    <t>JASA PENGGANTIAN HOLDER WITH RECTIFIER FR LUX</t>
  </si>
  <si>
    <t>JASA PENGGANTIAN HOLDER WITH RECTIFIER TRUCK &amp; BUS</t>
  </si>
  <si>
    <t>JASA PENGGANTIAN HOOD SHOCK STRUT FF LOW</t>
  </si>
  <si>
    <t>JASA PENGGANTIAN HOOD SHOCK STRUT FF LUX</t>
  </si>
  <si>
    <t>JASA PENGGANTIAN HOOD SHOCK STRUT FF MED</t>
  </si>
  <si>
    <t>JASA PENGGANTIAN HOOD SHOCK STRUT FR LOW</t>
  </si>
  <si>
    <t>JASA PENGGANTIAN HOOD SHOCK STRUT FR LUX</t>
  </si>
  <si>
    <t>JASA PENGGANTIAN HOOD SHOCK STRUT FR MED</t>
  </si>
  <si>
    <t>JASA PENGGANTIAN HORN FF LOW</t>
  </si>
  <si>
    <t>JASA PENGGANTIAN HORN FF LUX</t>
  </si>
  <si>
    <t>JASA PENGGANTIAN HORN FF MED</t>
  </si>
  <si>
    <t>JASA PENGGANTIAN HORN FR LOW</t>
  </si>
  <si>
    <t>JASA PENGGANTIAN HORN FR LUX</t>
  </si>
  <si>
    <t>JASA PENGGANTIAN HORN FR MED</t>
  </si>
  <si>
    <t>JASA PENGGANTIAN HORN TRUCK &amp; BUS</t>
  </si>
  <si>
    <t>JASA PENGGANTIAN HOUSING LAMPU BELAKANG</t>
  </si>
  <si>
    <t>JASA PENGGANTIAN HOUSING LAMPU DEPAN</t>
  </si>
  <si>
    <t>JASA PENGGANTIAN IDLER PULLEY FF LOW</t>
  </si>
  <si>
    <t>JASA PENGGANTIAN IDLER PULLEY FF LUX</t>
  </si>
  <si>
    <t>JASA PENGGANTIAN IDLER PULLEY FF MED</t>
  </si>
  <si>
    <t>JASA PENGGANTIAN IDLER PULLEY FR LOW</t>
  </si>
  <si>
    <t>JASA PENGGANTIAN IDLER PULLEY FR LUX</t>
  </si>
  <si>
    <t>JASA PENGGANTIAN IDLER PULLEY FR MED</t>
  </si>
  <si>
    <t>JASA PENGGANTIAN IGNITION CABLE FF MED</t>
  </si>
  <si>
    <t>JASA PENGGANTIAN IGNITION COIL FF LUX</t>
  </si>
  <si>
    <t>JASA PENGGANTIAN IGNITION COIL FR LOW</t>
  </si>
  <si>
    <t>JASA PENGGANTIAN IGNITION COIL FR MED</t>
  </si>
  <si>
    <t>JASA PENGGANTIAN IGNITION RELAY FF LOW</t>
  </si>
  <si>
    <t>JASA PENGGANTIAN IGNITION RELAY FF LUX</t>
  </si>
  <si>
    <t>JASA PENGGANTIAN IGNITION RELAY FF MED</t>
  </si>
  <si>
    <t>JASA PENGGANTIAN IGNITION RELAY FR LOW</t>
  </si>
  <si>
    <t>JASA PENGGANTIAN IGNITION RELAY FR LUX</t>
  </si>
  <si>
    <t>JASA PENGGANTIAN IGNITION RELAY FR MED</t>
  </si>
  <si>
    <t>JASA PENGGANTIAN IGNITION SWITCH FF LOW</t>
  </si>
  <si>
    <t>JASA PENGGANTIAN IGNITION SWITCH FF LUX</t>
  </si>
  <si>
    <t>JASA PENGGANTIAN IGNITION SWITCH FF MED</t>
  </si>
  <si>
    <t>JASA PENGGANTIAN IGNITION SWITCH FR LOW</t>
  </si>
  <si>
    <t>JASA PENGGANTIAN IGNITION SWITCH FR LUX</t>
  </si>
  <si>
    <t>JASA PENGGANTIAN IGNITION SWITCH FR MED</t>
  </si>
  <si>
    <t>JASA PENGGANTIAN IGNITION SWITCH TRUCK &amp; BUS</t>
  </si>
  <si>
    <t>JASA PENGGANTIAN INJECTION PUMP FR LUX</t>
  </si>
  <si>
    <t>JASA PENGGANTIAN INJECTION PUMP TRUCK &amp; BUS</t>
  </si>
  <si>
    <t>JASA PENGGANTIAN INTAKE MANIFOLD FF LOW</t>
  </si>
  <si>
    <t>JASA PENGGANTIAN INTAKE MANIFOLD FF LUX</t>
  </si>
  <si>
    <t>JASA PENGGANTIAN INTAKE MANIFOLD FF MED</t>
  </si>
  <si>
    <t>JASA PENGGANTIAN INTAKE MANIFOLD FR LOW</t>
  </si>
  <si>
    <t>JASA PENGGANTIAN INTAKE MANIFOLD FR LUX</t>
  </si>
  <si>
    <t>JASA PENGGANTIAN INTAKE MANIFOLD FR MED</t>
  </si>
  <si>
    <t>JASA PENGGANTIAN INTAKE MANIFOLD TRUCK &amp; BUS</t>
  </si>
  <si>
    <t>JASA PENGGANTIAN INTERIOR HEATER PIPE</t>
  </si>
  <si>
    <t>JASA PENGGANTIAN INTERIOR LIGHT BULB FF LOW</t>
  </si>
  <si>
    <t>JASA PENGGANTIAN INTERIOR LIGHT BULB FF LUX</t>
  </si>
  <si>
    <t>JASA PENGGANTIAN INTERIOR LIGHT BULB FF MED</t>
  </si>
  <si>
    <t>JASA PENGGANTIAN INTERIOR LIGHT BULB FR LOW</t>
  </si>
  <si>
    <t>JASA PENGGANTIAN INTERIOR LIGHT BULB FR LUX</t>
  </si>
  <si>
    <t>JASA PENGGANTIAN INTERIOR LIGHT BULB FR MED</t>
  </si>
  <si>
    <t>JASA PENGGANTIAN INTERIOR LIGHT BULB TRUCK &amp; BUS</t>
  </si>
  <si>
    <t>JASA PENGGANTIAN KARPET DASAR 1 LAPIS FF LOW</t>
  </si>
  <si>
    <t>JASA PENGGANTIAN KARPET DASAR 1 LAPIS FF LUX</t>
  </si>
  <si>
    <t>JASA PENGGANTIAN KARPET DASAR 1 LAPIS FF MED</t>
  </si>
  <si>
    <t>JASA PENGGANTIAN KARPET DASAR 1 LAPIS FR LOW</t>
  </si>
  <si>
    <t>JASA PENGGANTIAN KARPET DASAR 1 LAPIS FR LUX</t>
  </si>
  <si>
    <t>JASA PENGGANTIAN KARPET DASAR 1 LAPIS FR MED</t>
  </si>
  <si>
    <t>JASA PENGGANTIAN KLAKSON</t>
  </si>
  <si>
    <t>JASA PENGGANTIAN LIGHT CONTROL SWITCH FF LOW</t>
  </si>
  <si>
    <t>JASA PENGGANTIAN LIGHT CONTROL SWITCH FF LUX</t>
  </si>
  <si>
    <t>JASA PENGGANTIAN LIGHT CONTROL SWITCH FF MED</t>
  </si>
  <si>
    <t>JASA PENGGANTIAN LIGHT CONTROL SWITCH FR LOW</t>
  </si>
  <si>
    <t>JASA PENGGANTIAN LIGHT CONTROL SWITCH FR LUX</t>
  </si>
  <si>
    <t>JASA PENGGANTIAN LIGHT CONTROL SWITCH FR MED</t>
  </si>
  <si>
    <t>JASA PENGGANTIAN LIGHT CONTROL SWITCH TRUCK &amp; BUS</t>
  </si>
  <si>
    <t>JASA PENGGANTIAN LINK STABILIZER LOW</t>
  </si>
  <si>
    <t>JASA PENGGANTIAN LINK STABILIZER LUXURY</t>
  </si>
  <si>
    <t>JASA PENGGANTIAN LINK STABILIZER MEDIUM</t>
  </si>
  <si>
    <t>JASA PENGGANTIAN LOCK CYLINDER SET FF LOW</t>
  </si>
  <si>
    <t>JASA PENGGANTIAN LOCK CYLINDER SET FF LUX</t>
  </si>
  <si>
    <t>JASA PENGGANTIAN LOCK CYLINDER SET FF MED</t>
  </si>
  <si>
    <t>JASA PENGGANTIAN LOCK CYLINDER SET FR LOW</t>
  </si>
  <si>
    <t>JASA PENGGANTIAN LOCK CYLINDER SET FR LUX</t>
  </si>
  <si>
    <t>JASA PENGGANTIAN LOCK CYLINDER SET FR MED</t>
  </si>
  <si>
    <t>JASA PENGGANTIAN LOCK CYLINDER SET TRUCK &amp; BUS</t>
  </si>
  <si>
    <t>JASA PENGGANTIAN LOWER ARM 1 SIDE FF LOW</t>
  </si>
  <si>
    <t>JASA PENGGANTIAN LOWER ARM 1 SIDE FF LUX</t>
  </si>
  <si>
    <t>JASA PENGGANTIAN LOWER ARM 1 SIDE FF MED</t>
  </si>
  <si>
    <t>JASA PENGGANTIAN LOWER ARM 1 SIDE FR LOW</t>
  </si>
  <si>
    <t>JASA PENGGANTIAN LOWER ARM 1 SIDE FR LUX</t>
  </si>
  <si>
    <t>JASA PENGGANTIAN LOWER ARM 1 SIDE FR MED</t>
  </si>
  <si>
    <t>JASA PENGGANTIAN LOWER ARM R&amp;L FF LOW</t>
  </si>
  <si>
    <t>JASA PENGGANTIAN LOWER ARM R&amp;L FF LUX</t>
  </si>
  <si>
    <t>JASA PENGGANTIAN LOWER ARM R&amp;L FF MED</t>
  </si>
  <si>
    <t>JASA PENGGANTIAN LOWER ARM R&amp;L FR LOW</t>
  </si>
  <si>
    <t>JASA PENGGANTIAN LOWER ARM R&amp;L FR LUX</t>
  </si>
  <si>
    <t>JASA PENGGANTIAN LOWER ARM R&amp;L FR MED</t>
  </si>
  <si>
    <t>JASA PENGGANTIAN LOWER BALL JOINT 1 SIDE FF LOW</t>
  </si>
  <si>
    <t>JASA PENGGANTIAN LOWER BALL JOINT 1 SIDE FF LUX</t>
  </si>
  <si>
    <t>JASA PENGGANTIAN LOWER BALL JOINT 1 SIDE FF MED</t>
  </si>
  <si>
    <t>JASA PENGGANTIAN LOWER BALL JOINT 1 SIDE FR LOW</t>
  </si>
  <si>
    <t>JASA PENGGANTIAN LOWER BALL JOINT 1 SIDE FR LUX</t>
  </si>
  <si>
    <t>JASA PENGGANTIAN LOWER BALL JOINT 1 SIDE FR MED</t>
  </si>
  <si>
    <t>JASA PENGGANTIAN LOWER BALL JOINT R&amp;L FF LOW</t>
  </si>
  <si>
    <t>JASA PENGGANTIAN LOWER BALL JOINT R&amp;L FF LUX</t>
  </si>
  <si>
    <t>JASA PENGGANTIAN LOWER BALL JOINT R&amp;L FF MED</t>
  </si>
  <si>
    <t>JASA PENGGANTIAN LOWER BALL JOINT R&amp;L FR LOW</t>
  </si>
  <si>
    <t>JASA PENGGANTIAN LOWER BALL JOINT R&amp;L FR LUX</t>
  </si>
  <si>
    <t>JASA PENGGANTIAN LOWER BALL JOINT R&amp;L FR MED</t>
  </si>
  <si>
    <t>JASA PENGGANTIAN MAGNETIC CLUTCH FF LOW</t>
  </si>
  <si>
    <t>JASA PENGGANTIAN MAGNETIC CLUTCH FF LUXURY</t>
  </si>
  <si>
    <t>JASA PENGGANTIAN MAGNETIC CLUTCH FF MEDIUM</t>
  </si>
  <si>
    <t>JASA PENGGANTIAN MAGNETIC CLUTCH FR LOW</t>
  </si>
  <si>
    <t>JASA PENGGANTIAN MAGNETIC CLUTCH FR LUXURY</t>
  </si>
  <si>
    <t>JASA PENGGANTIAN MAGNETIC CLUTCH FR MEDIUM</t>
  </si>
  <si>
    <t>JASA PENGGANTIAN MAGNETIC CLUTCH TRUCK</t>
  </si>
  <si>
    <t>JASA PENGGANTIAN MAGNETIC SWITCH FF LOW</t>
  </si>
  <si>
    <t>JASA PENGGANTIAN MAGNETIC SWITCH FF LUX</t>
  </si>
  <si>
    <t>JASA PENGGANTIAN MAGNETIC SWITCH FF MED</t>
  </si>
  <si>
    <t>JASA PENGGANTIAN MAGNETIC SWITCH FR LOW</t>
  </si>
  <si>
    <t>JASA PENGGANTIAN MAGNETIC SWITCH FR LUX</t>
  </si>
  <si>
    <t>JASA PENGGANTIAN MAGNETIC SWITCH FR MED</t>
  </si>
  <si>
    <t>JASA PENGGANTIAN MAGNETIC SWITCH TRUCK &amp; BUS</t>
  </si>
  <si>
    <t>JASA PENGGANTIAN MANUAL TRANSMISSION OIL FF LOW</t>
  </si>
  <si>
    <t>JASA PENGGANTIAN MANUAL TRANSMISSION OIL FF LUX</t>
  </si>
  <si>
    <t>JASA PENGGANTIAN MANUAL TRANSMISSION OIL FF MED</t>
  </si>
  <si>
    <t>JASA PENGGANTIAN MANUAL TRANSMISSION OIL FR LOW</t>
  </si>
  <si>
    <t>JASA PENGGANTIAN MANUAL TRANSMISSION OIL FR LUX</t>
  </si>
  <si>
    <t>JASA PENGGANTIAN MANUAL TRANSMISSION OIL FR MED</t>
  </si>
  <si>
    <t>JASA PENGGANTIAN MANUAL TRANSMISSION OIL TRUCK &amp; BUS</t>
  </si>
  <si>
    <t>JASA PENGGANTIAN MODULAR ABS FF LOW</t>
  </si>
  <si>
    <t>JASA PENGGANTIAN MODULAR ABS FF LUX</t>
  </si>
  <si>
    <t>JASA PENGGANTIAN MODULAR ABS FF MED</t>
  </si>
  <si>
    <t>JASA PENGGANTIAN MODULAR ABS FR LOW</t>
  </si>
  <si>
    <t>JASA PENGGANTIAN MODULAR ABS FR LUX</t>
  </si>
  <si>
    <t>JASA PENGGANTIAN MODULAR ABS FR MED</t>
  </si>
  <si>
    <t>JASA PENGGANTIAN MODULAR ABS TRUCK &amp; BUS</t>
  </si>
  <si>
    <t>JASA PENGGANTIAN MOTOR POWER SLIDING DOOR FF LUX</t>
  </si>
  <si>
    <t>JASA PENGGANTIAN MOUNTING TRANSNMISSION 1 PCS FF LOW</t>
  </si>
  <si>
    <t>JASA PENGGANTIAN MOUNTING TRANSNMISSION 1 PCS FF LUX</t>
  </si>
  <si>
    <t>JASA PENGGANTIAN MOUNTING TRANSNMISSION 1 PCS FF MED</t>
  </si>
  <si>
    <t>JASA PENGGANTIAN MOUNTING TRANSNMISSION 1 PCS FR LOW</t>
  </si>
  <si>
    <t>JASA PENGGANTIAN MOUNTING TRANSNMISSION 1 PCS FR LUX</t>
  </si>
  <si>
    <t>JASA PENGGANTIAN MOUNTING TRANSNMISSION 1 PCS FR MED</t>
  </si>
  <si>
    <t>JASA PENGGANTIAN MOUNTING TRANSNMISSION 1 PCS TRUCK &amp; BUS</t>
  </si>
  <si>
    <t>JASA PENGGANTIAN MUDGUARD 1 PCS FR LUX</t>
  </si>
  <si>
    <t>JASA PENGGANTIAN MUDGUARD 1 PCS TRUCK &amp; BUS</t>
  </si>
  <si>
    <t>JASA PENGGANTIAN MUFFLER OR TAIL PIPE FF LOW</t>
  </si>
  <si>
    <t>JASA PENGGANTIAN MUFFLER OR TAIL PIPE FF LUX</t>
  </si>
  <si>
    <t>JASA PENGGANTIAN MUFFLER OR TAIL PIPE FF MED</t>
  </si>
  <si>
    <t>JASA PENGGANTIAN MUFFLER OR TAIL PIPE FR LOW</t>
  </si>
  <si>
    <t>JASA PENGGANTIAN MUFFLER OR TAIL PIPE FR LUX</t>
  </si>
  <si>
    <t>JASA PENGGANTIAN MUFFLER OR TAIL PIPE FR MED</t>
  </si>
  <si>
    <t>JASA PENGGANTIAN MUFFLER OR TAIL PIPE TRUCK &amp; BUS</t>
  </si>
  <si>
    <t>JASA PENGGANTIAN NEUTRAL START SWITCH FF LOW</t>
  </si>
  <si>
    <t>JASA PENGGANTIAN NEUTRAL START SWITCH FF LUX</t>
  </si>
  <si>
    <t>JASA PENGGANTIAN NEUTRAL START SWITCH FF MED</t>
  </si>
  <si>
    <t>JASA PENGGANTIAN NEUTRAL START SWITCH FR LOW</t>
  </si>
  <si>
    <t>JASA PENGGANTIAN NEUTRAL START SWITCH FR LUX</t>
  </si>
  <si>
    <t>JASA PENGGANTIAN NEUTRAL START SWITCH FR MED</t>
  </si>
  <si>
    <t>JASA PENGGANTIAN O RING HEAD FILTER OIL FF LOW</t>
  </si>
  <si>
    <t>JASA PENGGANTIAN O RING HEAD FILTER OIL FF LUX</t>
  </si>
  <si>
    <t>JASA PENGGANTIAN O RING HEAD FILTER OIL FF MED</t>
  </si>
  <si>
    <t>JASA PENGGANTIAN O RING HEAD FILTER OIL FR LOW</t>
  </si>
  <si>
    <t>JASA PENGGANTIAN O RING HEAD FILTER OIL FR LUX</t>
  </si>
  <si>
    <t>JASA PENGGANTIAN O RING HEAD FILTER OIL FR MED</t>
  </si>
  <si>
    <t>JASA PENGGANTIAN O RING HEAD FILTER OIL TRUCK &amp; BUS</t>
  </si>
  <si>
    <t>JASA PENGGANTIAN OIL PAN GASKET NO 1 FF LOW</t>
  </si>
  <si>
    <t>JASA PENGGANTIAN OIL PAN GASKET NO 1 FF LUX</t>
  </si>
  <si>
    <t>JASA PENGGANTIAN OIL PAN GASKET NO 1 FF MED</t>
  </si>
  <si>
    <t>JASA PENGGANTIAN OIL PAN GASKET NO 1 FR LOW</t>
  </si>
  <si>
    <t>JASA PENGGANTIAN OIL PAN GASKET NO 1 FR LUX</t>
  </si>
  <si>
    <t>JASA PENGGANTIAN OIL PAN GASKET NO 1 FR MED</t>
  </si>
  <si>
    <t>JASA PENGGANTIAN OIL PAN GASKET NO 1 TRUCK &amp; BUS</t>
  </si>
  <si>
    <t>JASA PENGGANTIAN OIL PAN GASKET NO 2 FF LOW</t>
  </si>
  <si>
    <t>JASA PENGGANTIAN OIL PAN GASKET NO 2 FR MED</t>
  </si>
  <si>
    <t>JASA PENGGANTIAN OIL PAN NO 1 FF LOW</t>
  </si>
  <si>
    <t>JASA PENGGANTIAN OIL PAN NO 1 FF LUX</t>
  </si>
  <si>
    <t>JASA PENGGANTIAN OIL PAN NO 1 FF MED</t>
  </si>
  <si>
    <t>JASA PENGGANTIAN OIL PAN NO 1 FR LOW</t>
  </si>
  <si>
    <t>JASA PENGGANTIAN OIL PAN NO 1 FR LUX</t>
  </si>
  <si>
    <t>JASA PENGGANTIAN OIL PAN NO 1 FR MED</t>
  </si>
  <si>
    <t>JASA PENGGANTIAN OIL PAN NO 1 TRUCK &amp; BUS</t>
  </si>
  <si>
    <t>JASA PENGGANTIAN OIL PAN NO 2 FF LOW</t>
  </si>
  <si>
    <t>JASA PENGGANTIAN OIL PAN NO 2 FR MED</t>
  </si>
  <si>
    <t>JASA PENGGANTIAN OIL PRESSURE RECEIVER FR LUX</t>
  </si>
  <si>
    <t>JASA PENGGANTIAN OIL PRESSURE SWITCH FF LOW</t>
  </si>
  <si>
    <t>JASA PENGGANTIAN OIL PRESSURE SWITCH FF LUX</t>
  </si>
  <si>
    <t>JASA PENGGANTIAN OIL PRESSURE SWITCH FF MED</t>
  </si>
  <si>
    <t>JASA PENGGANTIAN OIL PRESSURE SWITCH FR LOW</t>
  </si>
  <si>
    <t>JASA PENGGANTIAN OIL PRESSURE SWITCH FR LUX</t>
  </si>
  <si>
    <t>JASA PENGGANTIAN OIL PRESSURE SWITCH FR MED</t>
  </si>
  <si>
    <t>JASA PENGGANTIAN OIL PRESSURE SWITCH TRUCK &amp; BUS</t>
  </si>
  <si>
    <t>JASA PENGGANTIAN OIL PUMP FF LOW</t>
  </si>
  <si>
    <t>JASA PENGGANTIAN OIL PUMP FF LUX</t>
  </si>
  <si>
    <t>JASA PENGGANTIAN OIL PUMP FF MED</t>
  </si>
  <si>
    <t>JASA PENGGANTIAN OIL PUMP FR LOW</t>
  </si>
  <si>
    <t>JASA PENGGANTIAN OIL PUMP FR LUX</t>
  </si>
  <si>
    <t>JASA PENGGANTIAN OIL PUMP TRUCK</t>
  </si>
  <si>
    <t>JASA PENGGANTIAN OIL SEAL DIFFERENTIAL FR LOW</t>
  </si>
  <si>
    <t>JASA PENGGANTIAN OIL SEAL DIFFERENTIAL FR LUX</t>
  </si>
  <si>
    <t>JASA PENGGANTIAN OIL SEAL DIFFERENTIAL FR MED</t>
  </si>
  <si>
    <t>JASA PENGGANTIAN OIL SEAL DIFFERENTIAL TRUCK &amp; BUS</t>
  </si>
  <si>
    <t>JASA PENGGANTIAN OIL SEAL FRONT DRIVE SHAFT 1 SIDE FF LOW</t>
  </si>
  <si>
    <t>JASA PENGGANTIAN OIL SEAL FRONT DRIVE SHAFT 1 SIDE FF LUX</t>
  </si>
  <si>
    <t>JASA PENGGANTIAN OIL SEAL FRONT DRIVE SHAFT 1 SIDE FF MED</t>
  </si>
  <si>
    <t>JASA PENGGANTIAN OIL SEAL FRONT DRIVE SHAFT R&amp;L FF LOW</t>
  </si>
  <si>
    <t>JASA PENGGANTIAN OIL SEAL FRONT DRIVE SHAFT R&amp;L FF LUX</t>
  </si>
  <si>
    <t>JASA PENGGANTIAN OIL SEAL FRONT DRIVE SHAFT R&amp;L FF MED</t>
  </si>
  <si>
    <t>JASA PENGGANTIAN OIL SEAL INPUT SHAFT FF LOW</t>
  </si>
  <si>
    <t>JASA PENGGANTIAN OIL SEAL INPUT SHAFT FF LUX</t>
  </si>
  <si>
    <t>JASA PENGGANTIAN OIL SEAL INPUT SHAFT FF MED</t>
  </si>
  <si>
    <t>JASA PENGGANTIAN OIL SEAL INPUT SHAFT FR LOW</t>
  </si>
  <si>
    <t>JASA PENGGANTIAN OIL SEAL INPUT SHAFT FR LUX</t>
  </si>
  <si>
    <t>JASA PENGGANTIAN OIL SEAL INPUT SHAFT FR MED</t>
  </si>
  <si>
    <t>JASA PENGGANTIAN OIL SEAL INPUT SHAFT TRUCK &amp; BUS</t>
  </si>
  <si>
    <t>JASA PENGGANTIAN OIL SEAL OUTPUT SHAFT AT FR MED</t>
  </si>
  <si>
    <t>JASA PENGGANTIAN OIL SEAL OUTPUT SHAFT MT FR LOW</t>
  </si>
  <si>
    <t>JASA PENGGANTIAN OIL SEAL OUTPUT SHAFT MT FR MED</t>
  </si>
  <si>
    <t>JASA PENGGANTIAN OIL SEAL OUTPUT SHAFT MT TRUCK &amp; BUS</t>
  </si>
  <si>
    <t>JASA PENGGANTIAN OIL SEAL REAR AXLE SHAFT 1 SIDE FF MED</t>
  </si>
  <si>
    <t>JASA PENGGANTIAN OIL SEAL REAR AXLE SHAFT 1 SIDE FR LOW</t>
  </si>
  <si>
    <t>JASA PENGGANTIAN OIL SEAL REAR AXLE SHAFT 1 SIDE FR LUX</t>
  </si>
  <si>
    <t>JASA PENGGANTIAN OIL SEAL REAR AXLE SHAFT 1 SIDE FR MED</t>
  </si>
  <si>
    <t>JASA PENGGANTIAN OIL SEAL REAR AXLE SHAFT 1 SIDE TRUCK &amp; BUS</t>
  </si>
  <si>
    <t>JASA PENGGANTIAN OIL SEAL REAR AXLE SHAFT R&amp;L FF MED</t>
  </si>
  <si>
    <t>JASA PENGGANTIAN OIL SEAL REAR AXLE SHAFT R&amp;L FR LOW</t>
  </si>
  <si>
    <t>JASA PENGGANTIAN OIL SEAL REAR AXLE SHAFT R&amp;L FR LUX</t>
  </si>
  <si>
    <t>JASA PENGGANTIAN OIL SEAL REAR AXLE SHAFT R&amp;L FR MED</t>
  </si>
  <si>
    <t>JASA PENGGANTIAN OIL SEAL REAR AXLE SHAFT R&amp;L TRUCK &amp; BUS</t>
  </si>
  <si>
    <t>JASA PENGGANTIAN OLI GARDAN FR LOW</t>
  </si>
  <si>
    <t>JASA PENGGANTIAN OLI GARDAN FR LUX</t>
  </si>
  <si>
    <t>JASA PENGGANTIAN OLI GARDAN FR MED</t>
  </si>
  <si>
    <t>JASA PENGGANTIAN OLI MESIN</t>
  </si>
  <si>
    <t>JASA PENGGANTIAN OXYGEN SENSOR BANK 1 FF LOW</t>
  </si>
  <si>
    <t>JASA PENGGANTIAN OXYGEN SENSOR BANK 1 FF LUX</t>
  </si>
  <si>
    <t>JASA PENGGANTIAN OXYGEN SENSOR BANK 1 FF MED</t>
  </si>
  <si>
    <t>JASA PENGGANTIAN OXYGEN SENSOR BANK 1 FR LOW</t>
  </si>
  <si>
    <t>JASA PENGGANTIAN OXYGEN SENSOR BANK 1 FR LUX</t>
  </si>
  <si>
    <t>JASA PENGGANTIAN OXYGEN SENSOR BANK 1 FR MED</t>
  </si>
  <si>
    <t>JASA PENGGANTIAN OXYGEN SENSOR BANK 2 FF LOW</t>
  </si>
  <si>
    <t>JASA PENGGANTIAN OXYGEN SENSOR BANK 2 FF LUX</t>
  </si>
  <si>
    <t>JASA PENGGANTIAN OXYGEN SENSOR BANK 2 FF MED</t>
  </si>
  <si>
    <t>JASA PENGGANTIAN OXYGEN SENSOR BANK 2 FR LOW</t>
  </si>
  <si>
    <t>JASA PENGGANTIAN OXYGEN SENSOR BANK 2 FR LUX</t>
  </si>
  <si>
    <t>JASA PENGGANTIAN OXYGEN SENSOR BANK 2 FR MED</t>
  </si>
  <si>
    <t>JASA PENGGANTIAN PACKING COVER TIMING TRUK/BUS 4-6 RODA</t>
  </si>
  <si>
    <t>JASA PENGGANTIAN PARKING BRAKE REAR CABLE FF LOW</t>
  </si>
  <si>
    <t>JASA PENGGANTIAN PARKING BRAKE REAR CABLE FF LUX</t>
  </si>
  <si>
    <t>JASA PENGGANTIAN PARKING BRAKE REAR CABLE FF MED</t>
  </si>
  <si>
    <t>JASA PENGGANTIAN PARKING BRAKE REAR CABLE FR LOW</t>
  </si>
  <si>
    <t>JASA PENGGANTIAN PARKING BRAKE REAR CABLE FR LUX</t>
  </si>
  <si>
    <t>JASA PENGGANTIAN PARKING BRAKE REAR CABLE FR MED</t>
  </si>
  <si>
    <t>JASA PENGGANTIAN PARKING BRAKE REAR CABLE R&amp;L FF LOW</t>
  </si>
  <si>
    <t>JASA PENGGANTIAN PARKING BRAKE REAR CABLE R&amp;L FF LUX</t>
  </si>
  <si>
    <t>JASA PENGGANTIAN PARKING BRAKE REAR CABLE R&amp;L FF MED</t>
  </si>
  <si>
    <t>JASA PENGGANTIAN PARKING BRAKE REAR CABLE R&amp;L FR LOW</t>
  </si>
  <si>
    <t>JASA PENGGANTIAN PARKING BRAKE REAR CABLE R&amp;L FR LUX</t>
  </si>
  <si>
    <t>JASA PENGGANTIAN PARKING BRAKE REAR CABLE R&amp;L FR MED</t>
  </si>
  <si>
    <t>JASA PENGGANTIAN PARKING BRAKE REAR CABLE R&amp;L TRUCK &amp; BUS</t>
  </si>
  <si>
    <t>JASA PENGGANTIAN PARKING BRAKE REAR CABLE TRUCK &amp; BUS</t>
  </si>
  <si>
    <t>JASA PENGGANTIAN PISTON WITH PISTON RING FF LOW</t>
  </si>
  <si>
    <t>JASA PENGGANTIAN PISTON WITH PISTON RING FF LUX</t>
  </si>
  <si>
    <t>JASA PENGGANTIAN PISTON WITH PISTON RING FF MED</t>
  </si>
  <si>
    <t>JASA PENGGANTIAN PISTON WITH PISTON RING FR LOW</t>
  </si>
  <si>
    <t>JASA PENGGANTIAN PISTON WITH PISTON RING FR LUX</t>
  </si>
  <si>
    <t>JASA PENGGANTIAN PISTON WITH PISTON RING FR MED</t>
  </si>
  <si>
    <t>JASA PENGGANTIAN PISTON WITH PISTON RING TRUCK &amp; BUS</t>
  </si>
  <si>
    <t>JASA PENGGANTIAN PITMAN ARM FR LUX</t>
  </si>
  <si>
    <t>JASA PENGGANTIAN PITMAN ARM TRUCK &amp; BUS</t>
  </si>
  <si>
    <t>JASA PENGGANTIAN POWER STEERING FLUID</t>
  </si>
  <si>
    <t>JASA PENGGANTIAN POWER STEERING RACK &amp; PINION FF LOW</t>
  </si>
  <si>
    <t>JASA PENGGANTIAN POWER STEERING RACK &amp; PINION FF LUX</t>
  </si>
  <si>
    <t>JASA PENGGANTIAN POWER STEERING RACK &amp; PINION FF MED</t>
  </si>
  <si>
    <t>JASA PENGGANTIAN POWER STEERING RACK &amp; PINION FR LOW</t>
  </si>
  <si>
    <t>JASA PENGGANTIAN POWER STEERING RACK &amp; PINION FR LUX</t>
  </si>
  <si>
    <t>JASA PENGGANTIAN POWER STEERING RACK &amp; PINION FR MED</t>
  </si>
  <si>
    <t>JASA PENGGANTIAN POWER STEERING RACK BOOTH 1 SIDE FF LOW</t>
  </si>
  <si>
    <t>JASA PENGGANTIAN POWER STEERING RACK BOOTH 1 SIDE FF LUX</t>
  </si>
  <si>
    <t>JASA PENGGANTIAN POWER STEERING RACK BOOTH 1 SIDE FF MED</t>
  </si>
  <si>
    <t>JASA PENGGANTIAN POWER STEERING RACK BOOTH 1 SIDE FR LOW</t>
  </si>
  <si>
    <t>JASA PENGGANTIAN POWER STEERING RACK BOOTH 1 SIDE FR LUX</t>
  </si>
  <si>
    <t>JASA PENGGANTIAN POWER STEERING RACK BOOTH 1 SIDE FR MED</t>
  </si>
  <si>
    <t>JASA PENGGANTIAN POWER STEERING RACK BOOTH R&amp;L FF LOW</t>
  </si>
  <si>
    <t>JASA PENGGANTIAN POWER STEERING RACK BOOTH R&amp;L FF LUX</t>
  </si>
  <si>
    <t>JASA PENGGANTIAN POWER STEERING RACK BOOTH R&amp;L FF MED</t>
  </si>
  <si>
    <t>JASA PENGGANTIAN POWER STEERING RACK BOOTH R&amp;L FR LOW</t>
  </si>
  <si>
    <t>JASA PENGGANTIAN POWER STEERING RACK BOOTH R&amp;L FR LUX</t>
  </si>
  <si>
    <t>JASA PENGGANTIAN POWER STEERING RACK BOOTH R&amp;L FR MED</t>
  </si>
  <si>
    <t>JASA PENGGANTIAN POWER WINDOW MASTER SWITCH FF LOW</t>
  </si>
  <si>
    <t>JASA PENGGANTIAN POWER WINDOW MASTER SWITCH FF LUX</t>
  </si>
  <si>
    <t>JASA PENGGANTIAN POWER WINDOW MASTER SWITCH FF MED</t>
  </si>
  <si>
    <t>JASA PENGGANTIAN POWER WINDOW MASTER SWITCH FR LOW</t>
  </si>
  <si>
    <t>JASA PENGGANTIAN POWER WINDOW MASTER SWITCH FR LUX</t>
  </si>
  <si>
    <t>JASA PENGGANTIAN POWER WINDOW MASTER SWITCH FR MED</t>
  </si>
  <si>
    <t>JASA PENGGANTIAN POWER WINDOW RELAY FF LOW</t>
  </si>
  <si>
    <t>JASA PENGGANTIAN POWER WINDOW RELAY FF LUX</t>
  </si>
  <si>
    <t>JASA PENGGANTIAN POWER WINDOW RELAY FF MED</t>
  </si>
  <si>
    <t>JASA PENGGANTIAN POWER WINDOW RELAY FR LOW</t>
  </si>
  <si>
    <t>JASA PENGGANTIAN POWER WINDOW RELAY FR MED</t>
  </si>
  <si>
    <t>JASA PENGGANTIAN POWER WINDOW SWITCH FF LOW</t>
  </si>
  <si>
    <t>JASA PENGGANTIAN POWER WINDOW SWITCH FF LUX</t>
  </si>
  <si>
    <t>JASA PENGGANTIAN POWER WINDOW SWITCH FF MED</t>
  </si>
  <si>
    <t>JASA PENGGANTIAN POWER WINDOW SWITCH FR LOW</t>
  </si>
  <si>
    <t>JASA PENGGANTIAN POWER WINDOW SWITCH FR LUX</t>
  </si>
  <si>
    <t>JASA PENGGANTIAN POWER WINDOW SWITCH FR MED</t>
  </si>
  <si>
    <t>JASA PENGGANTIAN PROPELLER INTERMEDIATE FR LOW</t>
  </si>
  <si>
    <t>JASA PENGGANTIAN PROPELLER INTERMEDIATE TRUCK &amp; BUS</t>
  </si>
  <si>
    <t>JASA PENGGANTIAN PROPELLER SHAFT FR LUX</t>
  </si>
  <si>
    <t>JASA PENGGANTIAN PROPELLER SHAFT FR MED</t>
  </si>
  <si>
    <t>JASA PENGGANTIAN PROPELLER SHAFT TRUCK &amp; BUS</t>
  </si>
  <si>
    <t>JASA PENGGANTIAN RADIATOR FAN RELAY FF LOW</t>
  </si>
  <si>
    <t>JASA PENGGANTIAN RADIATOR FAN RELAY FF LUX</t>
  </si>
  <si>
    <t>JASA PENGGANTIAN RADIATOR FAN RELAY FF MED</t>
  </si>
  <si>
    <t>JASA PENGGANTIAN RADIATOR FAN RELAY FR LOW</t>
  </si>
  <si>
    <t>JASA PENGGANTIAN RADIATOR FAN RELAY FR MED</t>
  </si>
  <si>
    <t>JASA PENGGANTIAN RADIATOR FF LOW</t>
  </si>
  <si>
    <t>JASA PENGGANTIAN RADIATOR FF LUX</t>
  </si>
  <si>
    <t>JASA PENGGANTIAN RADIATOR FF MED</t>
  </si>
  <si>
    <t>JASA PENGGANTIAN RADIATOR FR LOW</t>
  </si>
  <si>
    <t>JASA PENGGANTIAN RADIATOR FR LUX</t>
  </si>
  <si>
    <t>JASA PENGGANTIAN RADIATOR FR MED</t>
  </si>
  <si>
    <t>JASA PENGGANTIAN RADIATOR HOSE INLET FF LOW</t>
  </si>
  <si>
    <t>JASA PENGGANTIAN RADIATOR HOSE INLET FF LUX</t>
  </si>
  <si>
    <t>JASA PENGGANTIAN RADIATOR HOSE INLET FF MED</t>
  </si>
  <si>
    <t>JASA PENGGANTIAN RADIATOR HOSE INLET FR LOW</t>
  </si>
  <si>
    <t>JASA PENGGANTIAN RADIATOR HOSE INLET FR LUX</t>
  </si>
  <si>
    <t>JASA PENGGANTIAN RADIATOR HOSE INLET FR MED</t>
  </si>
  <si>
    <t>JASA PENGGANTIAN RADIATOR HOSE INLET TRUCK &amp; BUS</t>
  </si>
  <si>
    <t>JASA PENGGANTIAN RADIATOR HOSE OUTLET FF LOW</t>
  </si>
  <si>
    <t>JASA PENGGANTIAN RADIATOR HOSE OUTLET FF LUX</t>
  </si>
  <si>
    <t>JASA PENGGANTIAN RADIATOR HOSE OUTLET FF MED</t>
  </si>
  <si>
    <t>JASA PENGGANTIAN RADIATOR HOSE OUTLET FR LOW</t>
  </si>
  <si>
    <t>JASA PENGGANTIAN RADIATOR HOSE OUTLET FR LUX</t>
  </si>
  <si>
    <t>JASA PENGGANTIAN RADIATOR HOSE OUTLET FR MED</t>
  </si>
  <si>
    <t>JASA PENGGANTIAN RADIATOR HOSE OUTLET TRUCK &amp; BUS</t>
  </si>
  <si>
    <t>JASA PENGGANTIAN RADIATOR TRUCK &amp; BUS</t>
  </si>
  <si>
    <t>JASA PENGGANTIAN RADIO TUNER FF LOW</t>
  </si>
  <si>
    <t>JASA PENGGANTIAN RADIO TUNER FF LUX</t>
  </si>
  <si>
    <t>JASA PENGGANTIAN RADIO TUNER FF MED</t>
  </si>
  <si>
    <t>JASA PENGGANTIAN RADIO TUNER FR LOW</t>
  </si>
  <si>
    <t>JASA PENGGANTIAN RADIO TUNER FR LUX</t>
  </si>
  <si>
    <t>JASA PENGGANTIAN RADIO TUNER FR MED</t>
  </si>
  <si>
    <t>JASA PENGGANTIAN REAR AXLE HOUSING FR LUX</t>
  </si>
  <si>
    <t>JASA PENGGANTIAN REAR AXLE HOUSING FR MED</t>
  </si>
  <si>
    <t>JASA PENGGANTIAN REAR AXLE HOUSING TRUCK &amp; BUS</t>
  </si>
  <si>
    <t>JASA PENGGANTIAN REAR AXLE SHAFT 1 SIDE FR LOW</t>
  </si>
  <si>
    <t>JASA PENGGANTIAN REAR AXLE SHAFT 1 SIDE FR LUX</t>
  </si>
  <si>
    <t>JASA PENGGANTIAN REAR AXLE SHAFT 1 SIDE FR MED</t>
  </si>
  <si>
    <t>JASA PENGGANTIAN REAR AXLE SHAFT 1 SIDE TRUCK &amp; BUS</t>
  </si>
  <si>
    <t>JASA PENGGANTIAN REAR AXLE SHAFT BEARING 1 SIDE FF LUX</t>
  </si>
  <si>
    <t>JASA PENGGANTIAN REAR AXLE SHAFT BEARING 1 SIDE FF MED</t>
  </si>
  <si>
    <t>JASA PENGGANTIAN REAR AXLE SHAFT BEARING 1 SIDE FR LOW</t>
  </si>
  <si>
    <t>JASA PENGGANTIAN REAR AXLE SHAFT BEARING 1 SIDE FR LUX</t>
  </si>
  <si>
    <t>JASA PENGGANTIAN REAR AXLE SHAFT BEARING 1 SIDE FR MED</t>
  </si>
  <si>
    <t>JASA PENGGANTIAN REAR AXLE SHAFT BEARING 1 SIDE TRUCK &amp; BUS</t>
  </si>
  <si>
    <t>JASA PENGGANTIAN REAR AXLE SHAFT BEARING R&amp;L FF LUX</t>
  </si>
  <si>
    <t>JASA PENGGANTIAN REAR AXLE SHAFT BEARING R&amp;L FF MED</t>
  </si>
  <si>
    <t>JASA PENGGANTIAN REAR AXLE SHAFT BEARING R&amp;L FR LOW</t>
  </si>
  <si>
    <t>JASA PENGGANTIAN REAR AXLE SHAFT BEARING R&amp;L FR LUX</t>
  </si>
  <si>
    <t>JASA PENGGANTIAN REAR AXLE SHAFT BEARING R&amp;L FR MED</t>
  </si>
  <si>
    <t>JASA PENGGANTIAN REAR AXLE SHAFT BEARING R&amp;L TRUCK &amp; BUS</t>
  </si>
  <si>
    <t>JASA PENGGANTIAN REAR AXLE SHAFT R&amp;L FR LOW</t>
  </si>
  <si>
    <t>JASA PENGGANTIAN REAR AXLE SHAFT R&amp;L FR LUX</t>
  </si>
  <si>
    <t>JASA PENGGANTIAN REAR AXLE SHAFT R&amp;L FR MED</t>
  </si>
  <si>
    <t>JASA PENGGANTIAN REAR AXLE SHAFT R&amp;L TRUCK &amp; BUS</t>
  </si>
  <si>
    <t>JASA PENGGANTIAN REAR BRAKE SHOE FF LOW</t>
  </si>
  <si>
    <t>JASA PENGGANTIAN REAR BRAKE SHOE FR LOW</t>
  </si>
  <si>
    <t>JASA PENGGANTIAN REAR BRAKE SHOE FR LUX</t>
  </si>
  <si>
    <t>JASA PENGGANTIAN REAR BRAKE SHOE FR MED</t>
  </si>
  <si>
    <t>JASA PENGGANTIAN REAR BRAKE SHOE TRUCK &amp; BUS</t>
  </si>
  <si>
    <t>JASA PENGGANTIAN REAR COIL SPRING 1 SIDE FF LOW</t>
  </si>
  <si>
    <t>JASA PENGGANTIAN REAR COIL SPRING 1 SIDE FF LUX</t>
  </si>
  <si>
    <t>JASA PENGGANTIAN REAR COIL SPRING 1 SIDE FF MED</t>
  </si>
  <si>
    <t>JASA PENGGANTIAN REAR COIL SPRING 1 SIDE FR LOW</t>
  </si>
  <si>
    <t>JASA PENGGANTIAN REAR COIL SPRING 1 SIDE FR LUX</t>
  </si>
  <si>
    <t>JASA PENGGANTIAN REAR COIL SPRING 1 SIDE FR MED</t>
  </si>
  <si>
    <t>JASA PENGGANTIAN REAR COIL SPRING R&amp;L FF LOW</t>
  </si>
  <si>
    <t>JASA PENGGANTIAN REAR COIL SPRING R&amp;L FF LUX</t>
  </si>
  <si>
    <t>JASA PENGGANTIAN REAR COIL SPRING R&amp;L FF MED</t>
  </si>
  <si>
    <t>JASA PENGGANTIAN REAR COIL SPRING R&amp;L FR LOW</t>
  </si>
  <si>
    <t>JASA PENGGANTIAN REAR COIL SPRING R&amp;L FR LUX</t>
  </si>
  <si>
    <t>JASA PENGGANTIAN REAR COIL SPRING R&amp;L FR MED</t>
  </si>
  <si>
    <t>JASA PENGGANTIAN REAR DISC BRAKE PAD FF LOW</t>
  </si>
  <si>
    <t>JASA PENGGANTIAN REAR DISC BRAKE PAD FF LUX</t>
  </si>
  <si>
    <t>JASA PENGGANTIAN REAR DISC BRAKE PAD FF MED</t>
  </si>
  <si>
    <t>JASA PENGGANTIAN REAR DISC BRAKE PAD FR LUX</t>
  </si>
  <si>
    <t>JASA PENGGANTIAN REAR DOOR GLASS 1 SIDE FF LOW</t>
  </si>
  <si>
    <t>JASA PENGGANTIAN REAR DOOR GLASS 1 SIDE FF LUX</t>
  </si>
  <si>
    <t>JASA PENGGANTIAN REAR DOOR GLASS 1 SIDE FF MED</t>
  </si>
  <si>
    <t>JASA PENGGANTIAN REAR DOOR GLASS 1 SIDE FR LOW</t>
  </si>
  <si>
    <t>JASA PENGGANTIAN REAR DOOR GLASS 1 SIDE FR LUX</t>
  </si>
  <si>
    <t>JASA PENGGANTIAN REAR DOOR GLASS 1 SIDE FR MED</t>
  </si>
  <si>
    <t>JASA PENGGANTIAN REAR DOOR GLASS INNER WEATHERSTRIP FF LOW</t>
  </si>
  <si>
    <t>JASA PENGGANTIAN REAR DOOR GLASS INNER WEATHERSTRIP FF LUX</t>
  </si>
  <si>
    <t>JASA PENGGANTIAN REAR DOOR GLASS INNER WEATHERSTRIP FF MED</t>
  </si>
  <si>
    <t>JASA PENGGANTIAN REAR DOOR GLASS INNER WEATHERSTRIP FR LOW</t>
  </si>
  <si>
    <t>JASA PENGGANTIAN REAR DOOR GLASS INNER WEATHERSTRIP FR LUX</t>
  </si>
  <si>
    <t>JASA PENGGANTIAN REAR DOOR GLASS OUTER WEATHERSTRIP FF LOW</t>
  </si>
  <si>
    <t>JASA PENGGANTIAN REAR DOOR GLASS OUTER WEATHERSTRIP FR LOW</t>
  </si>
  <si>
    <t>JASA PENGGANTIAN REAR DOOR GLASS OUTER WEATHERSTRIP FR LUX</t>
  </si>
  <si>
    <t>JASA PENGGANTIAN REAR DOOR GLASS RUN 1 SIDE FF LOW</t>
  </si>
  <si>
    <t>JASA PENGGANTIAN REAR DOOR GLASS RUN 1 SIDE FF LUX</t>
  </si>
  <si>
    <t>JASA PENGGANTIAN REAR DOOR GLASS RUN 1 SIDE FF MED</t>
  </si>
  <si>
    <t>JASA PENGGANTIAN REAR DOOR GLASS RUN 1 SIDE FR LOW</t>
  </si>
  <si>
    <t>JASA PENGGANTIAN REAR DOOR GLASS RUN 1 SIDE FR LUX</t>
  </si>
  <si>
    <t>JASA PENGGANTIAN REAR DOOR GLASS RUN 1 SIDE FR MED</t>
  </si>
  <si>
    <t>JASA PENGGANTIAN REAR DOOR MAGNET LOCK SOLENOID FF LOW</t>
  </si>
  <si>
    <t>JASA PENGGANTIAN REAR DOOR MAGNET LOCK SOLENOID FF LUX</t>
  </si>
  <si>
    <t>JASA PENGGANTIAN REAR DOOR MAGNET LOCK SOLENOID FF MED</t>
  </si>
  <si>
    <t>JASA PENGGANTIAN REAR DOOR MAGNET LOCK SOLENOID FR LOW</t>
  </si>
  <si>
    <t>JASA PENGGANTIAN REAR DOOR MAGNET LOCK SOLENOID FR LUX</t>
  </si>
  <si>
    <t>JASA PENGGANTIAN REAR DOOR MAGNET LOCK SOLENOID FR MED</t>
  </si>
  <si>
    <t>JASA PENGGANTIAN REAR DOOR POWER WINDOW REGULATOR FF LOW</t>
  </si>
  <si>
    <t>JASA PENGGANTIAN REAR DOOR POWER WINDOW REGULATOR FF MED</t>
  </si>
  <si>
    <t>JASA PENGGANTIAN REAR DOOR POWER WINDOW REGULATOR FR LOW</t>
  </si>
  <si>
    <t>JASA PENGGANTIAN REAR DOOR POWER WINDOW REGULATOR FR LUX</t>
  </si>
  <si>
    <t>JASA PENGGANTIAN REAR DOOR POWER WINDOW REGULATOR FR MED</t>
  </si>
  <si>
    <t>JASA PENGGANTIAN REAR DOOR WEATHERSTRIP 1 SIDE FF LOW</t>
  </si>
  <si>
    <t>JASA PENGGANTIAN REAR DOOR WEATHERSTRIP 1 SIDE FF LUX</t>
  </si>
  <si>
    <t>JASA PENGGANTIAN REAR DOOR WEATHERSTRIP 1 SIDE FF MED</t>
  </si>
  <si>
    <t>JASA PENGGANTIAN REAR DOOR WEATHERSTRIP 1 SIDE FR LOW</t>
  </si>
  <si>
    <t>JASA PENGGANTIAN REAR DOOR WEATHERSTRIP 1 SIDE FR LUX</t>
  </si>
  <si>
    <t>JASA PENGGANTIAN REAR DOOR WEATHERSTRIP 1 SIDE FR MED</t>
  </si>
  <si>
    <t>JASA PENGGANTIAN REAR DOOR WINDOW REGULATOR FF LOW</t>
  </si>
  <si>
    <t>JASA PENGGANTIAN REAR DOOR WINDOW REGULATOR FF MED</t>
  </si>
  <si>
    <t>JASA PENGGANTIAN REAR DOOR WINDOW REGULATOR FR LOW</t>
  </si>
  <si>
    <t>JASA PENGGANTIAN REAR DOOR WINDOW REGULATOR FR LUX</t>
  </si>
  <si>
    <t>JASA PENGGANTIAN REAR DRIVE SHAFT 1 SIDE FR LUX</t>
  </si>
  <si>
    <t>JASA PENGGANTIAN REAR DRIVE SHAFT 1 SIDE FR MED</t>
  </si>
  <si>
    <t>JASA PENGGANTIAN REAR DRIVE SHAFT 1 SIDE TRUCK &amp; BUS</t>
  </si>
  <si>
    <t>JASA PENGGANTIAN REAR DRIVE SHAFT R&amp;L FR LUX</t>
  </si>
  <si>
    <t>JASA PENGGANTIAN REAR DRIVE SHAFT R&amp;L FR MED</t>
  </si>
  <si>
    <t>JASA PENGGANTIAN REAR DRIVE SHAFT R&amp;L TRUCK &amp; BUS</t>
  </si>
  <si>
    <t>JASA PENGGANTIAN REAR LEAF SPRING 1 SIDE</t>
  </si>
  <si>
    <t>JASA PENGGANTIAN REAR LEAF SPRING 1 SIDE TRUCK &amp; BUS</t>
  </si>
  <si>
    <t>JASA PENGGANTIAN REAR LEAF SPRING R&amp;L</t>
  </si>
  <si>
    <t>JASA PENGGANTIAN REAR LEAF SPRING R&amp;L TRUCK &amp; BUS</t>
  </si>
  <si>
    <t>JASA PENGGANTIAN REAR MOTOR A/C BLOWER FF LOW</t>
  </si>
  <si>
    <t>JASA PENGGANTIAN REAR MOTOR A/C BLOWER FF LUX</t>
  </si>
  <si>
    <t>JASA PENGGANTIAN REAR MOTOR A/C BLOWER FF MED</t>
  </si>
  <si>
    <t>JASA PENGGANTIAN REAR MOTOR A/C BLOWER FR LOW</t>
  </si>
  <si>
    <t>JASA PENGGANTIAN REAR MOTOR A/C BLOWER FR LUX</t>
  </si>
  <si>
    <t>JASA PENGGANTIAN REAR MOTOR A/C BLOWER FR MED</t>
  </si>
  <si>
    <t>JASA PENGGANTIAN REAR MOTOR A/C BLOWER TRUCK &amp; BUS</t>
  </si>
  <si>
    <t>JASA PENGGANTIAN REAR ROTOR DISC BRAKE 1 SIDE FF LOW</t>
  </si>
  <si>
    <t>JASA PENGGANTIAN REAR ROTOR DISC BRAKE 1 SIDE FF LUX</t>
  </si>
  <si>
    <t>JASA PENGGANTIAN REAR ROTOR DISC BRAKE 1 SIDE FF MED</t>
  </si>
  <si>
    <t>JASA PENGGANTIAN REAR ROTOR DISC BRAKE 1 SIDE FR LUX</t>
  </si>
  <si>
    <t>JASA PENGGANTIAN REAR ROTOR DISC BRAKE R&amp;L FF LOW</t>
  </si>
  <si>
    <t>JASA PENGGANTIAN REAR ROTOR DISC BRAKE R&amp;L FF LUX</t>
  </si>
  <si>
    <t>JASA PENGGANTIAN REAR ROTOR DISC BRAKE R&amp;L FF MED</t>
  </si>
  <si>
    <t>JASA PENGGANTIAN REAR ROTOR DISC BRAKE R&amp;L FR LUX</t>
  </si>
  <si>
    <t>JASA PENGGANTIAN REAR SEAT BELT FF LOW</t>
  </si>
  <si>
    <t>JASA PENGGANTIAN REAR SEAT BELT FF LUX</t>
  </si>
  <si>
    <t>JASA PENGGANTIAN REAR SEAT BELT FF MED</t>
  </si>
  <si>
    <t>JASA PENGGANTIAN REAR SEAT BELT FR LOW</t>
  </si>
  <si>
    <t>JASA PENGGANTIAN REAR SEAT BELT FR LUX</t>
  </si>
  <si>
    <t>JASA PENGGANTIAN REAR SEAT BELT FR MED</t>
  </si>
  <si>
    <t>JASA PENGGANTIAN REAR SHOCK ABSORBER 1 SIDE FF LOW</t>
  </si>
  <si>
    <t>JASA PENGGANTIAN REAR SHOCK ABSORBER 1 SIDE FF LUX</t>
  </si>
  <si>
    <t>JASA PENGGANTIAN REAR SHOCK ABSORBER 1 SIDE FF MED</t>
  </si>
  <si>
    <t>JASA PENGGANTIAN REAR SHOCK ABSORBER 1 SIDE FR LOW</t>
  </si>
  <si>
    <t>JASA PENGGANTIAN REAR SHOCK ABSORBER 1 SIDE FR LUX</t>
  </si>
  <si>
    <t>JASA PENGGANTIAN REAR SHOCK ABSORBER 1 SIDE FR MED</t>
  </si>
  <si>
    <t>JASA PENGGANTIAN REAR SHOCK ABSORBER 1 SIDE TRUCK &amp; BUS</t>
  </si>
  <si>
    <t>JASA PENGGANTIAN REAR SHOCK ABSORBER R&amp;L FF LOW</t>
  </si>
  <si>
    <t>JASA PENGGANTIAN REAR SHOCK ABSORBER R&amp;L FF LUX</t>
  </si>
  <si>
    <t>JASA PENGGANTIAN REAR SHOCK ABSORBER R&amp;L FF MED</t>
  </si>
  <si>
    <t>JASA PENGGANTIAN REAR SHOCK ABSORBER R&amp;L FR LOW</t>
  </si>
  <si>
    <t>JASA PENGGANTIAN REAR SHOCK ABSORBER R&amp;L FR LUX</t>
  </si>
  <si>
    <t>JASA PENGGANTIAN REAR SHOCK ABSORBER R&amp;L FR MED</t>
  </si>
  <si>
    <t>JASA PENGGANTIAN REAR SHOCK ABSORBER R&amp;L TRUCK &amp; BUS</t>
  </si>
  <si>
    <t>JASA PENGGANTIAN REAR WASHER MOTOR FR LUX</t>
  </si>
  <si>
    <t>JASA PENGGANTIAN REAR WINDOW DEFOGGER RELAY FF LUX</t>
  </si>
  <si>
    <t>JASA PENGGANTIAN REAR WINDOW DEFOGGER RELAY FF MED</t>
  </si>
  <si>
    <t>JASA PENGGANTIAN REAR WIPER ARM FF LOW</t>
  </si>
  <si>
    <t>JASA PENGGANTIAN REAR WIPER ARM FF MED</t>
  </si>
  <si>
    <t>JASA PENGGANTIAN REAR WIPER ARM FR LOW</t>
  </si>
  <si>
    <t>JASA PENGGANTIAN REAR WIPER ARM FR LUX</t>
  </si>
  <si>
    <t>JASA PENGGANTIAN REAR WIPER ARM FR MED</t>
  </si>
  <si>
    <t>JASA PENGGANTIAN REAR WIPER MOTOR FF MED</t>
  </si>
  <si>
    <t>JASA PENGGANTIAN REAR WIPER MOTOR FR LOW</t>
  </si>
  <si>
    <t>JASA PENGGANTIAN REAR WIPER MOTOR FR LUX</t>
  </si>
  <si>
    <t>JASA PENGGANTIAN REAR WIPER MOTOR FR MED</t>
  </si>
  <si>
    <t>JASA PENGGANTIAN REAR WIPER SWITCH FF LOW</t>
  </si>
  <si>
    <t>JASA PENGGANTIAN REAR WIPER SWITCH FF LUX</t>
  </si>
  <si>
    <t>JASA PENGGANTIAN REAR WIPER SWITCH FF MED</t>
  </si>
  <si>
    <t>JASA PENGGANTIAN REAR WIPER SWITCH FR LOW</t>
  </si>
  <si>
    <t>JASA PENGGANTIAN REAR WIPER SWITCH FR LUX</t>
  </si>
  <si>
    <t>JASA PENGGANTIAN REAR WIPER SWITCH FR MED</t>
  </si>
  <si>
    <t>JASA PENGGANTIAN RECEIVER DRYER</t>
  </si>
  <si>
    <t>JASA PENGGANTIAN RETURN HOSE FF LUX</t>
  </si>
  <si>
    <t>JASA PENGGANTIAN RETURN HOSE FF MED</t>
  </si>
  <si>
    <t>JASA PENGGANTIAN RETURN HOSE FR LUX</t>
  </si>
  <si>
    <t>JASA PENGGANTIAN RETURN HOSE FR MED</t>
  </si>
  <si>
    <t>JASA PENGGANTIAN SARUNG JOK FF LOW</t>
  </si>
  <si>
    <t>JASA PENGGANTIAN SARUNG JOK FF LUX</t>
  </si>
  <si>
    <t>JASA PENGGANTIAN SARUNG JOK FF MED</t>
  </si>
  <si>
    <t>JASA PENGGANTIAN SARUNG JOK FR LOW</t>
  </si>
  <si>
    <t>JASA PENGGANTIAN SARUNG JOK FR LUX</t>
  </si>
  <si>
    <t>JASA PENGGANTIAN SARUNG JOK FR MED</t>
  </si>
  <si>
    <t>JASA PENGGANTIAN SEAL COVER TIMING FF LOW</t>
  </si>
  <si>
    <t>JASA PENGGANTIAN SEAL COVER TIMING FF LUX</t>
  </si>
  <si>
    <t>JASA PENGGANTIAN SEAL COVER TIMING FF MED</t>
  </si>
  <si>
    <t>JASA PENGGANTIAN SEAL COVER TIMING FR LOW</t>
  </si>
  <si>
    <t>JASA PENGGANTIAN SEAL COVER TIMING FR LUX</t>
  </si>
  <si>
    <t>JASA PENGGANTIAN SEAL COVER TIMING FR MED</t>
  </si>
  <si>
    <t>JASA PENGGANTIAN SEAL COVER TIMING TRUCK &amp; BUS</t>
  </si>
  <si>
    <t>JASA PENGGANTIAN SEAL CRANKSHAFT TRUK/BUS 4-6 RODA</t>
  </si>
  <si>
    <t>JASA PENGGANTIAN SEAL PLUG CYLINDER HEAD FF LOW</t>
  </si>
  <si>
    <t>JASA PENGGANTIAN SEAL PLUG CYLINDER HEAD FR LOW</t>
  </si>
  <si>
    <t>JASA PENGGANTIAN SEAL TUAS TRANSMISI</t>
  </si>
  <si>
    <t>JASA PENGGANTIAN SEAL V-TEC FF LOW</t>
  </si>
  <si>
    <t>JASA PENGGANTIAN SEAL V-TEC FF LUX</t>
  </si>
  <si>
    <t>JASA PENGGANTIAN SEAL V-TEC FF MED</t>
  </si>
  <si>
    <t>JASA PENGGANTIAN SEAL V-TEC FR LOW</t>
  </si>
  <si>
    <t>JASA PENGGANTIAN SEAL V-TEC FR LUX</t>
  </si>
  <si>
    <t>JASA PENGGANTIAN SEAL V-TEC FR MED</t>
  </si>
  <si>
    <t>JASA PENGGANTIAN SEAL WASHER (HEAD COVER, ALL) FF LOW</t>
  </si>
  <si>
    <t>JASA PENGGANTIAN SEAL WASHER (HEAD COVER, ALL) FF LUX</t>
  </si>
  <si>
    <t>JASA PENGGANTIAN SEAL WASHER (HEAD COVER, ALL) FF MED</t>
  </si>
  <si>
    <t>JASA PENGGANTIAN SEAL WASHER (HEAD COVER, ALL) FR LOW</t>
  </si>
  <si>
    <t>JASA PENGGANTIAN SEAL WASHER (HEAD COVER, ALL) FR LUX</t>
  </si>
  <si>
    <t>JASA PENGGANTIAN SEAL WASHER (HEAD COVER, ALL) FR MED</t>
  </si>
  <si>
    <t>JASA PENGGANTIAN SEAL WASHER (HEAD COVER, ALL) TRUCK &amp; BUS</t>
  </si>
  <si>
    <t>JASA PENGGANTIAN SEALED-BEAM UNIT 1 PC FR LUX</t>
  </si>
  <si>
    <t>JASA PENGGANTIAN SEALED-BEAM UNIT 1 PC TRUCK &amp; BUS</t>
  </si>
  <si>
    <t>JASA PENGGANTIAN SENSOR OCV FF LOW</t>
  </si>
  <si>
    <t>JASA PENGGANTIAN SENSOR OCV FF LUX</t>
  </si>
  <si>
    <t>JASA PENGGANTIAN SENSOR OCV FF MED</t>
  </si>
  <si>
    <t>JASA PENGGANTIAN SENSOR OCV FR LOW</t>
  </si>
  <si>
    <t>JASA PENGGANTIAN SENSOR OCV FR LUX</t>
  </si>
  <si>
    <t>JASA PENGGANTIAN SENSOR OCV FR MED</t>
  </si>
  <si>
    <t>JASA PENGGANTIAN SHOCK ABSORBER 1 SIDE FF LOW</t>
  </si>
  <si>
    <t>JASA PENGGANTIAN SHOCK ABSORBER 1 SIDE FF LUX</t>
  </si>
  <si>
    <t>JASA PENGGANTIAN SHOCK ABSORBER 1 SIDE FF MED</t>
  </si>
  <si>
    <t>JASA PENGGANTIAN SHOCK ABSORBER 1 SIDE FR LOW</t>
  </si>
  <si>
    <t>JASA PENGGANTIAN SHOCK ABSORBER 1 SIDE FR LUX</t>
  </si>
  <si>
    <t>JASA PENGGANTIAN SHOCK ABSORBER 1 SIDE FR MED</t>
  </si>
  <si>
    <t>JASA PENGGANTIAN SHOCK ABSORBER 1 SIDE TRUCK &amp; BUS</t>
  </si>
  <si>
    <t>JASA PENGGANTIAN SHOCK ABSORBER FRONT &amp; REAR FF LOW</t>
  </si>
  <si>
    <t>JASA PENGGANTIAN SHOCK ABSORBER FRONT &amp; REAR FF LUX</t>
  </si>
  <si>
    <t>JASA PENGGANTIAN SHOCK ABSORBER FRONT &amp; REAR FF MED</t>
  </si>
  <si>
    <t>JASA PENGGANTIAN SHOCK ABSORBER FRONT &amp; REAR FR LOW</t>
  </si>
  <si>
    <t>JASA PENGGANTIAN SHOCK ABSORBER FRONT &amp; REAR FR LUX</t>
  </si>
  <si>
    <t>JASA PENGGANTIAN SHOCK ABSORBER FRONT &amp; REAR FR MED</t>
  </si>
  <si>
    <t>JASA PENGGANTIAN SHOCK ABSORBER FRONT &amp; REAR TRUCK &amp; BUS</t>
  </si>
  <si>
    <t>JASA PENGGANTIAN SHOCK ABSORBER R&amp;L FF LOW</t>
  </si>
  <si>
    <t>JASA PENGGANTIAN SHOCK ABSORBER R&amp;L FF LUX</t>
  </si>
  <si>
    <t>JASA PENGGANTIAN SHOCK ABSORBER R&amp;L FF MED</t>
  </si>
  <si>
    <t>JASA PENGGANTIAN SHOCK ABSORBER R&amp;L FR LOW</t>
  </si>
  <si>
    <t>JASA PENGGANTIAN SHOCK ABSORBER R&amp;L FR LUX</t>
  </si>
  <si>
    <t>JASA PENGGANTIAN SHOCK ABSORBER R&amp;L FR MED</t>
  </si>
  <si>
    <t>JASA PENGGANTIAN SHOCK ABSORBER R&amp;L TRUCK &amp; BUS</t>
  </si>
  <si>
    <t>JASA PENGGANTIAN SHOCK STOPPER REAR FF LOW</t>
  </si>
  <si>
    <t>JASA PENGGANTIAN SHOCK STOPPER REAR FF MED</t>
  </si>
  <si>
    <t>JASA PENGGANTIAN SHOCK STOPPER REAR FR LOW</t>
  </si>
  <si>
    <t>JASA PENGGANTIAN SHOCK STOPPER REAR FR LUX</t>
  </si>
  <si>
    <t>JASA PENGGANTIAN SHOCK STOPPER REAR FR MED</t>
  </si>
  <si>
    <t>JASA PENGGANTIAN SIDE MIRROR R&amp;L FF LOW</t>
  </si>
  <si>
    <t>JASA PENGGANTIAN SIDE MIRROR R&amp;L FF LUX</t>
  </si>
  <si>
    <t>JASA PENGGANTIAN SIDE MIRROR R&amp;L FF MED</t>
  </si>
  <si>
    <t>JASA PENGGANTIAN SIDE MIRROR R&amp;L FR LOW</t>
  </si>
  <si>
    <t>JASA PENGGANTIAN SIDE MIRROR R&amp;L FR LUX</t>
  </si>
  <si>
    <t>JASA PENGGANTIAN SIDE MIRROR R&amp;L FR MED</t>
  </si>
  <si>
    <t>JASA PENGGANTIAN SIDE MIRROR R&amp;L TRUCK &amp; BUS</t>
  </si>
  <si>
    <t>JASA PENGGANTIAN SOLENOID ENGINE CUTOFF</t>
  </si>
  <si>
    <t>JASA PENGGANTIAN SOLENOID LOCK DOOR CONTROL RELAY FF LOW</t>
  </si>
  <si>
    <t>JASA PENGGANTIAN SPARK PLUGS</t>
  </si>
  <si>
    <t>JASA PENGGANTIAN SPEAKER 1 PC FF LOW</t>
  </si>
  <si>
    <t>JASA PENGGANTIAN SPEAKER 1 PC FF LUX</t>
  </si>
  <si>
    <t>JASA PENGGANTIAN SPEAKER 1 PC FF MED</t>
  </si>
  <si>
    <t>JASA PENGGANTIAN SPEAKER 1 PC FR LOW</t>
  </si>
  <si>
    <t>JASA PENGGANTIAN SPEAKER 1 PC FR LUX</t>
  </si>
  <si>
    <t>JASA PENGGANTIAN SPEAKER 1 PC FR MED</t>
  </si>
  <si>
    <t>JASA PENGGANTIAN SPEED SENSOR</t>
  </si>
  <si>
    <t>JASA PENGGANTIAN SPEEDOMETER CABLE FR LUX</t>
  </si>
  <si>
    <t>JASA PENGGANTIAN SPEEDOMETER CABLE TRUCK &amp; BUS</t>
  </si>
  <si>
    <t>JASA PENGGANTIAN SPEEDOMETER DRIVEN GEAR FF LOW</t>
  </si>
  <si>
    <t>JASA PENGGANTIAN SPEEDOMETER DRIVEN GEAR FF LUX</t>
  </si>
  <si>
    <t>JASA PENGGANTIAN SPEEDOMETER DRIVEN GEAR FF MED</t>
  </si>
  <si>
    <t>JASA PENGGANTIAN SPEEDOMETER DRIVEN GEAR FR LUX</t>
  </si>
  <si>
    <t>JASA PENGGANTIAN SPEEDOMETER DRIVEN GEAR FR MED</t>
  </si>
  <si>
    <t>JASA PENGGANTIAN SPEEDOMETER DRIVEN GEAR TRUCK &amp; BUS</t>
  </si>
  <si>
    <t>JASA PENGGANTIAN SPEEDOMETER FR LUX</t>
  </si>
  <si>
    <t>JASA PENGGANTIAN SPEEDOMETER TRUCK &amp; BUS</t>
  </si>
  <si>
    <t>JASA PENGGANTIAN STARTER FF LOW</t>
  </si>
  <si>
    <t>JASA PENGGANTIAN STARTER FF LUX</t>
  </si>
  <si>
    <t>JASA PENGGANTIAN STARTER FF MED</t>
  </si>
  <si>
    <t>JASA PENGGANTIAN STARTER FR LOW</t>
  </si>
  <si>
    <t>JASA PENGGANTIAN STARTER FR LUX</t>
  </si>
  <si>
    <t>JASA PENGGANTIAN STARTER FR MED</t>
  </si>
  <si>
    <t>JASA PENGGANTIAN STARTER TRUCK &amp; BUS</t>
  </si>
  <si>
    <t>JASA PENGGANTIAN STEERING GEAR BOX FR LUX</t>
  </si>
  <si>
    <t>JASA PENGGANTIAN STEERING GEAR BOX TRUCK &amp; BUS</t>
  </si>
  <si>
    <t>JASA PENGGANTIAN STEERING IDLER ARM</t>
  </si>
  <si>
    <t>JASA PENGGANTIAN STEERING IDLER ARM TRUCK &amp; BUS</t>
  </si>
  <si>
    <t>JASA PENGGANTIAN STEERING KING PIN 1 SIDE</t>
  </si>
  <si>
    <t>JASA PENGGANTIAN STEERING KING PIN 1 SIDE TRUCK &amp; BUS</t>
  </si>
  <si>
    <t>JASA PENGGANTIAN STEERING KING PIN R&amp;L</t>
  </si>
  <si>
    <t>JASA PENGGANTIAN STEERING KING PIN R&amp;L TRUCK &amp; BUS</t>
  </si>
  <si>
    <t>JASA PENGGANTIAN STEERING KNUCKLE FF LOW</t>
  </si>
  <si>
    <t>JASA PENGGANTIAN STEERING KNUCKLE FF LUX</t>
  </si>
  <si>
    <t>JASA PENGGANTIAN STEERING KNUCKLE FF MED</t>
  </si>
  <si>
    <t>JASA PENGGANTIAN STEERING KNUCKLE FR LOW</t>
  </si>
  <si>
    <t>JASA PENGGANTIAN STEERING KNUCKLE FR LUX</t>
  </si>
  <si>
    <t>JASA PENGGANTIAN STEERING KNUCKLE FR MED</t>
  </si>
  <si>
    <t>JASA PENGGANTIAN STEERING KNUCKLE R&amp;L FF LOW</t>
  </si>
  <si>
    <t>JASA PENGGANTIAN STEERING KNUCKLE R&amp;L FF LUX</t>
  </si>
  <si>
    <t>JASA PENGGANTIAN STEERING KNUCKLE R&amp;L FF MED</t>
  </si>
  <si>
    <t>JASA PENGGANTIAN STEERING KNUCKLE R&amp;L FR LOW</t>
  </si>
  <si>
    <t>JASA PENGGANTIAN STEERING KNUCKLE R&amp;L FR LUX</t>
  </si>
  <si>
    <t>JASA PENGGANTIAN STEERING KNUCKLE R&amp;L FR MED</t>
  </si>
  <si>
    <t>JASA PENGGANTIAN STEERING KNUCKLE R&amp;L TRUCK &amp; BUS</t>
  </si>
  <si>
    <t>JASA PENGGANTIAN STEERING KNUCKLE TRUCK &amp; BUS</t>
  </si>
  <si>
    <t>JASA PENGGANTIAN STEERING MAIN SHAFT FF LOW</t>
  </si>
  <si>
    <t>JASA PENGGANTIAN STEERING MAIN SHAFT FF LUX</t>
  </si>
  <si>
    <t>JASA PENGGANTIAN STEERING MAIN SHAFT FF MED</t>
  </si>
  <si>
    <t>JASA PENGGANTIAN STEERING MAIN SHAFT FR LUX</t>
  </si>
  <si>
    <t>JASA PENGGANTIAN STEERING MAIN SHAFT FR MED</t>
  </si>
  <si>
    <t>JASA PENGGANTIAN STEERING MAIN SHAFT TRUCK &amp; BUS</t>
  </si>
  <si>
    <t>JASA PENGGANTIAN STEERING RACK &amp; PINION W/O POWER STEERING FF LOW</t>
  </si>
  <si>
    <t>JASA PENGGANTIAN STEERING RACK &amp; PINION W/O POWER STEERING FF LUX</t>
  </si>
  <si>
    <t>JASA PENGGANTIAN STEERING RACK &amp; PINION W/O POWER STEERING FF MED</t>
  </si>
  <si>
    <t>JASA PENGGANTIAN STEERING RACK &amp; PINION W/O POWER STEERING FR LOW</t>
  </si>
  <si>
    <t>JASA PENGGANTIAN STEERING RACK &amp; PINION W/O POWER STEERING FR LUX</t>
  </si>
  <si>
    <t>JASA PENGGANTIAN STEERING RACK &amp; PINION W/O POWER STEERING FR MED</t>
  </si>
  <si>
    <t>JASA PENGGANTIAN STEERING RACK BOOT R&amp;LW/O POWER STEERING FF MED</t>
  </si>
  <si>
    <t>JASA PENGGANTIAN STEERING RACK BOOT R&amp;LW/O POWER STEERING FR MED</t>
  </si>
  <si>
    <t>JASA PENGGANTIAN STEERING RACK BOOTW/O POWER STEERING FF MED</t>
  </si>
  <si>
    <t>JASA PENGGANTIAN STEERING RACK BOOTW/O POWER STEERING FR MED</t>
  </si>
  <si>
    <t>JASA PENGGANTIAN STEERING RACK END 1 SIDEW/O POWER STEERING FF MED</t>
  </si>
  <si>
    <t>JASA PENGGANTIAN STEERING RACK END R&amp;LW/O POWER STEERING FF MED</t>
  </si>
  <si>
    <t>JASA PENGGANTIAN STEERING WHEEL</t>
  </si>
  <si>
    <t>JASA PENGGANTIAN STRUT ROD 1 SIDE FF LUX</t>
  </si>
  <si>
    <t>JASA PENGGANTIAN STRUT ROD R&amp;L FF LUX</t>
  </si>
  <si>
    <t>JASA PENGGANTIAN SUPPORT SHOCK ABSORBER FRONT</t>
  </si>
  <si>
    <t>JASA PENGGANTIAN SUPPORT SHOCK ABSORBER REAR</t>
  </si>
  <si>
    <t>JASA PENGGANTIAN TACHOMETER / ODOMETER FR LUX</t>
  </si>
  <si>
    <t>JASA PENGGANTIAN TAILLIGHT CONTROL RELAY FF LOW</t>
  </si>
  <si>
    <t>JASA PENGGANTIAN TAILLIGHT CONTROL RELAY FF LUX</t>
  </si>
  <si>
    <t>JASA PENGGANTIAN TAILLIGHT CONTROL RELAY FF MED</t>
  </si>
  <si>
    <t>JASA PENGGANTIAN TAILLIGHT CONTROL RELAY FR LOW</t>
  </si>
  <si>
    <t>JASA PENGGANTIAN TAILLIGHT CONTROL RELAY FR LUX</t>
  </si>
  <si>
    <t>JASA PENGGANTIAN TAILLIGHT CONTROL RELAY FR MED</t>
  </si>
  <si>
    <t>JASA PENGGANTIAN TAILLIGHT CONTROL RELAY TRUCK &amp; BUS</t>
  </si>
  <si>
    <t>JASA PENGGANTIAN TANDEM MASTER CYLINDER BRAKE FF LOW</t>
  </si>
  <si>
    <t>JASA PENGGANTIAN TANDEM MASTER CYLINDER BRAKE FF LUX</t>
  </si>
  <si>
    <t>JASA PENGGANTIAN TANDEM MASTER CYLINDER BRAKE FF MED</t>
  </si>
  <si>
    <t>JASA PENGGANTIAN TANDEM MASTER CYLINDER BRAKE FR LOW</t>
  </si>
  <si>
    <t>JASA PENGGANTIAN TANDEM MASTER CYLINDER BRAKE FR LUX</t>
  </si>
  <si>
    <t>JASA PENGGANTIAN TANDEM MASTER CYLINDER BRAKE FR MED</t>
  </si>
  <si>
    <t>JASA PENGGANTIAN TANDEM MASTER CYLINDER BRAKE TRUCK &amp; BUS</t>
  </si>
  <si>
    <t>JASA PENGGANTIAN TEMPERATURE SWITCH FF LOW</t>
  </si>
  <si>
    <t>JASA PENGGANTIAN TEMPERATURE SWITCH FF LUX</t>
  </si>
  <si>
    <t>JASA PENGGANTIAN TEMPERATURE SWITCH FF MED</t>
  </si>
  <si>
    <t>JASA PENGGANTIAN TEMPERATURE SWITCH FR LOW</t>
  </si>
  <si>
    <t>JASA PENGGANTIAN TEMPERATURE SWITCH FR LUX</t>
  </si>
  <si>
    <t>JASA PENGGANTIAN TEMPERATURE SWITCH FR MED</t>
  </si>
  <si>
    <t>JASA PENGGANTIAN TENSIONER PULLEY FF LOW</t>
  </si>
  <si>
    <t>JASA PENGGANTIAN TENSIONER PULLEY FF LUX</t>
  </si>
  <si>
    <t>JASA PENGGANTIAN TENSIONER PULLEY FF MED</t>
  </si>
  <si>
    <t>JASA PENGGANTIAN TENSIONER PULLEY FR LOW</t>
  </si>
  <si>
    <t>JASA PENGGANTIAN TENSIONER PULLEY FR LUX</t>
  </si>
  <si>
    <t>JASA PENGGANTIAN TENSIONER PULLEY FR MED</t>
  </si>
  <si>
    <t>JASA PENGGANTIAN THERMOSTAT FF LOW</t>
  </si>
  <si>
    <t>JASA PENGGANTIAN THERMOSTAT FF LUX</t>
  </si>
  <si>
    <t>JASA PENGGANTIAN THERMOSTAT FF MED</t>
  </si>
  <si>
    <t>JASA PENGGANTIAN THERMOSTAT FR LOW</t>
  </si>
  <si>
    <t>JASA PENGGANTIAN THERMOSTAT FR LUX</t>
  </si>
  <si>
    <t>JASA PENGGANTIAN THERMOSTAT FR MED</t>
  </si>
  <si>
    <t>JASA PENGGANTIAN THERMOSTAT TRUCK &amp; BUS</t>
  </si>
  <si>
    <t>JASA PENGGANTIAN THROTTLE BODY FF LOW</t>
  </si>
  <si>
    <t>JASA PENGGANTIAN THROTTLE BODY FF LUX</t>
  </si>
  <si>
    <t>JASA PENGGANTIAN THROTTLE BODY FF MED</t>
  </si>
  <si>
    <t>JASA PENGGANTIAN THROTTLE BODY FR LOW</t>
  </si>
  <si>
    <t>JASA PENGGANTIAN THROTTLE BODY FR LUX</t>
  </si>
  <si>
    <t>JASA PENGGANTIAN THROTTLE BODY FR MED</t>
  </si>
  <si>
    <t>JASA PENGGANTIAN TIE ROD 1 SIDE FF LOW</t>
  </si>
  <si>
    <t>JASA PENGGANTIAN TIE ROD 1 SIDE FF LUX</t>
  </si>
  <si>
    <t>JASA PENGGANTIAN TIE ROD 1 SIDE FF MED</t>
  </si>
  <si>
    <t>JASA PENGGANTIAN TIE ROD 1 SIDE FR LOW</t>
  </si>
  <si>
    <t>JASA PENGGANTIAN TIE ROD 1 SIDE FR LUX</t>
  </si>
  <si>
    <t>JASA PENGGANTIAN TIE ROD 1 SIDE FR MED</t>
  </si>
  <si>
    <t>JASA PENGGANTIAN TIE ROD 1 SIDE TRUCK &amp; BUS</t>
  </si>
  <si>
    <t>JASA PENGGANTIAN TIE ROD END 1 SIDE FF LOW</t>
  </si>
  <si>
    <t>JASA PENGGANTIAN TIE ROD END 1 SIDE FF LUX</t>
  </si>
  <si>
    <t>JASA PENGGANTIAN TIE ROD END 1 SIDE FF MED</t>
  </si>
  <si>
    <t>JASA PENGGANTIAN TIE ROD END 1 SIDE FR LOW</t>
  </si>
  <si>
    <t>JASA PENGGANTIAN TIE ROD END 1 SIDE FR LUX</t>
  </si>
  <si>
    <t>JASA PENGGANTIAN TIE ROD END 1 SIDE FR MED</t>
  </si>
  <si>
    <t>JASA PENGGANTIAN TIE ROD END 1 SIDE TRUCK &amp; BUS</t>
  </si>
  <si>
    <t>JASA PENGGANTIAN TIE ROD END R&amp;L FF LOW</t>
  </si>
  <si>
    <t>JASA PENGGANTIAN TIE ROD END R&amp;L FF LUX</t>
  </si>
  <si>
    <t>JASA PENGGANTIAN TIE ROD END R&amp;L FF MED</t>
  </si>
  <si>
    <t>JASA PENGGANTIAN TIE ROD END R&amp;L FR LOW</t>
  </si>
  <si>
    <t>JASA PENGGANTIAN TIE ROD END R&amp;L FR LUX</t>
  </si>
  <si>
    <t>JASA PENGGANTIAN TIE ROD END R&amp;L FR MED</t>
  </si>
  <si>
    <t>JASA PENGGANTIAN TIE ROD END R&amp;L TRUCK &amp; BUS</t>
  </si>
  <si>
    <t>JASA PENGGANTIAN TIE ROD R&amp;L FF LOW</t>
  </si>
  <si>
    <t>JASA PENGGANTIAN TIE ROD R&amp;L FF LUX</t>
  </si>
  <si>
    <t>JASA PENGGANTIAN TIE ROD R&amp;L FF MED</t>
  </si>
  <si>
    <t>JASA PENGGANTIAN TIE ROD R&amp;L FR LOW</t>
  </si>
  <si>
    <t>JASA PENGGANTIAN TIE ROD R&amp;L FR LUX</t>
  </si>
  <si>
    <t>JASA PENGGANTIAN TIE ROD R&amp;L FR MED</t>
  </si>
  <si>
    <t>JASA PENGGANTIAN TIE ROD R&amp;L TRUCK &amp; BUS</t>
  </si>
  <si>
    <t>JASA PENGGANTIAN TIMING BELT FF LOW</t>
  </si>
  <si>
    <t>JASA PENGGANTIAN TIMING BELT FF LUX</t>
  </si>
  <si>
    <t>JASA PENGGANTIAN TIMING BELT FF MED</t>
  </si>
  <si>
    <t>JASA PENGGANTIAN TIMING BELT FR LOW</t>
  </si>
  <si>
    <t>JASA PENGGANTIAN TIMING BELT FR LUX</t>
  </si>
  <si>
    <t>JASA PENGGANTIAN TIMING BELT FR MED</t>
  </si>
  <si>
    <t>JASA PENGGANTIAN TIMING BELT TRUCK &amp; BUS</t>
  </si>
  <si>
    <t>JASA PENGGANTIAN TIMING CHAIN FF LOW</t>
  </si>
  <si>
    <t>JASA PENGGANTIAN TIMING CHAIN FF LUX</t>
  </si>
  <si>
    <t>JASA PENGGANTIAN TIMING CHAIN FF MED</t>
  </si>
  <si>
    <t>JASA PENGGANTIAN TIMING CHAIN FR LOW</t>
  </si>
  <si>
    <t>JASA PENGGANTIAN TIMING CHAIN FR MED</t>
  </si>
  <si>
    <t>JASA PENGGANTIAN TIMING GEAR COVER GASKET</t>
  </si>
  <si>
    <t>JASA PENGGANTIAN TIMING GEAR COVER GASKET TRUCK &amp; BUS</t>
  </si>
  <si>
    <t>JASA PENGGANTIAN TRANSFER CASE FR LUX</t>
  </si>
  <si>
    <t>JASA PENGGANTIAN TRANSMISSION / TRANSAXLE AT FR LOW</t>
  </si>
  <si>
    <t>JASA PENGGANTIAN TRANSMISSION / TRANSAXLE AT FR LUX</t>
  </si>
  <si>
    <t>JASA PENGGANTIAN TRANSMISSION / TRANSAXLE AT FR MED</t>
  </si>
  <si>
    <t>JASA PENGGANTIAN TRANSMISSION / TRANSAXLE MT FF LOW</t>
  </si>
  <si>
    <t>JASA PENGGANTIAN TRANSMISSION / TRANSAXLE MT FF LUX</t>
  </si>
  <si>
    <t>JASA PENGGANTIAN TRANSMISSION / TRANSAXLE MT FF MED</t>
  </si>
  <si>
    <t>JASA PENGGANTIAN TRANSMISSION / TRANSAXLE MT FR LOW</t>
  </si>
  <si>
    <t>JASA PENGGANTIAN TRANSMISSION / TRANSAXLE MT FR LUX</t>
  </si>
  <si>
    <t>JASA PENGGANTIAN TRANSMISSION / TRANSAXLE MT FR MED</t>
  </si>
  <si>
    <t>JASA PENGGANTIAN TUKAR BAN SEREP FF LOW</t>
  </si>
  <si>
    <t>JASA PENGGANTIAN TUKAR BAN SEREP FF LUX</t>
  </si>
  <si>
    <t>JASA PENGGANTIAN TUKAR BAN SEREP FF MED</t>
  </si>
  <si>
    <t>JASA PENGGANTIAN TUKAR BAN SEREP FR LOW</t>
  </si>
  <si>
    <t>JASA PENGGANTIAN TUKAR BAN SEREP FR LUX</t>
  </si>
  <si>
    <t>JASA PENGGANTIAN TUKAR BAN SEREP FR MED</t>
  </si>
  <si>
    <t>JASA PENGGANTIAN TURBO OIL PIPE</t>
  </si>
  <si>
    <t>JASA PENGGANTIAN TURBOCHARGER</t>
  </si>
  <si>
    <t>JASA PENGGANTIAN TURN SIGNAL FLASHER FF LOW</t>
  </si>
  <si>
    <t>JASA PENGGANTIAN TURN SIGNAL FLASHER FF LUX</t>
  </si>
  <si>
    <t>JASA PENGGANTIAN TURN SIGNAL FLASHER FF MED</t>
  </si>
  <si>
    <t>JASA PENGGANTIAN TURN SIGNAL FLASHER FR LOW</t>
  </si>
  <si>
    <t>JASA PENGGANTIAN TURN SIGNAL FLASHER FR LUX</t>
  </si>
  <si>
    <t>JASA PENGGANTIAN TURN SIGNAL FLASHER FR MED</t>
  </si>
  <si>
    <t>JASA PENGGANTIAN TURN SIGNAL FLASHER TRUCK &amp; BUS</t>
  </si>
  <si>
    <t>JASA PENGGANTIAN TURN SIGNAL SWITCH FF LOW</t>
  </si>
  <si>
    <t>JASA PENGGANTIAN TURN SIGNAL SWITCH FF LUX</t>
  </si>
  <si>
    <t>JASA PENGGANTIAN TURN SIGNAL SWITCH FF MED</t>
  </si>
  <si>
    <t>JASA PENGGANTIAN TURN SIGNAL SWITCH FR LOW</t>
  </si>
  <si>
    <t>JASA PENGGANTIAN TURN SIGNAL SWITCH FR LUX</t>
  </si>
  <si>
    <t>JASA PENGGANTIAN TURN SIGNAL SWITCH FR MED</t>
  </si>
  <si>
    <t>JASA PENGGANTIAN TURN SIGNAL SWITCH TRUCK &amp; BUS</t>
  </si>
  <si>
    <t>JASA PENGGANTIAN UNIVERSAL JOINT SPIDER 1 PC FR LOW</t>
  </si>
  <si>
    <t>JASA PENGGANTIAN UNIVERSAL JOINT SPIDER 1 PC FR LUX</t>
  </si>
  <si>
    <t>JASA PENGGANTIAN UNIVERSAL JOINT SPIDER 1 PC FR MED</t>
  </si>
  <si>
    <t>JASA PENGGANTIAN UNIVERSAL JOINT SPIDER 1 PC TRUCK &amp; BUS</t>
  </si>
  <si>
    <t>JASA PENGGANTIAN UNIVERSAL JOINT SPIDER 2 PCS FR LOW</t>
  </si>
  <si>
    <t>JASA PENGGANTIAN UPPER ARM 1 SIDE FR LUX</t>
  </si>
  <si>
    <t>JASA PENGGANTIAN UPPER ARM 1 SIDE FR MED</t>
  </si>
  <si>
    <t>JASA PENGGANTIAN UPPER ARM R&amp;L FR LUX</t>
  </si>
  <si>
    <t>JASA PENGGANTIAN UPPER ARM R&amp;L FR MED</t>
  </si>
  <si>
    <t>JASA PENGGANTIAN UPPER BALL JOINT 1 SIDE FF LUX</t>
  </si>
  <si>
    <t>JASA PENGGANTIAN UPPER BALL JOINT 1 SIDE FF MED</t>
  </si>
  <si>
    <t>JASA PENGGANTIAN UPPER BALL JOINT 1 SIDE FR LUX</t>
  </si>
  <si>
    <t>JASA PENGGANTIAN UPPER BALL JOINT 1 SIDE FR MED</t>
  </si>
  <si>
    <t>JASA PENGGANTIAN UPPER BALL JOINT R&amp;L FF LUX</t>
  </si>
  <si>
    <t>JASA PENGGANTIAN UPPER BALL JOINT R&amp;L FF MED</t>
  </si>
  <si>
    <t>JASA PENGGANTIAN UPPER BALL JOINT R&amp;L FR LUX</t>
  </si>
  <si>
    <t>JASA PENGGANTIAN UPPER BALL JOINT R&amp;L FR MED</t>
  </si>
  <si>
    <t>JASA PENGGANTIAN V BELT FF LOW</t>
  </si>
  <si>
    <t>JASA PENGGANTIAN V BELT FF LUX</t>
  </si>
  <si>
    <t>JASA PENGGANTIAN V BELT FF MED</t>
  </si>
  <si>
    <t>JASA PENGGANTIAN V BELT FR LOW</t>
  </si>
  <si>
    <t>JASA PENGGANTIAN V BELT FR LUX</t>
  </si>
  <si>
    <t>JASA PENGGANTIAN V BELT FR MED</t>
  </si>
  <si>
    <t>JASA PENGGANTIAN V BELT TRUCK &amp; BUS</t>
  </si>
  <si>
    <t>JASA PENGGANTIAN VANE PUMP FF LOW</t>
  </si>
  <si>
    <t>JASA PENGGANTIAN VANE PUMP FF LUX</t>
  </si>
  <si>
    <t>JASA PENGGANTIAN VANE PUMP FF MED</t>
  </si>
  <si>
    <t>JASA PENGGANTIAN VANE PUMP FR LOW</t>
  </si>
  <si>
    <t>JASA PENGGANTIAN VANE PUMP FR LUX</t>
  </si>
  <si>
    <t>JASA PENGGANTIAN VANE PUMP FR MED</t>
  </si>
  <si>
    <t>JASA PENGGANTIAN VOLTAGE REGULATOR FF LOW</t>
  </si>
  <si>
    <t>JASA PENGGANTIAN VOLTAGE REGULATOR FF LUX</t>
  </si>
  <si>
    <t>JASA PENGGANTIAN VOLTAGE REGULATOR FOR IC REGULATOR FF LUX</t>
  </si>
  <si>
    <t>JASA PENGGANTIAN VOLTAGE REGULATOR FOR IC REGULATOR FF MED</t>
  </si>
  <si>
    <t>JASA PENGGANTIAN VOLTAGE REGULATOR FOR IC REGULATOR FR LUX</t>
  </si>
  <si>
    <t>JASA PENGGANTIAN WASHER MOTOR FF LOW</t>
  </si>
  <si>
    <t>JASA PENGGANTIAN WASHER MOTOR FF LUX</t>
  </si>
  <si>
    <t>JASA PENGGANTIAN WASHER MOTOR FF MED</t>
  </si>
  <si>
    <t>JASA PENGGANTIAN WASHER MOTOR FR LOW</t>
  </si>
  <si>
    <t>JASA PENGGANTIAN WASHER MOTOR FR LUX</t>
  </si>
  <si>
    <t>JASA PENGGANTIAN WASHER MOTOR FR MED</t>
  </si>
  <si>
    <t>JASA PENGGANTIAN WASHER MOTOR TRUCK &amp; BUS</t>
  </si>
  <si>
    <t>JASA PENGGANTIAN WASHER NOZZLE FF LOW</t>
  </si>
  <si>
    <t>JASA PENGGANTIAN WASHER NOZZLE FF LUX</t>
  </si>
  <si>
    <t>JASA PENGGANTIAN WASHER NOZZLE FF MED</t>
  </si>
  <si>
    <t>JASA PENGGANTIAN WASHER NOZZLE FR LOW</t>
  </si>
  <si>
    <t>JASA PENGGANTIAN WASHER NOZZLE FR LUX</t>
  </si>
  <si>
    <t>JASA PENGGANTIAN WASHER NOZZLE FR MED</t>
  </si>
  <si>
    <t>JASA PENGGANTIAN WASHER NOZZLE TRUCK &amp; BUS</t>
  </si>
  <si>
    <t>JASA PENGGANTIAN WASHER RESERVOIR FF LOW</t>
  </si>
  <si>
    <t>JASA PENGGANTIAN WASHER RESERVOIR FF LUX</t>
  </si>
  <si>
    <t>JASA PENGGANTIAN WASHER RESERVOIR FF MED</t>
  </si>
  <si>
    <t>JASA PENGGANTIAN WASHER RESERVOIR FR LOW</t>
  </si>
  <si>
    <t>JASA PENGGANTIAN WASHER RESERVOIR FR LUX</t>
  </si>
  <si>
    <t>JASA PENGGANTIAN WASHER RESERVOIR FR MED</t>
  </si>
  <si>
    <t>JASA PENGGANTIAN WASHER RESERVOIR TRUCK &amp; BUS</t>
  </si>
  <si>
    <t>JASA PENGGANTIAN WATER PUMP FF LOW</t>
  </si>
  <si>
    <t>JASA PENGGANTIAN WATER PUMP FF LUX</t>
  </si>
  <si>
    <t>JASA PENGGANTIAN WATER PUMP FF MED</t>
  </si>
  <si>
    <t>JASA PENGGANTIAN WATER PUMP FR LOW</t>
  </si>
  <si>
    <t>JASA PENGGANTIAN WATER PUMP FR LUX</t>
  </si>
  <si>
    <t>JASA PENGGANTIAN WATER PUMP FR MED</t>
  </si>
  <si>
    <t>JASA PENGGANTIAN WATER PUMP TRUCK &amp; BUS</t>
  </si>
  <si>
    <t>JASA PENGGANTIAN WATER TEMPERATURE RECEIVER FR LUX</t>
  </si>
  <si>
    <t>JASA PENGGANTIAN WATER TEMPERATURE SENDER FR LOW</t>
  </si>
  <si>
    <t>JASA PENGGANTIAN WATER TEMPERATURE SENDER FR LUX</t>
  </si>
  <si>
    <t>JASA PENGGANTIAN WATER TEMPERATURE SENDER TRUCK &amp; BUS</t>
  </si>
  <si>
    <t>JASA PENGGANTIAN WATER TEMPERATURE SENSOR FF LOW</t>
  </si>
  <si>
    <t>JASA PENGGANTIAN WATER TEMPERATURE SENSOR FF LUX</t>
  </si>
  <si>
    <t>JASA PENGGANTIAN WATER TEMPERATURE SENSOR FF MED</t>
  </si>
  <si>
    <t>JASA PENGGANTIAN WATER TEMPERATURE SENSOR FR LOW</t>
  </si>
  <si>
    <t>JASA PENGGANTIAN WATER TEMPERATURE SENSOR FR LUX</t>
  </si>
  <si>
    <t>JASA PENGGANTIAN WATER TEMPERATURE SENSOR FR MED</t>
  </si>
  <si>
    <t>JASA PENGGANTIAN WINDSHIELD WIPER RELAY FF LOW</t>
  </si>
  <si>
    <t>JASA PENGGANTIAN WINDSHIELD WIPER RELAY FF LUX</t>
  </si>
  <si>
    <t>JASA PENGGANTIAN WINDSHIELD WIPER RELAY FF MED</t>
  </si>
  <si>
    <t>JASA PENGGANTIAN WINDSHIELD WIPER RELAY FR LOW</t>
  </si>
  <si>
    <t>JASA PENGGANTIAN WINDSHIELD WIPER RELAY FR LUX</t>
  </si>
  <si>
    <t>JASA PENGGANTIAN WINDSHIELD WIPER RELAY FR MED</t>
  </si>
  <si>
    <t>JASA PENGGANTIAN WINDSHIELD WIPER RELAY TRUCK &amp; BUS</t>
  </si>
  <si>
    <t>JASA PENGGANTIAN WIPER</t>
  </si>
  <si>
    <t>JASA PENGGANTIAN WIPER LINK FF LOW</t>
  </si>
  <si>
    <t>JASA PENGGANTIAN WIPER LINK FF LUX</t>
  </si>
  <si>
    <t>JASA PENGGANTIAN WIPER LINK FF MED</t>
  </si>
  <si>
    <t>JASA PENGGANTIAN WIPER LINK FR LOW</t>
  </si>
  <si>
    <t>JASA PENGGANTIAN WIPER LINK FR LUX</t>
  </si>
  <si>
    <t>JASA PENGGANTIAN WIPER LINK FR MED</t>
  </si>
  <si>
    <t>JASA PENGGANTIAN WIPER LINK TRUCK &amp; BUS</t>
  </si>
  <si>
    <t>JASA PENGGANTIAN WIPER MOTOR FF LOW</t>
  </si>
  <si>
    <t>JASA PENGGANTIAN WIPER MOTOR FF LUX</t>
  </si>
  <si>
    <t>JASA PENGGANTIAN WIPER MOTOR FF MED</t>
  </si>
  <si>
    <t>JASA PENGGANTIAN WIPER MOTOR FR LOW</t>
  </si>
  <si>
    <t>JASA PENGGANTIAN WIPER MOTOR FR LUX</t>
  </si>
  <si>
    <t>JASA PENGGANTIAN WIPER MOTOR FR MED</t>
  </si>
  <si>
    <t>JASA PENGGANTIAN WIPER MOTOR TRUCK &amp; BUS</t>
  </si>
  <si>
    <t>JASA PENGGANTIAN WIRING HARNESS TRUK/BUS 4-6 RODA</t>
  </si>
  <si>
    <t>JASA PENITIPAN KENDARAAN (1 MALAM)</t>
  </si>
  <si>
    <t>JASA PENYETELAN BRAKE ALL FF LOW</t>
  </si>
  <si>
    <t>JASA PENYETELAN BRAKE ALL FF LUX</t>
  </si>
  <si>
    <t>JASA PENYETELAN BRAKE ALL FF MED</t>
  </si>
  <si>
    <t>JASA PENYETELAN BRAKE ALL FR LOW</t>
  </si>
  <si>
    <t>JASA PENYETELAN BRAKE ALL FR LUX</t>
  </si>
  <si>
    <t>JASA PENYETELAN BRAKE ALL FR MED</t>
  </si>
  <si>
    <t>JASA PENYETELAN BRAKE ALL TRUCK &amp; BUS</t>
  </si>
  <si>
    <t>JASA PENYETELAN BRAKE PEDAL FF LOW</t>
  </si>
  <si>
    <t>JASA PENYETELAN BRAKE PEDAL FF LUX</t>
  </si>
  <si>
    <t>JASA PENYETELAN BRAKE PEDAL FF MED</t>
  </si>
  <si>
    <t>JASA PENYETELAN BRAKE PEDAL FR LOW</t>
  </si>
  <si>
    <t>JASA PENYETELAN BRAKE PEDAL FR LUX</t>
  </si>
  <si>
    <t>JASA PENYETELAN BRAKE PEDAL FR MED</t>
  </si>
  <si>
    <t>JASA PENYETELAN BRAKE PEDAL TRUCK &amp; BUS</t>
  </si>
  <si>
    <t>JASA PENYETELAN CLUTCH PEDAL FF LOW</t>
  </si>
  <si>
    <t>JASA PENYETELAN CLUTCH PEDAL FF LUX</t>
  </si>
  <si>
    <t>JASA PENYETELAN CLUTCH PEDAL FF MED</t>
  </si>
  <si>
    <t>JASA PENYETELAN CLUTCH PEDAL FR LOW</t>
  </si>
  <si>
    <t>JASA PENYETELAN CLUTCH PEDAL FR LUX</t>
  </si>
  <si>
    <t>JASA PENYETELAN CLUTCH PEDAL FR MED</t>
  </si>
  <si>
    <t>JASA PENYETELAN CLUTCH PEDAL TRUCK &amp; BUS</t>
  </si>
  <si>
    <t>JASA PENYETELAN ENGINE FF LOW</t>
  </si>
  <si>
    <t>JASA PENYETELAN ENGINE FF LUX</t>
  </si>
  <si>
    <t>JASA PENYETELAN ENGINE FF MED</t>
  </si>
  <si>
    <t>JASA PENYETELAN ENGINE FR LOW</t>
  </si>
  <si>
    <t>JASA PENYETELAN ENGINE FR LUX</t>
  </si>
  <si>
    <t>JASA PENYETELAN ENGINE FR MED</t>
  </si>
  <si>
    <t>JASA PENYETELAN ENGINE TRUCK &amp; BUS</t>
  </si>
  <si>
    <t>JASA PENYETELAN ENGINE VALVE FF LOW</t>
  </si>
  <si>
    <t>JASA PENYETELAN ENGINE VALVE FF LUX</t>
  </si>
  <si>
    <t>JASA PENYETELAN ENGINE VALVE FF MED</t>
  </si>
  <si>
    <t>JASA PENYETELAN ENGINE VALVE FR LOW</t>
  </si>
  <si>
    <t>JASA PENYETELAN ENGINE VALVE FR LUX</t>
  </si>
  <si>
    <t>JASA PENYETELAN ENGINE VALVE FR MED</t>
  </si>
  <si>
    <t>JASA PENYETELAN ENGINE VALVE TRUCK &amp; BUS</t>
  </si>
  <si>
    <t>JASA PENYETELAN INJECTION TIMING FR LUX</t>
  </si>
  <si>
    <t>JASA PENYETELAN INJECTION TIMING TRUCK &amp; BUS</t>
  </si>
  <si>
    <t>JASA PENYETELAN PARKING BRAKE FF LOW</t>
  </si>
  <si>
    <t>JASA PENYETELAN PARKING BRAKE FF LUX</t>
  </si>
  <si>
    <t>JASA PENYETELAN PARKING BRAKE FF MED</t>
  </si>
  <si>
    <t>JASA PENYETELAN PARKING BRAKE FR LOW</t>
  </si>
  <si>
    <t>JASA PENYETELAN PARKING BRAKE FR LUX</t>
  </si>
  <si>
    <t>JASA PENYETELAN PARKING BRAKE FR MED</t>
  </si>
  <si>
    <t>JASA PENYETELAN PARKING BRAKE TRUCK &amp; BUS</t>
  </si>
  <si>
    <t>JASA PENYETELAN V BELT FF LOW</t>
  </si>
  <si>
    <t>JASA PENYETELAN V BELT FF LUX</t>
  </si>
  <si>
    <t>JASA PENYETELAN V BELT FF MED</t>
  </si>
  <si>
    <t>JASA PENYETELAN V BELT FR LOW</t>
  </si>
  <si>
    <t>JASA PENYETELAN V BELT FR LUX</t>
  </si>
  <si>
    <t>JASA PENYETELAN V BELT FR MED</t>
  </si>
  <si>
    <t>JASA PENYETELAN V BELT TRUCK &amp; BUS</t>
  </si>
  <si>
    <t>JASA PERBAIKAN HANDLE PINTU SATUAN</t>
  </si>
  <si>
    <t>Jasa Perbaikan</t>
  </si>
  <si>
    <t>Repair Service</t>
  </si>
  <si>
    <t>JASA PERBAIKAN KELISTRIKAN MOBIL FF LOW</t>
  </si>
  <si>
    <t>JASA PERBAIKAN KELISTRIKAN MOBIL FF LUX</t>
  </si>
  <si>
    <t>JASA PERBAIKAN KELISTRIKAN MOBIL FF MED</t>
  </si>
  <si>
    <t>JASA PERBAIKAN KELISTRIKAN MOBIL FR LOW</t>
  </si>
  <si>
    <t>JASA PERBAIKAN KELISTRIKAN MOBIL FR LUX</t>
  </si>
  <si>
    <t>JASA PERBAIKAN KELISTRIKAN MOBIL FR MED</t>
  </si>
  <si>
    <t>JASA PERBAIKAN KELISTRIKAN MOBIL TRUCK &amp; BUS</t>
  </si>
  <si>
    <t>JASA PERBAIKAN SUNROOF</t>
  </si>
  <si>
    <t>JASA PERBAIKAN SWITCH HAND BRAKE FF LOW</t>
  </si>
  <si>
    <t>JASA PERBAIKAN SWITCH HAND BRAKE FF LUX</t>
  </si>
  <si>
    <t>JASA PERBAIKAN SWITCH HAND BRAKE FF MED</t>
  </si>
  <si>
    <t>JASA PERBAIKAN SWITCH HAND BRAKE FR LOW</t>
  </si>
  <si>
    <t>JASA PERBAIKAN SWITCH HAND BRAKE FR LUX</t>
  </si>
  <si>
    <t>JASA PERBAIKAN SWITCH HAND BRAKE FR MED</t>
  </si>
  <si>
    <t>JASA PERBAIKAN SWITCH HAND BRAKE TRUCK &amp; BUS</t>
  </si>
  <si>
    <t>JASA RECHARGE REFRIGERANT DOUBLE BLOWER</t>
  </si>
  <si>
    <t>JASA RECHARGE REFRIGERANT SINGLE BLOWER</t>
  </si>
  <si>
    <t>JASA ROTASI BAN</t>
  </si>
  <si>
    <t>JASA SERVICE LENGKAP</t>
  </si>
  <si>
    <t>JASA SERVICE REM MEDIUM &amp; EROPA</t>
  </si>
  <si>
    <t>JASA SERVICE REM STANDARD</t>
  </si>
  <si>
    <t>JASA SERVICE REM TRUK/BUS 4-6 RODA</t>
  </si>
  <si>
    <t>JASA SPOORING</t>
  </si>
  <si>
    <t>JASA TAMBAH NITROGEN</t>
  </si>
  <si>
    <t>JASA TAMBAL BAN</t>
  </si>
  <si>
    <t>JASA TUNE UP &lt;2000CC</t>
  </si>
  <si>
    <t>JASA TUNE UP &gt;3000CC</t>
  </si>
  <si>
    <t>JASA TUNE UP 2000 - 3000CC</t>
  </si>
  <si>
    <t>JASA TUNE UP 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</si>
</sst>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#,##0.##;\-#,##0.##"/>
    <numFmt numFmtId="178" formatCode="#,##0.0_ "/>
    <numFmt numFmtId="179" formatCode="#,##0_ "/>
    <numFmt numFmtId="180" formatCode="[$Rp-421]#,##0_);\([$Rp-421]#,##0\)"/>
    <numFmt numFmtId="181" formatCode="0.00_ "/>
  </numFmts>
  <fonts count="62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1"/>
      <name val="Calibri"/>
      <charset val="134"/>
    </font>
    <font>
      <sz val="12"/>
      <color rgb="FF000000"/>
      <name val="Courier"/>
      <charset val="134"/>
    </font>
    <font>
      <b/>
      <sz val="18"/>
      <color rgb="FF990033"/>
      <name val="Arial"/>
      <charset val="134"/>
    </font>
    <font>
      <sz val="11"/>
      <color rgb="FF000000"/>
      <name val="Courier"/>
      <charset val="134"/>
    </font>
    <font>
      <i/>
      <sz val="7"/>
      <color rgb="FF000000"/>
      <name val="Arial"/>
      <charset val="134"/>
    </font>
    <font>
      <sz val="9"/>
      <color rgb="FF000000"/>
      <name val="Arial"/>
      <charset val="134"/>
    </font>
    <font>
      <sz val="8"/>
      <color rgb="FF000000"/>
      <name val="Courier"/>
      <charset val="134"/>
    </font>
    <font>
      <sz val="11"/>
      <color theme="1"/>
      <name val="等线"/>
      <charset val="1"/>
      <scheme val="minor"/>
    </font>
    <font>
      <b/>
      <sz val="11"/>
      <color theme="0"/>
      <name val="等线"/>
      <charset val="134"/>
    </font>
    <font>
      <b/>
      <sz val="8"/>
      <color theme="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b/>
      <sz val="11"/>
      <name val="等线"/>
      <charset val="134"/>
    </font>
    <font>
      <b/>
      <sz val="8"/>
      <color rgb="FF000000"/>
      <name val="等线"/>
      <charset val="134"/>
    </font>
    <font>
      <b/>
      <sz val="10"/>
      <color rgb="FF000000"/>
      <name val="等线"/>
      <charset val="134"/>
    </font>
    <font>
      <b/>
      <sz val="8"/>
      <color theme="0"/>
      <name val="等线"/>
      <charset val="134"/>
    </font>
    <font>
      <b/>
      <sz val="8"/>
      <name val="等线"/>
      <charset val="134"/>
    </font>
    <font>
      <sz val="8"/>
      <name val="等线"/>
      <charset val="134"/>
    </font>
    <font>
      <sz val="11"/>
      <color indexed="8"/>
      <name val="等线"/>
      <charset val="134"/>
    </font>
    <font>
      <sz val="11"/>
      <color rgb="FF000000"/>
      <name val="等线"/>
      <charset val="134"/>
    </font>
    <font>
      <b/>
      <sz val="10"/>
      <color theme="1"/>
      <name val="等线"/>
      <charset val="134"/>
    </font>
    <font>
      <sz val="8"/>
      <color theme="1"/>
      <name val="等线"/>
      <charset val="134"/>
    </font>
    <font>
      <sz val="10"/>
      <color theme="1"/>
      <name val="等线"/>
      <charset val="134"/>
    </font>
    <font>
      <b/>
      <sz val="10"/>
      <color rgb="FFFF0000"/>
      <name val="等线"/>
      <charset val="134"/>
      <scheme val="minor"/>
    </font>
    <font>
      <b/>
      <sz val="10"/>
      <color theme="0"/>
      <name val="等线"/>
      <charset val="134"/>
      <scheme val="minor"/>
    </font>
    <font>
      <b/>
      <sz val="10"/>
      <color theme="0"/>
      <name val="等线"/>
      <charset val="134"/>
    </font>
    <font>
      <b/>
      <sz val="10"/>
      <name val="等线"/>
      <charset val="134"/>
    </font>
    <font>
      <sz val="10"/>
      <color theme="0"/>
      <name val="等线"/>
      <charset val="134"/>
    </font>
    <font>
      <sz val="8"/>
      <color theme="1"/>
      <name val="等线"/>
      <charset val="134"/>
      <scheme val="minor"/>
    </font>
    <font>
      <sz val="8"/>
      <color rgb="FFFF0000"/>
      <name val="等线"/>
      <charset val="134"/>
    </font>
    <font>
      <sz val="8"/>
      <color theme="0"/>
      <name val="等线"/>
      <charset val="134"/>
    </font>
    <font>
      <sz val="8"/>
      <color rgb="FF000000"/>
      <name val="等线"/>
      <charset val="134"/>
    </font>
    <font>
      <sz val="10"/>
      <color rgb="FF000000"/>
      <name val="等线"/>
      <charset val="134"/>
    </font>
    <font>
      <sz val="10"/>
      <color indexed="8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b/>
      <sz val="10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8"/>
      <name val="Helvetica Neue"/>
      <charset val="134"/>
    </font>
    <font>
      <sz val="12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BFE1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1D41D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E46C8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666666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20" borderId="1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1" borderId="19" applyNumberFormat="0" applyAlignment="0" applyProtection="0">
      <alignment vertical="center"/>
    </xf>
    <xf numFmtId="0" fontId="48" fillId="22" borderId="20" applyNumberFormat="0" applyAlignment="0" applyProtection="0">
      <alignment vertical="center"/>
    </xf>
    <xf numFmtId="0" fontId="49" fillId="22" borderId="19" applyNumberFormat="0" applyAlignment="0" applyProtection="0">
      <alignment vertical="center"/>
    </xf>
    <xf numFmtId="0" fontId="50" fillId="23" borderId="21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8" fillId="0" borderId="0" applyNumberFormat="0" applyFill="0" applyBorder="0" applyProtection="0">
      <alignment vertical="top" wrapText="1"/>
    </xf>
    <xf numFmtId="0" fontId="59" fillId="0" borderId="0"/>
    <xf numFmtId="0" fontId="60" fillId="0" borderId="0"/>
    <xf numFmtId="0" fontId="61" fillId="0" borderId="0">
      <alignment vertical="center"/>
    </xf>
    <xf numFmtId="176" fontId="0" fillId="0" borderId="0" applyFont="0" applyFill="0" applyBorder="0" applyAlignment="0" applyProtection="0"/>
  </cellStyleXfs>
  <cellXfs count="188">
    <xf numFmtId="0" fontId="0" fillId="0" borderId="0" xfId="0"/>
    <xf numFmtId="2" fontId="0" fillId="0" borderId="0" xfId="0" applyNumberForma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3" fontId="1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0" fontId="5" fillId="0" borderId="0" xfId="0" applyNumberFormat="1" applyFont="1" applyFill="1" applyBorder="1" applyAlignment="1" applyProtection="1">
      <alignment vertical="top" wrapText="1"/>
    </xf>
    <xf numFmtId="0" fontId="6" fillId="0" borderId="0" xfId="0" applyNumberFormat="1" applyFont="1" applyFill="1" applyBorder="1" applyAlignment="1" applyProtection="1">
      <alignment vertical="top" wrapText="1"/>
    </xf>
    <xf numFmtId="0" fontId="7" fillId="3" borderId="2" xfId="0" applyNumberFormat="1" applyFont="1" applyFill="1" applyBorder="1" applyAlignment="1" applyProtection="1">
      <alignment horizontal="left" vertical="center" wrapText="1"/>
    </xf>
    <xf numFmtId="0" fontId="7" fillId="3" borderId="3" xfId="0" applyNumberFormat="1" applyFont="1" applyFill="1" applyBorder="1" applyAlignment="1" applyProtection="1">
      <alignment horizontal="left" vertical="center" wrapText="1"/>
    </xf>
    <xf numFmtId="0" fontId="7" fillId="4" borderId="3" xfId="0" applyNumberFormat="1" applyFont="1" applyFill="1" applyBorder="1" applyAlignment="1" applyProtection="1">
      <alignment horizontal="center" vertical="center" wrapText="1"/>
    </xf>
    <xf numFmtId="0" fontId="7" fillId="4" borderId="4" xfId="0" applyNumberFormat="1" applyFont="1" applyFill="1" applyBorder="1" applyAlignment="1" applyProtection="1">
      <alignment horizontal="center" vertical="center" wrapText="1"/>
    </xf>
    <xf numFmtId="0" fontId="7" fillId="4" borderId="3" xfId="0" applyNumberFormat="1" applyFont="1" applyFill="1" applyBorder="1" applyAlignment="1" applyProtection="1">
      <alignment vertical="center" wrapText="1"/>
    </xf>
    <xf numFmtId="0" fontId="7" fillId="4" borderId="3" xfId="0" applyNumberFormat="1" applyFont="1" applyFill="1" applyBorder="1" applyAlignment="1" applyProtection="1">
      <alignment horizontal="left" vertical="center" wrapText="1"/>
    </xf>
    <xf numFmtId="177" fontId="7" fillId="5" borderId="3" xfId="0" applyNumberFormat="1" applyFont="1" applyFill="1" applyBorder="1" applyAlignment="1" applyProtection="1">
      <alignment horizontal="right" vertical="center" wrapText="1"/>
    </xf>
    <xf numFmtId="177" fontId="7" fillId="5" borderId="4" xfId="0" applyNumberFormat="1" applyFont="1" applyFill="1" applyBorder="1" applyAlignment="1" applyProtection="1">
      <alignment horizontal="right" vertical="center" wrapText="1"/>
    </xf>
    <xf numFmtId="177" fontId="7" fillId="3" borderId="3" xfId="0" applyNumberFormat="1" applyFont="1" applyFill="1" applyBorder="1" applyAlignment="1" applyProtection="1">
      <alignment horizontal="right" vertical="center" wrapText="1"/>
    </xf>
    <xf numFmtId="177" fontId="7" fillId="3" borderId="4" xfId="0" applyNumberFormat="1" applyFont="1" applyFill="1" applyBorder="1" applyAlignment="1" applyProtection="1">
      <alignment horizontal="right" vertical="center" wrapText="1"/>
    </xf>
    <xf numFmtId="0" fontId="0" fillId="5" borderId="5" xfId="0" applyNumberFormat="1" applyFont="1" applyFill="1" applyBorder="1" applyAlignment="1" applyProtection="1">
      <alignment wrapText="1"/>
      <protection locked="0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3" borderId="3" xfId="0" applyNumberFormat="1" applyFont="1" applyFill="1" applyBorder="1" applyAlignment="1" applyProtection="1">
      <alignment vertical="center" wrapText="1"/>
    </xf>
    <xf numFmtId="0" fontId="9" fillId="0" borderId="0" xfId="0" applyFont="1" applyFill="1" applyAlignment="1"/>
    <xf numFmtId="0" fontId="0" fillId="0" borderId="0" xfId="0" applyFont="1" applyFill="1" applyAlignment="1" applyProtection="1">
      <protection locked="0"/>
    </xf>
    <xf numFmtId="178" fontId="10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left" vertical="center"/>
    </xf>
    <xf numFmtId="178" fontId="10" fillId="6" borderId="1" xfId="0" applyNumberFormat="1" applyFont="1" applyFill="1" applyBorder="1" applyAlignment="1">
      <alignment horizontal="right" vertical="center"/>
    </xf>
    <xf numFmtId="178" fontId="13" fillId="0" borderId="1" xfId="0" applyNumberFormat="1" applyFont="1" applyFill="1" applyBorder="1" applyAlignment="1">
      <alignment horizontal="right" vertical="center"/>
    </xf>
    <xf numFmtId="178" fontId="13" fillId="7" borderId="1" xfId="0" applyNumberFormat="1" applyFont="1" applyFill="1" applyBorder="1" applyAlignment="1">
      <alignment horizontal="right" vertical="center"/>
    </xf>
    <xf numFmtId="179" fontId="10" fillId="0" borderId="1" xfId="0" applyNumberFormat="1" applyFont="1" applyFill="1" applyBorder="1" applyAlignment="1">
      <alignment horizontal="center" vertical="center"/>
    </xf>
    <xf numFmtId="178" fontId="10" fillId="6" borderId="6" xfId="0" applyNumberFormat="1" applyFont="1" applyFill="1" applyBorder="1" applyAlignment="1">
      <alignment horizontal="center" vertical="center"/>
    </xf>
    <xf numFmtId="178" fontId="14" fillId="0" borderId="7" xfId="0" applyNumberFormat="1" applyFont="1" applyFill="1" applyBorder="1" applyAlignment="1">
      <alignment horizontal="center" vertical="center"/>
    </xf>
    <xf numFmtId="178" fontId="14" fillId="0" borderId="6" xfId="0" applyNumberFormat="1" applyFont="1" applyFill="1" applyBorder="1" applyAlignment="1">
      <alignment horizontal="center" vertical="center"/>
    </xf>
    <xf numFmtId="178" fontId="14" fillId="0" borderId="8" xfId="0" applyNumberFormat="1" applyFont="1" applyFill="1" applyBorder="1" applyAlignment="1">
      <alignment horizontal="center" vertical="center"/>
    </xf>
    <xf numFmtId="178" fontId="13" fillId="7" borderId="7" xfId="0" applyNumberFormat="1" applyFont="1" applyFill="1" applyBorder="1" applyAlignment="1">
      <alignment horizontal="center" vertical="center"/>
    </xf>
    <xf numFmtId="178" fontId="13" fillId="7" borderId="6" xfId="0" applyNumberFormat="1" applyFont="1" applyFill="1" applyBorder="1" applyAlignment="1">
      <alignment horizontal="center" vertical="center"/>
    </xf>
    <xf numFmtId="178" fontId="13" fillId="7" borderId="8" xfId="0" applyNumberFormat="1" applyFont="1" applyFill="1" applyBorder="1" applyAlignment="1">
      <alignment horizontal="center" vertical="center"/>
    </xf>
    <xf numFmtId="179" fontId="15" fillId="0" borderId="9" xfId="0" applyNumberFormat="1" applyFont="1" applyFill="1" applyBorder="1" applyAlignment="1">
      <alignment horizontal="center" vertical="center"/>
    </xf>
    <xf numFmtId="178" fontId="16" fillId="8" borderId="9" xfId="0" applyNumberFormat="1" applyFont="1" applyFill="1" applyBorder="1" applyAlignment="1">
      <alignment horizontal="left" vertical="center"/>
    </xf>
    <xf numFmtId="178" fontId="15" fillId="0" borderId="1" xfId="0" applyNumberFormat="1" applyFont="1" applyFill="1" applyBorder="1" applyAlignment="1">
      <alignment horizontal="center" vertical="center"/>
    </xf>
    <xf numFmtId="178" fontId="15" fillId="0" borderId="9" xfId="0" applyNumberFormat="1" applyFont="1" applyFill="1" applyBorder="1" applyAlignment="1">
      <alignment horizontal="center" vertical="center"/>
    </xf>
    <xf numFmtId="178" fontId="17" fillId="6" borderId="9" xfId="0" applyNumberFormat="1" applyFont="1" applyFill="1" applyBorder="1" applyAlignment="1">
      <alignment horizontal="center" vertical="center"/>
    </xf>
    <xf numFmtId="178" fontId="17" fillId="6" borderId="9" xfId="0" applyNumberFormat="1" applyFont="1" applyFill="1" applyBorder="1" applyAlignment="1">
      <alignment horizontal="right" vertical="center"/>
    </xf>
    <xf numFmtId="178" fontId="18" fillId="0" borderId="9" xfId="0" applyNumberFormat="1" applyFont="1" applyFill="1" applyBorder="1" applyAlignment="1">
      <alignment horizontal="right" vertical="center"/>
    </xf>
    <xf numFmtId="178" fontId="18" fillId="0" borderId="9" xfId="0" applyNumberFormat="1" applyFont="1" applyFill="1" applyBorder="1" applyAlignment="1">
      <alignment horizontal="center" vertical="center"/>
    </xf>
    <xf numFmtId="178" fontId="18" fillId="0" borderId="9" xfId="0" applyNumberFormat="1" applyFont="1" applyFill="1" applyBorder="1" applyAlignment="1">
      <alignment horizontal="center" vertical="center" wrapText="1"/>
    </xf>
    <xf numFmtId="178" fontId="18" fillId="0" borderId="9" xfId="0" applyNumberFormat="1" applyFont="1" applyFill="1" applyBorder="1" applyAlignment="1">
      <alignment horizontal="right" vertical="center" wrapText="1"/>
    </xf>
    <xf numFmtId="178" fontId="19" fillId="7" borderId="1" xfId="0" applyNumberFormat="1" applyFont="1" applyFill="1" applyBorder="1" applyAlignment="1">
      <alignment horizontal="right" vertical="center"/>
    </xf>
    <xf numFmtId="179" fontId="15" fillId="0" borderId="10" xfId="0" applyNumberFormat="1" applyFont="1" applyFill="1" applyBorder="1" applyAlignment="1">
      <alignment horizontal="center" vertical="center"/>
    </xf>
    <xf numFmtId="178" fontId="16" fillId="8" borderId="10" xfId="0" applyNumberFormat="1" applyFont="1" applyFill="1" applyBorder="1" applyAlignment="1">
      <alignment horizontal="left" vertical="center"/>
    </xf>
    <xf numFmtId="178" fontId="15" fillId="0" borderId="10" xfId="0" applyNumberFormat="1" applyFont="1" applyFill="1" applyBorder="1" applyAlignment="1">
      <alignment horizontal="center" vertical="center"/>
    </xf>
    <xf numFmtId="178" fontId="17" fillId="6" borderId="10" xfId="0" applyNumberFormat="1" applyFont="1" applyFill="1" applyBorder="1" applyAlignment="1">
      <alignment horizontal="center" vertical="center"/>
    </xf>
    <xf numFmtId="178" fontId="17" fillId="6" borderId="10" xfId="0" applyNumberFormat="1" applyFont="1" applyFill="1" applyBorder="1" applyAlignment="1">
      <alignment horizontal="right" vertical="center"/>
    </xf>
    <xf numFmtId="178" fontId="18" fillId="0" borderId="10" xfId="0" applyNumberFormat="1" applyFont="1" applyFill="1" applyBorder="1" applyAlignment="1">
      <alignment horizontal="right" vertical="center"/>
    </xf>
    <xf numFmtId="178" fontId="18" fillId="0" borderId="10" xfId="0" applyNumberFormat="1" applyFont="1" applyFill="1" applyBorder="1" applyAlignment="1">
      <alignment horizontal="center" vertical="center"/>
    </xf>
    <xf numFmtId="178" fontId="18" fillId="0" borderId="10" xfId="0" applyNumberFormat="1" applyFont="1" applyFill="1" applyBorder="1" applyAlignment="1">
      <alignment horizontal="center" vertical="center" wrapText="1"/>
    </xf>
    <xf numFmtId="178" fontId="20" fillId="0" borderId="1" xfId="49" applyNumberFormat="1" applyFont="1" applyFill="1" applyBorder="1" applyAlignment="1">
      <alignment horizontal="left" vertical="center" wrapText="1"/>
    </xf>
    <xf numFmtId="178" fontId="21" fillId="0" borderId="1" xfId="0" applyNumberFormat="1" applyFont="1" applyFill="1" applyBorder="1" applyAlignment="1">
      <alignment horizontal="center" vertical="center"/>
    </xf>
    <xf numFmtId="178" fontId="13" fillId="0" borderId="10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178" fontId="24" fillId="0" borderId="0" xfId="0" applyNumberFormat="1" applyFont="1" applyAlignment="1">
      <alignment horizontal="right" vertical="center"/>
    </xf>
    <xf numFmtId="179" fontId="24" fillId="0" borderId="0" xfId="0" applyNumberFormat="1" applyFont="1" applyAlignment="1">
      <alignment horizontal="right" vertical="center"/>
    </xf>
    <xf numFmtId="179" fontId="22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179" fontId="2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27" fillId="10" borderId="0" xfId="0" applyFont="1" applyFill="1" applyAlignment="1">
      <alignment horizontal="center" vertical="center"/>
    </xf>
    <xf numFmtId="0" fontId="27" fillId="10" borderId="1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0" fontId="27" fillId="6" borderId="7" xfId="0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 vertical="center"/>
    </xf>
    <xf numFmtId="0" fontId="27" fillId="6" borderId="8" xfId="0" applyFont="1" applyFill="1" applyBorder="1" applyAlignment="1">
      <alignment horizontal="center" vertical="center"/>
    </xf>
    <xf numFmtId="179" fontId="27" fillId="6" borderId="7" xfId="0" applyNumberFormat="1" applyFont="1" applyFill="1" applyBorder="1" applyAlignment="1">
      <alignment horizontal="center" vertical="center"/>
    </xf>
    <xf numFmtId="179" fontId="27" fillId="6" borderId="6" xfId="0" applyNumberFormat="1" applyFont="1" applyFill="1" applyBorder="1" applyAlignment="1">
      <alignment horizontal="center" vertical="center"/>
    </xf>
    <xf numFmtId="179" fontId="27" fillId="6" borderId="8" xfId="0" applyNumberFormat="1" applyFont="1" applyFill="1" applyBorder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8" xfId="0" applyFont="1" applyFill="1" applyBorder="1" applyAlignment="1">
      <alignment horizontal="center" vertical="center"/>
    </xf>
    <xf numFmtId="180" fontId="19" fillId="9" borderId="1" xfId="0" applyNumberFormat="1" applyFont="1" applyFill="1" applyBorder="1" applyAlignment="1">
      <alignment horizontal="center" vertical="center"/>
    </xf>
    <xf numFmtId="180" fontId="31" fillId="9" borderId="1" xfId="52" applyNumberFormat="1" applyFont="1" applyFill="1" applyBorder="1" applyAlignment="1">
      <alignment horizontal="center" vertical="center" wrapText="1"/>
    </xf>
    <xf numFmtId="180" fontId="19" fillId="9" borderId="1" xfId="52" applyNumberFormat="1" applyFont="1" applyFill="1" applyBorder="1" applyAlignment="1">
      <alignment horizontal="center" vertical="center"/>
    </xf>
    <xf numFmtId="180" fontId="19" fillId="9" borderId="1" xfId="52" applyNumberFormat="1" applyFont="1" applyFill="1" applyBorder="1" applyAlignment="1">
      <alignment horizontal="center" vertical="center" wrapText="1"/>
    </xf>
    <xf numFmtId="10" fontId="19" fillId="9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178" fontId="19" fillId="9" borderId="10" xfId="0" applyNumberFormat="1" applyFont="1" applyFill="1" applyBorder="1" applyAlignment="1">
      <alignment horizontal="center" vertical="center" wrapText="1"/>
    </xf>
    <xf numFmtId="178" fontId="19" fillId="9" borderId="10" xfId="0" applyNumberFormat="1" applyFont="1" applyFill="1" applyBorder="1" applyAlignment="1">
      <alignment horizontal="center" vertical="center"/>
    </xf>
    <xf numFmtId="179" fontId="19" fillId="9" borderId="10" xfId="0" applyNumberFormat="1" applyFont="1" applyFill="1" applyBorder="1" applyAlignment="1">
      <alignment horizontal="center" vertical="center" wrapText="1"/>
    </xf>
    <xf numFmtId="10" fontId="19" fillId="9" borderId="10" xfId="0" applyNumberFormat="1" applyFont="1" applyFill="1" applyBorder="1" applyAlignment="1">
      <alignment horizontal="center" vertical="center" wrapText="1"/>
    </xf>
    <xf numFmtId="181" fontId="19" fillId="9" borderId="10" xfId="0" applyNumberFormat="1" applyFont="1" applyFill="1" applyBorder="1" applyAlignment="1">
      <alignment horizontal="center" vertical="center" wrapText="1"/>
    </xf>
    <xf numFmtId="179" fontId="18" fillId="9" borderId="10" xfId="0" applyNumberFormat="1" applyFont="1" applyFill="1" applyBorder="1" applyAlignment="1">
      <alignment horizontal="center" vertical="center" wrapText="1"/>
    </xf>
    <xf numFmtId="179" fontId="32" fillId="6" borderId="13" xfId="0" applyNumberFormat="1" applyFont="1" applyFill="1" applyBorder="1" applyAlignment="1">
      <alignment horizontal="center" vertical="center" wrapText="1"/>
    </xf>
    <xf numFmtId="0" fontId="19" fillId="9" borderId="14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179" fontId="19" fillId="9" borderId="12" xfId="0" applyNumberFormat="1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/>
    </xf>
    <xf numFmtId="179" fontId="32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178" fontId="32" fillId="14" borderId="8" xfId="0" applyNumberFormat="1" applyFont="1" applyFill="1" applyBorder="1" applyAlignment="1">
      <alignment horizontal="center" vertical="center" wrapText="1"/>
    </xf>
    <xf numFmtId="178" fontId="19" fillId="9" borderId="1" xfId="0" applyNumberFormat="1" applyFont="1" applyFill="1" applyBorder="1" applyAlignment="1">
      <alignment horizontal="center" vertical="center" wrapText="1"/>
    </xf>
    <xf numFmtId="178" fontId="19" fillId="9" borderId="1" xfId="0" applyNumberFormat="1" applyFont="1" applyFill="1" applyBorder="1" applyAlignment="1">
      <alignment horizontal="center" vertical="center"/>
    </xf>
    <xf numFmtId="179" fontId="19" fillId="9" borderId="1" xfId="0" applyNumberFormat="1" applyFont="1" applyFill="1" applyBorder="1" applyAlignment="1">
      <alignment horizontal="center" vertical="center" wrapText="1"/>
    </xf>
    <xf numFmtId="178" fontId="32" fillId="12" borderId="1" xfId="0" applyNumberFormat="1" applyFont="1" applyFill="1" applyBorder="1" applyAlignment="1">
      <alignment horizontal="center" vertical="center" wrapText="1"/>
    </xf>
    <xf numFmtId="178" fontId="32" fillId="15" borderId="1" xfId="0" applyNumberFormat="1" applyFont="1" applyFill="1" applyBorder="1" applyAlignment="1">
      <alignment horizontal="center" vertical="center" wrapText="1"/>
    </xf>
    <xf numFmtId="0" fontId="33" fillId="9" borderId="1" xfId="0" applyNumberFormat="1" applyFont="1" applyFill="1" applyBorder="1" applyAlignment="1" applyProtection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180" fontId="19" fillId="9" borderId="1" xfId="0" applyNumberFormat="1" applyFont="1" applyFill="1" applyBorder="1" applyAlignment="1">
      <alignment horizontal="center" vertical="center" wrapText="1"/>
    </xf>
    <xf numFmtId="10" fontId="19" fillId="9" borderId="1" xfId="52" applyNumberFormat="1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/>
    </xf>
    <xf numFmtId="10" fontId="19" fillId="9" borderId="1" xfId="0" applyNumberFormat="1" applyFont="1" applyFill="1" applyBorder="1" applyAlignment="1">
      <alignment horizontal="center" vertical="center" wrapText="1"/>
    </xf>
    <xf numFmtId="181" fontId="19" fillId="9" borderId="1" xfId="0" applyNumberFormat="1" applyFont="1" applyFill="1" applyBorder="1" applyAlignment="1">
      <alignment horizontal="center" vertical="center" wrapText="1"/>
    </xf>
    <xf numFmtId="179" fontId="18" fillId="9" borderId="1" xfId="0" applyNumberFormat="1" applyFont="1" applyFill="1" applyBorder="1" applyAlignment="1">
      <alignment horizontal="center" vertical="center" wrapText="1"/>
    </xf>
    <xf numFmtId="179" fontId="32" fillId="6" borderId="14" xfId="0" applyNumberFormat="1" applyFont="1" applyFill="1" applyBorder="1" applyAlignment="1">
      <alignment horizontal="center" vertical="center" wrapText="1"/>
    </xf>
    <xf numFmtId="179" fontId="19" fillId="9" borderId="14" xfId="0" applyNumberFormat="1" applyFont="1" applyFill="1" applyBorder="1" applyAlignment="1">
      <alignment horizontal="center" vertical="center" wrapText="1"/>
    </xf>
    <xf numFmtId="0" fontId="29" fillId="6" borderId="14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>
      <alignment horizontal="left" vertical="center"/>
    </xf>
    <xf numFmtId="0" fontId="34" fillId="0" borderId="1" xfId="0" applyNumberFormat="1" applyFont="1" applyFill="1" applyBorder="1" applyAlignment="1" applyProtection="1">
      <alignment horizontal="left" vertical="center" wrapText="1"/>
    </xf>
    <xf numFmtId="0" fontId="35" fillId="0" borderId="1" xfId="49" applyFont="1" applyFill="1" applyBorder="1" applyAlignment="1">
      <alignment horizontal="left" vertical="center" wrapText="1"/>
    </xf>
    <xf numFmtId="0" fontId="24" fillId="16" borderId="8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180" fontId="24" fillId="0" borderId="1" xfId="0" applyNumberFormat="1" applyFont="1" applyFill="1" applyBorder="1" applyAlignment="1">
      <alignment horizontal="right" vertical="center"/>
    </xf>
    <xf numFmtId="10" fontId="36" fillId="0" borderId="1" xfId="0" applyNumberFormat="1" applyFont="1" applyFill="1" applyBorder="1" applyAlignment="1">
      <alignment horizontal="right" vertical="center"/>
    </xf>
    <xf numFmtId="180" fontId="37" fillId="0" borderId="1" xfId="0" applyNumberFormat="1" applyFont="1" applyFill="1" applyBorder="1" applyAlignment="1">
      <alignment horizontal="right" vertical="center"/>
    </xf>
    <xf numFmtId="180" fontId="36" fillId="0" borderId="1" xfId="0" applyNumberFormat="1" applyFont="1" applyFill="1" applyBorder="1" applyAlignment="1">
      <alignment horizontal="right" vertical="center"/>
    </xf>
    <xf numFmtId="180" fontId="37" fillId="16" borderId="1" xfId="0" applyNumberFormat="1" applyFont="1" applyFill="1" applyBorder="1" applyAlignment="1" applyProtection="1">
      <alignment horizontal="right" vertical="center"/>
      <protection hidden="1"/>
    </xf>
    <xf numFmtId="178" fontId="28" fillId="0" borderId="1" xfId="0" applyNumberFormat="1" applyFont="1" applyFill="1" applyBorder="1" applyAlignment="1">
      <alignment horizontal="center" vertical="center"/>
    </xf>
    <xf numFmtId="178" fontId="36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9" fontId="36" fillId="0" borderId="1" xfId="0" applyNumberFormat="1" applyFont="1" applyFill="1" applyBorder="1" applyAlignment="1">
      <alignment horizontal="left" vertical="center"/>
    </xf>
    <xf numFmtId="178" fontId="27" fillId="10" borderId="1" xfId="0" applyNumberFormat="1" applyFont="1" applyFill="1" applyBorder="1" applyAlignment="1">
      <alignment horizontal="center" vertical="center"/>
    </xf>
    <xf numFmtId="178" fontId="36" fillId="0" borderId="1" xfId="0" applyNumberFormat="1" applyFont="1" applyFill="1" applyBorder="1" applyAlignment="1">
      <alignment horizontal="right" vertical="center"/>
    </xf>
    <xf numFmtId="179" fontId="36" fillId="0" borderId="1" xfId="0" applyNumberFormat="1" applyFont="1" applyFill="1" applyBorder="1" applyAlignment="1">
      <alignment horizontal="right" vertical="center"/>
    </xf>
    <xf numFmtId="179" fontId="37" fillId="0" borderId="1" xfId="0" applyNumberFormat="1" applyFont="1" applyFill="1" applyBorder="1" applyAlignment="1">
      <alignment horizontal="right" vertical="center"/>
    </xf>
    <xf numFmtId="179" fontId="27" fillId="10" borderId="1" xfId="0" applyNumberFormat="1" applyFont="1" applyFill="1" applyBorder="1" applyAlignment="1">
      <alignment horizontal="right" vertical="center"/>
    </xf>
    <xf numFmtId="177" fontId="27" fillId="0" borderId="1" xfId="0" applyNumberFormat="1" applyFont="1" applyFill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179" fontId="28" fillId="0" borderId="1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178" fontId="28" fillId="18" borderId="1" xfId="0" applyNumberFormat="1" applyFont="1" applyFill="1" applyBorder="1" applyAlignment="1">
      <alignment horizontal="center" vertical="center"/>
    </xf>
    <xf numFmtId="179" fontId="27" fillId="10" borderId="1" xfId="0" applyNumberFormat="1" applyFont="1" applyFill="1" applyBorder="1" applyAlignment="1">
      <alignment horizontal="center" vertical="center"/>
    </xf>
    <xf numFmtId="179" fontId="24" fillId="0" borderId="1" xfId="0" applyNumberFormat="1" applyFont="1" applyFill="1" applyBorder="1" applyAlignment="1">
      <alignment horizontal="center" vertical="center"/>
    </xf>
    <xf numFmtId="179" fontId="24" fillId="19" borderId="1" xfId="0" applyNumberFormat="1" applyFont="1" applyFill="1" applyBorder="1" applyAlignment="1">
      <alignment horizontal="center" vertical="center"/>
    </xf>
    <xf numFmtId="178" fontId="27" fillId="14" borderId="1" xfId="0" applyNumberFormat="1" applyFont="1" applyFill="1" applyBorder="1" applyAlignment="1">
      <alignment horizontal="right" vertical="center"/>
    </xf>
    <xf numFmtId="178" fontId="28" fillId="0" borderId="1" xfId="0" applyNumberFormat="1" applyFont="1" applyFill="1" applyBorder="1" applyAlignment="1">
      <alignment horizontal="right" vertical="center"/>
    </xf>
    <xf numFmtId="179" fontId="28" fillId="0" borderId="1" xfId="0" applyNumberFormat="1" applyFont="1" applyFill="1" applyBorder="1" applyAlignment="1">
      <alignment horizontal="right" vertical="center"/>
    </xf>
    <xf numFmtId="179" fontId="38" fillId="0" borderId="1" xfId="0" applyNumberFormat="1" applyFont="1" applyFill="1" applyBorder="1" applyAlignment="1">
      <alignment horizontal="right" vertical="center"/>
    </xf>
    <xf numFmtId="0" fontId="26" fillId="0" borderId="1" xfId="0" applyFont="1" applyFill="1" applyBorder="1" applyAlignment="1">
      <alignment horizontal="center" vertical="center"/>
    </xf>
    <xf numFmtId="178" fontId="27" fillId="12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178" fontId="27" fillId="15" borderId="1" xfId="0" applyNumberFormat="1" applyFont="1" applyFill="1" applyBorder="1" applyAlignment="1">
      <alignment horizontal="right" vertical="center"/>
    </xf>
    <xf numFmtId="179" fontId="26" fillId="0" borderId="1" xfId="0" applyNumberFormat="1" applyFont="1" applyBorder="1" applyAlignment="1">
      <alignment horizontal="center" vertical="center"/>
    </xf>
    <xf numFmtId="0" fontId="24" fillId="0" borderId="1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/>
    </xf>
    <xf numFmtId="0" fontId="35" fillId="9" borderId="1" xfId="49" applyFont="1" applyFill="1" applyBorder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考核方案" xfId="50"/>
    <cellStyle name="Normal 3" xfId="51"/>
    <cellStyle name="Normal 2" xfId="52"/>
    <cellStyle name="Comma 2" xfId="53"/>
  </cellStyles>
  <dxfs count="1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4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8" tint="0.8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143CC8"/>
      <color rgb="001E46C8"/>
      <color rgb="00DA5324"/>
      <color rgb="00642AA6"/>
      <color rgb="00CD03CB"/>
      <color rgb="00CF01C3"/>
      <color rgb="001D41D5"/>
      <color rgb="00FBE7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2"/>
  <sheetViews>
    <sheetView topLeftCell="AG1" workbookViewId="0">
      <pane ySplit="3" topLeftCell="A4" activePane="bottomLeft" state="frozen"/>
      <selection/>
      <selection pane="bottomLeft" activeCell="AM23" sqref="AM23"/>
    </sheetView>
  </sheetViews>
  <sheetFormatPr defaultColWidth="12.5446428571429" defaultRowHeight="18" customHeight="1"/>
  <cols>
    <col min="1" max="2" width="8.5625" style="71" customWidth="1"/>
    <col min="3" max="3" width="12.5446428571429" style="71" customWidth="1"/>
    <col min="4" max="4" width="15.5357142857143" style="72" customWidth="1"/>
    <col min="5" max="6" width="12.5446428571429" style="72" customWidth="1"/>
    <col min="7" max="7" width="10.5535714285714" style="71" customWidth="1"/>
    <col min="8" max="9" width="10.5535714285714" style="72" customWidth="1"/>
    <col min="10" max="11" width="40.4285714285714" style="71" customWidth="1"/>
    <col min="12" max="13" width="10.5535714285714" style="71" customWidth="1"/>
    <col min="14" max="29" width="10.5535714285714" style="73" customWidth="1"/>
    <col min="30" max="30" width="8.5625" style="74" customWidth="1"/>
    <col min="31" max="31" width="8.5625" style="71" customWidth="1"/>
    <col min="32" max="32" width="8.5625" style="74" customWidth="1"/>
    <col min="33" max="36" width="8.5625" style="71" customWidth="1"/>
    <col min="37" max="37" width="8.5625" style="69" customWidth="1"/>
    <col min="38" max="38" width="45.4196428571429" style="72" customWidth="1"/>
    <col min="39" max="39" width="10.5535714285714" style="69" customWidth="1"/>
    <col min="40" max="42" width="8.5625" style="75" customWidth="1"/>
    <col min="43" max="45" width="8.5625" style="73" customWidth="1"/>
    <col min="46" max="50" width="8.5625" style="76" customWidth="1"/>
    <col min="51" max="51" width="8.5625" style="77" customWidth="1"/>
    <col min="52" max="52" width="10.5535714285714" style="78" customWidth="1"/>
    <col min="53" max="53" width="8.5625" style="79" customWidth="1"/>
    <col min="54" max="55" width="8.5625" style="71" customWidth="1"/>
    <col min="56" max="57" width="8.5625" style="80" customWidth="1"/>
    <col min="58" max="59" width="8.5625" style="72" customWidth="1"/>
    <col min="60" max="60" width="40.4285714285714" style="72" customWidth="1"/>
    <col min="61" max="64" width="8.5625" style="80" customWidth="1"/>
    <col min="65" max="65" width="8.5625" style="69" customWidth="1"/>
    <col min="66" max="67" width="8.5625" style="81" customWidth="1"/>
    <col min="68" max="68" width="8.5625" style="82" customWidth="1"/>
    <col min="69" max="70" width="25.5" style="69" customWidth="1"/>
    <col min="71" max="71" width="40.4285714285714" style="72" customWidth="1"/>
    <col min="72" max="72" width="10.5535714285714" style="75" customWidth="1"/>
    <col min="73" max="74" width="8.5625" style="75" customWidth="1"/>
    <col min="75" max="75" width="8.5625" style="80" customWidth="1"/>
    <col min="76" max="81" width="8.5625" style="73" customWidth="1"/>
    <col min="82" max="82" width="10.5535714285714" style="78" customWidth="1"/>
    <col min="83" max="83" width="10.5535714285714" style="75" customWidth="1"/>
    <col min="84" max="85" width="8.5625" style="75" customWidth="1"/>
    <col min="86" max="92" width="8.5625" style="73" customWidth="1"/>
    <col min="93" max="93" width="10.5535714285714" style="78" customWidth="1"/>
    <col min="94" max="94" width="10.5535714285714" style="75" customWidth="1"/>
    <col min="95" max="96" width="8.5625" style="75" customWidth="1"/>
    <col min="97" max="103" width="8.5625" style="73" customWidth="1"/>
    <col min="104" max="104" width="10.5535714285714" style="83" customWidth="1"/>
    <col min="105" max="105" width="40.4285714285714" style="71" customWidth="1"/>
    <col min="106" max="16384" width="12.5446428571429" style="71"/>
  </cols>
  <sheetData>
    <row r="1" s="69" customFormat="1" customHeight="1" spans="1:10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5" t="s">
        <v>0</v>
      </c>
      <c r="AE1" s="85"/>
      <c r="AF1" s="85"/>
      <c r="AG1" s="85"/>
      <c r="AH1" s="85"/>
      <c r="AI1" s="85"/>
      <c r="AJ1" s="85"/>
      <c r="AK1" s="86" t="s">
        <v>1</v>
      </c>
      <c r="AL1" s="87" t="s">
        <v>2</v>
      </c>
      <c r="AM1" s="88" t="s">
        <v>3</v>
      </c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  <c r="BF1" s="90"/>
      <c r="BG1" s="90"/>
      <c r="BH1" s="91"/>
      <c r="BI1" s="92" t="s">
        <v>4</v>
      </c>
      <c r="BJ1" s="93" t="s">
        <v>5</v>
      </c>
      <c r="BK1" s="94"/>
      <c r="BL1" s="94"/>
      <c r="BM1" s="95"/>
      <c r="BN1" s="96" t="s">
        <v>6</v>
      </c>
      <c r="BO1" s="97"/>
      <c r="BP1" s="98"/>
      <c r="BQ1" s="85"/>
      <c r="BR1" s="85"/>
      <c r="BS1" s="91"/>
      <c r="BT1" s="99" t="s">
        <v>7</v>
      </c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100" t="s">
        <v>8</v>
      </c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1" t="s">
        <v>9</v>
      </c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91"/>
    </row>
    <row r="2" s="70" customFormat="1" customHeight="1" spans="1:105">
      <c r="A2" s="102" t="s">
        <v>10</v>
      </c>
      <c r="B2" s="103" t="s">
        <v>11</v>
      </c>
      <c r="C2" s="104" t="s">
        <v>12</v>
      </c>
      <c r="D2" s="104" t="s">
        <v>13</v>
      </c>
      <c r="E2" s="104" t="s">
        <v>14</v>
      </c>
      <c r="F2" s="104" t="s">
        <v>14</v>
      </c>
      <c r="G2" s="104"/>
      <c r="H2" s="104"/>
      <c r="I2" s="104"/>
      <c r="J2" s="104" t="s">
        <v>2</v>
      </c>
      <c r="K2" s="104" t="s">
        <v>2</v>
      </c>
      <c r="L2" s="105" t="s">
        <v>15</v>
      </c>
      <c r="M2" s="104" t="s">
        <v>16</v>
      </c>
      <c r="N2" s="104" t="s">
        <v>17</v>
      </c>
      <c r="O2" s="104" t="s">
        <v>18</v>
      </c>
      <c r="P2" s="104" t="s">
        <v>19</v>
      </c>
      <c r="Q2" s="104" t="s">
        <v>20</v>
      </c>
      <c r="R2" s="104"/>
      <c r="S2" s="106" t="s">
        <v>21</v>
      </c>
      <c r="T2" s="106" t="s">
        <v>22</v>
      </c>
      <c r="U2" s="106" t="s">
        <v>23</v>
      </c>
      <c r="V2" s="106" t="s">
        <v>24</v>
      </c>
      <c r="W2" s="107" t="s">
        <v>25</v>
      </c>
      <c r="X2" s="107" t="s">
        <v>26</v>
      </c>
      <c r="Y2" s="108" t="s">
        <v>27</v>
      </c>
      <c r="Z2" s="108" t="s">
        <v>28</v>
      </c>
      <c r="AA2" s="109" t="s">
        <v>29</v>
      </c>
      <c r="AB2" s="108" t="s">
        <v>30</v>
      </c>
      <c r="AC2" s="110" t="s">
        <v>31</v>
      </c>
      <c r="AD2" s="102" t="s">
        <v>0</v>
      </c>
      <c r="AE2" s="102"/>
      <c r="AF2" s="111" t="s">
        <v>32</v>
      </c>
      <c r="AG2" s="111"/>
      <c r="AH2" s="111" t="s">
        <v>33</v>
      </c>
      <c r="AI2" s="111" t="s">
        <v>34</v>
      </c>
      <c r="AJ2" s="111"/>
      <c r="AK2" s="102"/>
      <c r="AL2" s="112"/>
      <c r="AM2" s="113" t="s">
        <v>35</v>
      </c>
      <c r="AN2" s="114" t="s">
        <v>36</v>
      </c>
      <c r="AO2" s="114" t="s">
        <v>37</v>
      </c>
      <c r="AP2" s="115" t="s">
        <v>38</v>
      </c>
      <c r="AQ2" s="116" t="s">
        <v>39</v>
      </c>
      <c r="AR2" s="117" t="s">
        <v>40</v>
      </c>
      <c r="AS2" s="118" t="s">
        <v>41</v>
      </c>
      <c r="AT2" s="116" t="s">
        <v>42</v>
      </c>
      <c r="AU2" s="116" t="s">
        <v>43</v>
      </c>
      <c r="AV2" s="116" t="s">
        <v>44</v>
      </c>
      <c r="AW2" s="116" t="s">
        <v>45</v>
      </c>
      <c r="AX2" s="116" t="s">
        <v>46</v>
      </c>
      <c r="AY2" s="119" t="s">
        <v>47</v>
      </c>
      <c r="AZ2" s="120" t="s">
        <v>48</v>
      </c>
      <c r="BA2" s="116" t="s">
        <v>49</v>
      </c>
      <c r="BB2" s="116" t="s">
        <v>50</v>
      </c>
      <c r="BC2" s="116" t="s">
        <v>51</v>
      </c>
      <c r="BD2" s="121" t="s">
        <v>52</v>
      </c>
      <c r="BE2" s="122"/>
      <c r="BF2" s="123" t="s">
        <v>53</v>
      </c>
      <c r="BG2" s="123" t="s">
        <v>54</v>
      </c>
      <c r="BH2" s="104" t="s">
        <v>2</v>
      </c>
      <c r="BI2" s="124"/>
      <c r="BJ2" s="125" t="s">
        <v>7</v>
      </c>
      <c r="BK2" s="125" t="s">
        <v>8</v>
      </c>
      <c r="BL2" s="126" t="s">
        <v>3</v>
      </c>
      <c r="BM2" s="126" t="s">
        <v>55</v>
      </c>
      <c r="BN2" s="125" t="s">
        <v>7</v>
      </c>
      <c r="BO2" s="125" t="s">
        <v>8</v>
      </c>
      <c r="BP2" s="125" t="s">
        <v>55</v>
      </c>
      <c r="BQ2" s="126" t="s">
        <v>56</v>
      </c>
      <c r="BR2" s="126" t="s">
        <v>57</v>
      </c>
      <c r="BS2" s="104" t="s">
        <v>2</v>
      </c>
      <c r="BT2" s="127" t="s">
        <v>36</v>
      </c>
      <c r="BU2" s="128" t="s">
        <v>58</v>
      </c>
      <c r="BV2" s="129" t="s">
        <v>38</v>
      </c>
      <c r="BW2" s="125" t="s">
        <v>59</v>
      </c>
      <c r="BX2" s="130" t="s">
        <v>42</v>
      </c>
      <c r="BY2" s="130" t="s">
        <v>43</v>
      </c>
      <c r="BZ2" s="130" t="s">
        <v>44</v>
      </c>
      <c r="CA2" s="130" t="s">
        <v>45</v>
      </c>
      <c r="CB2" s="130" t="s">
        <v>46</v>
      </c>
      <c r="CC2" s="130" t="s">
        <v>47</v>
      </c>
      <c r="CD2" s="125" t="s">
        <v>48</v>
      </c>
      <c r="CE2" s="131" t="s">
        <v>36</v>
      </c>
      <c r="CF2" s="128" t="s">
        <v>36</v>
      </c>
      <c r="CG2" s="129" t="s">
        <v>38</v>
      </c>
      <c r="CH2" s="125" t="s">
        <v>59</v>
      </c>
      <c r="CI2" s="130" t="s">
        <v>42</v>
      </c>
      <c r="CJ2" s="130" t="s">
        <v>43</v>
      </c>
      <c r="CK2" s="130" t="s">
        <v>44</v>
      </c>
      <c r="CL2" s="130" t="s">
        <v>45</v>
      </c>
      <c r="CM2" s="130" t="s">
        <v>46</v>
      </c>
      <c r="CN2" s="130" t="s">
        <v>47</v>
      </c>
      <c r="CO2" s="125" t="s">
        <v>48</v>
      </c>
      <c r="CP2" s="132" t="s">
        <v>36</v>
      </c>
      <c r="CQ2" s="128" t="s">
        <v>36</v>
      </c>
      <c r="CR2" s="129" t="s">
        <v>38</v>
      </c>
      <c r="CS2" s="125" t="s">
        <v>59</v>
      </c>
      <c r="CT2" s="130" t="s">
        <v>42</v>
      </c>
      <c r="CU2" s="130" t="s">
        <v>43</v>
      </c>
      <c r="CV2" s="130" t="s">
        <v>44</v>
      </c>
      <c r="CW2" s="130" t="s">
        <v>45</v>
      </c>
      <c r="CX2" s="130" t="s">
        <v>46</v>
      </c>
      <c r="CY2" s="130" t="s">
        <v>47</v>
      </c>
      <c r="CZ2" s="125" t="s">
        <v>60</v>
      </c>
      <c r="DA2" s="104" t="s">
        <v>2</v>
      </c>
    </row>
    <row r="3" s="70" customFormat="1" customHeight="1" spans="1:105">
      <c r="A3" s="102" t="s">
        <v>61</v>
      </c>
      <c r="B3" s="103" t="s">
        <v>62</v>
      </c>
      <c r="C3" s="104" t="s">
        <v>63</v>
      </c>
      <c r="D3" s="104" t="s">
        <v>64</v>
      </c>
      <c r="E3" s="104" t="s">
        <v>65</v>
      </c>
      <c r="F3" s="104" t="s">
        <v>65</v>
      </c>
      <c r="G3" s="133" t="s">
        <v>66</v>
      </c>
      <c r="H3" s="133" t="s">
        <v>50</v>
      </c>
      <c r="I3" s="133" t="s">
        <v>51</v>
      </c>
      <c r="J3" s="104" t="s">
        <v>67</v>
      </c>
      <c r="K3" s="104" t="s">
        <v>67</v>
      </c>
      <c r="L3" s="134" t="s">
        <v>68</v>
      </c>
      <c r="M3" s="102" t="s">
        <v>69</v>
      </c>
      <c r="N3" s="135" t="s">
        <v>70</v>
      </c>
      <c r="O3" s="136" t="s">
        <v>71</v>
      </c>
      <c r="P3" s="136" t="s">
        <v>72</v>
      </c>
      <c r="Q3" s="136" t="s">
        <v>73</v>
      </c>
      <c r="R3" s="107" t="s">
        <v>74</v>
      </c>
      <c r="S3" s="106"/>
      <c r="T3" s="106"/>
      <c r="U3" s="106"/>
      <c r="V3" s="106"/>
      <c r="W3" s="107"/>
      <c r="X3" s="107"/>
      <c r="Y3" s="108"/>
      <c r="Z3" s="108"/>
      <c r="AA3" s="108"/>
      <c r="AB3" s="108"/>
      <c r="AC3" s="110"/>
      <c r="AD3" s="102"/>
      <c r="AE3" s="102"/>
      <c r="AF3" s="111"/>
      <c r="AG3" s="111"/>
      <c r="AH3" s="111"/>
      <c r="AI3" s="111"/>
      <c r="AJ3" s="111"/>
      <c r="AK3" s="102"/>
      <c r="AL3" s="112"/>
      <c r="AM3" s="137"/>
      <c r="AN3" s="128"/>
      <c r="AO3" s="128"/>
      <c r="AP3" s="129"/>
      <c r="AQ3" s="130"/>
      <c r="AR3" s="138"/>
      <c r="AS3" s="139"/>
      <c r="AT3" s="130"/>
      <c r="AU3" s="130"/>
      <c r="AV3" s="130"/>
      <c r="AW3" s="130"/>
      <c r="AX3" s="130"/>
      <c r="AY3" s="140"/>
      <c r="AZ3" s="141"/>
      <c r="BA3" s="130"/>
      <c r="BB3" s="130"/>
      <c r="BC3" s="130"/>
      <c r="BD3" s="130" t="s">
        <v>7</v>
      </c>
      <c r="BE3" s="130" t="s">
        <v>8</v>
      </c>
      <c r="BF3" s="142"/>
      <c r="BG3" s="142"/>
      <c r="BH3" s="104" t="s">
        <v>67</v>
      </c>
      <c r="BI3" s="143"/>
      <c r="BJ3" s="126" t="s">
        <v>75</v>
      </c>
      <c r="BK3" s="126" t="s">
        <v>75</v>
      </c>
      <c r="BL3" s="126" t="s">
        <v>75</v>
      </c>
      <c r="BM3" s="144" t="s">
        <v>76</v>
      </c>
      <c r="BN3" s="125" t="s">
        <v>77</v>
      </c>
      <c r="BO3" s="125" t="s">
        <v>77</v>
      </c>
      <c r="BP3" s="125" t="s">
        <v>77</v>
      </c>
      <c r="BQ3" s="126"/>
      <c r="BR3" s="126"/>
      <c r="BS3" s="104" t="s">
        <v>67</v>
      </c>
      <c r="BT3" s="127"/>
      <c r="BU3" s="128"/>
      <c r="BV3" s="129"/>
      <c r="BW3" s="125"/>
      <c r="BX3" s="130"/>
      <c r="BY3" s="130"/>
      <c r="BZ3" s="130"/>
      <c r="CA3" s="130"/>
      <c r="CB3" s="130"/>
      <c r="CC3" s="130"/>
      <c r="CD3" s="125"/>
      <c r="CE3" s="131"/>
      <c r="CF3" s="128"/>
      <c r="CG3" s="129"/>
      <c r="CH3" s="125"/>
      <c r="CI3" s="130"/>
      <c r="CJ3" s="130"/>
      <c r="CK3" s="130"/>
      <c r="CL3" s="130"/>
      <c r="CM3" s="130"/>
      <c r="CN3" s="130"/>
      <c r="CO3" s="125"/>
      <c r="CP3" s="132"/>
      <c r="CQ3" s="128"/>
      <c r="CR3" s="129"/>
      <c r="CS3" s="125"/>
      <c r="CT3" s="130"/>
      <c r="CU3" s="130"/>
      <c r="CV3" s="130"/>
      <c r="CW3" s="130"/>
      <c r="CX3" s="130"/>
      <c r="CY3" s="130"/>
      <c r="CZ3" s="125"/>
      <c r="DA3" s="104" t="s">
        <v>67</v>
      </c>
    </row>
    <row r="4" customHeight="1" spans="1:105">
      <c r="A4" s="145">
        <v>2</v>
      </c>
      <c r="B4" s="146">
        <v>101771</v>
      </c>
      <c r="C4" s="147" t="s">
        <v>78</v>
      </c>
      <c r="D4" s="148" t="s">
        <v>79</v>
      </c>
      <c r="E4" s="149" t="s">
        <v>80</v>
      </c>
      <c r="F4" s="149" t="s">
        <v>81</v>
      </c>
      <c r="G4" s="146" t="s">
        <v>82</v>
      </c>
      <c r="H4" s="146" t="s">
        <v>83</v>
      </c>
      <c r="I4" s="146">
        <v>12</v>
      </c>
      <c r="J4" s="150" t="str">
        <f t="shared" ref="J4:J22" si="0">C4&amp;" "&amp;D4&amp;" "&amp;E4&amp;" "&amp;F4&amp;" "&amp;G4</f>
        <v>MOBIL Transmission Oil Dexron-VI ATF 1L</v>
      </c>
      <c r="K4" s="149" t="s">
        <v>84</v>
      </c>
      <c r="L4" s="151">
        <v>1</v>
      </c>
      <c r="M4" s="152" t="s">
        <v>85</v>
      </c>
      <c r="N4" s="153">
        <v>65100</v>
      </c>
      <c r="O4" s="154">
        <v>0.4</v>
      </c>
      <c r="P4" s="154">
        <v>0.2</v>
      </c>
      <c r="Q4" s="154">
        <f t="shared" ref="Q4:Q22" si="1">O4+P4</f>
        <v>0.6</v>
      </c>
      <c r="R4" s="155">
        <f>N4*(1+Q4)</f>
        <v>104160</v>
      </c>
      <c r="S4" s="156">
        <v>0</v>
      </c>
      <c r="T4" s="156">
        <v>0</v>
      </c>
      <c r="U4" s="156">
        <v>0</v>
      </c>
      <c r="V4" s="156">
        <f t="shared" ref="V4:V22" si="2">IF((S4+T4+U4)=0,R4,IF(AND(S4&gt;0,T4=0,U4=0),S4,IF(AND(S4=0,T4&gt;0,U4=0),T4,IF(AND(S4=0,T4=0,U4&gt;0),U4,IF(AND(S4&gt;0,T4&gt;0,U4=0),(S4+T4)/2,IF(AND(S4&gt;0,T4=0,U4&gt;0),(S4+U4)/2,IF(AND(S4=0,T4&gt;0,U4&gt;0),(T4+U4)/2,IF(AND(S4&gt;0,T4&gt;0,U4&gt;0),(S4+T4+U4)/3,))))))))</f>
        <v>104160</v>
      </c>
      <c r="W4" s="155">
        <f t="shared" ref="W4:W22" si="3">IF(R4=V4,V4,IF(R4/V4&lt;70%,R4*1.18,IF(AND(R4/V4&gt;=70%,R4/V4&lt;75%),R4*1.15,IF(AND(R4/V4&gt;=75%,R4/V4&lt;80%),R4*1.12,IF(AND(R4/V4&gt;=80%,R4/V4&lt;85%),R4*1.09,IF(AND(R4/V4&gt;=85%,R4/V4&lt;90%),R4*1.06,IF(AND(R4/V4&gt;=90%,R4/V4&lt;95%),R4*1.03,IF(AND(R4/V4&gt;=95%,R4/V4&lt;105%),V4,IF(AND(R4/V4&gt;=105%,R4/V4&lt;110%),R4*0.97,IF(AND(R4/V4&gt;=110%,R4/V4&lt;115%),R4*0.94,IF(AND(R4/V4&gt;=115%,R4/V4&lt;120%),R4*0.91,IF(AND(R4/V4&gt;=120%,R4/V4&lt;125%),R4*0.88,IF(AND(R4/V4&gt;=125%,R4/V4&lt;130%),R4*0.85,IF(AND(R4/V4&gt;=130%,R4/V4&lt;135%),R4*0.82,IF(R4/V4&gt;=135%,R4*0.8,)))))))))))))))</f>
        <v>104160</v>
      </c>
      <c r="X4" s="157">
        <f t="shared" ref="X4:X22" si="4">IF(N4=0,1,IF(N4&lt;10000,N4*2.8,IF(AND(N4&gt;=10000,N4&lt;20000),N4*2.2,IF(AND(N4&gt;=20000,N4&lt;30000),N4*1.8,IF(AND(N4&gt;=30000,N4&lt;40000),N4*1.78,IF(AND(N4&gt;=40000,N4&lt;50000),N4*1.76,IF(AND(N4&gt;=50000,N4&lt;60000),N4*1.74,IF(AND(N4&gt;=60000,N4&lt;70000),N4*1.72,IF(AND(N4&gt;=70000,N4&lt;80000),N4*1.7,IF(AND(N4&gt;=80000,N4&lt;90000),N4*1.68,IF(AND(N4&gt;=90000,N4&lt;100000),N4*1.66,IF(AND(N4&gt;=100000,N4&lt;110000),N4*1.65,IF(AND(N4&gt;=110000,N4&lt;120000),N4*1.64,IF(AND(N4&gt;=120000,N4&lt;130000),N4*1.63,IF(AND(N4&gt;=130000,N4&lt;140000),N4*1.62,IF(AND(N4&gt;=140000,N4&lt;150000),N4*1.61,IF(AND(N4&gt;=150000,N4&lt;160000),N4*1.6,IF(AND(N4&gt;=160000,N4&lt;170000),N4*1.59,IF(AND(N4&gt;=170000,N4&lt;180000),N4*1.58,IF(AND(N4&gt;=180000,N4&lt;190000),N4*1.57,IF(AND(N4&gt;=190000,N4&lt;200000),N4*1.56,IF(AND(N4&gt;=200000,N4&lt;300000),N4*1.54,IF(AND(N4&gt;=300000,N4&lt;400000),N4*1.52,IF(AND(N4&gt;=400000,N4&lt;500000),N4*1.5,IF(AND(N4&gt;=500000,N4&lt;600000),N4*1.48,IF(AND(N4&gt;=600000,N4&lt;700000),N4*1.46,IF(AND(N4&gt;=700000,N4&lt;800000),N4*1.44,IF(AND(N4&gt;=800000,N4&lt;900000),N4*1.42,IF(AND(N4&gt;=900000,N4&lt;1000000),N4*1.4,IF(AND(N4&gt;=1000000,N4&lt;2000000),N4*1.39,IF(AND(N4&gt;=2000000,N4&lt;3000000),N4*1.38,IF(AND(N4&gt;=3000000,N4&lt;4000000),N4*1.37,IF(AND(N4&gt;=4000000,N4&lt;5000000),N4*1.36,IF(AND(N4&gt;=5000000,N4&lt;6000000),N4*1.35,IF(AND(N4&gt;=6000000,N4&lt;7000000),N4*1.34,IF(AND(N4&gt;=7000000,N4&lt;8000000),N4*1.33,IF(AND(N4&gt;=8000000,N4&lt;9000000),N4*1.32,IF(AND(N4&gt;=9000000,N4&lt;10000000),N4*1.31,IF(N4&gt;=10000000,N4*1.3,"")))))))))))))))))))))))))))))))))))))))</f>
        <v>111972</v>
      </c>
      <c r="Y4" s="156">
        <f t="shared" ref="Y4:Y22" si="5">CEILING((R4+W4+X4)/3,1000)</f>
        <v>107000</v>
      </c>
      <c r="Z4" s="156">
        <v>0</v>
      </c>
      <c r="AA4" s="155">
        <f t="shared" ref="AA4:AA22" si="6">CEILING((Y4+Z4),1000)</f>
        <v>107000</v>
      </c>
      <c r="AB4" s="156">
        <f t="shared" ref="AB4:AB22" si="7">AA4-N4</f>
        <v>41900</v>
      </c>
      <c r="AC4" s="154">
        <f t="shared" ref="AC4:AC22" si="8">AB4/AA4</f>
        <v>0.391588785046729</v>
      </c>
      <c r="AD4" s="158">
        <v>30</v>
      </c>
      <c r="AE4" s="159">
        <f t="shared" ref="AE4:AE22" si="9">AD4/30</f>
        <v>1</v>
      </c>
      <c r="AF4" s="158">
        <v>10</v>
      </c>
      <c r="AG4" s="159">
        <f t="shared" ref="AG4:AG22" si="10">AF4/30</f>
        <v>0.333333333333333</v>
      </c>
      <c r="AH4" s="160">
        <v>0.7</v>
      </c>
      <c r="AI4" s="159">
        <f t="shared" ref="AI4:AI22" si="11">(AE4+AG4)*AH4</f>
        <v>0.933333333333333</v>
      </c>
      <c r="AJ4" s="160">
        <f t="shared" ref="AJ4:AJ22" si="12">AI4*30</f>
        <v>28</v>
      </c>
      <c r="AK4" s="161" t="s">
        <v>86</v>
      </c>
      <c r="AL4" s="162" t="str">
        <f t="shared" ref="AL4:AL22" si="13">K4</f>
        <v>MOBIL Transmission Oil Dexron-VI ATF 1L</v>
      </c>
      <c r="AM4" s="163">
        <f>_xlfn.XLOOKUP(AL4,ITEM!B:B,ITEM!AY:AY,0)</f>
        <v>764</v>
      </c>
      <c r="AN4" s="164">
        <f>_xlfn.XLOOKUP(AL4,ITEM!B:B,ITEM!AZ:AZ,0)</f>
        <v>103.5</v>
      </c>
      <c r="AO4" s="164">
        <f>_xlfn.XLOOKUP(AL4,ITEM!B:B,ITEM!BA:BA,0)</f>
        <v>68.4545454545455</v>
      </c>
      <c r="AP4" s="164">
        <f t="shared" ref="AP4:AP22" si="14">AN4/AO4</f>
        <v>1.51195219123506</v>
      </c>
      <c r="AQ4" s="165">
        <v>0</v>
      </c>
      <c r="AR4" s="165">
        <v>0</v>
      </c>
      <c r="AS4" s="165">
        <v>0</v>
      </c>
      <c r="AT4" s="165">
        <f>AN4*$AI4</f>
        <v>96.6</v>
      </c>
      <c r="AU4" s="166">
        <f>AN4*(AE4+AG4+AI4)</f>
        <v>234.6</v>
      </c>
      <c r="AV4" s="165">
        <f>_xlfn.XLOOKUP(AL4,ITEM!B:B,ITEM!BN:BN,0)</f>
        <v>180</v>
      </c>
      <c r="AW4" s="165">
        <v>0</v>
      </c>
      <c r="AX4" s="165">
        <v>0</v>
      </c>
      <c r="AY4" s="167">
        <f>AU4-AV4-AW4+AX4</f>
        <v>54.5999999999999</v>
      </c>
      <c r="AZ4" s="168">
        <v>120</v>
      </c>
      <c r="BA4" s="169">
        <f t="shared" ref="BA4:BA22" si="15">AZ4/BC4</f>
        <v>10</v>
      </c>
      <c r="BB4" s="170" t="str">
        <f t="shared" ref="BB4:BB22" si="16">H4</f>
        <v>12*1L</v>
      </c>
      <c r="BC4" s="170">
        <v>12</v>
      </c>
      <c r="BD4" s="171" t="s">
        <v>86</v>
      </c>
      <c r="BE4" s="171" t="s">
        <v>86</v>
      </c>
      <c r="BF4" s="158" t="s">
        <v>87</v>
      </c>
      <c r="BG4" s="172" t="s">
        <v>86</v>
      </c>
      <c r="BH4" s="162" t="str">
        <f t="shared" ref="BH4:BH22" si="17">K4</f>
        <v>MOBIL Transmission Oil Dexron-VI ATF 1L</v>
      </c>
      <c r="BI4" s="173">
        <f t="shared" ref="BI4:BI22" si="18">AM4</f>
        <v>764</v>
      </c>
      <c r="BJ4" s="174">
        <f t="shared" ref="BJ4:BJ22" si="19">BZ4</f>
        <v>8</v>
      </c>
      <c r="BK4" s="174">
        <f t="shared" ref="BK4:BK22" si="20">CK4</f>
        <v>112</v>
      </c>
      <c r="BL4" s="174">
        <f t="shared" ref="BL4:BL22" si="21">CV4</f>
        <v>60</v>
      </c>
      <c r="BM4" s="161">
        <f t="shared" ref="BM4:BM22" si="22">BJ4+BK4+BL4</f>
        <v>180</v>
      </c>
      <c r="BN4" s="175">
        <f t="shared" ref="BN4:BN22" si="23">CC4</f>
        <v>76.2444444444444</v>
      </c>
      <c r="BO4" s="175">
        <f t="shared" ref="BO4:BO22" si="24">CN4</f>
        <v>38.3555555555555</v>
      </c>
      <c r="BP4" s="173">
        <f t="shared" ref="BP4:BP22" si="25">AY4</f>
        <v>54.5999999999999</v>
      </c>
      <c r="BQ4" s="161">
        <v>24</v>
      </c>
      <c r="BR4" s="161"/>
      <c r="BS4" s="162" t="str">
        <f t="shared" ref="BS4:BS22" si="26">K4</f>
        <v>MOBIL Transmission Oil Dexron-VI ATF 1L</v>
      </c>
      <c r="BT4" s="176">
        <f>_xlfn.XLOOKUP(BS4,ITEM!B:B,ITEM!BB:BB,0)</f>
        <v>37.1666666666667</v>
      </c>
      <c r="BU4" s="177">
        <f>_xlfn.XLOOKUP(BS4,ITEM!B:B,ITEM!BC:BC,0)</f>
        <v>32.2727272727273</v>
      </c>
      <c r="BV4" s="177">
        <f t="shared" ref="BV4:BV22" si="27">BT4/BU4</f>
        <v>1.15164319248826</v>
      </c>
      <c r="BW4" s="170">
        <v>0</v>
      </c>
      <c r="BX4" s="178">
        <f t="shared" ref="BX4:BX22" si="28">BT4*$AI4</f>
        <v>34.6888888888889</v>
      </c>
      <c r="BY4" s="179">
        <f t="shared" ref="BY4:BY22" si="29">BT4*($AE4+$AG4+$AI4)</f>
        <v>84.2444444444444</v>
      </c>
      <c r="BZ4" s="177">
        <f>_xlfn.XLOOKUP(BS4,ITEM!B:B,ITEM!BK:BK,0)</f>
        <v>8</v>
      </c>
      <c r="CA4" s="178">
        <v>0</v>
      </c>
      <c r="CB4" s="178">
        <v>0</v>
      </c>
      <c r="CC4" s="167">
        <f t="shared" ref="CC4:CC22" si="30">BY4-BZ4-CA4+CB4</f>
        <v>76.2444444444444</v>
      </c>
      <c r="CD4" s="180">
        <v>0</v>
      </c>
      <c r="CE4" s="181">
        <f>_xlfn.XLOOKUP(BS4,ITEM!B:B,ITEM!BE:BE,0)</f>
        <v>66.3333333333333</v>
      </c>
      <c r="CF4" s="177">
        <f>_xlfn.XLOOKUP(BS4,ITEM!B:B,ITEM!BF:BF,0)</f>
        <v>66.3333333333333</v>
      </c>
      <c r="CG4" s="177">
        <f t="shared" ref="CG4:CG22" si="31">CE4/CF4</f>
        <v>1</v>
      </c>
      <c r="CH4" s="178">
        <v>0</v>
      </c>
      <c r="CI4" s="178">
        <f t="shared" ref="CI4:CI22" si="32">CE4*$AI4</f>
        <v>61.9111111111111</v>
      </c>
      <c r="CJ4" s="179">
        <f t="shared" ref="CJ4:CJ22" si="33">CE4*($AE4+$AG4+$AI4)</f>
        <v>150.355555555555</v>
      </c>
      <c r="CK4" s="177">
        <f>_xlfn.XLOOKUP(BS4,ITEM!B:B,ITEM!BL:BL,0)</f>
        <v>112</v>
      </c>
      <c r="CL4" s="178">
        <v>0</v>
      </c>
      <c r="CM4" s="178">
        <v>0</v>
      </c>
      <c r="CN4" s="167">
        <f t="shared" ref="CN4:CN22" si="34">CJ4-CK4-CL4+CM4</f>
        <v>38.3555555555555</v>
      </c>
      <c r="CO4" s="182">
        <v>0</v>
      </c>
      <c r="CP4" s="183">
        <f>_xlfn.XLOOKUP(BS4,ITEM!B:B,ITEM!BH:BH,0)</f>
        <v>0</v>
      </c>
      <c r="CQ4" s="177">
        <f>_xlfn.XLOOKUP(BS4,ITEM!B:B,ITEM!BI:BI,0)</f>
        <v>0</v>
      </c>
      <c r="CR4" s="177" t="e">
        <f t="shared" ref="CR4:CR22" si="35">CP4/CQ4</f>
        <v>#DIV/0!</v>
      </c>
      <c r="CS4" s="178">
        <v>0</v>
      </c>
      <c r="CT4" s="178">
        <f t="shared" ref="CT4:CT22" si="36">CP4*$AI4</f>
        <v>0</v>
      </c>
      <c r="CU4" s="179">
        <f t="shared" ref="CU4:CU22" si="37">CP4*($AE4+$AG4+$AI4)</f>
        <v>0</v>
      </c>
      <c r="CV4" s="178">
        <f>_xlfn.XLOOKUP(BS4,ITEM!B:B,ITEM!BM:BM,0)</f>
        <v>60</v>
      </c>
      <c r="CW4" s="178">
        <v>0</v>
      </c>
      <c r="CX4" s="178">
        <v>0</v>
      </c>
      <c r="CY4" s="167">
        <f t="shared" ref="CY4:CY22" si="38">CU4-CV4-CW4+CX4</f>
        <v>-60</v>
      </c>
      <c r="CZ4" s="184">
        <v>0</v>
      </c>
      <c r="DA4" s="185" t="str">
        <f t="shared" ref="DA4:DA22" si="39">K4</f>
        <v>MOBIL Transmission Oil Dexron-VI ATF 1L</v>
      </c>
    </row>
    <row r="5" customHeight="1" spans="1:105">
      <c r="A5" s="145">
        <v>12</v>
      </c>
      <c r="B5" s="146">
        <v>101753</v>
      </c>
      <c r="C5" s="147" t="s">
        <v>88</v>
      </c>
      <c r="D5" s="148" t="s">
        <v>89</v>
      </c>
      <c r="E5" s="149" t="s">
        <v>90</v>
      </c>
      <c r="F5" s="149" t="s">
        <v>86</v>
      </c>
      <c r="G5" s="146" t="s">
        <v>91</v>
      </c>
      <c r="H5" s="146">
        <v>0</v>
      </c>
      <c r="I5" s="146">
        <v>0</v>
      </c>
      <c r="J5" s="150" t="str">
        <f t="shared" si="0"/>
        <v>CASTROL Brake Fluid DOT 3 - 500ml</v>
      </c>
      <c r="K5" s="148" t="s">
        <v>92</v>
      </c>
      <c r="L5" s="151">
        <v>1</v>
      </c>
      <c r="M5" s="152" t="s">
        <v>85</v>
      </c>
      <c r="N5" s="153">
        <v>77900</v>
      </c>
      <c r="O5" s="154">
        <v>0.4</v>
      </c>
      <c r="P5" s="154">
        <v>0.2</v>
      </c>
      <c r="Q5" s="154">
        <f t="shared" si="1"/>
        <v>0.6</v>
      </c>
      <c r="R5" s="155">
        <f t="shared" ref="R4:R22" si="40">N5*(1+Q5)</f>
        <v>124640</v>
      </c>
      <c r="S5" s="156">
        <v>0</v>
      </c>
      <c r="T5" s="156">
        <v>0</v>
      </c>
      <c r="U5" s="156">
        <v>0</v>
      </c>
      <c r="V5" s="156">
        <f t="shared" si="2"/>
        <v>124640</v>
      </c>
      <c r="W5" s="155">
        <f t="shared" si="3"/>
        <v>124640</v>
      </c>
      <c r="X5" s="157">
        <f t="shared" si="4"/>
        <v>132430</v>
      </c>
      <c r="Y5" s="156">
        <f t="shared" si="5"/>
        <v>128000</v>
      </c>
      <c r="Z5" s="156">
        <v>0</v>
      </c>
      <c r="AA5" s="155">
        <f t="shared" si="6"/>
        <v>128000</v>
      </c>
      <c r="AB5" s="156">
        <f t="shared" si="7"/>
        <v>50100</v>
      </c>
      <c r="AC5" s="154">
        <f t="shared" si="8"/>
        <v>0.39140625</v>
      </c>
      <c r="AD5" s="158">
        <v>30</v>
      </c>
      <c r="AE5" s="159">
        <f t="shared" si="9"/>
        <v>1</v>
      </c>
      <c r="AF5" s="158">
        <v>10</v>
      </c>
      <c r="AG5" s="159">
        <f t="shared" si="10"/>
        <v>0.333333333333333</v>
      </c>
      <c r="AH5" s="160">
        <v>0.7</v>
      </c>
      <c r="AI5" s="159">
        <f t="shared" si="11"/>
        <v>0.933333333333333</v>
      </c>
      <c r="AJ5" s="160">
        <f t="shared" si="12"/>
        <v>28</v>
      </c>
      <c r="AK5" s="161" t="s">
        <v>86</v>
      </c>
      <c r="AL5" s="162" t="str">
        <f t="shared" si="13"/>
        <v>CASTROL Brake Fluid DOT 3 - 500ml</v>
      </c>
      <c r="AM5" s="163">
        <f>_xlfn.XLOOKUP(AL5,ITEM!B:B,ITEM!AY:AY,0)</f>
        <v>646</v>
      </c>
      <c r="AN5" s="164">
        <f>_xlfn.XLOOKUP(AL5,ITEM!B:B,ITEM!AZ:AZ,0)</f>
        <v>66.8333333333333</v>
      </c>
      <c r="AO5" s="164">
        <f>_xlfn.XLOOKUP(AL5,ITEM!B:B,ITEM!BA:BA,0)</f>
        <v>58.3636363636364</v>
      </c>
      <c r="AP5" s="164">
        <f t="shared" si="14"/>
        <v>1.1451194184839</v>
      </c>
      <c r="AQ5" s="165">
        <v>0</v>
      </c>
      <c r="AR5" s="165">
        <v>0</v>
      </c>
      <c r="AS5" s="165">
        <v>0</v>
      </c>
      <c r="AT5" s="165">
        <f t="shared" ref="AT4:AT22" si="41">AN5*$AI5</f>
        <v>62.3777777777778</v>
      </c>
      <c r="AU5" s="166">
        <f t="shared" ref="AU4:AU22" si="42">AN5*(AE5+AG5+AI5)</f>
        <v>151.488888888889</v>
      </c>
      <c r="AV5" s="165">
        <f>_xlfn.XLOOKUP(AL5,ITEM!B:B,ITEM!BN:BN,0)</f>
        <v>1</v>
      </c>
      <c r="AW5" s="165">
        <v>0</v>
      </c>
      <c r="AX5" s="165">
        <v>0</v>
      </c>
      <c r="AY5" s="167">
        <f t="shared" ref="AY4:AY22" si="43">AU5-AV5-AW5+AX5</f>
        <v>150.488888888889</v>
      </c>
      <c r="AZ5" s="168">
        <v>0</v>
      </c>
      <c r="BA5" s="169" t="e">
        <f t="shared" si="15"/>
        <v>#DIV/0!</v>
      </c>
      <c r="BB5" s="170">
        <f t="shared" si="16"/>
        <v>0</v>
      </c>
      <c r="BC5" s="170">
        <v>0</v>
      </c>
      <c r="BD5" s="171" t="s">
        <v>86</v>
      </c>
      <c r="BE5" s="171" t="s">
        <v>86</v>
      </c>
      <c r="BF5" s="158" t="s">
        <v>93</v>
      </c>
      <c r="BG5" s="172" t="s">
        <v>94</v>
      </c>
      <c r="BH5" s="162" t="str">
        <f t="shared" si="17"/>
        <v>CASTROL Brake Fluid DOT 3 - 500ml</v>
      </c>
      <c r="BI5" s="173">
        <f t="shared" si="18"/>
        <v>646</v>
      </c>
      <c r="BJ5" s="174">
        <f t="shared" si="19"/>
        <v>0</v>
      </c>
      <c r="BK5" s="174">
        <f t="shared" si="20"/>
        <v>1</v>
      </c>
      <c r="BL5" s="174">
        <f t="shared" si="21"/>
        <v>0</v>
      </c>
      <c r="BM5" s="161">
        <f t="shared" si="22"/>
        <v>1</v>
      </c>
      <c r="BN5" s="175">
        <f t="shared" si="23"/>
        <v>55.5333333333333</v>
      </c>
      <c r="BO5" s="175">
        <f t="shared" si="24"/>
        <v>94.9555555555555</v>
      </c>
      <c r="BP5" s="173">
        <f t="shared" si="25"/>
        <v>150.488888888889</v>
      </c>
      <c r="BQ5" s="161" t="s">
        <v>86</v>
      </c>
      <c r="BR5" s="161"/>
      <c r="BS5" s="162" t="str">
        <f t="shared" si="26"/>
        <v>CASTROL Brake Fluid DOT 3 - 500ml</v>
      </c>
      <c r="BT5" s="176">
        <f>_xlfn.XLOOKUP(BS5,ITEM!B:B,ITEM!BB:BB,0)</f>
        <v>24.5</v>
      </c>
      <c r="BU5" s="177">
        <f>_xlfn.XLOOKUP(BS5,ITEM!B:B,ITEM!BC:BC,0)</f>
        <v>35.2727272727273</v>
      </c>
      <c r="BV5" s="177">
        <f t="shared" si="27"/>
        <v>0.694587628865979</v>
      </c>
      <c r="BW5" s="170">
        <v>0</v>
      </c>
      <c r="BX5" s="178">
        <f t="shared" si="28"/>
        <v>22.8666666666667</v>
      </c>
      <c r="BY5" s="179">
        <f t="shared" si="29"/>
        <v>55.5333333333333</v>
      </c>
      <c r="BZ5" s="177">
        <f>_xlfn.XLOOKUP(BS5,ITEM!B:B,ITEM!BK:BK,0)</f>
        <v>0</v>
      </c>
      <c r="CA5" s="178">
        <v>0</v>
      </c>
      <c r="CB5" s="178">
        <v>0</v>
      </c>
      <c r="CC5" s="167">
        <f t="shared" si="30"/>
        <v>55.5333333333333</v>
      </c>
      <c r="CD5" s="180">
        <v>0</v>
      </c>
      <c r="CE5" s="181">
        <f>_xlfn.XLOOKUP(BS5,ITEM!B:B,ITEM!BE:BE,0)</f>
        <v>42.3333333333333</v>
      </c>
      <c r="CF5" s="177">
        <f>_xlfn.XLOOKUP(BS5,ITEM!B:B,ITEM!BF:BF,0)</f>
        <v>42.3333333333333</v>
      </c>
      <c r="CG5" s="177">
        <f t="shared" si="31"/>
        <v>1</v>
      </c>
      <c r="CH5" s="178">
        <v>0</v>
      </c>
      <c r="CI5" s="178">
        <f t="shared" si="32"/>
        <v>39.5111111111111</v>
      </c>
      <c r="CJ5" s="179">
        <f t="shared" si="33"/>
        <v>95.9555555555555</v>
      </c>
      <c r="CK5" s="177">
        <f>_xlfn.XLOOKUP(BS5,ITEM!B:B,ITEM!BL:BL,0)</f>
        <v>1</v>
      </c>
      <c r="CL5" s="178">
        <v>0</v>
      </c>
      <c r="CM5" s="178">
        <v>0</v>
      </c>
      <c r="CN5" s="167">
        <f t="shared" si="34"/>
        <v>94.9555555555555</v>
      </c>
      <c r="CO5" s="182">
        <v>0</v>
      </c>
      <c r="CP5" s="183">
        <f>_xlfn.XLOOKUP(BS5,ITEM!B:B,ITEM!BH:BH,0)</f>
        <v>0</v>
      </c>
      <c r="CQ5" s="177">
        <f>_xlfn.XLOOKUP(BS5,ITEM!B:B,ITEM!BI:BI,0)</f>
        <v>0</v>
      </c>
      <c r="CR5" s="177" t="e">
        <f t="shared" si="35"/>
        <v>#DIV/0!</v>
      </c>
      <c r="CS5" s="178">
        <v>0</v>
      </c>
      <c r="CT5" s="178">
        <f t="shared" si="36"/>
        <v>0</v>
      </c>
      <c r="CU5" s="179">
        <f t="shared" si="37"/>
        <v>0</v>
      </c>
      <c r="CV5" s="178">
        <f>_xlfn.XLOOKUP(BS5,ITEM!B:B,ITEM!BM:BM,0)</f>
        <v>0</v>
      </c>
      <c r="CW5" s="178">
        <v>0</v>
      </c>
      <c r="CX5" s="178">
        <v>0</v>
      </c>
      <c r="CY5" s="167">
        <f t="shared" si="38"/>
        <v>0</v>
      </c>
      <c r="CZ5" s="184">
        <v>0</v>
      </c>
      <c r="DA5" s="185" t="str">
        <f t="shared" si="39"/>
        <v>CASTROL Brake Fluid DOT 3 - 500ml</v>
      </c>
    </row>
    <row r="6" customHeight="1" spans="1:105">
      <c r="A6" s="145">
        <v>8</v>
      </c>
      <c r="B6" s="146">
        <v>108112</v>
      </c>
      <c r="C6" s="147" t="s">
        <v>95</v>
      </c>
      <c r="D6" s="148" t="s">
        <v>79</v>
      </c>
      <c r="E6" s="148" t="s">
        <v>96</v>
      </c>
      <c r="F6" s="149" t="s">
        <v>97</v>
      </c>
      <c r="G6" s="146" t="s">
        <v>82</v>
      </c>
      <c r="H6" s="146" t="s">
        <v>83</v>
      </c>
      <c r="I6" s="146">
        <v>12</v>
      </c>
      <c r="J6" s="150" t="str">
        <f t="shared" si="0"/>
        <v>SHELL Transmission Oil Spirax ATF 6 1L</v>
      </c>
      <c r="K6" s="149" t="s">
        <v>98</v>
      </c>
      <c r="L6" s="151">
        <v>1</v>
      </c>
      <c r="M6" s="152" t="s">
        <v>85</v>
      </c>
      <c r="N6" s="153">
        <v>65229</v>
      </c>
      <c r="O6" s="154">
        <v>0.4</v>
      </c>
      <c r="P6" s="154">
        <v>0.2</v>
      </c>
      <c r="Q6" s="154">
        <f t="shared" si="1"/>
        <v>0.6</v>
      </c>
      <c r="R6" s="155">
        <f t="shared" si="40"/>
        <v>104366.4</v>
      </c>
      <c r="S6" s="156">
        <v>0</v>
      </c>
      <c r="T6" s="156">
        <v>0</v>
      </c>
      <c r="U6" s="156">
        <v>0</v>
      </c>
      <c r="V6" s="156">
        <f t="shared" si="2"/>
        <v>104366.4</v>
      </c>
      <c r="W6" s="155">
        <f t="shared" si="3"/>
        <v>104366.4</v>
      </c>
      <c r="X6" s="157">
        <f t="shared" si="4"/>
        <v>112193.88</v>
      </c>
      <c r="Y6" s="156">
        <f t="shared" si="5"/>
        <v>107000</v>
      </c>
      <c r="Z6" s="156">
        <v>0</v>
      </c>
      <c r="AA6" s="155">
        <f t="shared" si="6"/>
        <v>107000</v>
      </c>
      <c r="AB6" s="156">
        <f t="shared" si="7"/>
        <v>41771</v>
      </c>
      <c r="AC6" s="154">
        <f t="shared" si="8"/>
        <v>0.390383177570093</v>
      </c>
      <c r="AD6" s="158">
        <v>30</v>
      </c>
      <c r="AE6" s="159">
        <f t="shared" si="9"/>
        <v>1</v>
      </c>
      <c r="AF6" s="158">
        <v>10</v>
      </c>
      <c r="AG6" s="159">
        <f t="shared" si="10"/>
        <v>0.333333333333333</v>
      </c>
      <c r="AH6" s="160">
        <v>0.7</v>
      </c>
      <c r="AI6" s="159">
        <f t="shared" si="11"/>
        <v>0.933333333333333</v>
      </c>
      <c r="AJ6" s="160">
        <f t="shared" si="12"/>
        <v>28</v>
      </c>
      <c r="AK6" s="161" t="s">
        <v>86</v>
      </c>
      <c r="AL6" s="162" t="str">
        <f t="shared" si="13"/>
        <v>SHELL Transmission Oil Spirax ATF 6 1L</v>
      </c>
      <c r="AM6" s="163">
        <f>_xlfn.XLOOKUP(AL6,ITEM!B:B,ITEM!AY:AY,0)</f>
        <v>347</v>
      </c>
      <c r="AN6" s="164">
        <f>_xlfn.XLOOKUP(AL6,ITEM!B:B,ITEM!AZ:AZ,0)</f>
        <v>52.3333333333333</v>
      </c>
      <c r="AO6" s="164">
        <f>_xlfn.XLOOKUP(AL6,ITEM!B:B,ITEM!BA:BA,0)</f>
        <v>31.5454545454545</v>
      </c>
      <c r="AP6" s="164">
        <f t="shared" si="14"/>
        <v>1.65898174831892</v>
      </c>
      <c r="AQ6" s="165">
        <v>0</v>
      </c>
      <c r="AR6" s="165">
        <v>0</v>
      </c>
      <c r="AS6" s="165">
        <v>0</v>
      </c>
      <c r="AT6" s="165">
        <f t="shared" si="41"/>
        <v>48.8444444444444</v>
      </c>
      <c r="AU6" s="166">
        <f t="shared" si="42"/>
        <v>118.622222222222</v>
      </c>
      <c r="AV6" s="165">
        <f>_xlfn.XLOOKUP(AL6,ITEM!B:B,ITEM!BN:BN,0)</f>
        <v>110</v>
      </c>
      <c r="AW6" s="165">
        <v>0</v>
      </c>
      <c r="AX6" s="165">
        <v>0</v>
      </c>
      <c r="AY6" s="167">
        <f t="shared" si="43"/>
        <v>8.62222222222221</v>
      </c>
      <c r="AZ6" s="168">
        <v>60</v>
      </c>
      <c r="BA6" s="169">
        <f t="shared" si="15"/>
        <v>5</v>
      </c>
      <c r="BB6" s="170" t="str">
        <f t="shared" si="16"/>
        <v>12*1L</v>
      </c>
      <c r="BC6" s="170">
        <v>12</v>
      </c>
      <c r="BD6" s="171" t="s">
        <v>86</v>
      </c>
      <c r="BE6" s="171" t="s">
        <v>86</v>
      </c>
      <c r="BF6" s="158" t="s">
        <v>87</v>
      </c>
      <c r="BG6" s="172" t="s">
        <v>86</v>
      </c>
      <c r="BH6" s="162" t="str">
        <f t="shared" si="17"/>
        <v>SHELL Transmission Oil Spirax ATF 6 1L</v>
      </c>
      <c r="BI6" s="173">
        <f t="shared" si="18"/>
        <v>347</v>
      </c>
      <c r="BJ6" s="174">
        <f t="shared" si="19"/>
        <v>3</v>
      </c>
      <c r="BK6" s="174">
        <f t="shared" si="20"/>
        <v>59</v>
      </c>
      <c r="BL6" s="174">
        <f t="shared" si="21"/>
        <v>48</v>
      </c>
      <c r="BM6" s="161">
        <f t="shared" si="22"/>
        <v>110</v>
      </c>
      <c r="BN6" s="175">
        <f t="shared" si="23"/>
        <v>77.4666666666667</v>
      </c>
      <c r="BO6" s="175">
        <f t="shared" si="24"/>
        <v>-20.8444444444445</v>
      </c>
      <c r="BP6" s="173">
        <f t="shared" si="25"/>
        <v>8.62222222222221</v>
      </c>
      <c r="BQ6" s="161">
        <v>24</v>
      </c>
      <c r="BR6" s="161"/>
      <c r="BS6" s="162" t="str">
        <f t="shared" si="26"/>
        <v>SHELL Transmission Oil Spirax ATF 6 1L</v>
      </c>
      <c r="BT6" s="176">
        <f>_xlfn.XLOOKUP(BS6,ITEM!B:B,ITEM!BB:BB,0)</f>
        <v>35.5</v>
      </c>
      <c r="BU6" s="177">
        <f>_xlfn.XLOOKUP(BS6,ITEM!B:B,ITEM!BC:BC,0)</f>
        <v>22.3636363636364</v>
      </c>
      <c r="BV6" s="177">
        <f t="shared" si="27"/>
        <v>1.58739837398374</v>
      </c>
      <c r="BW6" s="170">
        <v>0</v>
      </c>
      <c r="BX6" s="178">
        <f t="shared" si="28"/>
        <v>33.1333333333333</v>
      </c>
      <c r="BY6" s="179">
        <f t="shared" si="29"/>
        <v>80.4666666666667</v>
      </c>
      <c r="BZ6" s="177">
        <f>_xlfn.XLOOKUP(BS6,ITEM!B:B,ITEM!BK:BK,0)</f>
        <v>3</v>
      </c>
      <c r="CA6" s="178">
        <v>0</v>
      </c>
      <c r="CB6" s="178">
        <v>0</v>
      </c>
      <c r="CC6" s="167">
        <f t="shared" si="30"/>
        <v>77.4666666666667</v>
      </c>
      <c r="CD6" s="180">
        <v>0</v>
      </c>
      <c r="CE6" s="181">
        <f>_xlfn.XLOOKUP(BS6,ITEM!B:B,ITEM!BE:BE,0)</f>
        <v>16.8333333333333</v>
      </c>
      <c r="CF6" s="177">
        <f>_xlfn.XLOOKUP(BS6,ITEM!B:B,ITEM!BF:BF,0)</f>
        <v>16.8333333333333</v>
      </c>
      <c r="CG6" s="177">
        <f t="shared" si="31"/>
        <v>1</v>
      </c>
      <c r="CH6" s="178">
        <v>0</v>
      </c>
      <c r="CI6" s="178">
        <f t="shared" si="32"/>
        <v>15.7111111111111</v>
      </c>
      <c r="CJ6" s="179">
        <f t="shared" si="33"/>
        <v>38.1555555555555</v>
      </c>
      <c r="CK6" s="177">
        <f>_xlfn.XLOOKUP(BS6,ITEM!B:B,ITEM!BL:BL,0)</f>
        <v>59</v>
      </c>
      <c r="CL6" s="178">
        <v>0</v>
      </c>
      <c r="CM6" s="178">
        <v>0</v>
      </c>
      <c r="CN6" s="167">
        <f t="shared" si="34"/>
        <v>-20.8444444444445</v>
      </c>
      <c r="CO6" s="182">
        <v>0</v>
      </c>
      <c r="CP6" s="183">
        <f>_xlfn.XLOOKUP(BS6,ITEM!B:B,ITEM!BH:BH,0)</f>
        <v>0</v>
      </c>
      <c r="CQ6" s="177">
        <f>_xlfn.XLOOKUP(BS6,ITEM!B:B,ITEM!BI:BI,0)</f>
        <v>0</v>
      </c>
      <c r="CR6" s="177" t="e">
        <f t="shared" si="35"/>
        <v>#DIV/0!</v>
      </c>
      <c r="CS6" s="178">
        <v>0</v>
      </c>
      <c r="CT6" s="178">
        <f t="shared" si="36"/>
        <v>0</v>
      </c>
      <c r="CU6" s="179">
        <f t="shared" si="37"/>
        <v>0</v>
      </c>
      <c r="CV6" s="178">
        <f>_xlfn.XLOOKUP(BS6,ITEM!B:B,ITEM!BM:BM,0)</f>
        <v>48</v>
      </c>
      <c r="CW6" s="178">
        <v>0</v>
      </c>
      <c r="CX6" s="178">
        <v>0</v>
      </c>
      <c r="CY6" s="167">
        <f t="shared" si="38"/>
        <v>-48</v>
      </c>
      <c r="CZ6" s="184">
        <v>0</v>
      </c>
      <c r="DA6" s="185" t="str">
        <f t="shared" si="39"/>
        <v>SHELL Transmission Oil Spirax ATF 6 1L</v>
      </c>
    </row>
    <row r="7" customHeight="1" spans="1:105">
      <c r="A7" s="145">
        <v>3</v>
      </c>
      <c r="B7" s="146">
        <v>101760</v>
      </c>
      <c r="C7" s="147" t="s">
        <v>78</v>
      </c>
      <c r="D7" s="149" t="s">
        <v>99</v>
      </c>
      <c r="E7" s="149" t="s">
        <v>100</v>
      </c>
      <c r="F7" s="149" t="s">
        <v>101</v>
      </c>
      <c r="G7" s="146" t="s">
        <v>82</v>
      </c>
      <c r="H7" s="146" t="s">
        <v>83</v>
      </c>
      <c r="I7" s="146">
        <v>12</v>
      </c>
      <c r="J7" s="150" t="str">
        <f t="shared" si="0"/>
        <v>MOBIL Gear Oil Mobilube-HD 80W-90 1L</v>
      </c>
      <c r="K7" s="149" t="s">
        <v>102</v>
      </c>
      <c r="L7" s="151">
        <v>1</v>
      </c>
      <c r="M7" s="152" t="s">
        <v>85</v>
      </c>
      <c r="N7" s="153">
        <v>51729</v>
      </c>
      <c r="O7" s="154">
        <v>0.4</v>
      </c>
      <c r="P7" s="154">
        <v>0.2</v>
      </c>
      <c r="Q7" s="154">
        <f t="shared" si="1"/>
        <v>0.6</v>
      </c>
      <c r="R7" s="155">
        <f t="shared" si="40"/>
        <v>82766.4</v>
      </c>
      <c r="S7" s="156">
        <v>0</v>
      </c>
      <c r="T7" s="156">
        <v>0</v>
      </c>
      <c r="U7" s="156">
        <v>0</v>
      </c>
      <c r="V7" s="156">
        <f t="shared" si="2"/>
        <v>82766.4</v>
      </c>
      <c r="W7" s="155">
        <f t="shared" si="3"/>
        <v>82766.4</v>
      </c>
      <c r="X7" s="157">
        <f t="shared" si="4"/>
        <v>90008.46</v>
      </c>
      <c r="Y7" s="156">
        <f t="shared" si="5"/>
        <v>86000</v>
      </c>
      <c r="Z7" s="156">
        <v>0</v>
      </c>
      <c r="AA7" s="155">
        <f t="shared" si="6"/>
        <v>86000</v>
      </c>
      <c r="AB7" s="156">
        <f t="shared" si="7"/>
        <v>34271</v>
      </c>
      <c r="AC7" s="154">
        <f t="shared" si="8"/>
        <v>0.3985</v>
      </c>
      <c r="AD7" s="158">
        <v>30</v>
      </c>
      <c r="AE7" s="159">
        <f t="shared" si="9"/>
        <v>1</v>
      </c>
      <c r="AF7" s="158">
        <v>10</v>
      </c>
      <c r="AG7" s="159">
        <f t="shared" si="10"/>
        <v>0.333333333333333</v>
      </c>
      <c r="AH7" s="160">
        <v>0.7</v>
      </c>
      <c r="AI7" s="159">
        <f t="shared" si="11"/>
        <v>0.933333333333333</v>
      </c>
      <c r="AJ7" s="160">
        <f t="shared" si="12"/>
        <v>28</v>
      </c>
      <c r="AK7" s="161" t="s">
        <v>86</v>
      </c>
      <c r="AL7" s="162" t="str">
        <f t="shared" si="13"/>
        <v>MOBIL Gear Oil Mobilube-HD 80W-90 1L</v>
      </c>
      <c r="AM7" s="163">
        <f>_xlfn.XLOOKUP(AL7,ITEM!B:B,ITEM!AY:AY,0)</f>
        <v>324</v>
      </c>
      <c r="AN7" s="164">
        <f>_xlfn.XLOOKUP(AL7,ITEM!B:B,ITEM!AZ:AZ,0)</f>
        <v>18.3333333333333</v>
      </c>
      <c r="AO7" s="164">
        <f>_xlfn.XLOOKUP(AL7,ITEM!B:B,ITEM!BA:BA,0)</f>
        <v>29.1818181818182</v>
      </c>
      <c r="AP7" s="164">
        <f t="shared" si="14"/>
        <v>0.628245067497404</v>
      </c>
      <c r="AQ7" s="165">
        <v>0</v>
      </c>
      <c r="AR7" s="165">
        <v>0</v>
      </c>
      <c r="AS7" s="165">
        <v>0</v>
      </c>
      <c r="AT7" s="165">
        <f t="shared" si="41"/>
        <v>17.1111111111111</v>
      </c>
      <c r="AU7" s="166">
        <f t="shared" si="42"/>
        <v>41.5555555555556</v>
      </c>
      <c r="AV7" s="165">
        <f>_xlfn.XLOOKUP(AL7,ITEM!B:B,ITEM!BN:BN,0)</f>
        <v>78</v>
      </c>
      <c r="AW7" s="165">
        <v>0</v>
      </c>
      <c r="AX7" s="165">
        <v>0</v>
      </c>
      <c r="AY7" s="167">
        <f t="shared" si="43"/>
        <v>-36.4444444444444</v>
      </c>
      <c r="AZ7" s="168">
        <v>36</v>
      </c>
      <c r="BA7" s="169">
        <f t="shared" si="15"/>
        <v>3</v>
      </c>
      <c r="BB7" s="170" t="str">
        <f t="shared" si="16"/>
        <v>12*1L</v>
      </c>
      <c r="BC7" s="170">
        <v>12</v>
      </c>
      <c r="BD7" s="171" t="s">
        <v>86</v>
      </c>
      <c r="BE7" s="171" t="s">
        <v>86</v>
      </c>
      <c r="BF7" s="158" t="s">
        <v>87</v>
      </c>
      <c r="BG7" s="172" t="s">
        <v>86</v>
      </c>
      <c r="BH7" s="162" t="str">
        <f t="shared" si="17"/>
        <v>MOBIL Gear Oil Mobilube-HD 80W-90 1L</v>
      </c>
      <c r="BI7" s="173">
        <f t="shared" si="18"/>
        <v>324</v>
      </c>
      <c r="BJ7" s="174">
        <f t="shared" si="19"/>
        <v>25</v>
      </c>
      <c r="BK7" s="174">
        <f t="shared" si="20"/>
        <v>17</v>
      </c>
      <c r="BL7" s="174">
        <f t="shared" si="21"/>
        <v>36</v>
      </c>
      <c r="BM7" s="161">
        <f t="shared" si="22"/>
        <v>78</v>
      </c>
      <c r="BN7" s="175">
        <f t="shared" si="23"/>
        <v>9.37777777777777</v>
      </c>
      <c r="BO7" s="175">
        <f t="shared" si="24"/>
        <v>-9.82222222222222</v>
      </c>
      <c r="BP7" s="173">
        <f t="shared" si="25"/>
        <v>-36.4444444444444</v>
      </c>
      <c r="BQ7" s="161" t="s">
        <v>86</v>
      </c>
      <c r="BR7" s="161"/>
      <c r="BS7" s="162" t="str">
        <f t="shared" si="26"/>
        <v>MOBIL Gear Oil Mobilube-HD 80W-90 1L</v>
      </c>
      <c r="BT7" s="176">
        <f>_xlfn.XLOOKUP(BS7,ITEM!B:B,ITEM!BB:BB,0)</f>
        <v>15.1666666666667</v>
      </c>
      <c r="BU7" s="177">
        <f>_xlfn.XLOOKUP(BS7,ITEM!B:B,ITEM!BC:BC,0)</f>
        <v>27.4545454545455</v>
      </c>
      <c r="BV7" s="177">
        <f t="shared" si="27"/>
        <v>0.55242825607064</v>
      </c>
      <c r="BW7" s="170">
        <v>0</v>
      </c>
      <c r="BX7" s="178">
        <f t="shared" si="28"/>
        <v>14.1555555555556</v>
      </c>
      <c r="BY7" s="179">
        <f t="shared" si="29"/>
        <v>34.3777777777778</v>
      </c>
      <c r="BZ7" s="177">
        <f>_xlfn.XLOOKUP(BS7,ITEM!B:B,ITEM!BK:BK,0)</f>
        <v>25</v>
      </c>
      <c r="CA7" s="178">
        <v>0</v>
      </c>
      <c r="CB7" s="178">
        <v>0</v>
      </c>
      <c r="CC7" s="167">
        <f t="shared" si="30"/>
        <v>9.37777777777777</v>
      </c>
      <c r="CD7" s="180">
        <v>0</v>
      </c>
      <c r="CE7" s="181">
        <f>_xlfn.XLOOKUP(BS7,ITEM!B:B,ITEM!BE:BE,0)</f>
        <v>3.16666666666667</v>
      </c>
      <c r="CF7" s="177">
        <f>_xlfn.XLOOKUP(BS7,ITEM!B:B,ITEM!BF:BF,0)</f>
        <v>3.16666666666667</v>
      </c>
      <c r="CG7" s="177">
        <f t="shared" si="31"/>
        <v>1</v>
      </c>
      <c r="CH7" s="178">
        <v>0</v>
      </c>
      <c r="CI7" s="178">
        <f t="shared" si="32"/>
        <v>2.95555555555556</v>
      </c>
      <c r="CJ7" s="179">
        <f t="shared" si="33"/>
        <v>7.17777777777778</v>
      </c>
      <c r="CK7" s="177">
        <f>_xlfn.XLOOKUP(BS7,ITEM!B:B,ITEM!BL:BL,0)</f>
        <v>17</v>
      </c>
      <c r="CL7" s="178">
        <v>0</v>
      </c>
      <c r="CM7" s="178">
        <v>0</v>
      </c>
      <c r="CN7" s="167">
        <f t="shared" si="34"/>
        <v>-9.82222222222222</v>
      </c>
      <c r="CO7" s="182">
        <v>0</v>
      </c>
      <c r="CP7" s="183">
        <f>_xlfn.XLOOKUP(BS7,ITEM!B:B,ITEM!BH:BH,0)</f>
        <v>0</v>
      </c>
      <c r="CQ7" s="177">
        <f>_xlfn.XLOOKUP(BS7,ITEM!B:B,ITEM!BI:BI,0)</f>
        <v>0</v>
      </c>
      <c r="CR7" s="177" t="e">
        <f t="shared" si="35"/>
        <v>#DIV/0!</v>
      </c>
      <c r="CS7" s="178">
        <v>0</v>
      </c>
      <c r="CT7" s="178">
        <f t="shared" si="36"/>
        <v>0</v>
      </c>
      <c r="CU7" s="179">
        <f t="shared" si="37"/>
        <v>0</v>
      </c>
      <c r="CV7" s="178">
        <f>_xlfn.XLOOKUP(BS7,ITEM!B:B,ITEM!BM:BM,0)</f>
        <v>36</v>
      </c>
      <c r="CW7" s="178">
        <v>0</v>
      </c>
      <c r="CX7" s="178">
        <v>0</v>
      </c>
      <c r="CY7" s="167">
        <f t="shared" si="38"/>
        <v>-36</v>
      </c>
      <c r="CZ7" s="184">
        <v>0</v>
      </c>
      <c r="DA7" s="185" t="str">
        <f t="shared" si="39"/>
        <v>MOBIL Gear Oil Mobilube-HD 80W-90 1L</v>
      </c>
    </row>
    <row r="8" customHeight="1" spans="1:105">
      <c r="A8" s="145">
        <v>1</v>
      </c>
      <c r="B8" s="146">
        <v>108296</v>
      </c>
      <c r="C8" s="147" t="s">
        <v>78</v>
      </c>
      <c r="D8" s="148" t="s">
        <v>79</v>
      </c>
      <c r="E8" s="149" t="s">
        <v>103</v>
      </c>
      <c r="F8" s="149" t="s">
        <v>104</v>
      </c>
      <c r="G8" s="146" t="s">
        <v>82</v>
      </c>
      <c r="H8" s="146" t="s">
        <v>83</v>
      </c>
      <c r="I8" s="146">
        <v>12</v>
      </c>
      <c r="J8" s="150" t="str">
        <f t="shared" si="0"/>
        <v>MOBIL Transmission Oil CVTF Multi-Vehicle 1L</v>
      </c>
      <c r="K8" s="149" t="s">
        <v>105</v>
      </c>
      <c r="L8" s="151">
        <v>1</v>
      </c>
      <c r="M8" s="152" t="s">
        <v>85</v>
      </c>
      <c r="N8" s="153">
        <v>77900</v>
      </c>
      <c r="O8" s="154">
        <v>0.4</v>
      </c>
      <c r="P8" s="154">
        <v>0.2</v>
      </c>
      <c r="Q8" s="154">
        <f t="shared" si="1"/>
        <v>0.6</v>
      </c>
      <c r="R8" s="155">
        <f t="shared" si="40"/>
        <v>124640</v>
      </c>
      <c r="S8" s="156">
        <v>0</v>
      </c>
      <c r="T8" s="156">
        <v>0</v>
      </c>
      <c r="U8" s="156">
        <v>0</v>
      </c>
      <c r="V8" s="156">
        <f t="shared" si="2"/>
        <v>124640</v>
      </c>
      <c r="W8" s="155">
        <f t="shared" si="3"/>
        <v>124640</v>
      </c>
      <c r="X8" s="157">
        <f t="shared" si="4"/>
        <v>132430</v>
      </c>
      <c r="Y8" s="156">
        <f t="shared" si="5"/>
        <v>128000</v>
      </c>
      <c r="Z8" s="156">
        <v>0</v>
      </c>
      <c r="AA8" s="155">
        <f t="shared" si="6"/>
        <v>128000</v>
      </c>
      <c r="AB8" s="156">
        <f t="shared" si="7"/>
        <v>50100</v>
      </c>
      <c r="AC8" s="154">
        <f t="shared" si="8"/>
        <v>0.39140625</v>
      </c>
      <c r="AD8" s="158">
        <v>30</v>
      </c>
      <c r="AE8" s="159">
        <f t="shared" si="9"/>
        <v>1</v>
      </c>
      <c r="AF8" s="158">
        <v>10</v>
      </c>
      <c r="AG8" s="159">
        <f t="shared" si="10"/>
        <v>0.333333333333333</v>
      </c>
      <c r="AH8" s="160">
        <v>0.7</v>
      </c>
      <c r="AI8" s="159">
        <f t="shared" si="11"/>
        <v>0.933333333333333</v>
      </c>
      <c r="AJ8" s="160">
        <f t="shared" si="12"/>
        <v>28</v>
      </c>
      <c r="AK8" s="161" t="s">
        <v>86</v>
      </c>
      <c r="AL8" s="162" t="str">
        <f t="shared" si="13"/>
        <v>MOBIL Transmission Oil CVTF Multi-Vehicle 1L</v>
      </c>
      <c r="AM8" s="163">
        <f>_xlfn.XLOOKUP(AL8,ITEM!B:B,ITEM!AY:AY,0)</f>
        <v>288</v>
      </c>
      <c r="AN8" s="164">
        <f>_xlfn.XLOOKUP(AL8,ITEM!B:B,ITEM!AZ:AZ,0)</f>
        <v>48</v>
      </c>
      <c r="AO8" s="164">
        <f>_xlfn.XLOOKUP(AL8,ITEM!B:B,ITEM!BA:BA,0)</f>
        <v>26.1818181818182</v>
      </c>
      <c r="AP8" s="164">
        <f t="shared" si="14"/>
        <v>1.83333333333333</v>
      </c>
      <c r="AQ8" s="165">
        <v>0</v>
      </c>
      <c r="AR8" s="165">
        <v>0</v>
      </c>
      <c r="AS8" s="165">
        <v>0</v>
      </c>
      <c r="AT8" s="165">
        <f t="shared" si="41"/>
        <v>44.8</v>
      </c>
      <c r="AU8" s="166">
        <f t="shared" si="42"/>
        <v>108.8</v>
      </c>
      <c r="AV8" s="165">
        <f>_xlfn.XLOOKUP(AL8,ITEM!B:B,ITEM!BN:BN,0)</f>
        <v>66</v>
      </c>
      <c r="AW8" s="165">
        <v>0</v>
      </c>
      <c r="AX8" s="165">
        <v>0</v>
      </c>
      <c r="AY8" s="167">
        <f t="shared" si="43"/>
        <v>42.8</v>
      </c>
      <c r="AZ8" s="168">
        <v>120</v>
      </c>
      <c r="BA8" s="169">
        <f t="shared" si="15"/>
        <v>10</v>
      </c>
      <c r="BB8" s="170" t="str">
        <f t="shared" si="16"/>
        <v>12*1L</v>
      </c>
      <c r="BC8" s="170">
        <v>12</v>
      </c>
      <c r="BD8" s="171" t="s">
        <v>86</v>
      </c>
      <c r="BE8" s="171" t="s">
        <v>86</v>
      </c>
      <c r="BF8" s="158" t="s">
        <v>87</v>
      </c>
      <c r="BG8" s="172" t="s">
        <v>86</v>
      </c>
      <c r="BH8" s="162" t="str">
        <f t="shared" si="17"/>
        <v>MOBIL Transmission Oil CVTF Multi-Vehicle 1L</v>
      </c>
      <c r="BI8" s="173">
        <f t="shared" si="18"/>
        <v>288</v>
      </c>
      <c r="BJ8" s="174">
        <f t="shared" si="19"/>
        <v>4</v>
      </c>
      <c r="BK8" s="174">
        <f t="shared" si="20"/>
        <v>14</v>
      </c>
      <c r="BL8" s="174">
        <f t="shared" si="21"/>
        <v>48</v>
      </c>
      <c r="BM8" s="161">
        <f t="shared" si="22"/>
        <v>66</v>
      </c>
      <c r="BN8" s="175">
        <f t="shared" si="23"/>
        <v>41.3333333333333</v>
      </c>
      <c r="BO8" s="175">
        <f t="shared" si="24"/>
        <v>48.3333333333333</v>
      </c>
      <c r="BP8" s="173">
        <f t="shared" si="25"/>
        <v>42.8</v>
      </c>
      <c r="BQ8" s="161">
        <v>24</v>
      </c>
      <c r="BR8" s="161">
        <v>24</v>
      </c>
      <c r="BS8" s="162" t="str">
        <f t="shared" si="26"/>
        <v>MOBIL Transmission Oil CVTF Multi-Vehicle 1L</v>
      </c>
      <c r="BT8" s="176">
        <f>_xlfn.XLOOKUP(BS8,ITEM!B:B,ITEM!BB:BB,0)</f>
        <v>20</v>
      </c>
      <c r="BU8" s="177">
        <f>_xlfn.XLOOKUP(BS8,ITEM!B:B,ITEM!BC:BC,0)</f>
        <v>10.9090909090909</v>
      </c>
      <c r="BV8" s="177">
        <f t="shared" si="27"/>
        <v>1.83333333333334</v>
      </c>
      <c r="BW8" s="170">
        <v>0</v>
      </c>
      <c r="BX8" s="178">
        <f t="shared" si="28"/>
        <v>18.6666666666667</v>
      </c>
      <c r="BY8" s="179">
        <f t="shared" si="29"/>
        <v>45.3333333333333</v>
      </c>
      <c r="BZ8" s="177">
        <f>_xlfn.XLOOKUP(BS8,ITEM!B:B,ITEM!BK:BK,0)</f>
        <v>4</v>
      </c>
      <c r="CA8" s="178">
        <v>0</v>
      </c>
      <c r="CB8" s="178">
        <v>0</v>
      </c>
      <c r="CC8" s="167">
        <f t="shared" si="30"/>
        <v>41.3333333333333</v>
      </c>
      <c r="CD8" s="180">
        <v>0</v>
      </c>
      <c r="CE8" s="181">
        <f>_xlfn.XLOOKUP(BS8,ITEM!B:B,ITEM!BE:BE,0)</f>
        <v>27.5</v>
      </c>
      <c r="CF8" s="177">
        <f>_xlfn.XLOOKUP(BS8,ITEM!B:B,ITEM!BF:BF,0)</f>
        <v>27.5</v>
      </c>
      <c r="CG8" s="177">
        <f t="shared" si="31"/>
        <v>1</v>
      </c>
      <c r="CH8" s="178">
        <v>0</v>
      </c>
      <c r="CI8" s="178">
        <f t="shared" si="32"/>
        <v>25.6666666666667</v>
      </c>
      <c r="CJ8" s="179">
        <f t="shared" si="33"/>
        <v>62.3333333333333</v>
      </c>
      <c r="CK8" s="177">
        <f>_xlfn.XLOOKUP(BS8,ITEM!B:B,ITEM!BL:BL,0)</f>
        <v>14</v>
      </c>
      <c r="CL8" s="178">
        <v>0</v>
      </c>
      <c r="CM8" s="178">
        <v>0</v>
      </c>
      <c r="CN8" s="167">
        <f t="shared" si="34"/>
        <v>48.3333333333333</v>
      </c>
      <c r="CO8" s="182">
        <v>0</v>
      </c>
      <c r="CP8" s="183">
        <f>_xlfn.XLOOKUP(BS8,ITEM!B:B,ITEM!BH:BH,0)</f>
        <v>0.5</v>
      </c>
      <c r="CQ8" s="177">
        <f>_xlfn.XLOOKUP(BS8,ITEM!B:B,ITEM!BI:BI,0)</f>
        <v>0.5</v>
      </c>
      <c r="CR8" s="177">
        <f t="shared" si="35"/>
        <v>1</v>
      </c>
      <c r="CS8" s="178">
        <v>0</v>
      </c>
      <c r="CT8" s="178">
        <f t="shared" si="36"/>
        <v>0.466666666666667</v>
      </c>
      <c r="CU8" s="179">
        <f t="shared" si="37"/>
        <v>1.13333333333333</v>
      </c>
      <c r="CV8" s="178">
        <f>_xlfn.XLOOKUP(BS8,ITEM!B:B,ITEM!BM:BM,0)</f>
        <v>48</v>
      </c>
      <c r="CW8" s="178">
        <v>0</v>
      </c>
      <c r="CX8" s="178">
        <v>0</v>
      </c>
      <c r="CY8" s="167">
        <f t="shared" si="38"/>
        <v>-46.8666666666667</v>
      </c>
      <c r="CZ8" s="184">
        <v>0</v>
      </c>
      <c r="DA8" s="185" t="str">
        <f t="shared" si="39"/>
        <v>MOBIL Transmission Oil CVTF Multi-Vehicle 1L</v>
      </c>
    </row>
    <row r="9" customHeight="1" spans="1:105">
      <c r="A9" s="145">
        <v>16</v>
      </c>
      <c r="B9" s="146">
        <v>102253</v>
      </c>
      <c r="C9" s="147" t="s">
        <v>106</v>
      </c>
      <c r="D9" s="148" t="s">
        <v>89</v>
      </c>
      <c r="E9" s="149" t="s">
        <v>90</v>
      </c>
      <c r="F9" s="149" t="s">
        <v>86</v>
      </c>
      <c r="G9" s="146" t="s">
        <v>107</v>
      </c>
      <c r="H9" s="146">
        <v>0</v>
      </c>
      <c r="I9" s="146">
        <v>0</v>
      </c>
      <c r="J9" s="150" t="str">
        <f t="shared" si="0"/>
        <v>PRESTONE Brake Fluid DOT 3 - 1000ml</v>
      </c>
      <c r="K9" s="148" t="s">
        <v>108</v>
      </c>
      <c r="L9" s="151">
        <v>1</v>
      </c>
      <c r="M9" s="152" t="s">
        <v>85</v>
      </c>
      <c r="N9" s="153">
        <v>171570</v>
      </c>
      <c r="O9" s="154">
        <v>0.4</v>
      </c>
      <c r="P9" s="154">
        <v>0.2</v>
      </c>
      <c r="Q9" s="154">
        <f t="shared" si="1"/>
        <v>0.6</v>
      </c>
      <c r="R9" s="155">
        <f t="shared" si="40"/>
        <v>274512</v>
      </c>
      <c r="S9" s="156">
        <v>0</v>
      </c>
      <c r="T9" s="156">
        <v>0</v>
      </c>
      <c r="U9" s="156">
        <v>0</v>
      </c>
      <c r="V9" s="156">
        <f t="shared" si="2"/>
        <v>274512</v>
      </c>
      <c r="W9" s="155">
        <f t="shared" si="3"/>
        <v>274512</v>
      </c>
      <c r="X9" s="157">
        <f t="shared" si="4"/>
        <v>271080.6</v>
      </c>
      <c r="Y9" s="156">
        <f t="shared" si="5"/>
        <v>274000</v>
      </c>
      <c r="Z9" s="156">
        <v>0</v>
      </c>
      <c r="AA9" s="155">
        <f t="shared" si="6"/>
        <v>274000</v>
      </c>
      <c r="AB9" s="156">
        <f t="shared" si="7"/>
        <v>102430</v>
      </c>
      <c r="AC9" s="154">
        <f t="shared" si="8"/>
        <v>0.373832116788321</v>
      </c>
      <c r="AD9" s="158">
        <v>30</v>
      </c>
      <c r="AE9" s="159">
        <f t="shared" si="9"/>
        <v>1</v>
      </c>
      <c r="AF9" s="158">
        <v>10</v>
      </c>
      <c r="AG9" s="159">
        <f t="shared" si="10"/>
        <v>0.333333333333333</v>
      </c>
      <c r="AH9" s="160">
        <v>0.7</v>
      </c>
      <c r="AI9" s="159">
        <f t="shared" si="11"/>
        <v>0.933333333333333</v>
      </c>
      <c r="AJ9" s="160">
        <f t="shared" si="12"/>
        <v>28</v>
      </c>
      <c r="AK9" s="161" t="s">
        <v>86</v>
      </c>
      <c r="AL9" s="162" t="str">
        <f t="shared" si="13"/>
        <v>PRESTONE Brake Fluid DOT 3 - 1000ml</v>
      </c>
      <c r="AM9" s="163">
        <f>_xlfn.XLOOKUP(AL9,ITEM!B:B,ITEM!AY:AY,0)</f>
        <v>277</v>
      </c>
      <c r="AN9" s="164">
        <f>_xlfn.XLOOKUP(AL9,ITEM!B:B,ITEM!AZ:AZ,0)</f>
        <v>35.8333333333333</v>
      </c>
      <c r="AO9" s="164">
        <f>_xlfn.XLOOKUP(AL9,ITEM!B:B,ITEM!BA:BA,0)</f>
        <v>25.1818181818182</v>
      </c>
      <c r="AP9" s="164">
        <f t="shared" si="14"/>
        <v>1.42298435619735</v>
      </c>
      <c r="AQ9" s="165">
        <v>0</v>
      </c>
      <c r="AR9" s="165">
        <v>0</v>
      </c>
      <c r="AS9" s="165">
        <v>0</v>
      </c>
      <c r="AT9" s="165">
        <f t="shared" si="41"/>
        <v>33.4444444444444</v>
      </c>
      <c r="AU9" s="166">
        <f t="shared" si="42"/>
        <v>81.2222222222222</v>
      </c>
      <c r="AV9" s="165">
        <f>_xlfn.XLOOKUP(AL9,ITEM!B:B,ITEM!BN:BN,0)</f>
        <v>0</v>
      </c>
      <c r="AW9" s="165">
        <v>0</v>
      </c>
      <c r="AX9" s="165">
        <v>0</v>
      </c>
      <c r="AY9" s="167">
        <f t="shared" si="43"/>
        <v>81.2222222222222</v>
      </c>
      <c r="AZ9" s="168">
        <v>0</v>
      </c>
      <c r="BA9" s="169" t="e">
        <f t="shared" si="15"/>
        <v>#DIV/0!</v>
      </c>
      <c r="BB9" s="170">
        <f t="shared" si="16"/>
        <v>0</v>
      </c>
      <c r="BC9" s="170">
        <v>0</v>
      </c>
      <c r="BD9" s="171" t="s">
        <v>86</v>
      </c>
      <c r="BE9" s="171" t="s">
        <v>86</v>
      </c>
      <c r="BF9" s="158" t="s">
        <v>94</v>
      </c>
      <c r="BG9" s="172" t="s">
        <v>94</v>
      </c>
      <c r="BH9" s="162" t="str">
        <f t="shared" si="17"/>
        <v>PRESTONE Brake Fluid DOT 3 - 1000ml</v>
      </c>
      <c r="BI9" s="173">
        <f t="shared" si="18"/>
        <v>277</v>
      </c>
      <c r="BJ9" s="174">
        <f t="shared" si="19"/>
        <v>0</v>
      </c>
      <c r="BK9" s="174">
        <f t="shared" si="20"/>
        <v>0</v>
      </c>
      <c r="BL9" s="174">
        <f t="shared" si="21"/>
        <v>0</v>
      </c>
      <c r="BM9" s="161">
        <f t="shared" si="22"/>
        <v>0</v>
      </c>
      <c r="BN9" s="175">
        <f t="shared" si="23"/>
        <v>60.4444444444444</v>
      </c>
      <c r="BO9" s="175">
        <f t="shared" si="24"/>
        <v>20.7777777777778</v>
      </c>
      <c r="BP9" s="173">
        <f t="shared" si="25"/>
        <v>81.2222222222222</v>
      </c>
      <c r="BQ9" s="161" t="s">
        <v>86</v>
      </c>
      <c r="BR9" s="161"/>
      <c r="BS9" s="162" t="str">
        <f t="shared" si="26"/>
        <v>PRESTONE Brake Fluid DOT 3 - 1000ml</v>
      </c>
      <c r="BT9" s="176">
        <f>_xlfn.XLOOKUP(BS9,ITEM!B:B,ITEM!BB:BB,0)</f>
        <v>26.6666666666667</v>
      </c>
      <c r="BU9" s="177">
        <f>_xlfn.XLOOKUP(BS9,ITEM!B:B,ITEM!BC:BC,0)</f>
        <v>20.1818181818182</v>
      </c>
      <c r="BV9" s="177">
        <f t="shared" si="27"/>
        <v>1.32132132132132</v>
      </c>
      <c r="BW9" s="170">
        <v>0</v>
      </c>
      <c r="BX9" s="178">
        <f t="shared" si="28"/>
        <v>24.8888888888889</v>
      </c>
      <c r="BY9" s="179">
        <f t="shared" si="29"/>
        <v>60.4444444444444</v>
      </c>
      <c r="BZ9" s="177">
        <f>_xlfn.XLOOKUP(BS9,ITEM!B:B,ITEM!BK:BK,0)</f>
        <v>0</v>
      </c>
      <c r="CA9" s="178">
        <v>0</v>
      </c>
      <c r="CB9" s="178">
        <v>0</v>
      </c>
      <c r="CC9" s="167">
        <f t="shared" si="30"/>
        <v>60.4444444444444</v>
      </c>
      <c r="CD9" s="180">
        <v>0</v>
      </c>
      <c r="CE9" s="181">
        <f>_xlfn.XLOOKUP(BS9,ITEM!B:B,ITEM!BE:BE,0)</f>
        <v>9.16666666666667</v>
      </c>
      <c r="CF9" s="177">
        <f>_xlfn.XLOOKUP(BS9,ITEM!B:B,ITEM!BF:BF,0)</f>
        <v>9.16666666666667</v>
      </c>
      <c r="CG9" s="177">
        <f t="shared" si="31"/>
        <v>1</v>
      </c>
      <c r="CH9" s="178">
        <v>0</v>
      </c>
      <c r="CI9" s="178">
        <f t="shared" si="32"/>
        <v>8.55555555555555</v>
      </c>
      <c r="CJ9" s="179">
        <f t="shared" si="33"/>
        <v>20.7777777777778</v>
      </c>
      <c r="CK9" s="177">
        <f>_xlfn.XLOOKUP(BS9,ITEM!B:B,ITEM!BL:BL,0)</f>
        <v>0</v>
      </c>
      <c r="CL9" s="178">
        <v>0</v>
      </c>
      <c r="CM9" s="178">
        <v>0</v>
      </c>
      <c r="CN9" s="167">
        <f t="shared" si="34"/>
        <v>20.7777777777778</v>
      </c>
      <c r="CO9" s="182">
        <v>0</v>
      </c>
      <c r="CP9" s="183">
        <f>_xlfn.XLOOKUP(BS9,ITEM!B:B,ITEM!BH:BH,0)</f>
        <v>0</v>
      </c>
      <c r="CQ9" s="177">
        <f>_xlfn.XLOOKUP(BS9,ITEM!B:B,ITEM!BI:BI,0)</f>
        <v>0</v>
      </c>
      <c r="CR9" s="177" t="e">
        <f t="shared" si="35"/>
        <v>#DIV/0!</v>
      </c>
      <c r="CS9" s="178">
        <v>0</v>
      </c>
      <c r="CT9" s="178">
        <f t="shared" si="36"/>
        <v>0</v>
      </c>
      <c r="CU9" s="179">
        <f t="shared" si="37"/>
        <v>0</v>
      </c>
      <c r="CV9" s="178">
        <f>_xlfn.XLOOKUP(BS9,ITEM!B:B,ITEM!BM:BM,0)</f>
        <v>0</v>
      </c>
      <c r="CW9" s="178">
        <v>0</v>
      </c>
      <c r="CX9" s="178">
        <v>0</v>
      </c>
      <c r="CY9" s="167">
        <f t="shared" si="38"/>
        <v>0</v>
      </c>
      <c r="CZ9" s="184">
        <v>0</v>
      </c>
      <c r="DA9" s="185" t="str">
        <f t="shared" si="39"/>
        <v>PRESTONE Brake Fluid DOT 3 - 1000ml</v>
      </c>
    </row>
    <row r="10" customHeight="1" spans="1:105">
      <c r="A10" s="145">
        <v>10</v>
      </c>
      <c r="B10" s="146">
        <v>108237</v>
      </c>
      <c r="C10" s="147" t="s">
        <v>95</v>
      </c>
      <c r="D10" s="149" t="s">
        <v>109</v>
      </c>
      <c r="E10" s="148" t="s">
        <v>96</v>
      </c>
      <c r="F10" s="149" t="s">
        <v>110</v>
      </c>
      <c r="G10" s="146" t="s">
        <v>82</v>
      </c>
      <c r="H10" s="146" t="s">
        <v>83</v>
      </c>
      <c r="I10" s="146">
        <v>12</v>
      </c>
      <c r="J10" s="150" t="str">
        <f t="shared" si="0"/>
        <v>SHELL Axle Oil Spirax S2 A 80W-90 1L</v>
      </c>
      <c r="K10" s="149" t="s">
        <v>111</v>
      </c>
      <c r="L10" s="151">
        <v>1</v>
      </c>
      <c r="M10" s="152" t="s">
        <v>85</v>
      </c>
      <c r="N10" s="153">
        <v>51524</v>
      </c>
      <c r="O10" s="154">
        <v>0.4</v>
      </c>
      <c r="P10" s="154">
        <v>0.2</v>
      </c>
      <c r="Q10" s="154">
        <f t="shared" si="1"/>
        <v>0.6</v>
      </c>
      <c r="R10" s="155">
        <f t="shared" si="40"/>
        <v>82438.4</v>
      </c>
      <c r="S10" s="156">
        <v>0</v>
      </c>
      <c r="T10" s="156">
        <v>0</v>
      </c>
      <c r="U10" s="156">
        <v>0</v>
      </c>
      <c r="V10" s="156">
        <f t="shared" si="2"/>
        <v>82438.4</v>
      </c>
      <c r="W10" s="155">
        <f t="shared" si="3"/>
        <v>82438.4</v>
      </c>
      <c r="X10" s="157">
        <f t="shared" si="4"/>
        <v>89651.76</v>
      </c>
      <c r="Y10" s="156">
        <f t="shared" si="5"/>
        <v>85000</v>
      </c>
      <c r="Z10" s="156">
        <v>0</v>
      </c>
      <c r="AA10" s="155">
        <f t="shared" si="6"/>
        <v>85000</v>
      </c>
      <c r="AB10" s="156">
        <f t="shared" si="7"/>
        <v>33476</v>
      </c>
      <c r="AC10" s="154">
        <f t="shared" si="8"/>
        <v>0.393835294117647</v>
      </c>
      <c r="AD10" s="158">
        <v>30</v>
      </c>
      <c r="AE10" s="159">
        <f t="shared" si="9"/>
        <v>1</v>
      </c>
      <c r="AF10" s="158">
        <v>10</v>
      </c>
      <c r="AG10" s="159">
        <f t="shared" si="10"/>
        <v>0.333333333333333</v>
      </c>
      <c r="AH10" s="160">
        <v>0.7</v>
      </c>
      <c r="AI10" s="159">
        <f t="shared" si="11"/>
        <v>0.933333333333333</v>
      </c>
      <c r="AJ10" s="160">
        <f t="shared" si="12"/>
        <v>28</v>
      </c>
      <c r="AK10" s="161" t="s">
        <v>86</v>
      </c>
      <c r="AL10" s="162" t="str">
        <f t="shared" si="13"/>
        <v>SHELL Axle Oil Spirax S2 A 80W-90 1L</v>
      </c>
      <c r="AM10" s="163">
        <f>_xlfn.XLOOKUP(AL10,ITEM!B:B,ITEM!AY:AY,0)</f>
        <v>276</v>
      </c>
      <c r="AN10" s="164">
        <f>_xlfn.XLOOKUP(AL10,ITEM!B:B,ITEM!AZ:AZ,0)</f>
        <v>46</v>
      </c>
      <c r="AO10" s="164">
        <f>_xlfn.XLOOKUP(AL10,ITEM!B:B,ITEM!BA:BA,0)</f>
        <v>25.0909090909091</v>
      </c>
      <c r="AP10" s="164">
        <f t="shared" si="14"/>
        <v>1.83333333333333</v>
      </c>
      <c r="AQ10" s="165">
        <v>0</v>
      </c>
      <c r="AR10" s="165">
        <v>0</v>
      </c>
      <c r="AS10" s="165">
        <v>0</v>
      </c>
      <c r="AT10" s="165">
        <f t="shared" si="41"/>
        <v>42.9333333333333</v>
      </c>
      <c r="AU10" s="166">
        <f t="shared" si="42"/>
        <v>104.266666666667</v>
      </c>
      <c r="AV10" s="165">
        <f>_xlfn.XLOOKUP(AL10,ITEM!B:B,ITEM!BN:BN,0)</f>
        <v>109</v>
      </c>
      <c r="AW10" s="165">
        <v>0</v>
      </c>
      <c r="AX10" s="165">
        <v>0</v>
      </c>
      <c r="AY10" s="167">
        <f t="shared" si="43"/>
        <v>-4.73333333333336</v>
      </c>
      <c r="AZ10" s="168">
        <v>24</v>
      </c>
      <c r="BA10" s="169">
        <f t="shared" si="15"/>
        <v>2</v>
      </c>
      <c r="BB10" s="170" t="str">
        <f t="shared" si="16"/>
        <v>12*1L</v>
      </c>
      <c r="BC10" s="170">
        <v>12</v>
      </c>
      <c r="BD10" s="171" t="s">
        <v>86</v>
      </c>
      <c r="BE10" s="171" t="s">
        <v>86</v>
      </c>
      <c r="BF10" s="158" t="s">
        <v>87</v>
      </c>
      <c r="BG10" s="172" t="s">
        <v>86</v>
      </c>
      <c r="BH10" s="162" t="str">
        <f t="shared" si="17"/>
        <v>SHELL Axle Oil Spirax S2 A 80W-90 1L</v>
      </c>
      <c r="BI10" s="173">
        <f t="shared" si="18"/>
        <v>276</v>
      </c>
      <c r="BJ10" s="174">
        <f t="shared" si="19"/>
        <v>13</v>
      </c>
      <c r="BK10" s="174">
        <f t="shared" si="20"/>
        <v>48</v>
      </c>
      <c r="BL10" s="174">
        <f t="shared" si="21"/>
        <v>48</v>
      </c>
      <c r="BM10" s="161">
        <f t="shared" si="22"/>
        <v>109</v>
      </c>
      <c r="BN10" s="175">
        <f t="shared" si="23"/>
        <v>44.4222222222222</v>
      </c>
      <c r="BO10" s="175">
        <f t="shared" si="24"/>
        <v>-1.15555555555557</v>
      </c>
      <c r="BP10" s="173">
        <f t="shared" si="25"/>
        <v>-4.73333333333336</v>
      </c>
      <c r="BQ10" s="161">
        <v>24</v>
      </c>
      <c r="BR10" s="161"/>
      <c r="BS10" s="162" t="str">
        <f t="shared" si="26"/>
        <v>SHELL Axle Oil Spirax S2 A 80W-90 1L</v>
      </c>
      <c r="BT10" s="176">
        <f>_xlfn.XLOOKUP(BS10,ITEM!B:B,ITEM!BB:BB,0)</f>
        <v>25.3333333333333</v>
      </c>
      <c r="BU10" s="177">
        <f>_xlfn.XLOOKUP(BS10,ITEM!B:B,ITEM!BC:BC,0)</f>
        <v>13.8181818181818</v>
      </c>
      <c r="BV10" s="177">
        <f t="shared" si="27"/>
        <v>1.83333333333333</v>
      </c>
      <c r="BW10" s="170">
        <v>0</v>
      </c>
      <c r="BX10" s="178">
        <f t="shared" si="28"/>
        <v>23.6444444444444</v>
      </c>
      <c r="BY10" s="179">
        <f t="shared" si="29"/>
        <v>57.4222222222222</v>
      </c>
      <c r="BZ10" s="177">
        <f>_xlfn.XLOOKUP(BS10,ITEM!B:B,ITEM!BK:BK,0)</f>
        <v>13</v>
      </c>
      <c r="CA10" s="178">
        <v>0</v>
      </c>
      <c r="CB10" s="178">
        <v>0</v>
      </c>
      <c r="CC10" s="167">
        <f t="shared" si="30"/>
        <v>44.4222222222222</v>
      </c>
      <c r="CD10" s="180">
        <v>0</v>
      </c>
      <c r="CE10" s="181">
        <f>_xlfn.XLOOKUP(BS10,ITEM!B:B,ITEM!BE:BE,0)</f>
        <v>20.6666666666667</v>
      </c>
      <c r="CF10" s="177">
        <f>_xlfn.XLOOKUP(BS10,ITEM!B:B,ITEM!BF:BF,0)</f>
        <v>20.6666666666667</v>
      </c>
      <c r="CG10" s="177">
        <f t="shared" si="31"/>
        <v>1</v>
      </c>
      <c r="CH10" s="178">
        <v>0</v>
      </c>
      <c r="CI10" s="178">
        <f t="shared" si="32"/>
        <v>19.2888888888889</v>
      </c>
      <c r="CJ10" s="179">
        <f t="shared" si="33"/>
        <v>46.8444444444444</v>
      </c>
      <c r="CK10" s="177">
        <f>_xlfn.XLOOKUP(BS10,ITEM!B:B,ITEM!BL:BL,0)</f>
        <v>48</v>
      </c>
      <c r="CL10" s="178">
        <v>0</v>
      </c>
      <c r="CM10" s="178">
        <v>0</v>
      </c>
      <c r="CN10" s="167">
        <f t="shared" si="34"/>
        <v>-1.15555555555557</v>
      </c>
      <c r="CO10" s="182">
        <v>0</v>
      </c>
      <c r="CP10" s="183">
        <f>_xlfn.XLOOKUP(BS10,ITEM!B:B,ITEM!BH:BH,0)</f>
        <v>0</v>
      </c>
      <c r="CQ10" s="177">
        <f>_xlfn.XLOOKUP(BS10,ITEM!B:B,ITEM!BI:BI,0)</f>
        <v>0</v>
      </c>
      <c r="CR10" s="177" t="e">
        <f t="shared" si="35"/>
        <v>#DIV/0!</v>
      </c>
      <c r="CS10" s="178">
        <v>0</v>
      </c>
      <c r="CT10" s="178">
        <f t="shared" si="36"/>
        <v>0</v>
      </c>
      <c r="CU10" s="179">
        <f t="shared" si="37"/>
        <v>0</v>
      </c>
      <c r="CV10" s="178">
        <f>_xlfn.XLOOKUP(BS10,ITEM!B:B,ITEM!BM:BM,0)</f>
        <v>48</v>
      </c>
      <c r="CW10" s="178">
        <v>0</v>
      </c>
      <c r="CX10" s="178">
        <v>0</v>
      </c>
      <c r="CY10" s="167">
        <f t="shared" si="38"/>
        <v>-48</v>
      </c>
      <c r="CZ10" s="184">
        <v>0</v>
      </c>
      <c r="DA10" s="185" t="str">
        <f t="shared" si="39"/>
        <v>SHELL Axle Oil Spirax S2 A 80W-90 1L</v>
      </c>
    </row>
    <row r="11" customHeight="1" spans="1:105">
      <c r="A11" s="145">
        <v>13</v>
      </c>
      <c r="B11" s="146">
        <v>101754</v>
      </c>
      <c r="C11" s="147" t="s">
        <v>88</v>
      </c>
      <c r="D11" s="148" t="s">
        <v>89</v>
      </c>
      <c r="E11" s="149" t="s">
        <v>112</v>
      </c>
      <c r="F11" s="149" t="s">
        <v>86</v>
      </c>
      <c r="G11" s="146" t="s">
        <v>91</v>
      </c>
      <c r="H11" s="146">
        <v>0</v>
      </c>
      <c r="I11" s="146">
        <v>0</v>
      </c>
      <c r="J11" s="150" t="str">
        <f t="shared" si="0"/>
        <v>CASTROL Brake Fluid DOT 4 - 500ml</v>
      </c>
      <c r="K11" s="148" t="s">
        <v>113</v>
      </c>
      <c r="L11" s="151">
        <v>1</v>
      </c>
      <c r="M11" s="152" t="s">
        <v>85</v>
      </c>
      <c r="N11" s="153">
        <v>65100</v>
      </c>
      <c r="O11" s="154">
        <v>0.4</v>
      </c>
      <c r="P11" s="154">
        <v>0.2</v>
      </c>
      <c r="Q11" s="154">
        <f t="shared" si="1"/>
        <v>0.6</v>
      </c>
      <c r="R11" s="155">
        <f t="shared" si="40"/>
        <v>104160</v>
      </c>
      <c r="S11" s="156">
        <v>0</v>
      </c>
      <c r="T11" s="156">
        <v>0</v>
      </c>
      <c r="U11" s="156">
        <v>0</v>
      </c>
      <c r="V11" s="156">
        <f t="shared" si="2"/>
        <v>104160</v>
      </c>
      <c r="W11" s="155">
        <f t="shared" si="3"/>
        <v>104160</v>
      </c>
      <c r="X11" s="157">
        <f t="shared" si="4"/>
        <v>111972</v>
      </c>
      <c r="Y11" s="156">
        <f t="shared" si="5"/>
        <v>107000</v>
      </c>
      <c r="Z11" s="156">
        <v>0</v>
      </c>
      <c r="AA11" s="155">
        <f t="shared" si="6"/>
        <v>107000</v>
      </c>
      <c r="AB11" s="156">
        <f t="shared" si="7"/>
        <v>41900</v>
      </c>
      <c r="AC11" s="154">
        <f t="shared" si="8"/>
        <v>0.391588785046729</v>
      </c>
      <c r="AD11" s="158">
        <v>30</v>
      </c>
      <c r="AE11" s="159">
        <f t="shared" si="9"/>
        <v>1</v>
      </c>
      <c r="AF11" s="158">
        <v>10</v>
      </c>
      <c r="AG11" s="159">
        <f t="shared" si="10"/>
        <v>0.333333333333333</v>
      </c>
      <c r="AH11" s="160">
        <v>0.7</v>
      </c>
      <c r="AI11" s="159">
        <f t="shared" si="11"/>
        <v>0.933333333333333</v>
      </c>
      <c r="AJ11" s="160">
        <f t="shared" si="12"/>
        <v>28</v>
      </c>
      <c r="AK11" s="161" t="s">
        <v>86</v>
      </c>
      <c r="AL11" s="162" t="str">
        <f t="shared" si="13"/>
        <v>CASTROL Brake Fluid DOT 4 - 500ml</v>
      </c>
      <c r="AM11" s="163">
        <f>_xlfn.XLOOKUP(AL11,ITEM!B:B,ITEM!AY:AY,0)</f>
        <v>267</v>
      </c>
      <c r="AN11" s="164">
        <f>_xlfn.XLOOKUP(AL11,ITEM!B:B,ITEM!AZ:AZ,0)</f>
        <v>32.8333333333333</v>
      </c>
      <c r="AO11" s="164">
        <f>_xlfn.XLOOKUP(AL11,ITEM!B:B,ITEM!BA:BA,0)</f>
        <v>24.2727272727273</v>
      </c>
      <c r="AP11" s="164">
        <f t="shared" si="14"/>
        <v>1.35268414481898</v>
      </c>
      <c r="AQ11" s="165">
        <v>0</v>
      </c>
      <c r="AR11" s="165">
        <v>0</v>
      </c>
      <c r="AS11" s="165">
        <v>0</v>
      </c>
      <c r="AT11" s="165">
        <f t="shared" si="41"/>
        <v>30.6444444444444</v>
      </c>
      <c r="AU11" s="166">
        <f t="shared" si="42"/>
        <v>74.4222222222222</v>
      </c>
      <c r="AV11" s="165">
        <f>_xlfn.XLOOKUP(AL11,ITEM!B:B,ITEM!BN:BN,0)</f>
        <v>53</v>
      </c>
      <c r="AW11" s="165">
        <v>0</v>
      </c>
      <c r="AX11" s="165">
        <v>0</v>
      </c>
      <c r="AY11" s="167">
        <f t="shared" si="43"/>
        <v>21.4222222222222</v>
      </c>
      <c r="AZ11" s="168">
        <v>0</v>
      </c>
      <c r="BA11" s="169" t="e">
        <f t="shared" si="15"/>
        <v>#DIV/0!</v>
      </c>
      <c r="BB11" s="170">
        <f t="shared" si="16"/>
        <v>0</v>
      </c>
      <c r="BC11" s="170">
        <v>0</v>
      </c>
      <c r="BD11" s="171" t="s">
        <v>86</v>
      </c>
      <c r="BE11" s="171" t="s">
        <v>86</v>
      </c>
      <c r="BF11" s="158" t="s">
        <v>93</v>
      </c>
      <c r="BG11" s="172" t="s">
        <v>93</v>
      </c>
      <c r="BH11" s="162" t="str">
        <f t="shared" si="17"/>
        <v>CASTROL Brake Fluid DOT 4 - 500ml</v>
      </c>
      <c r="BI11" s="173">
        <f t="shared" si="18"/>
        <v>267</v>
      </c>
      <c r="BJ11" s="174">
        <f t="shared" si="19"/>
        <v>19</v>
      </c>
      <c r="BK11" s="174">
        <f t="shared" si="20"/>
        <v>22</v>
      </c>
      <c r="BL11" s="174">
        <f t="shared" si="21"/>
        <v>12</v>
      </c>
      <c r="BM11" s="161">
        <f t="shared" si="22"/>
        <v>53</v>
      </c>
      <c r="BN11" s="175">
        <f t="shared" si="23"/>
        <v>5.55555555555555</v>
      </c>
      <c r="BO11" s="175">
        <f t="shared" si="24"/>
        <v>27.8666666666667</v>
      </c>
      <c r="BP11" s="173">
        <f t="shared" si="25"/>
        <v>21.4222222222222</v>
      </c>
      <c r="BQ11" s="161" t="s">
        <v>86</v>
      </c>
      <c r="BR11" s="161"/>
      <c r="BS11" s="162" t="str">
        <f t="shared" si="26"/>
        <v>CASTROL Brake Fluid DOT 4 - 500ml</v>
      </c>
      <c r="BT11" s="176">
        <f>_xlfn.XLOOKUP(BS11,ITEM!B:B,ITEM!BB:BB,0)</f>
        <v>10.8333333333333</v>
      </c>
      <c r="BU11" s="177">
        <f>_xlfn.XLOOKUP(BS11,ITEM!B:B,ITEM!BC:BC,0)</f>
        <v>12.2727272727273</v>
      </c>
      <c r="BV11" s="177">
        <f t="shared" si="27"/>
        <v>0.882716049382716</v>
      </c>
      <c r="BW11" s="170">
        <v>0</v>
      </c>
      <c r="BX11" s="178">
        <f t="shared" si="28"/>
        <v>10.1111111111111</v>
      </c>
      <c r="BY11" s="179">
        <f t="shared" si="29"/>
        <v>24.5555555555556</v>
      </c>
      <c r="BZ11" s="177">
        <f>_xlfn.XLOOKUP(BS11,ITEM!B:B,ITEM!BK:BK,0)</f>
        <v>19</v>
      </c>
      <c r="CA11" s="178">
        <v>0</v>
      </c>
      <c r="CB11" s="178">
        <v>0</v>
      </c>
      <c r="CC11" s="167">
        <f t="shared" si="30"/>
        <v>5.55555555555555</v>
      </c>
      <c r="CD11" s="180">
        <v>0</v>
      </c>
      <c r="CE11" s="181">
        <f>_xlfn.XLOOKUP(BS11,ITEM!B:B,ITEM!BE:BE,0)</f>
        <v>22</v>
      </c>
      <c r="CF11" s="177">
        <f>_xlfn.XLOOKUP(BS11,ITEM!B:B,ITEM!BF:BF,0)</f>
        <v>22</v>
      </c>
      <c r="CG11" s="177">
        <f t="shared" si="31"/>
        <v>1</v>
      </c>
      <c r="CH11" s="178">
        <v>0</v>
      </c>
      <c r="CI11" s="178">
        <f t="shared" si="32"/>
        <v>20.5333333333333</v>
      </c>
      <c r="CJ11" s="179">
        <f t="shared" si="33"/>
        <v>49.8666666666667</v>
      </c>
      <c r="CK11" s="177">
        <f>_xlfn.XLOOKUP(BS11,ITEM!B:B,ITEM!BL:BL,0)</f>
        <v>22</v>
      </c>
      <c r="CL11" s="178">
        <v>0</v>
      </c>
      <c r="CM11" s="178">
        <v>0</v>
      </c>
      <c r="CN11" s="167">
        <f t="shared" si="34"/>
        <v>27.8666666666667</v>
      </c>
      <c r="CO11" s="182">
        <v>0</v>
      </c>
      <c r="CP11" s="183">
        <f>_xlfn.XLOOKUP(BS11,ITEM!B:B,ITEM!BH:BH,0)</f>
        <v>0</v>
      </c>
      <c r="CQ11" s="177">
        <f>_xlfn.XLOOKUP(BS11,ITEM!B:B,ITEM!BI:BI,0)</f>
        <v>0</v>
      </c>
      <c r="CR11" s="177" t="e">
        <f t="shared" si="35"/>
        <v>#DIV/0!</v>
      </c>
      <c r="CS11" s="178">
        <v>0</v>
      </c>
      <c r="CT11" s="178">
        <f t="shared" si="36"/>
        <v>0</v>
      </c>
      <c r="CU11" s="179">
        <f t="shared" si="37"/>
        <v>0</v>
      </c>
      <c r="CV11" s="178">
        <f>_xlfn.XLOOKUP(BS11,ITEM!B:B,ITEM!BM:BM,0)</f>
        <v>12</v>
      </c>
      <c r="CW11" s="178">
        <v>0</v>
      </c>
      <c r="CX11" s="178">
        <v>0</v>
      </c>
      <c r="CY11" s="167">
        <f t="shared" si="38"/>
        <v>-12</v>
      </c>
      <c r="CZ11" s="184">
        <v>0</v>
      </c>
      <c r="DA11" s="185" t="str">
        <f t="shared" si="39"/>
        <v>CASTROL Brake Fluid DOT 4 - 500ml</v>
      </c>
    </row>
    <row r="12" customHeight="1" spans="1:105">
      <c r="A12" s="145">
        <v>11</v>
      </c>
      <c r="B12" s="146">
        <v>108238</v>
      </c>
      <c r="C12" s="147" t="s">
        <v>95</v>
      </c>
      <c r="D12" s="149" t="s">
        <v>99</v>
      </c>
      <c r="E12" s="148" t="s">
        <v>96</v>
      </c>
      <c r="F12" s="149" t="s">
        <v>114</v>
      </c>
      <c r="G12" s="146" t="s">
        <v>82</v>
      </c>
      <c r="H12" s="146" t="s">
        <v>83</v>
      </c>
      <c r="I12" s="146">
        <v>12</v>
      </c>
      <c r="J12" s="150" t="str">
        <f t="shared" si="0"/>
        <v>SHELL Gear Oil Spirax S2 G 80W-90 1L</v>
      </c>
      <c r="K12" s="149" t="s">
        <v>115</v>
      </c>
      <c r="L12" s="151">
        <v>1</v>
      </c>
      <c r="M12" s="152" t="s">
        <v>85</v>
      </c>
      <c r="N12" s="153">
        <v>51414</v>
      </c>
      <c r="O12" s="154">
        <v>0.4</v>
      </c>
      <c r="P12" s="154">
        <v>0.2</v>
      </c>
      <c r="Q12" s="154">
        <f t="shared" si="1"/>
        <v>0.6</v>
      </c>
      <c r="R12" s="155">
        <f t="shared" si="40"/>
        <v>82262.4</v>
      </c>
      <c r="S12" s="156">
        <v>0</v>
      </c>
      <c r="T12" s="156">
        <v>0</v>
      </c>
      <c r="U12" s="156">
        <v>0</v>
      </c>
      <c r="V12" s="156">
        <f t="shared" si="2"/>
        <v>82262.4</v>
      </c>
      <c r="W12" s="155">
        <f t="shared" si="3"/>
        <v>82262.4</v>
      </c>
      <c r="X12" s="157">
        <f t="shared" si="4"/>
        <v>89460.36</v>
      </c>
      <c r="Y12" s="156">
        <f t="shared" si="5"/>
        <v>85000</v>
      </c>
      <c r="Z12" s="156">
        <v>0</v>
      </c>
      <c r="AA12" s="155">
        <f t="shared" si="6"/>
        <v>85000</v>
      </c>
      <c r="AB12" s="156">
        <f t="shared" si="7"/>
        <v>33586</v>
      </c>
      <c r="AC12" s="154">
        <f t="shared" si="8"/>
        <v>0.395129411764706</v>
      </c>
      <c r="AD12" s="158">
        <v>30</v>
      </c>
      <c r="AE12" s="159">
        <f t="shared" si="9"/>
        <v>1</v>
      </c>
      <c r="AF12" s="158">
        <v>10</v>
      </c>
      <c r="AG12" s="159">
        <f t="shared" si="10"/>
        <v>0.333333333333333</v>
      </c>
      <c r="AH12" s="160">
        <v>0.7</v>
      </c>
      <c r="AI12" s="159">
        <f t="shared" si="11"/>
        <v>0.933333333333333</v>
      </c>
      <c r="AJ12" s="160">
        <f t="shared" si="12"/>
        <v>28</v>
      </c>
      <c r="AK12" s="161" t="s">
        <v>86</v>
      </c>
      <c r="AL12" s="162" t="str">
        <f t="shared" si="13"/>
        <v>SHELL Gear Oil Spirax S2 G 80W-90 1L</v>
      </c>
      <c r="AM12" s="163">
        <f>_xlfn.XLOOKUP(AL12,ITEM!B:B,ITEM!AY:AY,0)</f>
        <v>242</v>
      </c>
      <c r="AN12" s="164">
        <f>_xlfn.XLOOKUP(AL12,ITEM!B:B,ITEM!AZ:AZ,0)</f>
        <v>40.3333333333333</v>
      </c>
      <c r="AO12" s="164">
        <f>_xlfn.XLOOKUP(AL12,ITEM!B:B,ITEM!BA:BA,0)</f>
        <v>22</v>
      </c>
      <c r="AP12" s="164">
        <f t="shared" si="14"/>
        <v>1.83333333333333</v>
      </c>
      <c r="AQ12" s="165">
        <v>0</v>
      </c>
      <c r="AR12" s="165">
        <v>0</v>
      </c>
      <c r="AS12" s="165">
        <v>0</v>
      </c>
      <c r="AT12" s="165">
        <f t="shared" si="41"/>
        <v>37.6444444444444</v>
      </c>
      <c r="AU12" s="166">
        <f t="shared" si="42"/>
        <v>91.4222222222222</v>
      </c>
      <c r="AV12" s="165">
        <f>_xlfn.XLOOKUP(AL12,ITEM!B:B,ITEM!BN:BN,0)</f>
        <v>73</v>
      </c>
      <c r="AW12" s="165">
        <v>0</v>
      </c>
      <c r="AX12" s="165">
        <v>0</v>
      </c>
      <c r="AY12" s="167">
        <f t="shared" si="43"/>
        <v>18.4222222222222</v>
      </c>
      <c r="AZ12" s="168">
        <v>60</v>
      </c>
      <c r="BA12" s="169">
        <f t="shared" si="15"/>
        <v>5</v>
      </c>
      <c r="BB12" s="170" t="str">
        <f t="shared" si="16"/>
        <v>12*1L</v>
      </c>
      <c r="BC12" s="170">
        <v>12</v>
      </c>
      <c r="BD12" s="171" t="s">
        <v>86</v>
      </c>
      <c r="BE12" s="171" t="s">
        <v>86</v>
      </c>
      <c r="BF12" s="158" t="s">
        <v>87</v>
      </c>
      <c r="BG12" s="172" t="s">
        <v>86</v>
      </c>
      <c r="BH12" s="162" t="str">
        <f t="shared" si="17"/>
        <v>SHELL Gear Oil Spirax S2 G 80W-90 1L</v>
      </c>
      <c r="BI12" s="173">
        <f t="shared" si="18"/>
        <v>242</v>
      </c>
      <c r="BJ12" s="174">
        <f t="shared" si="19"/>
        <v>16</v>
      </c>
      <c r="BK12" s="174">
        <f t="shared" si="20"/>
        <v>32</v>
      </c>
      <c r="BL12" s="174">
        <f t="shared" si="21"/>
        <v>25</v>
      </c>
      <c r="BM12" s="161">
        <f t="shared" si="22"/>
        <v>73</v>
      </c>
      <c r="BN12" s="175">
        <f t="shared" si="23"/>
        <v>37.2666666666667</v>
      </c>
      <c r="BO12" s="175">
        <f t="shared" si="24"/>
        <v>6.15555555555554</v>
      </c>
      <c r="BP12" s="173">
        <f t="shared" si="25"/>
        <v>18.4222222222222</v>
      </c>
      <c r="BQ12" s="161" t="s">
        <v>86</v>
      </c>
      <c r="BR12" s="161"/>
      <c r="BS12" s="162" t="str">
        <f t="shared" si="26"/>
        <v>SHELL Gear Oil Spirax S2 G 80W-90 1L</v>
      </c>
      <c r="BT12" s="176">
        <f>_xlfn.XLOOKUP(BS12,ITEM!B:B,ITEM!BB:BB,0)</f>
        <v>23.5</v>
      </c>
      <c r="BU12" s="177">
        <f>_xlfn.XLOOKUP(BS12,ITEM!B:B,ITEM!BC:BC,0)</f>
        <v>12.8181818181818</v>
      </c>
      <c r="BV12" s="177">
        <f t="shared" si="27"/>
        <v>1.83333333333333</v>
      </c>
      <c r="BW12" s="170">
        <v>0</v>
      </c>
      <c r="BX12" s="178">
        <f t="shared" si="28"/>
        <v>21.9333333333333</v>
      </c>
      <c r="BY12" s="179">
        <f t="shared" si="29"/>
        <v>53.2666666666667</v>
      </c>
      <c r="BZ12" s="177">
        <f>_xlfn.XLOOKUP(BS12,ITEM!B:B,ITEM!BK:BK,0)</f>
        <v>16</v>
      </c>
      <c r="CA12" s="178">
        <v>0</v>
      </c>
      <c r="CB12" s="178">
        <v>0</v>
      </c>
      <c r="CC12" s="167">
        <f t="shared" si="30"/>
        <v>37.2666666666667</v>
      </c>
      <c r="CD12" s="180">
        <v>0</v>
      </c>
      <c r="CE12" s="181">
        <f>_xlfn.XLOOKUP(BS12,ITEM!B:B,ITEM!BE:BE,0)</f>
        <v>16.8333333333333</v>
      </c>
      <c r="CF12" s="177">
        <f>_xlfn.XLOOKUP(BS12,ITEM!B:B,ITEM!BF:BF,0)</f>
        <v>16.8333333333333</v>
      </c>
      <c r="CG12" s="177">
        <f t="shared" si="31"/>
        <v>1</v>
      </c>
      <c r="CH12" s="178">
        <v>0</v>
      </c>
      <c r="CI12" s="178">
        <f t="shared" si="32"/>
        <v>15.7111111111111</v>
      </c>
      <c r="CJ12" s="179">
        <f t="shared" si="33"/>
        <v>38.1555555555555</v>
      </c>
      <c r="CK12" s="177">
        <f>_xlfn.XLOOKUP(BS12,ITEM!B:B,ITEM!BL:BL,0)</f>
        <v>32</v>
      </c>
      <c r="CL12" s="178">
        <v>0</v>
      </c>
      <c r="CM12" s="178">
        <v>0</v>
      </c>
      <c r="CN12" s="167">
        <f t="shared" si="34"/>
        <v>6.15555555555554</v>
      </c>
      <c r="CO12" s="182">
        <v>0</v>
      </c>
      <c r="CP12" s="183">
        <f>_xlfn.XLOOKUP(BS12,ITEM!B:B,ITEM!BH:BH,0)</f>
        <v>0</v>
      </c>
      <c r="CQ12" s="177">
        <f>_xlfn.XLOOKUP(BS12,ITEM!B:B,ITEM!BI:BI,0)</f>
        <v>0</v>
      </c>
      <c r="CR12" s="177" t="e">
        <f t="shared" si="35"/>
        <v>#DIV/0!</v>
      </c>
      <c r="CS12" s="178">
        <v>0</v>
      </c>
      <c r="CT12" s="178">
        <f t="shared" si="36"/>
        <v>0</v>
      </c>
      <c r="CU12" s="179">
        <f t="shared" si="37"/>
        <v>0</v>
      </c>
      <c r="CV12" s="178">
        <f>_xlfn.XLOOKUP(BS12,ITEM!B:B,ITEM!BM:BM,0)</f>
        <v>25</v>
      </c>
      <c r="CW12" s="178">
        <v>0</v>
      </c>
      <c r="CX12" s="178">
        <v>0</v>
      </c>
      <c r="CY12" s="167">
        <f t="shared" si="38"/>
        <v>-25</v>
      </c>
      <c r="CZ12" s="184">
        <v>0</v>
      </c>
      <c r="DA12" s="185" t="str">
        <f t="shared" si="39"/>
        <v>SHELL Gear Oil Spirax S2 G 80W-90 1L</v>
      </c>
    </row>
    <row r="13" customHeight="1" spans="1:105">
      <c r="A13" s="145">
        <v>9</v>
      </c>
      <c r="B13" s="146">
        <v>108111</v>
      </c>
      <c r="C13" s="147" t="s">
        <v>95</v>
      </c>
      <c r="D13" s="148" t="s">
        <v>79</v>
      </c>
      <c r="E13" s="148" t="s">
        <v>96</v>
      </c>
      <c r="F13" s="149" t="s">
        <v>116</v>
      </c>
      <c r="G13" s="146" t="s">
        <v>82</v>
      </c>
      <c r="H13" s="146" t="s">
        <v>83</v>
      </c>
      <c r="I13" s="146">
        <v>12</v>
      </c>
      <c r="J13" s="150" t="str">
        <f t="shared" si="0"/>
        <v>SHELL Transmission Oil Spirax S5 CVTX 1L</v>
      </c>
      <c r="K13" s="149" t="s">
        <v>117</v>
      </c>
      <c r="L13" s="151">
        <v>1</v>
      </c>
      <c r="M13" s="152" t="s">
        <v>85</v>
      </c>
      <c r="N13" s="153">
        <v>77510</v>
      </c>
      <c r="O13" s="154">
        <v>0.4</v>
      </c>
      <c r="P13" s="154">
        <v>0.2</v>
      </c>
      <c r="Q13" s="154">
        <f t="shared" si="1"/>
        <v>0.6</v>
      </c>
      <c r="R13" s="155">
        <f t="shared" si="40"/>
        <v>124016</v>
      </c>
      <c r="S13" s="156">
        <v>0</v>
      </c>
      <c r="T13" s="156">
        <v>0</v>
      </c>
      <c r="U13" s="156">
        <v>0</v>
      </c>
      <c r="V13" s="156">
        <f t="shared" si="2"/>
        <v>124016</v>
      </c>
      <c r="W13" s="155">
        <f t="shared" si="3"/>
        <v>124016</v>
      </c>
      <c r="X13" s="157">
        <f t="shared" si="4"/>
        <v>131767</v>
      </c>
      <c r="Y13" s="156">
        <f t="shared" si="5"/>
        <v>127000</v>
      </c>
      <c r="Z13" s="156">
        <v>0</v>
      </c>
      <c r="AA13" s="155">
        <f t="shared" si="6"/>
        <v>127000</v>
      </c>
      <c r="AB13" s="156">
        <f t="shared" si="7"/>
        <v>49490</v>
      </c>
      <c r="AC13" s="154">
        <f t="shared" si="8"/>
        <v>0.389685039370079</v>
      </c>
      <c r="AD13" s="158">
        <v>30</v>
      </c>
      <c r="AE13" s="159">
        <f t="shared" si="9"/>
        <v>1</v>
      </c>
      <c r="AF13" s="158">
        <v>10</v>
      </c>
      <c r="AG13" s="159">
        <f t="shared" si="10"/>
        <v>0.333333333333333</v>
      </c>
      <c r="AH13" s="160">
        <v>0.7</v>
      </c>
      <c r="AI13" s="159">
        <f t="shared" si="11"/>
        <v>0.933333333333333</v>
      </c>
      <c r="AJ13" s="160">
        <f t="shared" si="12"/>
        <v>28</v>
      </c>
      <c r="AK13" s="161" t="s">
        <v>86</v>
      </c>
      <c r="AL13" s="162" t="str">
        <f t="shared" si="13"/>
        <v>SHELL Transmission Oil Spirax S5 CVTX 1L</v>
      </c>
      <c r="AM13" s="163">
        <f>_xlfn.XLOOKUP(AL13,ITEM!B:B,ITEM!AY:AY,0)</f>
        <v>220</v>
      </c>
      <c r="AN13" s="164">
        <f>_xlfn.XLOOKUP(AL13,ITEM!B:B,ITEM!AZ:AZ,0)</f>
        <v>31.3333333333333</v>
      </c>
      <c r="AO13" s="164">
        <f>_xlfn.XLOOKUP(AL13,ITEM!B:B,ITEM!BA:BA,0)</f>
        <v>20</v>
      </c>
      <c r="AP13" s="164">
        <f t="shared" si="14"/>
        <v>1.56666666666667</v>
      </c>
      <c r="AQ13" s="165">
        <v>0</v>
      </c>
      <c r="AR13" s="165">
        <v>0</v>
      </c>
      <c r="AS13" s="165">
        <v>0</v>
      </c>
      <c r="AT13" s="165">
        <f t="shared" si="41"/>
        <v>29.2444444444444</v>
      </c>
      <c r="AU13" s="166">
        <f t="shared" si="42"/>
        <v>71.0222222222222</v>
      </c>
      <c r="AV13" s="165">
        <f>_xlfn.XLOOKUP(AL13,ITEM!B:B,ITEM!BN:BN,0)</f>
        <v>41</v>
      </c>
      <c r="AW13" s="165">
        <v>0</v>
      </c>
      <c r="AX13" s="165">
        <v>0</v>
      </c>
      <c r="AY13" s="167">
        <f t="shared" si="43"/>
        <v>30.0222222222222</v>
      </c>
      <c r="AZ13" s="168">
        <v>120</v>
      </c>
      <c r="BA13" s="169">
        <f t="shared" si="15"/>
        <v>10</v>
      </c>
      <c r="BB13" s="170" t="str">
        <f t="shared" si="16"/>
        <v>12*1L</v>
      </c>
      <c r="BC13" s="170">
        <v>12</v>
      </c>
      <c r="BD13" s="171" t="s">
        <v>86</v>
      </c>
      <c r="BE13" s="171" t="s">
        <v>86</v>
      </c>
      <c r="BF13" s="158" t="s">
        <v>87</v>
      </c>
      <c r="BG13" s="172" t="s">
        <v>86</v>
      </c>
      <c r="BH13" s="162" t="str">
        <f t="shared" si="17"/>
        <v>SHELL Transmission Oil Spirax S5 CVTX 1L</v>
      </c>
      <c r="BI13" s="173">
        <f t="shared" si="18"/>
        <v>220</v>
      </c>
      <c r="BJ13" s="174">
        <f t="shared" si="19"/>
        <v>5</v>
      </c>
      <c r="BK13" s="174">
        <f t="shared" si="20"/>
        <v>36</v>
      </c>
      <c r="BL13" s="174">
        <f t="shared" si="21"/>
        <v>0</v>
      </c>
      <c r="BM13" s="161">
        <f t="shared" si="22"/>
        <v>41</v>
      </c>
      <c r="BN13" s="175">
        <f t="shared" si="23"/>
        <v>58.4666666666667</v>
      </c>
      <c r="BO13" s="175">
        <f t="shared" si="24"/>
        <v>-28.4444444444444</v>
      </c>
      <c r="BP13" s="173">
        <f t="shared" si="25"/>
        <v>30.0222222222222</v>
      </c>
      <c r="BQ13" s="161">
        <v>12</v>
      </c>
      <c r="BR13" s="161"/>
      <c r="BS13" s="162" t="str">
        <f t="shared" si="26"/>
        <v>SHELL Transmission Oil Spirax S5 CVTX 1L</v>
      </c>
      <c r="BT13" s="176">
        <f>_xlfn.XLOOKUP(BS13,ITEM!B:B,ITEM!BB:BB,0)</f>
        <v>28</v>
      </c>
      <c r="BU13" s="177">
        <f>_xlfn.XLOOKUP(BS13,ITEM!B:B,ITEM!BC:BC,0)</f>
        <v>18.1818181818182</v>
      </c>
      <c r="BV13" s="177">
        <f t="shared" si="27"/>
        <v>1.54</v>
      </c>
      <c r="BW13" s="170">
        <v>0</v>
      </c>
      <c r="BX13" s="178">
        <f t="shared" si="28"/>
        <v>26.1333333333333</v>
      </c>
      <c r="BY13" s="179">
        <f t="shared" si="29"/>
        <v>63.4666666666667</v>
      </c>
      <c r="BZ13" s="177">
        <f>_xlfn.XLOOKUP(BS13,ITEM!B:B,ITEM!BK:BK,0)</f>
        <v>5</v>
      </c>
      <c r="CA13" s="178">
        <v>0</v>
      </c>
      <c r="CB13" s="178">
        <v>0</v>
      </c>
      <c r="CC13" s="167">
        <f t="shared" si="30"/>
        <v>58.4666666666667</v>
      </c>
      <c r="CD13" s="180">
        <v>0</v>
      </c>
      <c r="CE13" s="181">
        <f>_xlfn.XLOOKUP(BS13,ITEM!B:B,ITEM!BE:BE,0)</f>
        <v>3.33333333333333</v>
      </c>
      <c r="CF13" s="177">
        <f>_xlfn.XLOOKUP(BS13,ITEM!B:B,ITEM!BF:BF,0)</f>
        <v>3.33333333333333</v>
      </c>
      <c r="CG13" s="177">
        <f t="shared" si="31"/>
        <v>1</v>
      </c>
      <c r="CH13" s="178">
        <v>0</v>
      </c>
      <c r="CI13" s="178">
        <f t="shared" si="32"/>
        <v>3.11111111111111</v>
      </c>
      <c r="CJ13" s="179">
        <f t="shared" si="33"/>
        <v>7.55555555555555</v>
      </c>
      <c r="CK13" s="177">
        <f>_xlfn.XLOOKUP(BS13,ITEM!B:B,ITEM!BL:BL,0)</f>
        <v>36</v>
      </c>
      <c r="CL13" s="178">
        <v>0</v>
      </c>
      <c r="CM13" s="178">
        <v>0</v>
      </c>
      <c r="CN13" s="167">
        <f t="shared" si="34"/>
        <v>-28.4444444444444</v>
      </c>
      <c r="CO13" s="182">
        <v>0</v>
      </c>
      <c r="CP13" s="183">
        <f>_xlfn.XLOOKUP(BS13,ITEM!B:B,ITEM!BH:BH,0)</f>
        <v>0</v>
      </c>
      <c r="CQ13" s="177">
        <f>_xlfn.XLOOKUP(BS13,ITEM!B:B,ITEM!BI:BI,0)</f>
        <v>0</v>
      </c>
      <c r="CR13" s="177" t="e">
        <f t="shared" si="35"/>
        <v>#DIV/0!</v>
      </c>
      <c r="CS13" s="178">
        <v>0</v>
      </c>
      <c r="CT13" s="178">
        <f t="shared" si="36"/>
        <v>0</v>
      </c>
      <c r="CU13" s="179">
        <f t="shared" si="37"/>
        <v>0</v>
      </c>
      <c r="CV13" s="178">
        <f>_xlfn.XLOOKUP(BS13,ITEM!B:B,ITEM!BM:BM,0)</f>
        <v>0</v>
      </c>
      <c r="CW13" s="178">
        <v>0</v>
      </c>
      <c r="CX13" s="178">
        <v>0</v>
      </c>
      <c r="CY13" s="167">
        <f t="shared" si="38"/>
        <v>0</v>
      </c>
      <c r="CZ13" s="184">
        <v>0</v>
      </c>
      <c r="DA13" s="185" t="str">
        <f t="shared" si="39"/>
        <v>SHELL Transmission Oil Spirax S5 CVTX 1L</v>
      </c>
    </row>
    <row r="14" customHeight="1" spans="1:105">
      <c r="A14" s="145">
        <v>5</v>
      </c>
      <c r="B14" s="146">
        <v>101844</v>
      </c>
      <c r="C14" s="147" t="s">
        <v>118</v>
      </c>
      <c r="D14" s="148" t="s">
        <v>79</v>
      </c>
      <c r="E14" s="149" t="s">
        <v>119</v>
      </c>
      <c r="F14" s="149" t="s">
        <v>103</v>
      </c>
      <c r="G14" s="146" t="s">
        <v>82</v>
      </c>
      <c r="H14" s="146" t="s">
        <v>83</v>
      </c>
      <c r="I14" s="146">
        <v>12</v>
      </c>
      <c r="J14" s="150" t="str">
        <f t="shared" si="0"/>
        <v>MOTUL Transmission Oil Multi CVTF 1L</v>
      </c>
      <c r="K14" s="149" t="s">
        <v>120</v>
      </c>
      <c r="L14" s="151">
        <v>1</v>
      </c>
      <c r="M14" s="152" t="s">
        <v>85</v>
      </c>
      <c r="N14" s="153">
        <v>171570</v>
      </c>
      <c r="O14" s="154">
        <v>0.4</v>
      </c>
      <c r="P14" s="154">
        <v>0.2</v>
      </c>
      <c r="Q14" s="154">
        <f t="shared" si="1"/>
        <v>0.6</v>
      </c>
      <c r="R14" s="155">
        <f t="shared" si="40"/>
        <v>274512</v>
      </c>
      <c r="S14" s="156">
        <v>0</v>
      </c>
      <c r="T14" s="156">
        <v>0</v>
      </c>
      <c r="U14" s="156">
        <v>0</v>
      </c>
      <c r="V14" s="156">
        <f t="shared" si="2"/>
        <v>274512</v>
      </c>
      <c r="W14" s="155">
        <f t="shared" si="3"/>
        <v>274512</v>
      </c>
      <c r="X14" s="157">
        <f t="shared" si="4"/>
        <v>271080.6</v>
      </c>
      <c r="Y14" s="156">
        <f t="shared" si="5"/>
        <v>274000</v>
      </c>
      <c r="Z14" s="156">
        <v>0</v>
      </c>
      <c r="AA14" s="155">
        <f t="shared" si="6"/>
        <v>274000</v>
      </c>
      <c r="AB14" s="156">
        <f t="shared" si="7"/>
        <v>102430</v>
      </c>
      <c r="AC14" s="154">
        <f t="shared" si="8"/>
        <v>0.373832116788321</v>
      </c>
      <c r="AD14" s="158">
        <v>30</v>
      </c>
      <c r="AE14" s="159">
        <f t="shared" si="9"/>
        <v>1</v>
      </c>
      <c r="AF14" s="158">
        <v>10</v>
      </c>
      <c r="AG14" s="159">
        <f t="shared" si="10"/>
        <v>0.333333333333333</v>
      </c>
      <c r="AH14" s="160">
        <v>0.7</v>
      </c>
      <c r="AI14" s="159">
        <f t="shared" si="11"/>
        <v>0.933333333333333</v>
      </c>
      <c r="AJ14" s="160">
        <f t="shared" si="12"/>
        <v>28</v>
      </c>
      <c r="AK14" s="161" t="s">
        <v>86</v>
      </c>
      <c r="AL14" s="162" t="str">
        <f t="shared" si="13"/>
        <v>MOTUL Transmission Oil Multi CVTF 1L</v>
      </c>
      <c r="AM14" s="163">
        <f>_xlfn.XLOOKUP(AL14,ITEM!B:B,ITEM!AY:AY,0)</f>
        <v>200</v>
      </c>
      <c r="AN14" s="164">
        <f>_xlfn.XLOOKUP(AL14,ITEM!B:B,ITEM!AZ:AZ,0)</f>
        <v>6.66666666666667</v>
      </c>
      <c r="AO14" s="164">
        <f>_xlfn.XLOOKUP(AL14,ITEM!B:B,ITEM!BA:BA,0)</f>
        <v>17.8181818181818</v>
      </c>
      <c r="AP14" s="164">
        <f t="shared" si="14"/>
        <v>0.374149659863946</v>
      </c>
      <c r="AQ14" s="165">
        <v>0</v>
      </c>
      <c r="AR14" s="165">
        <v>0</v>
      </c>
      <c r="AS14" s="165">
        <v>0</v>
      </c>
      <c r="AT14" s="165">
        <f t="shared" si="41"/>
        <v>6.22222222222222</v>
      </c>
      <c r="AU14" s="166">
        <f t="shared" si="42"/>
        <v>15.1111111111111</v>
      </c>
      <c r="AV14" s="165">
        <f>_xlfn.XLOOKUP(AL14,ITEM!B:B,ITEM!BN:BN,0)</f>
        <v>73</v>
      </c>
      <c r="AW14" s="165">
        <v>0</v>
      </c>
      <c r="AX14" s="165">
        <v>0</v>
      </c>
      <c r="AY14" s="167">
        <f t="shared" si="43"/>
        <v>-57.8888888888889</v>
      </c>
      <c r="AZ14" s="168">
        <v>0</v>
      </c>
      <c r="BA14" s="169">
        <f t="shared" si="15"/>
        <v>0</v>
      </c>
      <c r="BB14" s="170" t="str">
        <f t="shared" si="16"/>
        <v>12*1L</v>
      </c>
      <c r="BC14" s="170">
        <v>12</v>
      </c>
      <c r="BD14" s="171" t="s">
        <v>86</v>
      </c>
      <c r="BE14" s="171" t="s">
        <v>86</v>
      </c>
      <c r="BF14" s="158" t="s">
        <v>94</v>
      </c>
      <c r="BG14" s="172" t="s">
        <v>86</v>
      </c>
      <c r="BH14" s="162" t="str">
        <f t="shared" si="17"/>
        <v>MOTUL Transmission Oil Multi CVTF 1L</v>
      </c>
      <c r="BI14" s="173">
        <f t="shared" si="18"/>
        <v>200</v>
      </c>
      <c r="BJ14" s="174">
        <f t="shared" si="19"/>
        <v>28</v>
      </c>
      <c r="BK14" s="174">
        <f t="shared" si="20"/>
        <v>20</v>
      </c>
      <c r="BL14" s="174">
        <f t="shared" si="21"/>
        <v>25</v>
      </c>
      <c r="BM14" s="161">
        <f t="shared" si="22"/>
        <v>73</v>
      </c>
      <c r="BN14" s="175">
        <f t="shared" si="23"/>
        <v>-21.9555555555556</v>
      </c>
      <c r="BO14" s="175">
        <f t="shared" si="24"/>
        <v>-10.9333333333333</v>
      </c>
      <c r="BP14" s="173">
        <f t="shared" si="25"/>
        <v>-57.8888888888889</v>
      </c>
      <c r="BQ14" s="161" t="s">
        <v>86</v>
      </c>
      <c r="BR14" s="161"/>
      <c r="BS14" s="162" t="str">
        <f t="shared" si="26"/>
        <v>MOTUL Transmission Oil Multi CVTF 1L</v>
      </c>
      <c r="BT14" s="176">
        <f>_xlfn.XLOOKUP(BS14,ITEM!B:B,ITEM!BB:BB,0)</f>
        <v>2.66666666666667</v>
      </c>
      <c r="BU14" s="177">
        <f>_xlfn.XLOOKUP(BS14,ITEM!B:B,ITEM!BC:BC,0)</f>
        <v>15.6363636363636</v>
      </c>
      <c r="BV14" s="177">
        <f t="shared" si="27"/>
        <v>0.170542635658915</v>
      </c>
      <c r="BW14" s="170">
        <v>0</v>
      </c>
      <c r="BX14" s="178">
        <f t="shared" si="28"/>
        <v>2.48888888888889</v>
      </c>
      <c r="BY14" s="179">
        <f t="shared" si="29"/>
        <v>6.04444444444444</v>
      </c>
      <c r="BZ14" s="177">
        <f>_xlfn.XLOOKUP(BS14,ITEM!B:B,ITEM!BK:BK,0)</f>
        <v>28</v>
      </c>
      <c r="CA14" s="178">
        <v>0</v>
      </c>
      <c r="CB14" s="178">
        <v>0</v>
      </c>
      <c r="CC14" s="167">
        <f t="shared" si="30"/>
        <v>-21.9555555555556</v>
      </c>
      <c r="CD14" s="180">
        <v>0</v>
      </c>
      <c r="CE14" s="181">
        <f>_xlfn.XLOOKUP(BS14,ITEM!B:B,ITEM!BE:BE,0)</f>
        <v>4</v>
      </c>
      <c r="CF14" s="177">
        <f>_xlfn.XLOOKUP(BS14,ITEM!B:B,ITEM!BF:BF,0)</f>
        <v>4</v>
      </c>
      <c r="CG14" s="177">
        <f t="shared" si="31"/>
        <v>1</v>
      </c>
      <c r="CH14" s="178">
        <v>0</v>
      </c>
      <c r="CI14" s="178">
        <f t="shared" si="32"/>
        <v>3.73333333333333</v>
      </c>
      <c r="CJ14" s="179">
        <f t="shared" si="33"/>
        <v>9.06666666666666</v>
      </c>
      <c r="CK14" s="177">
        <f>_xlfn.XLOOKUP(BS14,ITEM!B:B,ITEM!BL:BL,0)</f>
        <v>20</v>
      </c>
      <c r="CL14" s="178">
        <v>0</v>
      </c>
      <c r="CM14" s="178">
        <v>0</v>
      </c>
      <c r="CN14" s="167">
        <f t="shared" si="34"/>
        <v>-10.9333333333333</v>
      </c>
      <c r="CO14" s="182">
        <v>0</v>
      </c>
      <c r="CP14" s="183">
        <f>_xlfn.XLOOKUP(BS14,ITEM!B:B,ITEM!BH:BH,0)</f>
        <v>0</v>
      </c>
      <c r="CQ14" s="177">
        <f>_xlfn.XLOOKUP(BS14,ITEM!B:B,ITEM!BI:BI,0)</f>
        <v>0</v>
      </c>
      <c r="CR14" s="177" t="e">
        <f t="shared" si="35"/>
        <v>#DIV/0!</v>
      </c>
      <c r="CS14" s="178">
        <v>0</v>
      </c>
      <c r="CT14" s="178">
        <f t="shared" si="36"/>
        <v>0</v>
      </c>
      <c r="CU14" s="179">
        <f t="shared" si="37"/>
        <v>0</v>
      </c>
      <c r="CV14" s="178">
        <f>_xlfn.XLOOKUP(BS14,ITEM!B:B,ITEM!BM:BM,0)</f>
        <v>25</v>
      </c>
      <c r="CW14" s="178">
        <v>0</v>
      </c>
      <c r="CX14" s="178">
        <v>0</v>
      </c>
      <c r="CY14" s="167">
        <f t="shared" si="38"/>
        <v>-25</v>
      </c>
      <c r="CZ14" s="184">
        <v>0</v>
      </c>
      <c r="DA14" s="185" t="str">
        <f t="shared" si="39"/>
        <v>MOTUL Transmission Oil Multi CVTF 1L</v>
      </c>
    </row>
    <row r="15" customHeight="1" spans="1:105">
      <c r="A15" s="145">
        <v>4</v>
      </c>
      <c r="B15" s="146">
        <v>101840</v>
      </c>
      <c r="C15" s="147" t="s">
        <v>118</v>
      </c>
      <c r="D15" s="148" t="s">
        <v>79</v>
      </c>
      <c r="E15" s="149" t="s">
        <v>81</v>
      </c>
      <c r="F15" s="149" t="s">
        <v>121</v>
      </c>
      <c r="G15" s="146" t="s">
        <v>82</v>
      </c>
      <c r="H15" s="146" t="s">
        <v>83</v>
      </c>
      <c r="I15" s="146">
        <v>12</v>
      </c>
      <c r="J15" s="150" t="str">
        <f t="shared" si="0"/>
        <v>MOTUL Transmission Oil ATF VI 1L</v>
      </c>
      <c r="K15" s="149" t="s">
        <v>122</v>
      </c>
      <c r="L15" s="152">
        <v>1</v>
      </c>
      <c r="M15" s="152" t="s">
        <v>85</v>
      </c>
      <c r="N15" s="153">
        <v>142252</v>
      </c>
      <c r="O15" s="154">
        <v>0.4</v>
      </c>
      <c r="P15" s="154">
        <v>0.2</v>
      </c>
      <c r="Q15" s="154">
        <f t="shared" si="1"/>
        <v>0.6</v>
      </c>
      <c r="R15" s="155">
        <f t="shared" si="40"/>
        <v>227603.2</v>
      </c>
      <c r="S15" s="156">
        <v>0</v>
      </c>
      <c r="T15" s="156">
        <v>0</v>
      </c>
      <c r="U15" s="156">
        <v>0</v>
      </c>
      <c r="V15" s="156">
        <f t="shared" si="2"/>
        <v>227603.2</v>
      </c>
      <c r="W15" s="155">
        <f t="shared" si="3"/>
        <v>227603.2</v>
      </c>
      <c r="X15" s="157">
        <f t="shared" si="4"/>
        <v>229025.72</v>
      </c>
      <c r="Y15" s="156">
        <f t="shared" si="5"/>
        <v>229000</v>
      </c>
      <c r="Z15" s="156">
        <v>0</v>
      </c>
      <c r="AA15" s="155">
        <f t="shared" si="6"/>
        <v>229000</v>
      </c>
      <c r="AB15" s="156">
        <f t="shared" si="7"/>
        <v>86748</v>
      </c>
      <c r="AC15" s="154">
        <f t="shared" si="8"/>
        <v>0.378812227074236</v>
      </c>
      <c r="AD15" s="158">
        <v>30</v>
      </c>
      <c r="AE15" s="159">
        <f t="shared" si="9"/>
        <v>1</v>
      </c>
      <c r="AF15" s="158">
        <v>10</v>
      </c>
      <c r="AG15" s="159">
        <f t="shared" si="10"/>
        <v>0.333333333333333</v>
      </c>
      <c r="AH15" s="160">
        <v>0.7</v>
      </c>
      <c r="AI15" s="159">
        <f t="shared" si="11"/>
        <v>0.933333333333333</v>
      </c>
      <c r="AJ15" s="160">
        <f t="shared" si="12"/>
        <v>28</v>
      </c>
      <c r="AK15" s="161" t="s">
        <v>86</v>
      </c>
      <c r="AL15" s="162" t="str">
        <f t="shared" si="13"/>
        <v>MOTUL Transmission Oil ATF VI 1L</v>
      </c>
      <c r="AM15" s="163">
        <f>_xlfn.XLOOKUP(AL15,ITEM!B:B,ITEM!AY:AY,0)</f>
        <v>74</v>
      </c>
      <c r="AN15" s="164">
        <f>_xlfn.XLOOKUP(AL15,ITEM!B:B,ITEM!AZ:AZ,0)</f>
        <v>4.83333333333333</v>
      </c>
      <c r="AO15" s="164">
        <f>_xlfn.XLOOKUP(AL15,ITEM!B:B,ITEM!BA:BA,0)</f>
        <v>6.72727272727273</v>
      </c>
      <c r="AP15" s="164">
        <f t="shared" si="14"/>
        <v>0.718468468468468</v>
      </c>
      <c r="AQ15" s="165">
        <v>0</v>
      </c>
      <c r="AR15" s="165">
        <v>0</v>
      </c>
      <c r="AS15" s="165">
        <v>0</v>
      </c>
      <c r="AT15" s="165">
        <f t="shared" si="41"/>
        <v>4.51111111111111</v>
      </c>
      <c r="AU15" s="166">
        <f t="shared" si="42"/>
        <v>10.9555555555556</v>
      </c>
      <c r="AV15" s="165">
        <f>_xlfn.XLOOKUP(AL15,ITEM!B:B,ITEM!BN:BN,0)</f>
        <v>57</v>
      </c>
      <c r="AW15" s="165">
        <v>0</v>
      </c>
      <c r="AX15" s="165">
        <v>0</v>
      </c>
      <c r="AY15" s="167">
        <f t="shared" si="43"/>
        <v>-46.0444444444445</v>
      </c>
      <c r="AZ15" s="168">
        <v>0</v>
      </c>
      <c r="BA15" s="169">
        <f t="shared" si="15"/>
        <v>0</v>
      </c>
      <c r="BB15" s="170" t="str">
        <f t="shared" si="16"/>
        <v>12*1L</v>
      </c>
      <c r="BC15" s="170">
        <v>12</v>
      </c>
      <c r="BD15" s="171" t="s">
        <v>86</v>
      </c>
      <c r="BE15" s="171" t="s">
        <v>86</v>
      </c>
      <c r="BF15" s="158" t="s">
        <v>94</v>
      </c>
      <c r="BG15" s="172" t="s">
        <v>86</v>
      </c>
      <c r="BH15" s="162" t="str">
        <f t="shared" si="17"/>
        <v>MOTUL Transmission Oil ATF VI 1L</v>
      </c>
      <c r="BI15" s="173">
        <f t="shared" si="18"/>
        <v>74</v>
      </c>
      <c r="BJ15" s="174">
        <f t="shared" si="19"/>
        <v>20</v>
      </c>
      <c r="BK15" s="174">
        <f t="shared" si="20"/>
        <v>36</v>
      </c>
      <c r="BL15" s="174">
        <f t="shared" si="21"/>
        <v>1</v>
      </c>
      <c r="BM15" s="161">
        <f t="shared" si="22"/>
        <v>57</v>
      </c>
      <c r="BN15" s="175">
        <f t="shared" si="23"/>
        <v>-18.1111111111111</v>
      </c>
      <c r="BO15" s="175">
        <f t="shared" si="24"/>
        <v>-26.9333333333333</v>
      </c>
      <c r="BP15" s="173">
        <f t="shared" si="25"/>
        <v>-46.0444444444445</v>
      </c>
      <c r="BQ15" s="161" t="s">
        <v>86</v>
      </c>
      <c r="BR15" s="161"/>
      <c r="BS15" s="162" t="str">
        <f t="shared" si="26"/>
        <v>MOTUL Transmission Oil ATF VI 1L</v>
      </c>
      <c r="BT15" s="176">
        <f>_xlfn.XLOOKUP(BS15,ITEM!B:B,ITEM!BB:BB,0)</f>
        <v>0.833333333333333</v>
      </c>
      <c r="BU15" s="177">
        <f>_xlfn.XLOOKUP(BS15,ITEM!B:B,ITEM!BC:BC,0)</f>
        <v>4.54545454545455</v>
      </c>
      <c r="BV15" s="177">
        <f t="shared" si="27"/>
        <v>0.183333333333333</v>
      </c>
      <c r="BW15" s="170">
        <v>0</v>
      </c>
      <c r="BX15" s="178">
        <f t="shared" si="28"/>
        <v>0.777777777777778</v>
      </c>
      <c r="BY15" s="179">
        <f t="shared" si="29"/>
        <v>1.88888888888889</v>
      </c>
      <c r="BZ15" s="177">
        <f>_xlfn.XLOOKUP(BS15,ITEM!B:B,ITEM!BK:BK,0)</f>
        <v>20</v>
      </c>
      <c r="CA15" s="178">
        <v>0</v>
      </c>
      <c r="CB15" s="178">
        <v>0</v>
      </c>
      <c r="CC15" s="167">
        <f t="shared" si="30"/>
        <v>-18.1111111111111</v>
      </c>
      <c r="CD15" s="180">
        <v>0</v>
      </c>
      <c r="CE15" s="181">
        <f>_xlfn.XLOOKUP(BS15,ITEM!B:B,ITEM!BE:BE,0)</f>
        <v>4</v>
      </c>
      <c r="CF15" s="177">
        <f>_xlfn.XLOOKUP(BS15,ITEM!B:B,ITEM!BF:BF,0)</f>
        <v>4</v>
      </c>
      <c r="CG15" s="177">
        <f t="shared" si="31"/>
        <v>1</v>
      </c>
      <c r="CH15" s="178">
        <v>0</v>
      </c>
      <c r="CI15" s="178">
        <f t="shared" si="32"/>
        <v>3.73333333333333</v>
      </c>
      <c r="CJ15" s="179">
        <f t="shared" si="33"/>
        <v>9.06666666666666</v>
      </c>
      <c r="CK15" s="177">
        <f>_xlfn.XLOOKUP(BS15,ITEM!B:B,ITEM!BL:BL,0)</f>
        <v>36</v>
      </c>
      <c r="CL15" s="178">
        <v>0</v>
      </c>
      <c r="CM15" s="178">
        <v>0</v>
      </c>
      <c r="CN15" s="167">
        <f t="shared" si="34"/>
        <v>-26.9333333333333</v>
      </c>
      <c r="CO15" s="182">
        <v>0</v>
      </c>
      <c r="CP15" s="183">
        <f>_xlfn.XLOOKUP(BS15,ITEM!B:B,ITEM!BH:BH,0)</f>
        <v>0</v>
      </c>
      <c r="CQ15" s="177">
        <f>_xlfn.XLOOKUP(BS15,ITEM!B:B,ITEM!BI:BI,0)</f>
        <v>0</v>
      </c>
      <c r="CR15" s="177" t="e">
        <f t="shared" si="35"/>
        <v>#DIV/0!</v>
      </c>
      <c r="CS15" s="178">
        <v>0</v>
      </c>
      <c r="CT15" s="178">
        <f t="shared" si="36"/>
        <v>0</v>
      </c>
      <c r="CU15" s="179">
        <f t="shared" si="37"/>
        <v>0</v>
      </c>
      <c r="CV15" s="178">
        <f>_xlfn.XLOOKUP(BS15,ITEM!B:B,ITEM!BM:BM,0)</f>
        <v>1</v>
      </c>
      <c r="CW15" s="178">
        <v>0</v>
      </c>
      <c r="CX15" s="178">
        <v>0</v>
      </c>
      <c r="CY15" s="167">
        <f t="shared" si="38"/>
        <v>-1</v>
      </c>
      <c r="CZ15" s="184">
        <v>0</v>
      </c>
      <c r="DA15" s="185" t="str">
        <f t="shared" si="39"/>
        <v>MOTUL Transmission Oil ATF VI 1L</v>
      </c>
    </row>
    <row r="16" customHeight="1" spans="1:105">
      <c r="A16" s="145">
        <v>6</v>
      </c>
      <c r="B16" s="146">
        <v>101855</v>
      </c>
      <c r="C16" s="147" t="s">
        <v>118</v>
      </c>
      <c r="D16" s="148" t="s">
        <v>79</v>
      </c>
      <c r="E16" s="149" t="s">
        <v>119</v>
      </c>
      <c r="F16" s="149" t="s">
        <v>81</v>
      </c>
      <c r="G16" s="146" t="s">
        <v>82</v>
      </c>
      <c r="H16" s="146" t="s">
        <v>83</v>
      </c>
      <c r="I16" s="146">
        <v>12</v>
      </c>
      <c r="J16" s="150" t="str">
        <f t="shared" si="0"/>
        <v>MOTUL Transmission Oil Multi ATF 1L</v>
      </c>
      <c r="K16" s="149" t="s">
        <v>123</v>
      </c>
      <c r="L16" s="152">
        <v>1</v>
      </c>
      <c r="M16" s="152" t="s">
        <v>85</v>
      </c>
      <c r="N16" s="153">
        <v>181837</v>
      </c>
      <c r="O16" s="154">
        <v>0.4</v>
      </c>
      <c r="P16" s="154">
        <v>0.2</v>
      </c>
      <c r="Q16" s="154">
        <f t="shared" si="1"/>
        <v>0.6</v>
      </c>
      <c r="R16" s="155">
        <f t="shared" si="40"/>
        <v>290939.2</v>
      </c>
      <c r="S16" s="156">
        <v>0</v>
      </c>
      <c r="T16" s="156">
        <v>0</v>
      </c>
      <c r="U16" s="156">
        <v>0</v>
      </c>
      <c r="V16" s="156">
        <f t="shared" si="2"/>
        <v>290939.2</v>
      </c>
      <c r="W16" s="155">
        <f t="shared" si="3"/>
        <v>290939.2</v>
      </c>
      <c r="X16" s="157">
        <f t="shared" si="4"/>
        <v>285484.09</v>
      </c>
      <c r="Y16" s="156">
        <f t="shared" si="5"/>
        <v>290000</v>
      </c>
      <c r="Z16" s="156">
        <v>0</v>
      </c>
      <c r="AA16" s="155">
        <f t="shared" si="6"/>
        <v>290000</v>
      </c>
      <c r="AB16" s="156">
        <f t="shared" si="7"/>
        <v>108163</v>
      </c>
      <c r="AC16" s="154">
        <f t="shared" si="8"/>
        <v>0.372975862068965</v>
      </c>
      <c r="AD16" s="158">
        <v>30</v>
      </c>
      <c r="AE16" s="159">
        <f t="shared" si="9"/>
        <v>1</v>
      </c>
      <c r="AF16" s="158">
        <v>10</v>
      </c>
      <c r="AG16" s="159">
        <f t="shared" si="10"/>
        <v>0.333333333333333</v>
      </c>
      <c r="AH16" s="160">
        <v>0.7</v>
      </c>
      <c r="AI16" s="159">
        <f t="shared" si="11"/>
        <v>0.933333333333333</v>
      </c>
      <c r="AJ16" s="160">
        <f t="shared" si="12"/>
        <v>28</v>
      </c>
      <c r="AK16" s="161" t="s">
        <v>86</v>
      </c>
      <c r="AL16" s="162" t="str">
        <f t="shared" si="13"/>
        <v>MOTUL Transmission Oil Multi ATF 1L</v>
      </c>
      <c r="AM16" s="163">
        <f>_xlfn.XLOOKUP(AL16,ITEM!B:B,ITEM!AY:AY,0)</f>
        <v>55</v>
      </c>
      <c r="AN16" s="164">
        <f>_xlfn.XLOOKUP(AL16,ITEM!B:B,ITEM!AZ:AZ,0)</f>
        <v>1.33333333333333</v>
      </c>
      <c r="AO16" s="164">
        <f>_xlfn.XLOOKUP(AL16,ITEM!B:B,ITEM!BA:BA,0)</f>
        <v>4.72727272727273</v>
      </c>
      <c r="AP16" s="164">
        <f t="shared" si="14"/>
        <v>0.282051282051282</v>
      </c>
      <c r="AQ16" s="165">
        <v>0</v>
      </c>
      <c r="AR16" s="165">
        <v>0</v>
      </c>
      <c r="AS16" s="165">
        <v>0</v>
      </c>
      <c r="AT16" s="165">
        <f t="shared" si="41"/>
        <v>1.24444444444444</v>
      </c>
      <c r="AU16" s="166">
        <f t="shared" si="42"/>
        <v>3.02222222222222</v>
      </c>
      <c r="AV16" s="165">
        <f>_xlfn.XLOOKUP(AL16,ITEM!B:B,ITEM!BN:BN,0)</f>
        <v>51</v>
      </c>
      <c r="AW16" s="165">
        <v>0</v>
      </c>
      <c r="AX16" s="165">
        <v>0</v>
      </c>
      <c r="AY16" s="167">
        <f t="shared" si="43"/>
        <v>-47.9777777777778</v>
      </c>
      <c r="AZ16" s="168">
        <v>0</v>
      </c>
      <c r="BA16" s="169">
        <f t="shared" si="15"/>
        <v>0</v>
      </c>
      <c r="BB16" s="170" t="str">
        <f t="shared" si="16"/>
        <v>12*1L</v>
      </c>
      <c r="BC16" s="170">
        <v>12</v>
      </c>
      <c r="BD16" s="171" t="s">
        <v>86</v>
      </c>
      <c r="BE16" s="171" t="s">
        <v>86</v>
      </c>
      <c r="BF16" s="158" t="s">
        <v>94</v>
      </c>
      <c r="BG16" s="172" t="s">
        <v>86</v>
      </c>
      <c r="BH16" s="162" t="str">
        <f t="shared" si="17"/>
        <v>MOTUL Transmission Oil Multi ATF 1L</v>
      </c>
      <c r="BI16" s="173">
        <f t="shared" si="18"/>
        <v>55</v>
      </c>
      <c r="BJ16" s="174">
        <f t="shared" si="19"/>
        <v>51</v>
      </c>
      <c r="BK16" s="174">
        <f t="shared" si="20"/>
        <v>0</v>
      </c>
      <c r="BL16" s="174">
        <f t="shared" si="21"/>
        <v>0</v>
      </c>
      <c r="BM16" s="161">
        <f t="shared" si="22"/>
        <v>51</v>
      </c>
      <c r="BN16" s="175">
        <f t="shared" si="23"/>
        <v>-47.9777777777778</v>
      </c>
      <c r="BO16" s="175">
        <f t="shared" si="24"/>
        <v>0</v>
      </c>
      <c r="BP16" s="173">
        <f t="shared" si="25"/>
        <v>-47.9777777777778</v>
      </c>
      <c r="BQ16" s="161" t="s">
        <v>86</v>
      </c>
      <c r="BR16" s="161"/>
      <c r="BS16" s="162" t="str">
        <f t="shared" si="26"/>
        <v>MOTUL Transmission Oil Multi ATF 1L</v>
      </c>
      <c r="BT16" s="176">
        <f>_xlfn.XLOOKUP(BS16,ITEM!B:B,ITEM!BB:BB,0)</f>
        <v>1.33333333333333</v>
      </c>
      <c r="BU16" s="177">
        <f>_xlfn.XLOOKUP(BS16,ITEM!B:B,ITEM!BC:BC,0)</f>
        <v>4.72727272727273</v>
      </c>
      <c r="BV16" s="177">
        <f t="shared" si="27"/>
        <v>0.282051282051282</v>
      </c>
      <c r="BW16" s="170">
        <v>0</v>
      </c>
      <c r="BX16" s="178">
        <f t="shared" si="28"/>
        <v>1.24444444444444</v>
      </c>
      <c r="BY16" s="179">
        <f t="shared" si="29"/>
        <v>3.02222222222222</v>
      </c>
      <c r="BZ16" s="177">
        <f>_xlfn.XLOOKUP(BS16,ITEM!B:B,ITEM!BK:BK,0)</f>
        <v>51</v>
      </c>
      <c r="CA16" s="178">
        <v>0</v>
      </c>
      <c r="CB16" s="178">
        <v>0</v>
      </c>
      <c r="CC16" s="167">
        <f t="shared" si="30"/>
        <v>-47.9777777777778</v>
      </c>
      <c r="CD16" s="180">
        <v>0</v>
      </c>
      <c r="CE16" s="181">
        <f>_xlfn.XLOOKUP(BS16,ITEM!B:B,ITEM!BE:BE,0)</f>
        <v>0</v>
      </c>
      <c r="CF16" s="177">
        <f>_xlfn.XLOOKUP(BS16,ITEM!B:B,ITEM!BF:BF,0)</f>
        <v>0</v>
      </c>
      <c r="CG16" s="177" t="e">
        <f t="shared" si="31"/>
        <v>#DIV/0!</v>
      </c>
      <c r="CH16" s="178">
        <v>0</v>
      </c>
      <c r="CI16" s="178">
        <f t="shared" si="32"/>
        <v>0</v>
      </c>
      <c r="CJ16" s="179">
        <f t="shared" si="33"/>
        <v>0</v>
      </c>
      <c r="CK16" s="177">
        <f>_xlfn.XLOOKUP(BS16,ITEM!B:B,ITEM!BL:BL,0)</f>
        <v>0</v>
      </c>
      <c r="CL16" s="178">
        <v>0</v>
      </c>
      <c r="CM16" s="178">
        <v>0</v>
      </c>
      <c r="CN16" s="167">
        <f t="shared" si="34"/>
        <v>0</v>
      </c>
      <c r="CO16" s="182">
        <v>0</v>
      </c>
      <c r="CP16" s="183">
        <f>_xlfn.XLOOKUP(BS16,ITEM!B:B,ITEM!BH:BH,0)</f>
        <v>0</v>
      </c>
      <c r="CQ16" s="177">
        <f>_xlfn.XLOOKUP(BS16,ITEM!B:B,ITEM!BI:BI,0)</f>
        <v>0</v>
      </c>
      <c r="CR16" s="177" t="e">
        <f t="shared" si="35"/>
        <v>#DIV/0!</v>
      </c>
      <c r="CS16" s="178">
        <v>0</v>
      </c>
      <c r="CT16" s="178">
        <f t="shared" si="36"/>
        <v>0</v>
      </c>
      <c r="CU16" s="179">
        <f t="shared" si="37"/>
        <v>0</v>
      </c>
      <c r="CV16" s="178">
        <f>_xlfn.XLOOKUP(BS16,ITEM!B:B,ITEM!BM:BM,0)</f>
        <v>0</v>
      </c>
      <c r="CW16" s="178">
        <v>0</v>
      </c>
      <c r="CX16" s="178">
        <v>0</v>
      </c>
      <c r="CY16" s="167">
        <f t="shared" si="38"/>
        <v>0</v>
      </c>
      <c r="CZ16" s="184">
        <v>0</v>
      </c>
      <c r="DA16" s="185" t="str">
        <f t="shared" si="39"/>
        <v>MOTUL Transmission Oil Multi ATF 1L</v>
      </c>
    </row>
    <row r="17" customHeight="1" spans="1:105">
      <c r="A17" s="145">
        <v>7</v>
      </c>
      <c r="B17" s="146">
        <v>101813</v>
      </c>
      <c r="C17" s="147" t="s">
        <v>118</v>
      </c>
      <c r="D17" s="149" t="s">
        <v>99</v>
      </c>
      <c r="E17" s="149" t="s">
        <v>124</v>
      </c>
      <c r="F17" s="148" t="s">
        <v>101</v>
      </c>
      <c r="G17" s="146" t="s">
        <v>82</v>
      </c>
      <c r="H17" s="186" t="s">
        <v>83</v>
      </c>
      <c r="I17" s="146">
        <v>12</v>
      </c>
      <c r="J17" s="187" t="str">
        <f t="shared" si="0"/>
        <v>MOTUL Gear Oil HDX 80W-90 1L</v>
      </c>
      <c r="K17" s="149" t="s">
        <v>125</v>
      </c>
      <c r="L17" s="152">
        <v>1</v>
      </c>
      <c r="M17" s="152" t="s">
        <v>85</v>
      </c>
      <c r="N17" s="153">
        <v>118889</v>
      </c>
      <c r="O17" s="154">
        <v>0.4</v>
      </c>
      <c r="P17" s="154">
        <v>0.2</v>
      </c>
      <c r="Q17" s="154">
        <f t="shared" si="1"/>
        <v>0.6</v>
      </c>
      <c r="R17" s="155">
        <f t="shared" si="40"/>
        <v>190222.4</v>
      </c>
      <c r="S17" s="156">
        <v>0</v>
      </c>
      <c r="T17" s="156">
        <v>0</v>
      </c>
      <c r="U17" s="156">
        <v>0</v>
      </c>
      <c r="V17" s="156">
        <f t="shared" si="2"/>
        <v>190222.4</v>
      </c>
      <c r="W17" s="155">
        <f t="shared" si="3"/>
        <v>190222.4</v>
      </c>
      <c r="X17" s="157">
        <f t="shared" si="4"/>
        <v>194977.96</v>
      </c>
      <c r="Y17" s="156">
        <f t="shared" si="5"/>
        <v>192000</v>
      </c>
      <c r="Z17" s="156">
        <v>0</v>
      </c>
      <c r="AA17" s="155">
        <f t="shared" si="6"/>
        <v>192000</v>
      </c>
      <c r="AB17" s="156">
        <f t="shared" si="7"/>
        <v>73111</v>
      </c>
      <c r="AC17" s="154">
        <f t="shared" si="8"/>
        <v>0.380786458333333</v>
      </c>
      <c r="AD17" s="158">
        <v>30</v>
      </c>
      <c r="AE17" s="159">
        <f t="shared" si="9"/>
        <v>1</v>
      </c>
      <c r="AF17" s="158">
        <v>10</v>
      </c>
      <c r="AG17" s="159">
        <f t="shared" si="10"/>
        <v>0.333333333333333</v>
      </c>
      <c r="AH17" s="160">
        <v>0.7</v>
      </c>
      <c r="AI17" s="159">
        <f t="shared" si="11"/>
        <v>0.933333333333333</v>
      </c>
      <c r="AJ17" s="160">
        <f t="shared" si="12"/>
        <v>28</v>
      </c>
      <c r="AK17" s="161" t="s">
        <v>86</v>
      </c>
      <c r="AL17" s="162" t="str">
        <f t="shared" si="13"/>
        <v>MOTUL Gear Oil HDX 80W-90 1L</v>
      </c>
      <c r="AM17" s="163">
        <f>_xlfn.XLOOKUP(AL17,ITEM!B:B,ITEM!AY:AY,0)</f>
        <v>12</v>
      </c>
      <c r="AN17" s="164">
        <f>_xlfn.XLOOKUP(AL17,ITEM!B:B,ITEM!AZ:AZ,0)</f>
        <v>0</v>
      </c>
      <c r="AO17" s="164">
        <f>_xlfn.XLOOKUP(AL17,ITEM!B:B,ITEM!BA:BA,0)</f>
        <v>1.09090909090909</v>
      </c>
      <c r="AP17" s="164">
        <f t="shared" si="14"/>
        <v>0</v>
      </c>
      <c r="AQ17" s="165">
        <v>0</v>
      </c>
      <c r="AR17" s="165">
        <v>0</v>
      </c>
      <c r="AS17" s="165">
        <v>0</v>
      </c>
      <c r="AT17" s="165">
        <f t="shared" si="41"/>
        <v>0</v>
      </c>
      <c r="AU17" s="166">
        <f t="shared" si="42"/>
        <v>0</v>
      </c>
      <c r="AV17" s="165">
        <f>_xlfn.XLOOKUP(AL17,ITEM!B:B,ITEM!BN:BN,0)</f>
        <v>12</v>
      </c>
      <c r="AW17" s="165">
        <v>0</v>
      </c>
      <c r="AX17" s="165">
        <v>0</v>
      </c>
      <c r="AY17" s="167">
        <f t="shared" si="43"/>
        <v>-12</v>
      </c>
      <c r="AZ17" s="168">
        <v>0</v>
      </c>
      <c r="BA17" s="169">
        <f t="shared" si="15"/>
        <v>0</v>
      </c>
      <c r="BB17" s="170" t="str">
        <f t="shared" si="16"/>
        <v>12*1L</v>
      </c>
      <c r="BC17" s="170">
        <v>12</v>
      </c>
      <c r="BD17" s="171" t="s">
        <v>86</v>
      </c>
      <c r="BE17" s="171" t="s">
        <v>86</v>
      </c>
      <c r="BF17" s="158" t="s">
        <v>94</v>
      </c>
      <c r="BG17" s="172" t="s">
        <v>86</v>
      </c>
      <c r="BH17" s="162" t="str">
        <f t="shared" si="17"/>
        <v>MOTUL Gear Oil HDX 80W-90 1L</v>
      </c>
      <c r="BI17" s="173">
        <f t="shared" si="18"/>
        <v>12</v>
      </c>
      <c r="BJ17" s="174">
        <f t="shared" si="19"/>
        <v>0</v>
      </c>
      <c r="BK17" s="174">
        <f t="shared" si="20"/>
        <v>0</v>
      </c>
      <c r="BL17" s="174">
        <f t="shared" si="21"/>
        <v>12</v>
      </c>
      <c r="BM17" s="161">
        <f t="shared" si="22"/>
        <v>12</v>
      </c>
      <c r="BN17" s="175">
        <f t="shared" si="23"/>
        <v>0</v>
      </c>
      <c r="BO17" s="175">
        <f t="shared" si="24"/>
        <v>0</v>
      </c>
      <c r="BP17" s="173">
        <f t="shared" si="25"/>
        <v>-12</v>
      </c>
      <c r="BQ17" s="161" t="s">
        <v>86</v>
      </c>
      <c r="BR17" s="161"/>
      <c r="BS17" s="162" t="str">
        <f t="shared" si="26"/>
        <v>MOTUL Gear Oil HDX 80W-90 1L</v>
      </c>
      <c r="BT17" s="176">
        <f>_xlfn.XLOOKUP(BS17,ITEM!B:B,ITEM!BB:BB,0)</f>
        <v>0</v>
      </c>
      <c r="BU17" s="177">
        <f>_xlfn.XLOOKUP(BS17,ITEM!B:B,ITEM!BC:BC,0)</f>
        <v>1.09090909090909</v>
      </c>
      <c r="BV17" s="177">
        <f t="shared" si="27"/>
        <v>0</v>
      </c>
      <c r="BW17" s="170">
        <v>0</v>
      </c>
      <c r="BX17" s="178">
        <f t="shared" si="28"/>
        <v>0</v>
      </c>
      <c r="BY17" s="179">
        <f t="shared" si="29"/>
        <v>0</v>
      </c>
      <c r="BZ17" s="177">
        <f>_xlfn.XLOOKUP(BS17,ITEM!B:B,ITEM!BK:BK,0)</f>
        <v>0</v>
      </c>
      <c r="CA17" s="178">
        <v>0</v>
      </c>
      <c r="CB17" s="178">
        <v>0</v>
      </c>
      <c r="CC17" s="167">
        <f t="shared" si="30"/>
        <v>0</v>
      </c>
      <c r="CD17" s="180">
        <v>0</v>
      </c>
      <c r="CE17" s="181">
        <f>_xlfn.XLOOKUP(BS17,ITEM!B:B,ITEM!BE:BE,0)</f>
        <v>0</v>
      </c>
      <c r="CF17" s="177">
        <f>_xlfn.XLOOKUP(BS17,ITEM!B:B,ITEM!BF:BF,0)</f>
        <v>0</v>
      </c>
      <c r="CG17" s="177" t="e">
        <f t="shared" si="31"/>
        <v>#DIV/0!</v>
      </c>
      <c r="CH17" s="178">
        <v>0</v>
      </c>
      <c r="CI17" s="178">
        <f t="shared" si="32"/>
        <v>0</v>
      </c>
      <c r="CJ17" s="179">
        <f t="shared" si="33"/>
        <v>0</v>
      </c>
      <c r="CK17" s="177">
        <f>_xlfn.XLOOKUP(BS17,ITEM!B:B,ITEM!BL:BL,0)</f>
        <v>0</v>
      </c>
      <c r="CL17" s="178">
        <v>0</v>
      </c>
      <c r="CM17" s="178">
        <v>0</v>
      </c>
      <c r="CN17" s="167">
        <f t="shared" si="34"/>
        <v>0</v>
      </c>
      <c r="CO17" s="182">
        <v>0</v>
      </c>
      <c r="CP17" s="183">
        <f>_xlfn.XLOOKUP(BS17,ITEM!B:B,ITEM!BH:BH,0)</f>
        <v>0</v>
      </c>
      <c r="CQ17" s="177">
        <f>_xlfn.XLOOKUP(BS17,ITEM!B:B,ITEM!BI:BI,0)</f>
        <v>0</v>
      </c>
      <c r="CR17" s="177" t="e">
        <f t="shared" si="35"/>
        <v>#DIV/0!</v>
      </c>
      <c r="CS17" s="178">
        <v>0</v>
      </c>
      <c r="CT17" s="178">
        <f t="shared" si="36"/>
        <v>0</v>
      </c>
      <c r="CU17" s="179">
        <f t="shared" si="37"/>
        <v>0</v>
      </c>
      <c r="CV17" s="178">
        <f>_xlfn.XLOOKUP(BS17,ITEM!B:B,ITEM!BM:BM,0)</f>
        <v>12</v>
      </c>
      <c r="CW17" s="178">
        <v>0</v>
      </c>
      <c r="CX17" s="178">
        <v>0</v>
      </c>
      <c r="CY17" s="167">
        <f t="shared" si="38"/>
        <v>-12</v>
      </c>
      <c r="CZ17" s="184">
        <v>0</v>
      </c>
      <c r="DA17" s="185" t="str">
        <f t="shared" si="39"/>
        <v>MOTUL Gear Oil HDX 80W-90 1L</v>
      </c>
    </row>
    <row r="18" customHeight="1" spans="1:105">
      <c r="A18" s="145">
        <v>14</v>
      </c>
      <c r="B18" s="146">
        <v>101806</v>
      </c>
      <c r="C18" s="147" t="s">
        <v>118</v>
      </c>
      <c r="D18" s="148" t="s">
        <v>89</v>
      </c>
      <c r="E18" s="149" t="s">
        <v>112</v>
      </c>
      <c r="F18" s="149" t="s">
        <v>86</v>
      </c>
      <c r="G18" s="146" t="s">
        <v>91</v>
      </c>
      <c r="H18" s="146">
        <v>0</v>
      </c>
      <c r="I18" s="146">
        <v>0</v>
      </c>
      <c r="J18" s="150" t="str">
        <f t="shared" si="0"/>
        <v>MOTUL Brake Fluid DOT 4 - 500ml</v>
      </c>
      <c r="K18" s="148" t="s">
        <v>126</v>
      </c>
      <c r="L18" s="152">
        <v>1</v>
      </c>
      <c r="M18" s="152" t="s">
        <v>85</v>
      </c>
      <c r="N18" s="153">
        <v>51729</v>
      </c>
      <c r="O18" s="154">
        <v>0.4</v>
      </c>
      <c r="P18" s="154">
        <v>0.2</v>
      </c>
      <c r="Q18" s="154">
        <f t="shared" si="1"/>
        <v>0.6</v>
      </c>
      <c r="R18" s="155">
        <f t="shared" si="40"/>
        <v>82766.4</v>
      </c>
      <c r="S18" s="156">
        <v>0</v>
      </c>
      <c r="T18" s="156">
        <v>0</v>
      </c>
      <c r="U18" s="156">
        <v>0</v>
      </c>
      <c r="V18" s="156">
        <f t="shared" si="2"/>
        <v>82766.4</v>
      </c>
      <c r="W18" s="155">
        <f t="shared" si="3"/>
        <v>82766.4</v>
      </c>
      <c r="X18" s="157">
        <f t="shared" si="4"/>
        <v>90008.46</v>
      </c>
      <c r="Y18" s="156">
        <f t="shared" si="5"/>
        <v>86000</v>
      </c>
      <c r="Z18" s="156">
        <v>0</v>
      </c>
      <c r="AA18" s="155">
        <f t="shared" si="6"/>
        <v>86000</v>
      </c>
      <c r="AB18" s="156">
        <f t="shared" si="7"/>
        <v>34271</v>
      </c>
      <c r="AC18" s="154">
        <f t="shared" si="8"/>
        <v>0.3985</v>
      </c>
      <c r="AD18" s="158">
        <v>30</v>
      </c>
      <c r="AE18" s="159">
        <f t="shared" si="9"/>
        <v>1</v>
      </c>
      <c r="AF18" s="158">
        <v>10</v>
      </c>
      <c r="AG18" s="159">
        <f t="shared" si="10"/>
        <v>0.333333333333333</v>
      </c>
      <c r="AH18" s="160">
        <v>0.7</v>
      </c>
      <c r="AI18" s="159">
        <f t="shared" si="11"/>
        <v>0.933333333333333</v>
      </c>
      <c r="AJ18" s="160">
        <f t="shared" si="12"/>
        <v>28</v>
      </c>
      <c r="AK18" s="161" t="s">
        <v>86</v>
      </c>
      <c r="AL18" s="162" t="str">
        <f t="shared" si="13"/>
        <v>MOTUL Brake Fluid DOT 4 - 500ml</v>
      </c>
      <c r="AM18" s="163">
        <f>_xlfn.XLOOKUP(AL18,ITEM!B:B,ITEM!AY:AY,0)</f>
        <v>7</v>
      </c>
      <c r="AN18" s="164">
        <f>_xlfn.XLOOKUP(AL18,ITEM!B:B,ITEM!AZ:AZ,0)</f>
        <v>0</v>
      </c>
      <c r="AO18" s="164">
        <f>_xlfn.XLOOKUP(AL18,ITEM!B:B,ITEM!BA:BA,0)</f>
        <v>0.545454545454545</v>
      </c>
      <c r="AP18" s="164">
        <f t="shared" si="14"/>
        <v>0</v>
      </c>
      <c r="AQ18" s="165">
        <v>0</v>
      </c>
      <c r="AR18" s="165">
        <v>0</v>
      </c>
      <c r="AS18" s="165">
        <v>0</v>
      </c>
      <c r="AT18" s="165">
        <f t="shared" si="41"/>
        <v>0</v>
      </c>
      <c r="AU18" s="166">
        <f t="shared" si="42"/>
        <v>0</v>
      </c>
      <c r="AV18" s="165">
        <f>_xlfn.XLOOKUP(AL18,ITEM!B:B,ITEM!BN:BN,0)</f>
        <v>25</v>
      </c>
      <c r="AW18" s="165">
        <v>0</v>
      </c>
      <c r="AX18" s="165">
        <v>0</v>
      </c>
      <c r="AY18" s="167">
        <f t="shared" si="43"/>
        <v>-25</v>
      </c>
      <c r="AZ18" s="168">
        <v>0</v>
      </c>
      <c r="BA18" s="169" t="e">
        <f t="shared" si="15"/>
        <v>#DIV/0!</v>
      </c>
      <c r="BB18" s="170">
        <f t="shared" si="16"/>
        <v>0</v>
      </c>
      <c r="BC18" s="170">
        <v>0</v>
      </c>
      <c r="BD18" s="171" t="s">
        <v>86</v>
      </c>
      <c r="BE18" s="171" t="s">
        <v>86</v>
      </c>
      <c r="BF18" s="158" t="s">
        <v>94</v>
      </c>
      <c r="BG18" s="172" t="s">
        <v>93</v>
      </c>
      <c r="BH18" s="162" t="str">
        <f t="shared" si="17"/>
        <v>MOTUL Brake Fluid DOT 4 - 500ml</v>
      </c>
      <c r="BI18" s="173">
        <f t="shared" si="18"/>
        <v>7</v>
      </c>
      <c r="BJ18" s="174">
        <f t="shared" si="19"/>
        <v>0</v>
      </c>
      <c r="BK18" s="174">
        <f t="shared" si="20"/>
        <v>25</v>
      </c>
      <c r="BL18" s="174">
        <f t="shared" si="21"/>
        <v>0</v>
      </c>
      <c r="BM18" s="161">
        <f t="shared" si="22"/>
        <v>25</v>
      </c>
      <c r="BN18" s="175">
        <f t="shared" si="23"/>
        <v>0</v>
      </c>
      <c r="BO18" s="175">
        <f t="shared" si="24"/>
        <v>-25</v>
      </c>
      <c r="BP18" s="173">
        <f t="shared" si="25"/>
        <v>-25</v>
      </c>
      <c r="BQ18" s="161" t="s">
        <v>86</v>
      </c>
      <c r="BR18" s="161"/>
      <c r="BS18" s="162" t="str">
        <f t="shared" si="26"/>
        <v>MOTUL Brake Fluid DOT 4 - 500ml</v>
      </c>
      <c r="BT18" s="176">
        <f>_xlfn.XLOOKUP(BS18,ITEM!B:B,ITEM!BB:BB,0)</f>
        <v>0</v>
      </c>
      <c r="BU18" s="177">
        <f>_xlfn.XLOOKUP(BS18,ITEM!B:B,ITEM!BC:BC,0)</f>
        <v>0.545454545454545</v>
      </c>
      <c r="BV18" s="177">
        <f t="shared" si="27"/>
        <v>0</v>
      </c>
      <c r="BW18" s="170">
        <v>0</v>
      </c>
      <c r="BX18" s="178">
        <f t="shared" si="28"/>
        <v>0</v>
      </c>
      <c r="BY18" s="179">
        <f t="shared" si="29"/>
        <v>0</v>
      </c>
      <c r="BZ18" s="177">
        <f>_xlfn.XLOOKUP(BS18,ITEM!B:B,ITEM!BK:BK,0)</f>
        <v>0</v>
      </c>
      <c r="CA18" s="178">
        <v>0</v>
      </c>
      <c r="CB18" s="178">
        <v>0</v>
      </c>
      <c r="CC18" s="167">
        <f t="shared" si="30"/>
        <v>0</v>
      </c>
      <c r="CD18" s="180">
        <v>0</v>
      </c>
      <c r="CE18" s="181">
        <f>_xlfn.XLOOKUP(BS18,ITEM!B:B,ITEM!BE:BE,0)</f>
        <v>0</v>
      </c>
      <c r="CF18" s="177">
        <f>_xlfn.XLOOKUP(BS18,ITEM!B:B,ITEM!BF:BF,0)</f>
        <v>0</v>
      </c>
      <c r="CG18" s="177" t="e">
        <f t="shared" si="31"/>
        <v>#DIV/0!</v>
      </c>
      <c r="CH18" s="178">
        <v>0</v>
      </c>
      <c r="CI18" s="178">
        <f t="shared" si="32"/>
        <v>0</v>
      </c>
      <c r="CJ18" s="179">
        <f t="shared" si="33"/>
        <v>0</v>
      </c>
      <c r="CK18" s="177">
        <f>_xlfn.XLOOKUP(BS18,ITEM!B:B,ITEM!BL:BL,0)</f>
        <v>25</v>
      </c>
      <c r="CL18" s="178">
        <v>0</v>
      </c>
      <c r="CM18" s="178">
        <v>0</v>
      </c>
      <c r="CN18" s="167">
        <f t="shared" si="34"/>
        <v>-25</v>
      </c>
      <c r="CO18" s="182">
        <v>0</v>
      </c>
      <c r="CP18" s="183">
        <f>_xlfn.XLOOKUP(BS18,ITEM!B:B,ITEM!BH:BH,0)</f>
        <v>0</v>
      </c>
      <c r="CQ18" s="177">
        <f>_xlfn.XLOOKUP(BS18,ITEM!B:B,ITEM!BI:BI,0)</f>
        <v>0</v>
      </c>
      <c r="CR18" s="177" t="e">
        <f t="shared" si="35"/>
        <v>#DIV/0!</v>
      </c>
      <c r="CS18" s="178">
        <v>0</v>
      </c>
      <c r="CT18" s="178">
        <f t="shared" si="36"/>
        <v>0</v>
      </c>
      <c r="CU18" s="179">
        <f t="shared" si="37"/>
        <v>0</v>
      </c>
      <c r="CV18" s="178">
        <f>_xlfn.XLOOKUP(BS18,ITEM!B:B,ITEM!BM:BM,0)</f>
        <v>0</v>
      </c>
      <c r="CW18" s="178">
        <v>0</v>
      </c>
      <c r="CX18" s="178">
        <v>0</v>
      </c>
      <c r="CY18" s="167">
        <f t="shared" si="38"/>
        <v>0</v>
      </c>
      <c r="CZ18" s="184">
        <v>0</v>
      </c>
      <c r="DA18" s="185" t="str">
        <f t="shared" si="39"/>
        <v>MOTUL Brake Fluid DOT 4 - 500ml</v>
      </c>
    </row>
    <row r="19" customHeight="1" spans="1:105">
      <c r="A19" s="145">
        <v>15</v>
      </c>
      <c r="B19" s="146">
        <v>101823</v>
      </c>
      <c r="C19" s="147" t="s">
        <v>118</v>
      </c>
      <c r="D19" s="148" t="s">
        <v>89</v>
      </c>
      <c r="E19" s="149" t="s">
        <v>127</v>
      </c>
      <c r="F19" s="149" t="s">
        <v>86</v>
      </c>
      <c r="G19" s="146" t="s">
        <v>91</v>
      </c>
      <c r="H19" s="146">
        <v>0</v>
      </c>
      <c r="I19" s="146">
        <v>0</v>
      </c>
      <c r="J19" s="150" t="str">
        <f t="shared" si="0"/>
        <v>MOTUL Brake Fluid DOT 5.1 - 500ml</v>
      </c>
      <c r="K19" s="148" t="s">
        <v>128</v>
      </c>
      <c r="L19" s="152">
        <v>1</v>
      </c>
      <c r="M19" s="152" t="s">
        <v>85</v>
      </c>
      <c r="N19" s="153">
        <v>142252</v>
      </c>
      <c r="O19" s="154">
        <v>0.4</v>
      </c>
      <c r="P19" s="154">
        <v>0.2</v>
      </c>
      <c r="Q19" s="154">
        <f t="shared" si="1"/>
        <v>0.6</v>
      </c>
      <c r="R19" s="155">
        <f t="shared" si="40"/>
        <v>227603.2</v>
      </c>
      <c r="S19" s="156">
        <v>0</v>
      </c>
      <c r="T19" s="156">
        <v>0</v>
      </c>
      <c r="U19" s="156">
        <v>0</v>
      </c>
      <c r="V19" s="156">
        <f t="shared" si="2"/>
        <v>227603.2</v>
      </c>
      <c r="W19" s="155">
        <f t="shared" si="3"/>
        <v>227603.2</v>
      </c>
      <c r="X19" s="157">
        <f t="shared" si="4"/>
        <v>229025.72</v>
      </c>
      <c r="Y19" s="156">
        <f t="shared" si="5"/>
        <v>229000</v>
      </c>
      <c r="Z19" s="156">
        <v>0</v>
      </c>
      <c r="AA19" s="155">
        <f t="shared" si="6"/>
        <v>229000</v>
      </c>
      <c r="AB19" s="156">
        <f t="shared" si="7"/>
        <v>86748</v>
      </c>
      <c r="AC19" s="154">
        <f t="shared" si="8"/>
        <v>0.378812227074236</v>
      </c>
      <c r="AD19" s="158">
        <v>30</v>
      </c>
      <c r="AE19" s="159">
        <f t="shared" si="9"/>
        <v>1</v>
      </c>
      <c r="AF19" s="158">
        <v>10</v>
      </c>
      <c r="AG19" s="159">
        <f t="shared" si="10"/>
        <v>0.333333333333333</v>
      </c>
      <c r="AH19" s="160">
        <v>0.7</v>
      </c>
      <c r="AI19" s="159">
        <f t="shared" si="11"/>
        <v>0.933333333333333</v>
      </c>
      <c r="AJ19" s="160">
        <f t="shared" si="12"/>
        <v>28</v>
      </c>
      <c r="AK19" s="161" t="s">
        <v>86</v>
      </c>
      <c r="AL19" s="162" t="str">
        <f t="shared" si="13"/>
        <v>MOTUL Brake Fluid DOT 5.1 - 500ml</v>
      </c>
      <c r="AM19" s="163">
        <f>_xlfn.XLOOKUP(AL19,ITEM!B:B,ITEM!AY:AY,0)</f>
        <v>2</v>
      </c>
      <c r="AN19" s="164">
        <f>_xlfn.XLOOKUP(AL19,ITEM!B:B,ITEM!AZ:AZ,0)</f>
        <v>0.333333333333333</v>
      </c>
      <c r="AO19" s="164">
        <f>_xlfn.XLOOKUP(AL19,ITEM!B:B,ITEM!BA:BA,0)</f>
        <v>0.181818181818182</v>
      </c>
      <c r="AP19" s="164">
        <f t="shared" si="14"/>
        <v>1.83333333333333</v>
      </c>
      <c r="AQ19" s="165">
        <v>0</v>
      </c>
      <c r="AR19" s="165">
        <v>0</v>
      </c>
      <c r="AS19" s="165">
        <v>0</v>
      </c>
      <c r="AT19" s="165">
        <f t="shared" si="41"/>
        <v>0.311111111111111</v>
      </c>
      <c r="AU19" s="166">
        <f t="shared" si="42"/>
        <v>0.755555555555555</v>
      </c>
      <c r="AV19" s="165">
        <f>_xlfn.XLOOKUP(AL19,ITEM!B:B,ITEM!BN:BN,0)</f>
        <v>9</v>
      </c>
      <c r="AW19" s="165">
        <v>0</v>
      </c>
      <c r="AX19" s="165">
        <v>0</v>
      </c>
      <c r="AY19" s="167">
        <f t="shared" si="43"/>
        <v>-8.24444444444445</v>
      </c>
      <c r="AZ19" s="168">
        <v>0</v>
      </c>
      <c r="BA19" s="169" t="e">
        <f t="shared" si="15"/>
        <v>#DIV/0!</v>
      </c>
      <c r="BB19" s="170">
        <f t="shared" si="16"/>
        <v>0</v>
      </c>
      <c r="BC19" s="170">
        <v>0</v>
      </c>
      <c r="BD19" s="171" t="s">
        <v>86</v>
      </c>
      <c r="BE19" s="171" t="s">
        <v>86</v>
      </c>
      <c r="BF19" s="158" t="s">
        <v>94</v>
      </c>
      <c r="BG19" s="172" t="s">
        <v>87</v>
      </c>
      <c r="BH19" s="162" t="str">
        <f t="shared" si="17"/>
        <v>MOTUL Brake Fluid DOT 5.1 - 500ml</v>
      </c>
      <c r="BI19" s="173">
        <f t="shared" si="18"/>
        <v>2</v>
      </c>
      <c r="BJ19" s="174">
        <f t="shared" si="19"/>
        <v>3</v>
      </c>
      <c r="BK19" s="174">
        <f t="shared" si="20"/>
        <v>5</v>
      </c>
      <c r="BL19" s="174">
        <f t="shared" si="21"/>
        <v>1</v>
      </c>
      <c r="BM19" s="161">
        <f t="shared" si="22"/>
        <v>9</v>
      </c>
      <c r="BN19" s="175">
        <f t="shared" si="23"/>
        <v>-2.24444444444444</v>
      </c>
      <c r="BO19" s="175">
        <f t="shared" si="24"/>
        <v>-5</v>
      </c>
      <c r="BP19" s="173">
        <f t="shared" si="25"/>
        <v>-8.24444444444445</v>
      </c>
      <c r="BQ19" s="161" t="s">
        <v>86</v>
      </c>
      <c r="BR19" s="161"/>
      <c r="BS19" s="162" t="str">
        <f t="shared" si="26"/>
        <v>MOTUL Brake Fluid DOT 5.1 - 500ml</v>
      </c>
      <c r="BT19" s="176">
        <f>_xlfn.XLOOKUP(BS19,ITEM!B:B,ITEM!BB:BB,0)</f>
        <v>0.333333333333333</v>
      </c>
      <c r="BU19" s="177">
        <f>_xlfn.XLOOKUP(BS19,ITEM!B:B,ITEM!BC:BC,0)</f>
        <v>0.181818181818182</v>
      </c>
      <c r="BV19" s="177">
        <f t="shared" si="27"/>
        <v>1.83333333333333</v>
      </c>
      <c r="BW19" s="170">
        <v>0</v>
      </c>
      <c r="BX19" s="178">
        <f t="shared" si="28"/>
        <v>0.311111111111111</v>
      </c>
      <c r="BY19" s="179">
        <f t="shared" si="29"/>
        <v>0.755555555555555</v>
      </c>
      <c r="BZ19" s="177">
        <f>_xlfn.XLOOKUP(BS19,ITEM!B:B,ITEM!BK:BK,0)</f>
        <v>3</v>
      </c>
      <c r="CA19" s="178">
        <v>0</v>
      </c>
      <c r="CB19" s="178">
        <v>0</v>
      </c>
      <c r="CC19" s="167">
        <f t="shared" si="30"/>
        <v>-2.24444444444444</v>
      </c>
      <c r="CD19" s="180">
        <v>0</v>
      </c>
      <c r="CE19" s="181">
        <f>_xlfn.XLOOKUP(BS19,ITEM!B:B,ITEM!BE:BE,0)</f>
        <v>0</v>
      </c>
      <c r="CF19" s="177">
        <f>_xlfn.XLOOKUP(BS19,ITEM!B:B,ITEM!BF:BF,0)</f>
        <v>0</v>
      </c>
      <c r="CG19" s="177" t="e">
        <f t="shared" si="31"/>
        <v>#DIV/0!</v>
      </c>
      <c r="CH19" s="178">
        <v>0</v>
      </c>
      <c r="CI19" s="178">
        <f t="shared" si="32"/>
        <v>0</v>
      </c>
      <c r="CJ19" s="179">
        <f t="shared" si="33"/>
        <v>0</v>
      </c>
      <c r="CK19" s="177">
        <f>_xlfn.XLOOKUP(BS19,ITEM!B:B,ITEM!BL:BL,0)</f>
        <v>5</v>
      </c>
      <c r="CL19" s="178">
        <v>0</v>
      </c>
      <c r="CM19" s="178">
        <v>0</v>
      </c>
      <c r="CN19" s="167">
        <f t="shared" si="34"/>
        <v>-5</v>
      </c>
      <c r="CO19" s="182">
        <v>0</v>
      </c>
      <c r="CP19" s="183">
        <f>_xlfn.XLOOKUP(BS19,ITEM!B:B,ITEM!BH:BH,0)</f>
        <v>0</v>
      </c>
      <c r="CQ19" s="177">
        <f>_xlfn.XLOOKUP(BS19,ITEM!B:B,ITEM!BI:BI,0)</f>
        <v>0</v>
      </c>
      <c r="CR19" s="177" t="e">
        <f t="shared" si="35"/>
        <v>#DIV/0!</v>
      </c>
      <c r="CS19" s="178">
        <v>0</v>
      </c>
      <c r="CT19" s="178">
        <f t="shared" si="36"/>
        <v>0</v>
      </c>
      <c r="CU19" s="179">
        <f t="shared" si="37"/>
        <v>0</v>
      </c>
      <c r="CV19" s="178">
        <f>_xlfn.XLOOKUP(BS19,ITEM!B:B,ITEM!BM:BM,0)</f>
        <v>1</v>
      </c>
      <c r="CW19" s="178">
        <v>0</v>
      </c>
      <c r="CX19" s="178">
        <v>0</v>
      </c>
      <c r="CY19" s="167">
        <f t="shared" si="38"/>
        <v>-1</v>
      </c>
      <c r="CZ19" s="184">
        <v>0</v>
      </c>
      <c r="DA19" s="185" t="str">
        <f t="shared" si="39"/>
        <v>MOTUL Brake Fluid DOT 5.1 - 500ml</v>
      </c>
    </row>
    <row r="20" customHeight="1" spans="1:105">
      <c r="A20" s="145">
        <v>17</v>
      </c>
      <c r="B20" s="146">
        <v>102339</v>
      </c>
      <c r="C20" s="147" t="s">
        <v>106</v>
      </c>
      <c r="D20" s="148" t="s">
        <v>89</v>
      </c>
      <c r="E20" s="149" t="s">
        <v>90</v>
      </c>
      <c r="F20" s="149" t="s">
        <v>86</v>
      </c>
      <c r="G20" s="146" t="s">
        <v>129</v>
      </c>
      <c r="H20" s="146">
        <v>0</v>
      </c>
      <c r="I20" s="146">
        <v>0</v>
      </c>
      <c r="J20" s="150" t="str">
        <f t="shared" si="0"/>
        <v>PRESTONE Brake Fluid DOT 3 - 300ml</v>
      </c>
      <c r="K20" s="148" t="s">
        <v>130</v>
      </c>
      <c r="L20" s="152">
        <v>1</v>
      </c>
      <c r="M20" s="152" t="s">
        <v>85</v>
      </c>
      <c r="N20" s="153">
        <v>181837</v>
      </c>
      <c r="O20" s="154">
        <v>0.4</v>
      </c>
      <c r="P20" s="154">
        <v>0.2</v>
      </c>
      <c r="Q20" s="154">
        <f t="shared" si="1"/>
        <v>0.6</v>
      </c>
      <c r="R20" s="155">
        <f t="shared" si="40"/>
        <v>290939.2</v>
      </c>
      <c r="S20" s="156">
        <v>0</v>
      </c>
      <c r="T20" s="156">
        <v>0</v>
      </c>
      <c r="U20" s="156">
        <v>0</v>
      </c>
      <c r="V20" s="156">
        <f t="shared" si="2"/>
        <v>290939.2</v>
      </c>
      <c r="W20" s="155">
        <f t="shared" si="3"/>
        <v>290939.2</v>
      </c>
      <c r="X20" s="157">
        <f t="shared" si="4"/>
        <v>285484.09</v>
      </c>
      <c r="Y20" s="156">
        <f t="shared" si="5"/>
        <v>290000</v>
      </c>
      <c r="Z20" s="156">
        <v>0</v>
      </c>
      <c r="AA20" s="155">
        <f t="shared" si="6"/>
        <v>290000</v>
      </c>
      <c r="AB20" s="156">
        <f t="shared" si="7"/>
        <v>108163</v>
      </c>
      <c r="AC20" s="154">
        <f t="shared" si="8"/>
        <v>0.372975862068965</v>
      </c>
      <c r="AD20" s="158">
        <v>30</v>
      </c>
      <c r="AE20" s="159">
        <f t="shared" si="9"/>
        <v>1</v>
      </c>
      <c r="AF20" s="158">
        <v>10</v>
      </c>
      <c r="AG20" s="159">
        <f t="shared" si="10"/>
        <v>0.333333333333333</v>
      </c>
      <c r="AH20" s="160">
        <v>0.7</v>
      </c>
      <c r="AI20" s="159">
        <f t="shared" si="11"/>
        <v>0.933333333333333</v>
      </c>
      <c r="AJ20" s="160">
        <f t="shared" si="12"/>
        <v>28</v>
      </c>
      <c r="AK20" s="161" t="s">
        <v>86</v>
      </c>
      <c r="AL20" s="162" t="str">
        <f t="shared" si="13"/>
        <v>PRESTONE Brake Fluid DOT 3 - 300ml</v>
      </c>
      <c r="AM20" s="163">
        <f>_xlfn.XLOOKUP(AL20,ITEM!B:B,ITEM!AY:AY,0)</f>
        <v>0</v>
      </c>
      <c r="AN20" s="164">
        <f>_xlfn.XLOOKUP(AL20,ITEM!B:B,ITEM!AZ:AZ,0)</f>
        <v>0</v>
      </c>
      <c r="AO20" s="164">
        <f>_xlfn.XLOOKUP(AL20,ITEM!B:B,ITEM!BA:BA,0)</f>
        <v>0</v>
      </c>
      <c r="AP20" s="164" t="e">
        <f t="shared" si="14"/>
        <v>#DIV/0!</v>
      </c>
      <c r="AQ20" s="165">
        <v>0</v>
      </c>
      <c r="AR20" s="165">
        <v>0</v>
      </c>
      <c r="AS20" s="165">
        <v>0</v>
      </c>
      <c r="AT20" s="165">
        <f t="shared" si="41"/>
        <v>0</v>
      </c>
      <c r="AU20" s="166">
        <f t="shared" si="42"/>
        <v>0</v>
      </c>
      <c r="AV20" s="165">
        <f>_xlfn.XLOOKUP(AL20,ITEM!B:B,ITEM!BN:BN,0)</f>
        <v>0</v>
      </c>
      <c r="AW20" s="165">
        <v>0</v>
      </c>
      <c r="AX20" s="165">
        <v>0</v>
      </c>
      <c r="AY20" s="167">
        <f t="shared" si="43"/>
        <v>0</v>
      </c>
      <c r="AZ20" s="168">
        <v>0</v>
      </c>
      <c r="BA20" s="169" t="e">
        <f t="shared" si="15"/>
        <v>#DIV/0!</v>
      </c>
      <c r="BB20" s="170">
        <f t="shared" si="16"/>
        <v>0</v>
      </c>
      <c r="BC20" s="170">
        <v>0</v>
      </c>
      <c r="BD20" s="171" t="s">
        <v>86</v>
      </c>
      <c r="BE20" s="171" t="s">
        <v>86</v>
      </c>
      <c r="BF20" s="158" t="s">
        <v>94</v>
      </c>
      <c r="BG20" s="172" t="s">
        <v>94</v>
      </c>
      <c r="BH20" s="162" t="str">
        <f t="shared" si="17"/>
        <v>PRESTONE Brake Fluid DOT 3 - 300ml</v>
      </c>
      <c r="BI20" s="173">
        <f t="shared" si="18"/>
        <v>0</v>
      </c>
      <c r="BJ20" s="174">
        <f t="shared" si="19"/>
        <v>0</v>
      </c>
      <c r="BK20" s="174">
        <f t="shared" si="20"/>
        <v>0</v>
      </c>
      <c r="BL20" s="174">
        <f t="shared" si="21"/>
        <v>0</v>
      </c>
      <c r="BM20" s="161">
        <f t="shared" si="22"/>
        <v>0</v>
      </c>
      <c r="BN20" s="175">
        <f t="shared" si="23"/>
        <v>0</v>
      </c>
      <c r="BO20" s="175">
        <f t="shared" si="24"/>
        <v>0</v>
      </c>
      <c r="BP20" s="173">
        <f t="shared" si="25"/>
        <v>0</v>
      </c>
      <c r="BQ20" s="161" t="s">
        <v>86</v>
      </c>
      <c r="BR20" s="161"/>
      <c r="BS20" s="162" t="str">
        <f t="shared" si="26"/>
        <v>PRESTONE Brake Fluid DOT 3 - 300ml</v>
      </c>
      <c r="BT20" s="176">
        <f>_xlfn.XLOOKUP(BS20,ITEM!B:B,ITEM!BB:BB,0)</f>
        <v>0</v>
      </c>
      <c r="BU20" s="177">
        <f>_xlfn.XLOOKUP(BS20,ITEM!B:B,ITEM!BC:BC,0)</f>
        <v>0</v>
      </c>
      <c r="BV20" s="177" t="e">
        <f t="shared" si="27"/>
        <v>#DIV/0!</v>
      </c>
      <c r="BW20" s="170">
        <v>0</v>
      </c>
      <c r="BX20" s="178">
        <f t="shared" si="28"/>
        <v>0</v>
      </c>
      <c r="BY20" s="179">
        <f t="shared" si="29"/>
        <v>0</v>
      </c>
      <c r="BZ20" s="177">
        <f>_xlfn.XLOOKUP(BS20,ITEM!B:B,ITEM!BK:BK,0)</f>
        <v>0</v>
      </c>
      <c r="CA20" s="178">
        <v>0</v>
      </c>
      <c r="CB20" s="178">
        <v>0</v>
      </c>
      <c r="CC20" s="167">
        <f t="shared" si="30"/>
        <v>0</v>
      </c>
      <c r="CD20" s="180">
        <v>0</v>
      </c>
      <c r="CE20" s="181">
        <f>_xlfn.XLOOKUP(BS20,ITEM!B:B,ITEM!BE:BE,0)</f>
        <v>0</v>
      </c>
      <c r="CF20" s="177">
        <f>_xlfn.XLOOKUP(BS20,ITEM!B:B,ITEM!BF:BF,0)</f>
        <v>0</v>
      </c>
      <c r="CG20" s="177" t="e">
        <f t="shared" si="31"/>
        <v>#DIV/0!</v>
      </c>
      <c r="CH20" s="178">
        <v>0</v>
      </c>
      <c r="CI20" s="178">
        <f t="shared" si="32"/>
        <v>0</v>
      </c>
      <c r="CJ20" s="179">
        <f t="shared" si="33"/>
        <v>0</v>
      </c>
      <c r="CK20" s="177">
        <f>_xlfn.XLOOKUP(BS20,ITEM!B:B,ITEM!BL:BL,0)</f>
        <v>0</v>
      </c>
      <c r="CL20" s="178">
        <v>0</v>
      </c>
      <c r="CM20" s="178">
        <v>0</v>
      </c>
      <c r="CN20" s="167">
        <f t="shared" si="34"/>
        <v>0</v>
      </c>
      <c r="CO20" s="182">
        <v>0</v>
      </c>
      <c r="CP20" s="183">
        <f>_xlfn.XLOOKUP(BS20,ITEM!B:B,ITEM!BH:BH,0)</f>
        <v>0</v>
      </c>
      <c r="CQ20" s="177">
        <f>_xlfn.XLOOKUP(BS20,ITEM!B:B,ITEM!BI:BI,0)</f>
        <v>0</v>
      </c>
      <c r="CR20" s="177" t="e">
        <f t="shared" si="35"/>
        <v>#DIV/0!</v>
      </c>
      <c r="CS20" s="178">
        <v>0</v>
      </c>
      <c r="CT20" s="178">
        <f t="shared" si="36"/>
        <v>0</v>
      </c>
      <c r="CU20" s="179">
        <f t="shared" si="37"/>
        <v>0</v>
      </c>
      <c r="CV20" s="178">
        <f>_xlfn.XLOOKUP(BS20,ITEM!B:B,ITEM!BM:BM,0)</f>
        <v>0</v>
      </c>
      <c r="CW20" s="178">
        <v>0</v>
      </c>
      <c r="CX20" s="178">
        <v>0</v>
      </c>
      <c r="CY20" s="167">
        <f t="shared" si="38"/>
        <v>0</v>
      </c>
      <c r="CZ20" s="184">
        <v>0</v>
      </c>
      <c r="DA20" s="185" t="str">
        <f t="shared" si="39"/>
        <v>PRESTONE Brake Fluid DOT 3 - 300ml</v>
      </c>
    </row>
    <row r="21" customHeight="1" spans="1:105">
      <c r="A21" s="145">
        <v>18</v>
      </c>
      <c r="B21" s="146">
        <v>108297</v>
      </c>
      <c r="C21" s="147" t="s">
        <v>106</v>
      </c>
      <c r="D21" s="148" t="s">
        <v>89</v>
      </c>
      <c r="E21" s="149" t="s">
        <v>112</v>
      </c>
      <c r="F21" s="149" t="s">
        <v>86</v>
      </c>
      <c r="G21" s="146" t="s">
        <v>107</v>
      </c>
      <c r="H21" s="146">
        <v>0</v>
      </c>
      <c r="I21" s="146">
        <v>0</v>
      </c>
      <c r="J21" s="150" t="str">
        <f t="shared" si="0"/>
        <v>PRESTONE Brake Fluid DOT 4 - 1000ml</v>
      </c>
      <c r="K21" s="148" t="s">
        <v>131</v>
      </c>
      <c r="L21" s="152">
        <v>1</v>
      </c>
      <c r="M21" s="152" t="s">
        <v>85</v>
      </c>
      <c r="N21" s="153">
        <v>118889</v>
      </c>
      <c r="O21" s="154">
        <v>0.4</v>
      </c>
      <c r="P21" s="154">
        <v>0.2</v>
      </c>
      <c r="Q21" s="154">
        <f t="shared" si="1"/>
        <v>0.6</v>
      </c>
      <c r="R21" s="155">
        <f t="shared" si="40"/>
        <v>190222.4</v>
      </c>
      <c r="S21" s="156">
        <v>0</v>
      </c>
      <c r="T21" s="156">
        <v>0</v>
      </c>
      <c r="U21" s="156">
        <v>0</v>
      </c>
      <c r="V21" s="156">
        <f t="shared" si="2"/>
        <v>190222.4</v>
      </c>
      <c r="W21" s="155">
        <f t="shared" si="3"/>
        <v>190222.4</v>
      </c>
      <c r="X21" s="157">
        <f t="shared" si="4"/>
        <v>194977.96</v>
      </c>
      <c r="Y21" s="156">
        <f t="shared" si="5"/>
        <v>192000</v>
      </c>
      <c r="Z21" s="156">
        <v>0</v>
      </c>
      <c r="AA21" s="155">
        <f t="shared" si="6"/>
        <v>192000</v>
      </c>
      <c r="AB21" s="156">
        <f t="shared" si="7"/>
        <v>73111</v>
      </c>
      <c r="AC21" s="154">
        <f t="shared" si="8"/>
        <v>0.380786458333333</v>
      </c>
      <c r="AD21" s="158">
        <v>30</v>
      </c>
      <c r="AE21" s="159">
        <f t="shared" si="9"/>
        <v>1</v>
      </c>
      <c r="AF21" s="158">
        <v>10</v>
      </c>
      <c r="AG21" s="159">
        <f t="shared" si="10"/>
        <v>0.333333333333333</v>
      </c>
      <c r="AH21" s="160">
        <v>0.7</v>
      </c>
      <c r="AI21" s="159">
        <f t="shared" si="11"/>
        <v>0.933333333333333</v>
      </c>
      <c r="AJ21" s="160">
        <f t="shared" si="12"/>
        <v>28</v>
      </c>
      <c r="AK21" s="161" t="s">
        <v>86</v>
      </c>
      <c r="AL21" s="162" t="str">
        <f t="shared" si="13"/>
        <v>PRESTONE Brake Fluid DOT 4 - 1000ml</v>
      </c>
      <c r="AM21" s="163">
        <f>_xlfn.XLOOKUP(AL21,ITEM!B:B,ITEM!AY:AY,0)</f>
        <v>0</v>
      </c>
      <c r="AN21" s="164">
        <f>_xlfn.XLOOKUP(AL21,ITEM!B:B,ITEM!AZ:AZ,0)</f>
        <v>0</v>
      </c>
      <c r="AO21" s="164">
        <f>_xlfn.XLOOKUP(AL21,ITEM!B:B,ITEM!BA:BA,0)</f>
        <v>0</v>
      </c>
      <c r="AP21" s="164" t="e">
        <f t="shared" si="14"/>
        <v>#DIV/0!</v>
      </c>
      <c r="AQ21" s="165">
        <v>0</v>
      </c>
      <c r="AR21" s="165">
        <v>0</v>
      </c>
      <c r="AS21" s="165">
        <v>0</v>
      </c>
      <c r="AT21" s="165">
        <f t="shared" si="41"/>
        <v>0</v>
      </c>
      <c r="AU21" s="166">
        <f t="shared" si="42"/>
        <v>0</v>
      </c>
      <c r="AV21" s="165">
        <f>_xlfn.XLOOKUP(AL21,ITEM!B:B,ITEM!BN:BN,0)</f>
        <v>0</v>
      </c>
      <c r="AW21" s="165">
        <v>0</v>
      </c>
      <c r="AX21" s="165">
        <v>0</v>
      </c>
      <c r="AY21" s="167">
        <f t="shared" si="43"/>
        <v>0</v>
      </c>
      <c r="AZ21" s="168">
        <v>0</v>
      </c>
      <c r="BA21" s="169" t="e">
        <f t="shared" si="15"/>
        <v>#DIV/0!</v>
      </c>
      <c r="BB21" s="170">
        <f t="shared" si="16"/>
        <v>0</v>
      </c>
      <c r="BC21" s="170">
        <v>0</v>
      </c>
      <c r="BD21" s="171" t="s">
        <v>86</v>
      </c>
      <c r="BE21" s="171" t="s">
        <v>86</v>
      </c>
      <c r="BF21" s="158" t="s">
        <v>94</v>
      </c>
      <c r="BG21" s="172" t="s">
        <v>93</v>
      </c>
      <c r="BH21" s="162" t="str">
        <f t="shared" si="17"/>
        <v>PRESTONE Brake Fluid DOT 4 - 1000ml</v>
      </c>
      <c r="BI21" s="173">
        <f t="shared" si="18"/>
        <v>0</v>
      </c>
      <c r="BJ21" s="174">
        <f t="shared" si="19"/>
        <v>0</v>
      </c>
      <c r="BK21" s="174">
        <f t="shared" si="20"/>
        <v>0</v>
      </c>
      <c r="BL21" s="174">
        <f t="shared" si="21"/>
        <v>0</v>
      </c>
      <c r="BM21" s="161">
        <f t="shared" si="22"/>
        <v>0</v>
      </c>
      <c r="BN21" s="175">
        <f t="shared" si="23"/>
        <v>0</v>
      </c>
      <c r="BO21" s="175">
        <f t="shared" si="24"/>
        <v>0</v>
      </c>
      <c r="BP21" s="173">
        <f t="shared" si="25"/>
        <v>0</v>
      </c>
      <c r="BQ21" s="161" t="s">
        <v>86</v>
      </c>
      <c r="BR21" s="161"/>
      <c r="BS21" s="162" t="str">
        <f t="shared" si="26"/>
        <v>PRESTONE Brake Fluid DOT 4 - 1000ml</v>
      </c>
      <c r="BT21" s="176">
        <f>_xlfn.XLOOKUP(BS21,ITEM!B:B,ITEM!BB:BB,0)</f>
        <v>0</v>
      </c>
      <c r="BU21" s="177">
        <f>_xlfn.XLOOKUP(BS21,ITEM!B:B,ITEM!BC:BC,0)</f>
        <v>0</v>
      </c>
      <c r="BV21" s="177" t="e">
        <f t="shared" si="27"/>
        <v>#DIV/0!</v>
      </c>
      <c r="BW21" s="170">
        <v>0</v>
      </c>
      <c r="BX21" s="178">
        <f t="shared" si="28"/>
        <v>0</v>
      </c>
      <c r="BY21" s="179">
        <f t="shared" si="29"/>
        <v>0</v>
      </c>
      <c r="BZ21" s="177">
        <f>_xlfn.XLOOKUP(BS21,ITEM!B:B,ITEM!BK:BK,0)</f>
        <v>0</v>
      </c>
      <c r="CA21" s="178">
        <v>0</v>
      </c>
      <c r="CB21" s="178">
        <v>0</v>
      </c>
      <c r="CC21" s="167">
        <f t="shared" si="30"/>
        <v>0</v>
      </c>
      <c r="CD21" s="180">
        <v>0</v>
      </c>
      <c r="CE21" s="181">
        <f>_xlfn.XLOOKUP(BS21,ITEM!B:B,ITEM!BE:BE,0)</f>
        <v>0</v>
      </c>
      <c r="CF21" s="177">
        <f>_xlfn.XLOOKUP(BS21,ITEM!B:B,ITEM!BF:BF,0)</f>
        <v>0</v>
      </c>
      <c r="CG21" s="177" t="e">
        <f t="shared" si="31"/>
        <v>#DIV/0!</v>
      </c>
      <c r="CH21" s="178">
        <v>0</v>
      </c>
      <c r="CI21" s="178">
        <f t="shared" si="32"/>
        <v>0</v>
      </c>
      <c r="CJ21" s="179">
        <f t="shared" si="33"/>
        <v>0</v>
      </c>
      <c r="CK21" s="177">
        <f>_xlfn.XLOOKUP(BS21,ITEM!B:B,ITEM!BL:BL,0)</f>
        <v>0</v>
      </c>
      <c r="CL21" s="178">
        <v>0</v>
      </c>
      <c r="CM21" s="178">
        <v>0</v>
      </c>
      <c r="CN21" s="167">
        <f t="shared" si="34"/>
        <v>0</v>
      </c>
      <c r="CO21" s="182">
        <v>0</v>
      </c>
      <c r="CP21" s="183">
        <f>_xlfn.XLOOKUP(BS21,ITEM!B:B,ITEM!BH:BH,0)</f>
        <v>0</v>
      </c>
      <c r="CQ21" s="177">
        <f>_xlfn.XLOOKUP(BS21,ITEM!B:B,ITEM!BI:BI,0)</f>
        <v>0</v>
      </c>
      <c r="CR21" s="177" t="e">
        <f t="shared" si="35"/>
        <v>#DIV/0!</v>
      </c>
      <c r="CS21" s="178">
        <v>0</v>
      </c>
      <c r="CT21" s="178">
        <f t="shared" si="36"/>
        <v>0</v>
      </c>
      <c r="CU21" s="179">
        <f t="shared" si="37"/>
        <v>0</v>
      </c>
      <c r="CV21" s="178">
        <f>_xlfn.XLOOKUP(BS21,ITEM!B:B,ITEM!BM:BM,0)</f>
        <v>0</v>
      </c>
      <c r="CW21" s="178">
        <v>0</v>
      </c>
      <c r="CX21" s="178">
        <v>0</v>
      </c>
      <c r="CY21" s="167">
        <f t="shared" si="38"/>
        <v>0</v>
      </c>
      <c r="CZ21" s="184">
        <v>0</v>
      </c>
      <c r="DA21" s="185" t="str">
        <f t="shared" si="39"/>
        <v>PRESTONE Brake Fluid DOT 4 - 1000ml</v>
      </c>
    </row>
    <row r="22" customHeight="1" spans="1:105">
      <c r="A22" s="145">
        <v>19</v>
      </c>
      <c r="B22" s="146">
        <v>102340</v>
      </c>
      <c r="C22" s="147" t="s">
        <v>106</v>
      </c>
      <c r="D22" s="148" t="s">
        <v>89</v>
      </c>
      <c r="E22" s="149" t="s">
        <v>112</v>
      </c>
      <c r="F22" s="149" t="s">
        <v>86</v>
      </c>
      <c r="G22" s="146" t="s">
        <v>129</v>
      </c>
      <c r="H22" s="146">
        <v>0</v>
      </c>
      <c r="I22" s="146">
        <v>0</v>
      </c>
      <c r="J22" s="150" t="str">
        <f t="shared" si="0"/>
        <v>PRESTONE Brake Fluid DOT 4 - 300ml</v>
      </c>
      <c r="K22" s="148" t="s">
        <v>132</v>
      </c>
      <c r="L22" s="152">
        <v>1</v>
      </c>
      <c r="M22" s="152" t="s">
        <v>85</v>
      </c>
      <c r="N22" s="153">
        <v>118889</v>
      </c>
      <c r="O22" s="154">
        <v>0.4</v>
      </c>
      <c r="P22" s="154">
        <v>0.2</v>
      </c>
      <c r="Q22" s="154">
        <f t="shared" si="1"/>
        <v>0.6</v>
      </c>
      <c r="R22" s="155">
        <f t="shared" si="40"/>
        <v>190222.4</v>
      </c>
      <c r="S22" s="156">
        <v>0</v>
      </c>
      <c r="T22" s="156">
        <v>0</v>
      </c>
      <c r="U22" s="156">
        <v>0</v>
      </c>
      <c r="V22" s="156">
        <f t="shared" si="2"/>
        <v>190222.4</v>
      </c>
      <c r="W22" s="155">
        <f t="shared" si="3"/>
        <v>190222.4</v>
      </c>
      <c r="X22" s="157">
        <f t="shared" si="4"/>
        <v>194977.96</v>
      </c>
      <c r="Y22" s="156">
        <f t="shared" si="5"/>
        <v>192000</v>
      </c>
      <c r="Z22" s="156">
        <v>0</v>
      </c>
      <c r="AA22" s="155">
        <f t="shared" si="6"/>
        <v>192000</v>
      </c>
      <c r="AB22" s="156">
        <f t="shared" si="7"/>
        <v>73111</v>
      </c>
      <c r="AC22" s="154">
        <f t="shared" si="8"/>
        <v>0.380786458333333</v>
      </c>
      <c r="AD22" s="158">
        <v>30</v>
      </c>
      <c r="AE22" s="159">
        <f t="shared" si="9"/>
        <v>1</v>
      </c>
      <c r="AF22" s="158">
        <v>10</v>
      </c>
      <c r="AG22" s="159">
        <f t="shared" si="10"/>
        <v>0.333333333333333</v>
      </c>
      <c r="AH22" s="160">
        <v>0.7</v>
      </c>
      <c r="AI22" s="159">
        <f t="shared" si="11"/>
        <v>0.933333333333333</v>
      </c>
      <c r="AJ22" s="160">
        <f t="shared" si="12"/>
        <v>28</v>
      </c>
      <c r="AK22" s="161" t="s">
        <v>86</v>
      </c>
      <c r="AL22" s="162" t="str">
        <f t="shared" si="13"/>
        <v>PRESTONE Brake Fluid DOT 4 - 300ml</v>
      </c>
      <c r="AM22" s="163">
        <f>_xlfn.XLOOKUP(AL22,ITEM!B:B,ITEM!AY:AY,0)</f>
        <v>0</v>
      </c>
      <c r="AN22" s="164">
        <f>_xlfn.XLOOKUP(AL22,ITEM!B:B,ITEM!AZ:AZ,0)</f>
        <v>0</v>
      </c>
      <c r="AO22" s="164">
        <f>_xlfn.XLOOKUP(AL22,ITEM!B:B,ITEM!BA:BA,0)</f>
        <v>0</v>
      </c>
      <c r="AP22" s="164" t="e">
        <f t="shared" si="14"/>
        <v>#DIV/0!</v>
      </c>
      <c r="AQ22" s="165">
        <v>0</v>
      </c>
      <c r="AR22" s="165">
        <v>0</v>
      </c>
      <c r="AS22" s="165">
        <v>0</v>
      </c>
      <c r="AT22" s="165">
        <f t="shared" si="41"/>
        <v>0</v>
      </c>
      <c r="AU22" s="166">
        <f t="shared" si="42"/>
        <v>0</v>
      </c>
      <c r="AV22" s="165">
        <f>_xlfn.XLOOKUP(AL22,ITEM!B:B,ITEM!BN:BN,0)</f>
        <v>0</v>
      </c>
      <c r="AW22" s="165">
        <v>0</v>
      </c>
      <c r="AX22" s="165">
        <v>0</v>
      </c>
      <c r="AY22" s="167">
        <f t="shared" si="43"/>
        <v>0</v>
      </c>
      <c r="AZ22" s="168">
        <v>0</v>
      </c>
      <c r="BA22" s="169" t="e">
        <f t="shared" si="15"/>
        <v>#DIV/0!</v>
      </c>
      <c r="BB22" s="170">
        <f t="shared" si="16"/>
        <v>0</v>
      </c>
      <c r="BC22" s="170">
        <v>0</v>
      </c>
      <c r="BD22" s="171" t="s">
        <v>86</v>
      </c>
      <c r="BE22" s="171" t="s">
        <v>86</v>
      </c>
      <c r="BF22" s="158" t="s">
        <v>94</v>
      </c>
      <c r="BG22" s="172" t="s">
        <v>93</v>
      </c>
      <c r="BH22" s="162" t="str">
        <f t="shared" si="17"/>
        <v>PRESTONE Brake Fluid DOT 4 - 300ml</v>
      </c>
      <c r="BI22" s="173">
        <f t="shared" si="18"/>
        <v>0</v>
      </c>
      <c r="BJ22" s="174">
        <f t="shared" si="19"/>
        <v>0</v>
      </c>
      <c r="BK22" s="174">
        <f t="shared" si="20"/>
        <v>0</v>
      </c>
      <c r="BL22" s="174">
        <f t="shared" si="21"/>
        <v>0</v>
      </c>
      <c r="BM22" s="161">
        <f t="shared" si="22"/>
        <v>0</v>
      </c>
      <c r="BN22" s="175">
        <f t="shared" si="23"/>
        <v>0</v>
      </c>
      <c r="BO22" s="175">
        <f t="shared" si="24"/>
        <v>0</v>
      </c>
      <c r="BP22" s="173">
        <f t="shared" si="25"/>
        <v>0</v>
      </c>
      <c r="BQ22" s="161" t="s">
        <v>86</v>
      </c>
      <c r="BR22" s="161"/>
      <c r="BS22" s="162" t="str">
        <f t="shared" si="26"/>
        <v>PRESTONE Brake Fluid DOT 4 - 300ml</v>
      </c>
      <c r="BT22" s="176">
        <f>_xlfn.XLOOKUP(BS22,ITEM!B:B,ITEM!BB:BB,0)</f>
        <v>0</v>
      </c>
      <c r="BU22" s="177">
        <f>_xlfn.XLOOKUP(BS22,ITEM!B:B,ITEM!BC:BC,0)</f>
        <v>0</v>
      </c>
      <c r="BV22" s="177" t="e">
        <f t="shared" si="27"/>
        <v>#DIV/0!</v>
      </c>
      <c r="BW22" s="170">
        <v>0</v>
      </c>
      <c r="BX22" s="178">
        <f t="shared" si="28"/>
        <v>0</v>
      </c>
      <c r="BY22" s="179">
        <f t="shared" si="29"/>
        <v>0</v>
      </c>
      <c r="BZ22" s="177">
        <f>_xlfn.XLOOKUP(BS22,ITEM!B:B,ITEM!BK:BK,0)</f>
        <v>0</v>
      </c>
      <c r="CA22" s="178">
        <v>0</v>
      </c>
      <c r="CB22" s="178">
        <v>0</v>
      </c>
      <c r="CC22" s="167">
        <f t="shared" si="30"/>
        <v>0</v>
      </c>
      <c r="CD22" s="180">
        <v>0</v>
      </c>
      <c r="CE22" s="181">
        <f>_xlfn.XLOOKUP(BS22,ITEM!B:B,ITEM!BE:BE,0)</f>
        <v>0</v>
      </c>
      <c r="CF22" s="177">
        <f>_xlfn.XLOOKUP(BS22,ITEM!B:B,ITEM!BF:BF,0)</f>
        <v>0</v>
      </c>
      <c r="CG22" s="177" t="e">
        <f t="shared" si="31"/>
        <v>#DIV/0!</v>
      </c>
      <c r="CH22" s="178">
        <v>0</v>
      </c>
      <c r="CI22" s="178">
        <f t="shared" si="32"/>
        <v>0</v>
      </c>
      <c r="CJ22" s="179">
        <f t="shared" si="33"/>
        <v>0</v>
      </c>
      <c r="CK22" s="177">
        <f>_xlfn.XLOOKUP(BS22,ITEM!B:B,ITEM!BL:BL,0)</f>
        <v>0</v>
      </c>
      <c r="CL22" s="178">
        <v>0</v>
      </c>
      <c r="CM22" s="178">
        <v>0</v>
      </c>
      <c r="CN22" s="167">
        <f t="shared" si="34"/>
        <v>0</v>
      </c>
      <c r="CO22" s="182">
        <v>0</v>
      </c>
      <c r="CP22" s="183">
        <f>_xlfn.XLOOKUP(BS22,ITEM!B:B,ITEM!BH:BH,0)</f>
        <v>0</v>
      </c>
      <c r="CQ22" s="177">
        <f>_xlfn.XLOOKUP(BS22,ITEM!B:B,ITEM!BI:BI,0)</f>
        <v>0</v>
      </c>
      <c r="CR22" s="177" t="e">
        <f t="shared" si="35"/>
        <v>#DIV/0!</v>
      </c>
      <c r="CS22" s="178">
        <v>0</v>
      </c>
      <c r="CT22" s="178">
        <f t="shared" si="36"/>
        <v>0</v>
      </c>
      <c r="CU22" s="179">
        <f t="shared" si="37"/>
        <v>0</v>
      </c>
      <c r="CV22" s="178">
        <f>_xlfn.XLOOKUP(BS22,ITEM!B:B,ITEM!BM:BM,0)</f>
        <v>0</v>
      </c>
      <c r="CW22" s="178">
        <v>0</v>
      </c>
      <c r="CX22" s="178">
        <v>0</v>
      </c>
      <c r="CY22" s="167">
        <f t="shared" si="38"/>
        <v>0</v>
      </c>
      <c r="CZ22" s="184">
        <v>0</v>
      </c>
      <c r="DA22" s="185" t="str">
        <f t="shared" si="39"/>
        <v>PRESTONE Brake Fluid DOT 4 - 300ml</v>
      </c>
    </row>
  </sheetData>
  <autoFilter xmlns:etc="http://www.wps.cn/officeDocument/2017/etCustomData" ref="A3:DA22" etc:filterBottomFollowUsedRange="0">
    <sortState ref="A3:DA22">
      <sortCondition ref="BI3" descending="1"/>
    </sortState>
    <extLst/>
  </autoFilter>
  <mergeCells count="80">
    <mergeCell ref="AD1:AJ1"/>
    <mergeCell ref="AM1:BE1"/>
    <mergeCell ref="BJ1:BM1"/>
    <mergeCell ref="BN1:BP1"/>
    <mergeCell ref="BT1:CD1"/>
    <mergeCell ref="CE1:CO1"/>
    <mergeCell ref="CP1:CZ1"/>
    <mergeCell ref="BD2:BE2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H2:AH3"/>
    <mergeCell ref="AK1:AK3"/>
    <mergeCell ref="AL1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F2:BF3"/>
    <mergeCell ref="BG2:BG3"/>
    <mergeCell ref="BI1:BI3"/>
    <mergeCell ref="BQ2:BQ3"/>
    <mergeCell ref="BR2:BR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AD2:AE3"/>
    <mergeCell ref="AF2:AG3"/>
    <mergeCell ref="AI2:AJ3"/>
  </mergeCells>
  <conditionalFormatting sqref="B2:B3">
    <cfRule type="duplicateValues" dxfId="0" priority="6"/>
  </conditionalFormatting>
  <conditionalFormatting sqref="E2:E3">
    <cfRule type="duplicateValues" dxfId="0" priority="8"/>
    <cfRule type="duplicateValues" dxfId="0" priority="7"/>
  </conditionalFormatting>
  <conditionalFormatting sqref="F2:F3">
    <cfRule type="duplicateValues" dxfId="0" priority="10"/>
    <cfRule type="duplicateValues" dxfId="0" priority="9"/>
  </conditionalFormatting>
  <conditionalFormatting sqref="AM4:AM22">
    <cfRule type="cellIs" dxfId="1" priority="352" operator="equal">
      <formula>0</formula>
    </cfRule>
  </conditionalFormatting>
  <conditionalFormatting sqref="AV4:AV22">
    <cfRule type="cellIs" dxfId="2" priority="363" operator="equal">
      <formula>0</formula>
    </cfRule>
    <cfRule type="cellIs" dxfId="0" priority="364" operator="greaterThan">
      <formula>0</formula>
    </cfRule>
  </conditionalFormatting>
  <conditionalFormatting sqref="AW4:AW22">
    <cfRule type="cellIs" dxfId="2" priority="408" operator="lessThan">
      <formula>0.2</formula>
    </cfRule>
    <cfRule type="cellIs" dxfId="3" priority="409" operator="greaterThan">
      <formula>0.2</formula>
    </cfRule>
  </conditionalFormatting>
  <conditionalFormatting sqref="AY4:AY22">
    <cfRule type="cellIs" dxfId="2" priority="351" operator="equal">
      <formula>0</formula>
    </cfRule>
  </conditionalFormatting>
  <conditionalFormatting sqref="AZ4:AZ22">
    <cfRule type="cellIs" dxfId="4" priority="370" operator="equal">
      <formula>0</formula>
    </cfRule>
    <cfRule type="cellIs" dxfId="5" priority="371" operator="greaterThan">
      <formula>0</formula>
    </cfRule>
  </conditionalFormatting>
  <conditionalFormatting sqref="BA4:BA22">
    <cfRule type="cellIs" dxfId="2" priority="116" operator="lessThan">
      <formula>0.2</formula>
    </cfRule>
    <cfRule type="cellIs" dxfId="3" priority="117" operator="greaterThan">
      <formula>0.2</formula>
    </cfRule>
  </conditionalFormatting>
  <conditionalFormatting sqref="BI4:BI22">
    <cfRule type="cellIs" dxfId="2" priority="1" operator="equal">
      <formula>0</formula>
    </cfRule>
  </conditionalFormatting>
  <conditionalFormatting sqref="BM4:BM22">
    <cfRule type="cellIs" dxfId="2" priority="436" operator="equal">
      <formula>0</formula>
    </cfRule>
    <cfRule type="cellIs" dxfId="0" priority="437" operator="greaterThan">
      <formula>0</formula>
    </cfRule>
  </conditionalFormatting>
  <conditionalFormatting sqref="BP4:BP22">
    <cfRule type="cellIs" dxfId="2" priority="45" operator="equal">
      <formula>0</formula>
    </cfRule>
  </conditionalFormatting>
  <conditionalFormatting sqref="BT4:BT22">
    <cfRule type="cellIs" dxfId="6" priority="354" operator="equal">
      <formula>0</formula>
    </cfRule>
  </conditionalFormatting>
  <conditionalFormatting sqref="BW4:BW22">
    <cfRule type="cellIs" dxfId="2" priority="430" operator="equal">
      <formula>0</formula>
    </cfRule>
    <cfRule type="cellIs" dxfId="0" priority="431" operator="greaterThan">
      <formula>0</formula>
    </cfRule>
  </conditionalFormatting>
  <conditionalFormatting sqref="BX4:BX22">
    <cfRule type="cellIs" dxfId="2" priority="406" operator="lessThan">
      <formula>0.2</formula>
    </cfRule>
    <cfRule type="cellIs" dxfId="3" priority="407" operator="greaterThan">
      <formula>0.2</formula>
    </cfRule>
  </conditionalFormatting>
  <conditionalFormatting sqref="BZ4:BZ22">
    <cfRule type="cellIs" dxfId="2" priority="415" operator="equal">
      <formula>0</formula>
    </cfRule>
    <cfRule type="cellIs" dxfId="0" priority="416" operator="greaterThan">
      <formula>0</formula>
    </cfRule>
  </conditionalFormatting>
  <conditionalFormatting sqref="CC4:CC22">
    <cfRule type="cellIs" dxfId="2" priority="361" operator="equal">
      <formula>0</formula>
    </cfRule>
  </conditionalFormatting>
  <conditionalFormatting sqref="CD4:CD22">
    <cfRule type="cellIs" dxfId="4" priority="372" operator="equal">
      <formula>0</formula>
    </cfRule>
    <cfRule type="cellIs" dxfId="5" priority="373" operator="greaterThan">
      <formula>0</formula>
    </cfRule>
  </conditionalFormatting>
  <conditionalFormatting sqref="CE4:CE22">
    <cfRule type="cellIs" dxfId="7" priority="353" operator="equal">
      <formula>0</formula>
    </cfRule>
  </conditionalFormatting>
  <conditionalFormatting sqref="CH4:CH22">
    <cfRule type="cellIs" dxfId="2" priority="424" operator="equal">
      <formula>0</formula>
    </cfRule>
    <cfRule type="cellIs" dxfId="0" priority="425" operator="greaterThan">
      <formula>0</formula>
    </cfRule>
  </conditionalFormatting>
  <conditionalFormatting sqref="CI4:CI22">
    <cfRule type="cellIs" dxfId="2" priority="404" operator="lessThan">
      <formula>0.2</formula>
    </cfRule>
    <cfRule type="cellIs" dxfId="3" priority="405" operator="greaterThan">
      <formula>0.2</formula>
    </cfRule>
  </conditionalFormatting>
  <conditionalFormatting sqref="CJ4:CJ22">
    <cfRule type="cellIs" dxfId="2" priority="413" operator="lessThan">
      <formula>0.2</formula>
    </cfRule>
    <cfRule type="cellIs" dxfId="3" priority="414" operator="greaterThan">
      <formula>0.2</formula>
    </cfRule>
  </conditionalFormatting>
  <conditionalFormatting sqref="CK4:CK22">
    <cfRule type="cellIs" dxfId="0" priority="2" operator="greaterThan">
      <formula>0</formula>
    </cfRule>
    <cfRule type="cellIs" dxfId="2" priority="411" operator="lessThan">
      <formula>0.2</formula>
    </cfRule>
    <cfRule type="cellIs" dxfId="3" priority="412" operator="greaterThan">
      <formula>0.2</formula>
    </cfRule>
  </conditionalFormatting>
  <conditionalFormatting sqref="CN4:CN22">
    <cfRule type="cellIs" dxfId="2" priority="358" operator="equal">
      <formula>0</formula>
    </cfRule>
  </conditionalFormatting>
  <conditionalFormatting sqref="CO4:CO22">
    <cfRule type="cellIs" dxfId="4" priority="374" operator="equal">
      <formula>0</formula>
    </cfRule>
    <cfRule type="cellIs" dxfId="5" priority="375" operator="greaterThan">
      <formula>0</formula>
    </cfRule>
  </conditionalFormatting>
  <conditionalFormatting sqref="CP4:CP22">
    <cfRule type="cellIs" dxfId="8" priority="356" operator="equal">
      <formula>0</formula>
    </cfRule>
  </conditionalFormatting>
  <conditionalFormatting sqref="CS4:CS22">
    <cfRule type="cellIs" dxfId="2" priority="400" operator="equal">
      <formula>0</formula>
    </cfRule>
    <cfRule type="cellIs" dxfId="0" priority="401" operator="greaterThan">
      <formula>0</formula>
    </cfRule>
  </conditionalFormatting>
  <conditionalFormatting sqref="CT4:CT22">
    <cfRule type="cellIs" dxfId="2" priority="396" operator="lessThan">
      <formula>0.2</formula>
    </cfRule>
    <cfRule type="cellIs" dxfId="3" priority="397" operator="greaterThan">
      <formula>0.2</formula>
    </cfRule>
  </conditionalFormatting>
  <conditionalFormatting sqref="CV4:CV22">
    <cfRule type="cellIs" dxfId="2" priority="398" operator="equal">
      <formula>0</formula>
    </cfRule>
    <cfRule type="cellIs" dxfId="0" priority="399" operator="greaterThan">
      <formula>0</formula>
    </cfRule>
  </conditionalFormatting>
  <conditionalFormatting sqref="CY4:CY22">
    <cfRule type="cellIs" dxfId="2" priority="355" operator="equal">
      <formula>0</formula>
    </cfRule>
  </conditionalFormatting>
  <conditionalFormatting sqref="CZ4:CZ22">
    <cfRule type="cellIs" dxfId="4" priority="376" operator="equal">
      <formula>0</formula>
    </cfRule>
    <cfRule type="cellIs" dxfId="5" priority="377" operator="greaterThan">
      <formula>0</formula>
    </cfRule>
  </conditionalFormatting>
  <conditionalFormatting sqref="AD4:AJ22">
    <cfRule type="cellIs" dxfId="2" priority="419" operator="greaterThan">
      <formula>1</formula>
    </cfRule>
  </conditionalFormatting>
  <conditionalFormatting sqref="AN4:AU4 AX4 AN5:AU5 AX5 AN6:AU6 AX6 AN7:AU7 AX7 AN8:AU8 AX8 AN9:AU9 AX9 AN10:AU10 AX10 AN11:AU11 AX11 AN12:AU12 AX12 AN13:AU13 AX13 AN14:AU14 AX14 AN15:AU15 AX15 AN16:AU16 AX16 AN17:AU17 AX17 AN18:AU18 AX18 AN19:AU19 AX19 AN20:AU20 AX20 AN21:AU21 AX21 AN22:AU22 AX22">
    <cfRule type="cellIs" dxfId="2" priority="442" operator="lessThan">
      <formula>0.2</formula>
    </cfRule>
    <cfRule type="cellIs" dxfId="3" priority="443" operator="greaterThan">
      <formula>0.2</formula>
    </cfRule>
  </conditionalFormatting>
  <conditionalFormatting sqref="AV4:AV22 AY4:AY22 BW4:BW22 BZ4:BZ22 CC4:CC22 CH4:CH22 CK4:CK22 CN4:CN22 CS4:CS22 CV4:CV22 CY4:CY22">
    <cfRule type="cellIs" dxfId="9" priority="3" operator="equal">
      <formula>0</formula>
    </cfRule>
  </conditionalFormatting>
  <conditionalFormatting sqref="BF4:BG22">
    <cfRule type="containsText" dxfId="2" priority="4" operator="between" text="-">
      <formula>NOT(ISERROR(SEARCH("-",BF4)))</formula>
    </cfRule>
  </conditionalFormatting>
  <conditionalFormatting sqref="BJ4:BL22">
    <cfRule type="cellIs" dxfId="2" priority="438" operator="equal">
      <formula>0</formula>
    </cfRule>
    <cfRule type="cellIs" dxfId="3" priority="439" operator="greaterThan">
      <formula>0</formula>
    </cfRule>
  </conditionalFormatting>
  <conditionalFormatting sqref="BN4:BO22">
    <cfRule type="cellIs" dxfId="2" priority="46" operator="equal">
      <formula>0</formula>
    </cfRule>
  </conditionalFormatting>
  <conditionalFormatting sqref="BU4:BV4 BY4 CA4:CB4 BU5:BV5 BY5 CA5:CB5 BU6:BV6 BY6 CA6:CB6 BU7:BV7 BY7 CA7:CB7 BU8:BV8 BY8 CA8:CB8 BU9:BV9 BY9 CA9:CB9 BU10:BV10 BY10 CA10:CB10 BU11:BV11 BY11 CA11:CB11 BU12:BV12 BY12 CA12:CB12 BU13:BV13 BY13 CA13:CB13 BU14:BV14 BY14 CA14:CB14 BU15:BV15 BY15 CA15:CB15 BU16:BV16 BY16 CA16:CB16 BU17:BV17 BY17 CA17:CB17 BU18:BV18 BY18 CA18:CB18 BU19:BV19 BY19 CA19:CB19 BU20:BV20 BY20 CA20:CB20 BU21:BV21 BY21 CA21:CB21 BU22:BV22 BY22 CA22:CB22">
    <cfRule type="cellIs" dxfId="2" priority="432" operator="lessThan">
      <formula>0.2</formula>
    </cfRule>
    <cfRule type="cellIs" dxfId="3" priority="433" operator="greaterThan">
      <formula>0.2</formula>
    </cfRule>
  </conditionalFormatting>
  <conditionalFormatting sqref="CF4:CG4 CL4:CM4 CF5:CG5 CL5:CM5 CF6:CG6 CL6:CM6 CF7:CG7 CL7:CM7 CF8:CG8 CL8:CM8 CF9:CG9 CL9:CM9 CF10:CG10 CL10:CM10 CF11:CG11 CL11:CM11 CF12:CG12 CL12:CM12 CF13:CG13 CL13:CM13 CF14:CG14 CL14:CM14 CF15:CG15 CL15:CM15 CF16:CG16 CL16:CM16 CF17:CG17 CL17:CM17 CF18:CG18 CL18:CM18 CF19:CG19 CL19:CM19 CF20:CG20 CL20:CM20 CF21:CG21 CL21:CM21 CF22:CG22 CL22:CM22">
    <cfRule type="cellIs" dxfId="2" priority="426" operator="lessThan">
      <formula>0.2</formula>
    </cfRule>
    <cfRule type="cellIs" dxfId="3" priority="427" operator="greaterThan">
      <formula>0.2</formula>
    </cfRule>
  </conditionalFormatting>
  <conditionalFormatting sqref="CQ4:CR4 CU4 CW4:CX4 CQ5:CR5 CU5 CW5:CX5 CQ6:CR6 CU6 CW6:CX6 CQ7:CR7 CU7 CW7:CX7 CQ8:CR8 CU8 CW8:CX8 CQ9:CR9 CU9 CW9:CX9 CQ10:CR10 CU10 CW10:CX10 CQ11:CR11 CU11 CW11:CX11 CQ12:CR12 CU12 CW12:CX12 CQ13:CR13 CU13 CW13:CX13 CQ14:CR14 CU14 CW14:CX14 CQ15:CR15 CU15 CW15:CX15 CQ16:CR16 CU16 CW16:CX16 CQ17:CR17 CU17 CW17:CX17 CQ18:CR18 CU18 CW18:CX18 CQ19:CR19 CU19 CW19:CX19 CQ20:CR20 CU20 CW20:CX20 CQ21:CR21 CU21 CW21:CX21 CQ22:CR22 CU22 CW22:CX22">
    <cfRule type="cellIs" dxfId="2" priority="402" operator="lessThan">
      <formula>0.2</formula>
    </cfRule>
    <cfRule type="cellIs" dxfId="3" priority="403" operator="greaterThan">
      <formula>0.2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2"/>
  <sheetViews>
    <sheetView tabSelected="1" topLeftCell="AM1" workbookViewId="0">
      <pane ySplit="3" topLeftCell="A4" activePane="bottomLeft" state="frozen"/>
      <selection/>
      <selection pane="bottomLeft" activeCell="B4" sqref="B4:B22"/>
    </sheetView>
  </sheetViews>
  <sheetFormatPr defaultColWidth="8.5625" defaultRowHeight="16" customHeight="1"/>
  <cols>
    <col min="1" max="1" width="8.5625" style="34" customWidth="1"/>
    <col min="2" max="2" width="60.3392857142857" style="35" customWidth="1"/>
    <col min="3" max="50" width="8.5625" style="33" customWidth="1"/>
    <col min="51" max="53" width="10.5535714285714" style="36" customWidth="1"/>
    <col min="54" max="62" width="8.5625" style="37" customWidth="1"/>
    <col min="63" max="66" width="8.5625" style="38" customWidth="1"/>
    <col min="67" max="16380" width="8.5625" style="33" customWidth="1"/>
    <col min="16381" max="16384" width="8.5625" style="33"/>
  </cols>
  <sheetData>
    <row r="1" s="31" customFormat="1" customHeight="1" spans="1:66">
      <c r="A1" s="39" t="s">
        <v>133</v>
      </c>
      <c r="C1" s="31" t="s">
        <v>133</v>
      </c>
      <c r="D1" s="31" t="s">
        <v>133</v>
      </c>
      <c r="AY1" s="40" t="s">
        <v>134</v>
      </c>
      <c r="AZ1" s="40"/>
      <c r="BA1" s="40"/>
      <c r="BB1" s="41" t="s">
        <v>135</v>
      </c>
      <c r="BC1" s="42"/>
      <c r="BD1" s="43"/>
      <c r="BE1" s="41" t="s">
        <v>136</v>
      </c>
      <c r="BF1" s="42"/>
      <c r="BG1" s="43"/>
      <c r="BH1" s="41" t="s">
        <v>3</v>
      </c>
      <c r="BI1" s="42"/>
      <c r="BJ1" s="43"/>
      <c r="BK1" s="44" t="s">
        <v>137</v>
      </c>
      <c r="BL1" s="45"/>
      <c r="BM1" s="45"/>
      <c r="BN1" s="46"/>
    </row>
    <row r="2" s="32" customFormat="1" customHeight="1" spans="1:66">
      <c r="A2" s="47" t="s">
        <v>61</v>
      </c>
      <c r="B2" s="48" t="s">
        <v>133</v>
      </c>
      <c r="C2" s="49" t="s">
        <v>138</v>
      </c>
      <c r="D2" s="49"/>
      <c r="E2" s="49"/>
      <c r="F2" s="50" t="s">
        <v>139</v>
      </c>
      <c r="G2" s="49" t="s">
        <v>140</v>
      </c>
      <c r="H2" s="49"/>
      <c r="I2" s="49"/>
      <c r="J2" s="50" t="s">
        <v>141</v>
      </c>
      <c r="K2" s="49" t="s">
        <v>142</v>
      </c>
      <c r="L2" s="49"/>
      <c r="M2" s="49"/>
      <c r="N2" s="50" t="s">
        <v>143</v>
      </c>
      <c r="O2" s="49" t="s">
        <v>144</v>
      </c>
      <c r="P2" s="49"/>
      <c r="Q2" s="49"/>
      <c r="R2" s="50" t="s">
        <v>145</v>
      </c>
      <c r="S2" s="49" t="s">
        <v>146</v>
      </c>
      <c r="T2" s="49"/>
      <c r="U2" s="49"/>
      <c r="V2" s="50" t="s">
        <v>147</v>
      </c>
      <c r="W2" s="49" t="s">
        <v>148</v>
      </c>
      <c r="X2" s="49"/>
      <c r="Y2" s="49"/>
      <c r="Z2" s="50" t="s">
        <v>149</v>
      </c>
      <c r="AA2" s="49" t="s">
        <v>150</v>
      </c>
      <c r="AB2" s="49"/>
      <c r="AC2" s="49"/>
      <c r="AD2" s="50" t="s">
        <v>151</v>
      </c>
      <c r="AE2" s="49" t="s">
        <v>152</v>
      </c>
      <c r="AF2" s="49"/>
      <c r="AG2" s="49"/>
      <c r="AH2" s="50" t="s">
        <v>153</v>
      </c>
      <c r="AI2" s="49" t="s">
        <v>154</v>
      </c>
      <c r="AJ2" s="49"/>
      <c r="AK2" s="49"/>
      <c r="AL2" s="50" t="s">
        <v>155</v>
      </c>
      <c r="AM2" s="49" t="s">
        <v>156</v>
      </c>
      <c r="AN2" s="49"/>
      <c r="AO2" s="49"/>
      <c r="AP2" s="50" t="s">
        <v>157</v>
      </c>
      <c r="AQ2" s="49" t="s">
        <v>158</v>
      </c>
      <c r="AR2" s="49"/>
      <c r="AS2" s="49"/>
      <c r="AT2" s="50" t="s">
        <v>159</v>
      </c>
      <c r="AU2" s="49" t="s">
        <v>160</v>
      </c>
      <c r="AV2" s="49"/>
      <c r="AW2" s="49"/>
      <c r="AX2" s="50" t="s">
        <v>161</v>
      </c>
      <c r="AY2" s="51" t="s">
        <v>35</v>
      </c>
      <c r="AZ2" s="52" t="s">
        <v>36</v>
      </c>
      <c r="BA2" s="52" t="s">
        <v>58</v>
      </c>
      <c r="BB2" s="53" t="s">
        <v>36</v>
      </c>
      <c r="BC2" s="53" t="s">
        <v>58</v>
      </c>
      <c r="BD2" s="54" t="s">
        <v>162</v>
      </c>
      <c r="BE2" s="54" t="s">
        <v>36</v>
      </c>
      <c r="BF2" s="54" t="s">
        <v>36</v>
      </c>
      <c r="BG2" s="54" t="s">
        <v>163</v>
      </c>
      <c r="BH2" s="55" t="s">
        <v>36</v>
      </c>
      <c r="BI2" s="56" t="s">
        <v>36</v>
      </c>
      <c r="BJ2" s="53" t="s">
        <v>164</v>
      </c>
      <c r="BK2" s="57" t="s">
        <v>165</v>
      </c>
      <c r="BL2" s="57"/>
      <c r="BM2" s="57"/>
      <c r="BN2" s="57" t="s">
        <v>166</v>
      </c>
    </row>
    <row r="3" s="32" customFormat="1" customHeight="1" spans="1:66">
      <c r="A3" s="58"/>
      <c r="B3" s="59"/>
      <c r="C3" s="49" t="s">
        <v>167</v>
      </c>
      <c r="D3" s="49" t="s">
        <v>168</v>
      </c>
      <c r="E3" s="49" t="s">
        <v>169</v>
      </c>
      <c r="F3" s="60"/>
      <c r="G3" s="49" t="s">
        <v>167</v>
      </c>
      <c r="H3" s="49" t="s">
        <v>168</v>
      </c>
      <c r="I3" s="49" t="s">
        <v>169</v>
      </c>
      <c r="J3" s="60"/>
      <c r="K3" s="49" t="s">
        <v>167</v>
      </c>
      <c r="L3" s="49" t="s">
        <v>168</v>
      </c>
      <c r="M3" s="49" t="s">
        <v>169</v>
      </c>
      <c r="N3" s="60"/>
      <c r="O3" s="49" t="s">
        <v>167</v>
      </c>
      <c r="P3" s="49" t="s">
        <v>168</v>
      </c>
      <c r="Q3" s="49" t="s">
        <v>169</v>
      </c>
      <c r="R3" s="60"/>
      <c r="S3" s="49" t="s">
        <v>167</v>
      </c>
      <c r="T3" s="49" t="s">
        <v>168</v>
      </c>
      <c r="U3" s="49" t="s">
        <v>169</v>
      </c>
      <c r="V3" s="60"/>
      <c r="W3" s="49" t="s">
        <v>167</v>
      </c>
      <c r="X3" s="49" t="s">
        <v>168</v>
      </c>
      <c r="Y3" s="49" t="s">
        <v>169</v>
      </c>
      <c r="Z3" s="60"/>
      <c r="AA3" s="49" t="s">
        <v>167</v>
      </c>
      <c r="AB3" s="49" t="s">
        <v>168</v>
      </c>
      <c r="AC3" s="49" t="s">
        <v>169</v>
      </c>
      <c r="AD3" s="60"/>
      <c r="AE3" s="49" t="s">
        <v>167</v>
      </c>
      <c r="AF3" s="49" t="s">
        <v>168</v>
      </c>
      <c r="AG3" s="49" t="s">
        <v>169</v>
      </c>
      <c r="AH3" s="60"/>
      <c r="AI3" s="49" t="s">
        <v>167</v>
      </c>
      <c r="AJ3" s="49" t="s">
        <v>168</v>
      </c>
      <c r="AK3" s="49" t="s">
        <v>170</v>
      </c>
      <c r="AL3" s="60"/>
      <c r="AM3" s="49" t="s">
        <v>167</v>
      </c>
      <c r="AN3" s="49" t="s">
        <v>168</v>
      </c>
      <c r="AO3" s="49" t="s">
        <v>170</v>
      </c>
      <c r="AP3" s="60"/>
      <c r="AQ3" s="49" t="s">
        <v>167</v>
      </c>
      <c r="AR3" s="49" t="s">
        <v>168</v>
      </c>
      <c r="AS3" s="49" t="s">
        <v>170</v>
      </c>
      <c r="AT3" s="60"/>
      <c r="AU3" s="49" t="s">
        <v>167</v>
      </c>
      <c r="AV3" s="49" t="s">
        <v>168</v>
      </c>
      <c r="AW3" s="49" t="s">
        <v>170</v>
      </c>
      <c r="AX3" s="60"/>
      <c r="AY3" s="61"/>
      <c r="AZ3" s="62"/>
      <c r="BA3" s="62"/>
      <c r="BB3" s="63"/>
      <c r="BC3" s="63"/>
      <c r="BD3" s="64"/>
      <c r="BE3" s="64"/>
      <c r="BF3" s="64"/>
      <c r="BG3" s="64"/>
      <c r="BH3" s="65"/>
      <c r="BI3" s="63"/>
      <c r="BJ3" s="63"/>
      <c r="BK3" s="57" t="s">
        <v>135</v>
      </c>
      <c r="BL3" s="57" t="s">
        <v>136</v>
      </c>
      <c r="BM3" s="57" t="s">
        <v>3</v>
      </c>
      <c r="BN3" s="57" t="s">
        <v>171</v>
      </c>
    </row>
    <row r="4" s="33" customFormat="1" customHeight="1" spans="1:66">
      <c r="A4" s="34">
        <v>1</v>
      </c>
      <c r="B4" s="66" t="s">
        <v>105</v>
      </c>
      <c r="C4" s="67">
        <f t="array" ref="C4">_xlfn.XLOOKUP($B4&amp;$C$3,'25-03'!B:B&amp;'25-03'!C:C,'25-03'!D:D,0)</f>
        <v>0</v>
      </c>
      <c r="D4" s="67">
        <f t="array" ref="D4">_xlfn.XLOOKUP($B4&amp;$D$3,'25-03'!B:B&amp;'25-03'!C:C,'25-03'!D:D,0)</f>
        <v>0</v>
      </c>
      <c r="E4" s="67">
        <f t="array" ref="E4">_xlfn.XLOOKUP($B4&amp;E$3,'25-03'!B:B&amp;'25-03'!C:C,'25-03'!D:D,0)</f>
        <v>0</v>
      </c>
      <c r="F4" s="67">
        <f>SUM(C4:E4)</f>
        <v>0</v>
      </c>
      <c r="G4" s="67">
        <f t="array" ref="G4">_xlfn.XLOOKUP($B4&amp;G$3,'25-04'!B:B&amp;'25-04'!C:C,'25-04'!D:D,0)</f>
        <v>0</v>
      </c>
      <c r="H4" s="67">
        <f t="array" ref="H4">_xlfn.XLOOKUP($B4&amp;H$3,'25-04'!B:B&amp;'25-04'!C:C,'25-04'!D:D,0)</f>
        <v>0</v>
      </c>
      <c r="I4" s="67">
        <f t="array" ref="I4">_xlfn.XLOOKUP($B4&amp;I$3,'25-04'!B:B&amp;'25-04'!C:C,'25-04'!D:D,0)</f>
        <v>0</v>
      </c>
      <c r="J4" s="67">
        <f>SUM(G4:I4)</f>
        <v>0</v>
      </c>
      <c r="K4" s="67">
        <f t="array" ref="K4">_xlfn.XLOOKUP($B4&amp;K$3,'25-05'!B:B&amp;'25-05'!C:C,'25-05'!D:D,0)</f>
        <v>0</v>
      </c>
      <c r="L4" s="67">
        <f t="array" ref="L4">_xlfn.XLOOKUP($B4&amp;L$3,'25-05'!B:B&amp;'25-05'!C:C,'25-05'!D:D,0)</f>
        <v>0</v>
      </c>
      <c r="M4" s="67">
        <f t="array" ref="M4">_xlfn.XLOOKUP($B4&amp;M$3,'25-05'!B:B&amp;'25-05'!C:C,'25-05'!D:D,0)</f>
        <v>0</v>
      </c>
      <c r="N4" s="67">
        <f>SUM(K4:M4)</f>
        <v>0</v>
      </c>
      <c r="O4" s="67">
        <f t="array" ref="O4">_xlfn.XLOOKUP($B4&amp;O$3,'26-06'!B:B&amp;'26-06'!C:C,'26-06'!D:D,0)</f>
        <v>0</v>
      </c>
      <c r="P4" s="67">
        <f t="array" ref="P4">_xlfn.XLOOKUP($B4&amp;P$3,'26-06'!B:B&amp;'26-06'!C:C,'26-06'!D:D,0)</f>
        <v>0</v>
      </c>
      <c r="Q4" s="67">
        <f t="array" ref="Q4">_xlfn.XLOOKUP($B4&amp;Q$3,'26-06'!B:B&amp;'26-06'!C:C,'26-06'!D:D,0)</f>
        <v>0</v>
      </c>
      <c r="R4" s="67">
        <f>SUM(O4:Q4)</f>
        <v>0</v>
      </c>
      <c r="S4" s="67">
        <f t="array" ref="S4">_xlfn.XLOOKUP($B4&amp;S$3,'25-07'!B:B&amp;'25-07'!C:C,'25-07'!D:D,0)</f>
        <v>0</v>
      </c>
      <c r="T4" s="67">
        <f t="array" ref="T4">_xlfn.XLOOKUP($B4&amp;T$3,'25-07'!B:B&amp;'25-07'!C:C,'25-07'!D:D,0)</f>
        <v>0</v>
      </c>
      <c r="U4" s="67">
        <f t="array" ref="U4">_xlfn.XLOOKUP($B4&amp;U$3,'25-07'!B:B&amp;'25-07'!C:C,'25-07'!D:D,0)</f>
        <v>0</v>
      </c>
      <c r="V4" s="67">
        <f>SUM(S4:U4)</f>
        <v>0</v>
      </c>
      <c r="W4" s="67">
        <f t="array" ref="W4">_xlfn.XLOOKUP($B4&amp;W$3,'25-08'!B:B&amp;'25-08'!C:C,'25-08'!D:D,0)</f>
        <v>0</v>
      </c>
      <c r="X4" s="67">
        <f t="array" ref="X4">_xlfn.XLOOKUP($B4&amp;X$3,'25-08'!B:B&amp;'25-08'!C:C,'25-08'!D:D,0)</f>
        <v>0</v>
      </c>
      <c r="Y4" s="67">
        <f t="array" ref="Y4">_xlfn.XLOOKUP($B4&amp;Y$3,'25-08'!B:B&amp;'25-08'!C:C,'25-08'!D:D,0)</f>
        <v>0</v>
      </c>
      <c r="Z4" s="67">
        <f>SUM(W4:Y4)</f>
        <v>0</v>
      </c>
      <c r="AA4" s="67">
        <f t="array" ref="AA4">_xlfn.XLOOKUP($B4&amp;AA$3,'25-09'!B:B&amp;'25-09'!C:C,'25-09'!D:D,0)</f>
        <v>13</v>
      </c>
      <c r="AB4" s="67">
        <f t="array" ref="AB4">_xlfn.XLOOKUP($B4&amp;AB$3,'25-09'!B:B&amp;'25-09'!C:C,'25-09'!D:D,0)</f>
        <v>0</v>
      </c>
      <c r="AC4" s="67">
        <f t="array" ref="AC4">_xlfn.XLOOKUP($B4&amp;AC$3,'25-09'!B:B&amp;'25-09'!C:C,'25-09'!D:D,0)</f>
        <v>0</v>
      </c>
      <c r="AD4" s="67">
        <f>SUM(AA4:AC4)</f>
        <v>13</v>
      </c>
      <c r="AE4" s="67">
        <f t="array" ref="AE4">_xlfn.XLOOKUP($B4&amp;AE$3,'25-10'!B:B&amp;'25-10'!C:C,'25-10'!D:D,0)</f>
        <v>20</v>
      </c>
      <c r="AF4" s="67">
        <f t="array" ref="AF4">_xlfn.XLOOKUP($B4&amp;AF$3,'25-10'!B:B&amp;'25-10'!C:C,'25-10'!D:D,0)</f>
        <v>8</v>
      </c>
      <c r="AG4" s="67">
        <f t="array" ref="AG4">_xlfn.XLOOKUP($B4&amp;AG$3,'25-10'!B:B&amp;'25-10'!C:C,'25-10'!D:D,0)</f>
        <v>0</v>
      </c>
      <c r="AH4" s="67">
        <f>SUM(AE4:AG4)</f>
        <v>28</v>
      </c>
      <c r="AI4" s="67">
        <f t="array" ref="AI4">_xlfn.XLOOKUP($B4&amp;AI$3,'25-11'!B:B&amp;'25-11'!C:C,'25-11'!D:D,0)</f>
        <v>28</v>
      </c>
      <c r="AJ4" s="67">
        <f t="array" ref="AJ4">_xlfn.XLOOKUP($B4&amp;AJ$3,'25-11'!B:B&amp;'25-11'!C:C,'25-11'!D:D,0)</f>
        <v>18</v>
      </c>
      <c r="AK4" s="67">
        <f t="array" ref="AK4">_xlfn.XLOOKUP($B4&amp;AK$3,'25-11'!B:B&amp;'25-11'!C:C,'25-11'!D:D,0)</f>
        <v>0</v>
      </c>
      <c r="AL4" s="67">
        <f>SUM(AI4:AK4)</f>
        <v>46</v>
      </c>
      <c r="AM4" s="67">
        <f t="array" ref="AM4">_xlfn.XLOOKUP($B4&amp;AM$3,'25-12'!B:B&amp;'25-12'!C:C,'25-12'!D:D,0)</f>
        <v>6</v>
      </c>
      <c r="AN4" s="67">
        <f t="array" ref="AN4">_xlfn.XLOOKUP($B4&amp;AN$3,'25-12'!B:B&amp;'25-12'!C:C,'25-12'!D:D,0)</f>
        <v>57</v>
      </c>
      <c r="AO4" s="67">
        <f t="array" ref="AO4">_xlfn.XLOOKUP($B4&amp;AO$3,'25-12'!B:B&amp;'25-12'!C:C,'25-12'!D:D,0)</f>
        <v>0</v>
      </c>
      <c r="AP4" s="67">
        <f>SUM(AM4:AO4)</f>
        <v>63</v>
      </c>
      <c r="AQ4" s="67">
        <f t="array" ref="AQ4">_xlfn.XLOOKUP($B4&amp;AQ$3,'26-01'!B:B&amp;'26-01'!C:C,'26-01'!D:D,0)</f>
        <v>6</v>
      </c>
      <c r="AR4" s="67">
        <f t="array" ref="AR4">_xlfn.XLOOKUP($B4&amp;AR$3,'26-01'!B:B&amp;'26-01'!C:C,'26-01'!D:D,0)</f>
        <v>43</v>
      </c>
      <c r="AS4" s="67">
        <f t="array" ref="AS4">_xlfn.XLOOKUP($B4&amp;AS$3,'26-01'!B:B&amp;'26-01'!C:C,'26-01'!D:D,0)</f>
        <v>3</v>
      </c>
      <c r="AT4" s="67">
        <f>SUM(AQ4:AS4)</f>
        <v>52</v>
      </c>
      <c r="AU4" s="67" cm="1">
        <f t="array" ref="AU4">_xlfn.XLOOKUP($B4&amp;AU$3,'26-02'!B:B&amp;'26-02'!C:C,'26-02'!D:D,0)</f>
        <v>47</v>
      </c>
      <c r="AV4" s="67" cm="1">
        <f t="array" ref="AV4">_xlfn.XLOOKUP($B4&amp;AV$3,'26-02'!B:B&amp;'26-02'!C:C,'26-02'!D:D,0)</f>
        <v>39</v>
      </c>
      <c r="AW4" s="67" cm="1">
        <f t="array" ref="AW4">_xlfn.XLOOKUP($B4&amp;AW$3,'26-02'!B:B&amp;'26-02'!C:C,'26-02'!D:D,0)</f>
        <v>0</v>
      </c>
      <c r="AX4" s="67">
        <f>SUM(AU4:AW4)</f>
        <v>86</v>
      </c>
      <c r="AY4" s="36">
        <f>SUM(AX4,AT4,AP4,AL4,AH4,AD4,Z4,V4,R4,N4,J4,F4)</f>
        <v>288</v>
      </c>
      <c r="AZ4" s="36">
        <f>AVERAGE(AX4,AT4,AP4,AL4,AH4,AD4)</f>
        <v>48</v>
      </c>
      <c r="BA4" s="36">
        <f>AVERAGE(AX4,AT4,AP4,AL4,AH4,AD4,Z4,V4,R4,N4,J4)</f>
        <v>26.1818181818182</v>
      </c>
      <c r="BB4" s="37">
        <f>AVERAGE(AU4,AQ4,AM4,AI4,AE4,AA4)</f>
        <v>20</v>
      </c>
      <c r="BC4" s="37">
        <f>AVERAGE(AU4,AQ4,AM4,AI4,AE4,AA4,W4,S4,O4,K4,G4)</f>
        <v>10.9090909090909</v>
      </c>
      <c r="BD4" s="37">
        <f>BK4</f>
        <v>4</v>
      </c>
      <c r="BE4" s="37">
        <f>AVERAGE(AV4,AR4,AN4,AJ4,AF4,AB4)</f>
        <v>27.5</v>
      </c>
      <c r="BF4" s="37">
        <f>AVERAGE(AV4,AR4,AN4,AJ4,AF4,AB4)</f>
        <v>27.5</v>
      </c>
      <c r="BG4" s="37">
        <f>BL4</f>
        <v>14</v>
      </c>
      <c r="BH4" s="68">
        <f>AVERAGE(AW4,AS4,AO4,AK4,AG4,AC4)</f>
        <v>0.5</v>
      </c>
      <c r="BI4" s="37">
        <f>AVERAGE(AW4,AS4,AO4,AK4,AG4,AC4)</f>
        <v>0.5</v>
      </c>
      <c r="BJ4" s="37">
        <f>BM4</f>
        <v>48</v>
      </c>
      <c r="BK4" s="38">
        <f>_xlfn.XLOOKUP($B4,'BCS-1-KLG'!C:C,'BCS-1-KLG'!E:E,0)</f>
        <v>4</v>
      </c>
      <c r="BL4" s="38">
        <f>_xlfn.XLOOKUP($B4,'BCS-2 PIK 2'!C:C,'BCS-2 PIK 2'!E:E,0)</f>
        <v>14</v>
      </c>
      <c r="BM4" s="38">
        <f>_xlfn.XLOOKUP($B4,'BCS HO'!C:C,'BCS HO'!E:E,0)</f>
        <v>48</v>
      </c>
      <c r="BN4" s="38">
        <f>SUM(BK4:BM4)</f>
        <v>66</v>
      </c>
    </row>
    <row r="5" s="33" customFormat="1" customHeight="1" spans="1:66">
      <c r="A5" s="34">
        <v>2</v>
      </c>
      <c r="B5" s="66" t="s">
        <v>84</v>
      </c>
      <c r="C5" s="67">
        <f t="array" ref="C5">_xlfn.XLOOKUP($B5&amp;$C$3,'25-03'!B:B&amp;'25-03'!C:C,'25-03'!D:D,0)</f>
        <v>11</v>
      </c>
      <c r="D5" s="67">
        <f t="array" ref="D5">_xlfn.XLOOKUP($B5&amp;$D$3,'25-03'!B:B&amp;'25-03'!C:C,'25-03'!D:D,0)</f>
        <v>0</v>
      </c>
      <c r="E5" s="67">
        <f t="array" ref="E5">_xlfn.XLOOKUP($B5&amp;E$3,'25-03'!B:B&amp;'25-03'!C:C,'25-03'!D:D,0)</f>
        <v>0</v>
      </c>
      <c r="F5" s="67">
        <f t="shared" ref="F5:F68" si="0">SUM(C5:E5)</f>
        <v>11</v>
      </c>
      <c r="G5" s="67">
        <f t="array" ref="G5">_xlfn.XLOOKUP($B5&amp;G$3,'25-04'!B:B&amp;'25-04'!C:C,'25-04'!D:D,0)</f>
        <v>4</v>
      </c>
      <c r="H5" s="67">
        <f t="array" ref="H5">_xlfn.XLOOKUP($B5&amp;H$3,'25-04'!B:B&amp;'25-04'!C:C,'25-04'!D:D,0)</f>
        <v>0</v>
      </c>
      <c r="I5" s="67">
        <f t="array" ref="I5">_xlfn.XLOOKUP($B5&amp;I$3,'25-04'!B:B&amp;'25-04'!C:C,'25-04'!D:D,0)</f>
        <v>0</v>
      </c>
      <c r="J5" s="67">
        <f t="shared" ref="J5:J68" si="1">SUM(G5:I5)</f>
        <v>4</v>
      </c>
      <c r="K5" s="67">
        <f t="array" ref="K5">_xlfn.XLOOKUP($B5&amp;K$3,'25-05'!B:B&amp;'25-05'!C:C,'25-05'!D:D,0)</f>
        <v>36</v>
      </c>
      <c r="L5" s="67">
        <f t="array" ref="L5">_xlfn.XLOOKUP($B5&amp;L$3,'25-05'!B:B&amp;'25-05'!C:C,'25-05'!D:D,0)</f>
        <v>0</v>
      </c>
      <c r="M5" s="67">
        <f t="array" ref="M5">_xlfn.XLOOKUP($B5&amp;M$3,'25-05'!B:B&amp;'25-05'!C:C,'25-05'!D:D,0)</f>
        <v>0</v>
      </c>
      <c r="N5" s="67">
        <f t="shared" ref="N5:N68" si="2">SUM(K5:M5)</f>
        <v>36</v>
      </c>
      <c r="O5" s="67">
        <f t="array" ref="O5">_xlfn.XLOOKUP($B5&amp;O$3,'26-06'!B:B&amp;'26-06'!C:C,'26-06'!D:D,0)</f>
        <v>13</v>
      </c>
      <c r="P5" s="67">
        <f t="array" ref="P5">_xlfn.XLOOKUP($B5&amp;P$3,'26-06'!B:B&amp;'26-06'!C:C,'26-06'!D:D,0)</f>
        <v>0</v>
      </c>
      <c r="Q5" s="67">
        <f t="array" ref="Q5">_xlfn.XLOOKUP($B5&amp;Q$3,'26-06'!B:B&amp;'26-06'!C:C,'26-06'!D:D,0)</f>
        <v>0</v>
      </c>
      <c r="R5" s="67">
        <f t="shared" ref="R5:R68" si="3">SUM(O5:Q5)</f>
        <v>13</v>
      </c>
      <c r="S5" s="67">
        <f t="array" ref="S5">_xlfn.XLOOKUP($B5&amp;S$3,'25-07'!B:B&amp;'25-07'!C:C,'25-07'!D:D,0)</f>
        <v>0</v>
      </c>
      <c r="T5" s="67">
        <f t="array" ref="T5">_xlfn.XLOOKUP($B5&amp;T$3,'25-07'!B:B&amp;'25-07'!C:C,'25-07'!D:D,0)</f>
        <v>0</v>
      </c>
      <c r="U5" s="67">
        <f t="array" ref="U5">_xlfn.XLOOKUP($B5&amp;U$3,'25-07'!B:B&amp;'25-07'!C:C,'25-07'!D:D,0)</f>
        <v>0</v>
      </c>
      <c r="V5" s="67">
        <f t="shared" ref="V5:V68" si="4">SUM(S5:U5)</f>
        <v>0</v>
      </c>
      <c r="W5" s="67">
        <f t="array" ref="W5">_xlfn.XLOOKUP($B5&amp;W$3,'25-08'!B:B&amp;'25-08'!C:C,'25-08'!D:D,0)</f>
        <v>79</v>
      </c>
      <c r="X5" s="67">
        <f t="array" ref="X5">_xlfn.XLOOKUP($B5&amp;X$3,'25-08'!B:B&amp;'25-08'!C:C,'25-08'!D:D,0)</f>
        <v>0</v>
      </c>
      <c r="Y5" s="67">
        <f t="array" ref="Y5">_xlfn.XLOOKUP($B5&amp;Y$3,'25-08'!B:B&amp;'25-08'!C:C,'25-08'!D:D,0)</f>
        <v>0</v>
      </c>
      <c r="Z5" s="67">
        <f t="shared" ref="Z5:Z68" si="5">SUM(W5:Y5)</f>
        <v>79</v>
      </c>
      <c r="AA5" s="67">
        <f t="array" ref="AA5">_xlfn.XLOOKUP($B5&amp;AA$3,'25-09'!B:B&amp;'25-09'!C:C,'25-09'!D:D,0)</f>
        <v>59</v>
      </c>
      <c r="AB5" s="67">
        <f t="array" ref="AB5">_xlfn.XLOOKUP($B5&amp;AB$3,'25-09'!B:B&amp;'25-09'!C:C,'25-09'!D:D,0)</f>
        <v>57</v>
      </c>
      <c r="AC5" s="67">
        <f t="array" ref="AC5">_xlfn.XLOOKUP($B5&amp;AC$3,'25-09'!B:B&amp;'25-09'!C:C,'25-09'!D:D,0)</f>
        <v>0</v>
      </c>
      <c r="AD5" s="67">
        <f t="shared" ref="AD5:AD68" si="6">SUM(AA5:AC5)</f>
        <v>116</v>
      </c>
      <c r="AE5" s="67">
        <f t="array" ref="AE5">_xlfn.XLOOKUP($B5&amp;AE$3,'25-10'!B:B&amp;'25-10'!C:C,'25-10'!D:D,0)</f>
        <v>19</v>
      </c>
      <c r="AF5" s="67">
        <f t="array" ref="AF5">_xlfn.XLOOKUP($B5&amp;AF$3,'25-10'!B:B&amp;'25-10'!C:C,'25-10'!D:D,0)</f>
        <v>39</v>
      </c>
      <c r="AG5" s="67">
        <f t="array" ref="AG5">_xlfn.XLOOKUP($B5&amp;AG$3,'25-10'!B:B&amp;'25-10'!C:C,'25-10'!D:D,0)</f>
        <v>0</v>
      </c>
      <c r="AH5" s="67">
        <f t="shared" ref="AH5:AH68" si="7">SUM(AE5:AG5)</f>
        <v>58</v>
      </c>
      <c r="AI5" s="67">
        <f t="array" ref="AI5">_xlfn.XLOOKUP($B5&amp;AI$3,'25-11'!B:B&amp;'25-11'!C:C,'25-11'!D:D,0)</f>
        <v>17</v>
      </c>
      <c r="AJ5" s="67">
        <f t="array" ref="AJ5">_xlfn.XLOOKUP($B5&amp;AJ$3,'25-11'!B:B&amp;'25-11'!C:C,'25-11'!D:D,0)</f>
        <v>66</v>
      </c>
      <c r="AK5" s="67">
        <f t="array" ref="AK5">_xlfn.XLOOKUP($B5&amp;AK$3,'25-11'!B:B&amp;'25-11'!C:C,'25-11'!D:D,0)</f>
        <v>0</v>
      </c>
      <c r="AL5" s="67">
        <f t="shared" ref="AL5:AL68" si="8">SUM(AI5:AK5)</f>
        <v>83</v>
      </c>
      <c r="AM5" s="67">
        <f t="array" ref="AM5">_xlfn.XLOOKUP($B5&amp;AM$3,'25-12'!B:B&amp;'25-12'!C:C,'25-12'!D:D,0)</f>
        <v>39</v>
      </c>
      <c r="AN5" s="67">
        <f t="array" ref="AN5">_xlfn.XLOOKUP($B5&amp;AN$3,'25-12'!B:B&amp;'25-12'!C:C,'25-12'!D:D,0)</f>
        <v>102</v>
      </c>
      <c r="AO5" s="67">
        <f t="array" ref="AO5">_xlfn.XLOOKUP($B5&amp;AO$3,'25-12'!B:B&amp;'25-12'!C:C,'25-12'!D:D,0)</f>
        <v>0</v>
      </c>
      <c r="AP5" s="67">
        <f t="shared" ref="AP5:AP36" si="9">SUM(AM5:AO5)</f>
        <v>141</v>
      </c>
      <c r="AQ5" s="67">
        <f t="array" ref="AQ5">_xlfn.XLOOKUP($B5&amp;AQ$3,'26-01'!B:B&amp;'26-01'!C:C,'26-01'!D:D,0)</f>
        <v>45</v>
      </c>
      <c r="AR5" s="67">
        <f t="array" ref="AR5">_xlfn.XLOOKUP($B5&amp;AR$3,'26-01'!B:B&amp;'26-01'!C:C,'26-01'!D:D,0)</f>
        <v>72</v>
      </c>
      <c r="AS5" s="67">
        <f t="array" ref="AS5">_xlfn.XLOOKUP($B5&amp;AS$3,'26-01'!B:B&amp;'26-01'!C:C,'26-01'!D:D,0)</f>
        <v>0</v>
      </c>
      <c r="AT5" s="67">
        <f t="shared" ref="AT5:AT68" si="10">SUM(AQ5:AS5)</f>
        <v>117</v>
      </c>
      <c r="AU5" s="67" cm="1">
        <f t="array" ref="AU5">_xlfn.XLOOKUP($B5&amp;AU$3,'26-02'!B:B&amp;'26-02'!C:C,'26-02'!D:D,0)</f>
        <v>44</v>
      </c>
      <c r="AV5" s="67" cm="1">
        <f t="array" ref="AV5">_xlfn.XLOOKUP($B5&amp;AV$3,'26-02'!B:B&amp;'26-02'!C:C,'26-02'!D:D,0)</f>
        <v>62</v>
      </c>
      <c r="AW5" s="67" cm="1">
        <f t="array" ref="AW5">_xlfn.XLOOKUP($B5&amp;AW$3,'26-02'!B:B&amp;'26-02'!C:C,'26-02'!D:D,0)</f>
        <v>0</v>
      </c>
      <c r="AX5" s="67">
        <f t="shared" ref="AX5:AX68" si="11">SUM(AU5:AW5)</f>
        <v>106</v>
      </c>
      <c r="AY5" s="36">
        <f t="shared" ref="AY5:AY68" si="12">SUM(AX5,AT5,AP5,AL5,AH5,AD5,Z5,V5,R5,N5,J5,F5)</f>
        <v>764</v>
      </c>
      <c r="AZ5" s="36">
        <f t="shared" ref="AZ5:AZ68" si="13">AVERAGE(AX5,AT5,AP5,AL5,AH5,AD5)</f>
        <v>103.5</v>
      </c>
      <c r="BA5" s="36">
        <f>AVERAGE(AX5,AT5,AP5,AL5,AH5,AD5,Z5,V5,R5,N5,J5)</f>
        <v>68.4545454545455</v>
      </c>
      <c r="BB5" s="37">
        <f t="shared" ref="BB5:BB68" si="14">AVERAGE(AU5,AQ5,AM5,AI5,AE5,AA5)</f>
        <v>37.1666666666667</v>
      </c>
      <c r="BC5" s="37">
        <f t="shared" ref="BC5:BC68" si="15">AVERAGE(AU5,AQ5,AM5,AI5,AE5,AA5,W5,S5,O5,K5,G5)</f>
        <v>32.2727272727273</v>
      </c>
      <c r="BD5" s="37">
        <f t="shared" ref="BD5:BD68" si="16">BK5</f>
        <v>8</v>
      </c>
      <c r="BE5" s="37">
        <f t="shared" ref="BE5:BE68" si="17">AVERAGE(AV5,AR5,AN5,AJ5,AF5,AB5)</f>
        <v>66.3333333333333</v>
      </c>
      <c r="BF5" s="37">
        <f t="shared" ref="BF5:BF68" si="18">AVERAGE(AV5,AR5,AN5,AJ5,AF5,AB5)</f>
        <v>66.3333333333333</v>
      </c>
      <c r="BG5" s="37">
        <f t="shared" ref="BG5:BG68" si="19">BL5</f>
        <v>112</v>
      </c>
      <c r="BH5" s="68">
        <f t="shared" ref="BH5:BH68" si="20">AVERAGE(AW5,AS5,AO5,AK5,AG5,AC5)</f>
        <v>0</v>
      </c>
      <c r="BI5" s="37">
        <f t="shared" ref="BI5:BI68" si="21">AVERAGE(AW5,AS5,AO5,AK5,AG5,AC5)</f>
        <v>0</v>
      </c>
      <c r="BJ5" s="37">
        <f t="shared" ref="BJ5:BJ68" si="22">BM5</f>
        <v>60</v>
      </c>
      <c r="BK5" s="38">
        <f>_xlfn.XLOOKUP($B5,'BCS-1-KLG'!C:C,'BCS-1-KLG'!E:E,0)</f>
        <v>8</v>
      </c>
      <c r="BL5" s="38">
        <f>_xlfn.XLOOKUP($B5,'BCS-2 PIK 2'!C:C,'BCS-2 PIK 2'!E:E,0)</f>
        <v>112</v>
      </c>
      <c r="BM5" s="38">
        <f>_xlfn.XLOOKUP($B5,'BCS HO'!C:C,'BCS HO'!E:E,0)</f>
        <v>60</v>
      </c>
      <c r="BN5" s="38">
        <f t="shared" ref="BN5:BN68" si="23">SUM(BK5:BM5)</f>
        <v>180</v>
      </c>
    </row>
    <row r="6" s="33" customFormat="1" customHeight="1" spans="1:66">
      <c r="A6" s="34">
        <v>3</v>
      </c>
      <c r="B6" s="66" t="s">
        <v>102</v>
      </c>
      <c r="C6" s="67">
        <f t="array" ref="C6">_xlfn.XLOOKUP($B6&amp;$C$3,'25-03'!B:B&amp;'25-03'!C:C,'25-03'!D:D,0)</f>
        <v>3</v>
      </c>
      <c r="D6" s="67">
        <f t="array" ref="D6">_xlfn.XLOOKUP($B6&amp;$D$3,'25-03'!B:B&amp;'25-03'!C:C,'25-03'!D:D,0)</f>
        <v>0</v>
      </c>
      <c r="E6" s="67">
        <f t="array" ref="E6">_xlfn.XLOOKUP($B6&amp;E$3,'25-03'!B:B&amp;'25-03'!C:C,'25-03'!D:D,0)</f>
        <v>0</v>
      </c>
      <c r="F6" s="67">
        <f t="shared" si="0"/>
        <v>3</v>
      </c>
      <c r="G6" s="67">
        <f t="array" ref="G6">_xlfn.XLOOKUP($B6&amp;G$3,'25-04'!B:B&amp;'25-04'!C:C,'25-04'!D:D,0)</f>
        <v>0</v>
      </c>
      <c r="H6" s="67">
        <f t="array" ref="H6">_xlfn.XLOOKUP($B6&amp;H$3,'25-04'!B:B&amp;'25-04'!C:C,'25-04'!D:D,0)</f>
        <v>0</v>
      </c>
      <c r="I6" s="67">
        <f t="array" ref="I6">_xlfn.XLOOKUP($B6&amp;I$3,'25-04'!B:B&amp;'25-04'!C:C,'25-04'!D:D,0)</f>
        <v>0</v>
      </c>
      <c r="J6" s="67">
        <f t="shared" si="1"/>
        <v>0</v>
      </c>
      <c r="K6" s="67">
        <f t="array" ref="K6">_xlfn.XLOOKUP($B6&amp;K$3,'25-05'!B:B&amp;'25-05'!C:C,'25-05'!D:D,0)</f>
        <v>24</v>
      </c>
      <c r="L6" s="67">
        <f t="array" ref="L6">_xlfn.XLOOKUP($B6&amp;L$3,'25-05'!B:B&amp;'25-05'!C:C,'25-05'!D:D,0)</f>
        <v>0</v>
      </c>
      <c r="M6" s="67">
        <f t="array" ref="M6">_xlfn.XLOOKUP($B6&amp;M$3,'25-05'!B:B&amp;'25-05'!C:C,'25-05'!D:D,0)</f>
        <v>0</v>
      </c>
      <c r="N6" s="67">
        <f t="shared" si="2"/>
        <v>24</v>
      </c>
      <c r="O6" s="67">
        <f t="array" ref="O6">_xlfn.XLOOKUP($B6&amp;O$3,'26-06'!B:B&amp;'26-06'!C:C,'26-06'!D:D,0)</f>
        <v>14</v>
      </c>
      <c r="P6" s="67">
        <f t="array" ref="P6">_xlfn.XLOOKUP($B6&amp;P$3,'26-06'!B:B&amp;'26-06'!C:C,'26-06'!D:D,0)</f>
        <v>0</v>
      </c>
      <c r="Q6" s="67">
        <f t="array" ref="Q6">_xlfn.XLOOKUP($B6&amp;Q$3,'26-06'!B:B&amp;'26-06'!C:C,'26-06'!D:D,0)</f>
        <v>0</v>
      </c>
      <c r="R6" s="67">
        <f t="shared" si="3"/>
        <v>14</v>
      </c>
      <c r="S6" s="67">
        <f t="array" ref="S6">_xlfn.XLOOKUP($B6&amp;S$3,'25-07'!B:B&amp;'25-07'!C:C,'25-07'!D:D,0)</f>
        <v>65</v>
      </c>
      <c r="T6" s="67">
        <f t="array" ref="T6">_xlfn.XLOOKUP($B6&amp;T$3,'25-07'!B:B&amp;'25-07'!C:C,'25-07'!D:D,0)</f>
        <v>0</v>
      </c>
      <c r="U6" s="67">
        <f t="array" ref="U6">_xlfn.XLOOKUP($B6&amp;U$3,'25-07'!B:B&amp;'25-07'!C:C,'25-07'!D:D,0)</f>
        <v>0</v>
      </c>
      <c r="V6" s="67">
        <f t="shared" si="4"/>
        <v>65</v>
      </c>
      <c r="W6" s="67">
        <f t="array" ref="W6">_xlfn.XLOOKUP($B6&amp;W$3,'25-08'!B:B&amp;'25-08'!C:C,'25-08'!D:D,0)</f>
        <v>108</v>
      </c>
      <c r="X6" s="67">
        <f t="array" ref="X6">_xlfn.XLOOKUP($B6&amp;X$3,'25-08'!B:B&amp;'25-08'!C:C,'25-08'!D:D,0)</f>
        <v>0</v>
      </c>
      <c r="Y6" s="67">
        <f t="array" ref="Y6">_xlfn.XLOOKUP($B6&amp;Y$3,'25-08'!B:B&amp;'25-08'!C:C,'25-08'!D:D,0)</f>
        <v>0</v>
      </c>
      <c r="Z6" s="67">
        <f t="shared" si="5"/>
        <v>108</v>
      </c>
      <c r="AA6" s="67">
        <f t="array" ref="AA6">_xlfn.XLOOKUP($B6&amp;AA$3,'25-09'!B:B&amp;'25-09'!C:C,'25-09'!D:D,0)</f>
        <v>52</v>
      </c>
      <c r="AB6" s="67">
        <f t="array" ref="AB6">_xlfn.XLOOKUP($B6&amp;AB$3,'25-09'!B:B&amp;'25-09'!C:C,'25-09'!D:D,0)</f>
        <v>0</v>
      </c>
      <c r="AC6" s="67">
        <f t="array" ref="AC6">_xlfn.XLOOKUP($B6&amp;AC$3,'25-09'!B:B&amp;'25-09'!C:C,'25-09'!D:D,0)</f>
        <v>0</v>
      </c>
      <c r="AD6" s="67">
        <f t="shared" si="6"/>
        <v>52</v>
      </c>
      <c r="AE6" s="67">
        <f t="array" ref="AE6">_xlfn.XLOOKUP($B6&amp;AE$3,'25-10'!B:B&amp;'25-10'!C:C,'25-10'!D:D,0)</f>
        <v>18</v>
      </c>
      <c r="AF6" s="67">
        <f t="array" ref="AF6">_xlfn.XLOOKUP($B6&amp;AF$3,'25-10'!B:B&amp;'25-10'!C:C,'25-10'!D:D,0)</f>
        <v>0</v>
      </c>
      <c r="AG6" s="67">
        <f t="array" ref="AG6">_xlfn.XLOOKUP($B6&amp;AG$3,'25-10'!B:B&amp;'25-10'!C:C,'25-10'!D:D,0)</f>
        <v>0</v>
      </c>
      <c r="AH6" s="67">
        <f t="shared" si="7"/>
        <v>18</v>
      </c>
      <c r="AI6" s="67">
        <f t="array" ref="AI6">_xlfn.XLOOKUP($B6&amp;AI$3,'25-11'!B:B&amp;'25-11'!C:C,'25-11'!D:D,0)</f>
        <v>4</v>
      </c>
      <c r="AJ6" s="67">
        <f t="array" ref="AJ6">_xlfn.XLOOKUP($B6&amp;AJ$3,'25-11'!B:B&amp;'25-11'!C:C,'25-11'!D:D,0)</f>
        <v>0</v>
      </c>
      <c r="AK6" s="67">
        <f t="array" ref="AK6">_xlfn.XLOOKUP($B6&amp;AK$3,'25-11'!B:B&amp;'25-11'!C:C,'25-11'!D:D,0)</f>
        <v>0</v>
      </c>
      <c r="AL6" s="67">
        <f t="shared" si="8"/>
        <v>4</v>
      </c>
      <c r="AM6" s="67">
        <f t="array" ref="AM6">_xlfn.XLOOKUP($B6&amp;AM$3,'25-12'!B:B&amp;'25-12'!C:C,'25-12'!D:D,0)</f>
        <v>6</v>
      </c>
      <c r="AN6" s="67">
        <f t="array" ref="AN6">_xlfn.XLOOKUP($B6&amp;AN$3,'25-12'!B:B&amp;'25-12'!C:C,'25-12'!D:D,0)</f>
        <v>0</v>
      </c>
      <c r="AO6" s="67">
        <f t="array" ref="AO6">_xlfn.XLOOKUP($B6&amp;AO$3,'25-12'!B:B&amp;'25-12'!C:C,'25-12'!D:D,0)</f>
        <v>0</v>
      </c>
      <c r="AP6" s="67">
        <f t="shared" si="9"/>
        <v>6</v>
      </c>
      <c r="AQ6" s="67">
        <f t="array" ref="AQ6">_xlfn.XLOOKUP($B6&amp;AQ$3,'26-01'!B:B&amp;'26-01'!C:C,'26-01'!D:D,0)</f>
        <v>0</v>
      </c>
      <c r="AR6" s="67">
        <f t="array" ref="AR6">_xlfn.XLOOKUP($B6&amp;AR$3,'26-01'!B:B&amp;'26-01'!C:C,'26-01'!D:D,0)</f>
        <v>8</v>
      </c>
      <c r="AS6" s="67">
        <f t="array" ref="AS6">_xlfn.XLOOKUP($B6&amp;AS$3,'26-01'!B:B&amp;'26-01'!C:C,'26-01'!D:D,0)</f>
        <v>0</v>
      </c>
      <c r="AT6" s="67">
        <f t="shared" si="10"/>
        <v>8</v>
      </c>
      <c r="AU6" s="67" cm="1">
        <f t="array" ref="AU6">_xlfn.XLOOKUP($B6&amp;AU$3,'26-02'!B:B&amp;'26-02'!C:C,'26-02'!D:D,0)</f>
        <v>11</v>
      </c>
      <c r="AV6" s="67" cm="1">
        <f t="array" ref="AV6">_xlfn.XLOOKUP($B6&amp;AV$3,'26-02'!B:B&amp;'26-02'!C:C,'26-02'!D:D,0)</f>
        <v>11</v>
      </c>
      <c r="AW6" s="67" cm="1">
        <f t="array" ref="AW6">_xlfn.XLOOKUP($B6&amp;AW$3,'26-02'!B:B&amp;'26-02'!C:C,'26-02'!D:D,0)</f>
        <v>0</v>
      </c>
      <c r="AX6" s="67">
        <f t="shared" si="11"/>
        <v>22</v>
      </c>
      <c r="AY6" s="36">
        <f t="shared" si="12"/>
        <v>324</v>
      </c>
      <c r="AZ6" s="36">
        <f t="shared" si="13"/>
        <v>18.3333333333333</v>
      </c>
      <c r="BA6" s="36">
        <f t="shared" ref="BA6:BA69" si="24">AVERAGE(AX6,AT6,AP6,AL6,AH6,AD6,Z6,V6,R6,N6,J6)</f>
        <v>29.1818181818182</v>
      </c>
      <c r="BB6" s="37">
        <f t="shared" si="14"/>
        <v>15.1666666666667</v>
      </c>
      <c r="BC6" s="37">
        <f t="shared" si="15"/>
        <v>27.4545454545455</v>
      </c>
      <c r="BD6" s="37">
        <f t="shared" si="16"/>
        <v>25</v>
      </c>
      <c r="BE6" s="37">
        <f t="shared" si="17"/>
        <v>3.16666666666667</v>
      </c>
      <c r="BF6" s="37">
        <f t="shared" si="18"/>
        <v>3.16666666666667</v>
      </c>
      <c r="BG6" s="37">
        <f t="shared" si="19"/>
        <v>17</v>
      </c>
      <c r="BH6" s="68">
        <f t="shared" si="20"/>
        <v>0</v>
      </c>
      <c r="BI6" s="37">
        <f t="shared" si="21"/>
        <v>0</v>
      </c>
      <c r="BJ6" s="37">
        <f t="shared" si="22"/>
        <v>36</v>
      </c>
      <c r="BK6" s="38">
        <f>_xlfn.XLOOKUP($B6,'BCS-1-KLG'!C:C,'BCS-1-KLG'!E:E,0)</f>
        <v>25</v>
      </c>
      <c r="BL6" s="38">
        <f>_xlfn.XLOOKUP($B6,'BCS-2 PIK 2'!C:C,'BCS-2 PIK 2'!E:E,0)</f>
        <v>17</v>
      </c>
      <c r="BM6" s="38">
        <f>_xlfn.XLOOKUP($B6,'BCS HO'!C:C,'BCS HO'!E:E,0)</f>
        <v>36</v>
      </c>
      <c r="BN6" s="38">
        <f t="shared" si="23"/>
        <v>78</v>
      </c>
    </row>
    <row r="7" s="33" customFormat="1" customHeight="1" spans="1:66">
      <c r="A7" s="34">
        <v>4</v>
      </c>
      <c r="B7" s="66" t="s">
        <v>122</v>
      </c>
      <c r="C7" s="67">
        <f t="array" ref="C7">_xlfn.XLOOKUP($B7&amp;$C$3,'25-03'!B:B&amp;'25-03'!C:C,'25-03'!D:D,0)</f>
        <v>0</v>
      </c>
      <c r="D7" s="67">
        <f t="array" ref="D7">_xlfn.XLOOKUP($B7&amp;$D$3,'25-03'!B:B&amp;'25-03'!C:C,'25-03'!D:D,0)</f>
        <v>0</v>
      </c>
      <c r="E7" s="67">
        <f t="array" ref="E7">_xlfn.XLOOKUP($B7&amp;E$3,'25-03'!B:B&amp;'25-03'!C:C,'25-03'!D:D,0)</f>
        <v>0</v>
      </c>
      <c r="F7" s="67">
        <f t="shared" si="0"/>
        <v>0</v>
      </c>
      <c r="G7" s="67">
        <f t="array" ref="G7">_xlfn.XLOOKUP($B7&amp;G$3,'25-04'!B:B&amp;'25-04'!C:C,'25-04'!D:D,0)</f>
        <v>0</v>
      </c>
      <c r="H7" s="67">
        <f t="array" ref="H7">_xlfn.XLOOKUP($B7&amp;H$3,'25-04'!B:B&amp;'25-04'!C:C,'25-04'!D:D,0)</f>
        <v>0</v>
      </c>
      <c r="I7" s="67">
        <f t="array" ref="I7">_xlfn.XLOOKUP($B7&amp;I$3,'25-04'!B:B&amp;'25-04'!C:C,'25-04'!D:D,0)</f>
        <v>0</v>
      </c>
      <c r="J7" s="67">
        <f t="shared" si="1"/>
        <v>0</v>
      </c>
      <c r="K7" s="67">
        <f t="array" ref="K7">_xlfn.XLOOKUP($B7&amp;K$3,'25-05'!B:B&amp;'25-05'!C:C,'25-05'!D:D,0)</f>
        <v>0</v>
      </c>
      <c r="L7" s="67">
        <f t="array" ref="L7">_xlfn.XLOOKUP($B7&amp;L$3,'25-05'!B:B&amp;'25-05'!C:C,'25-05'!D:D,0)</f>
        <v>0</v>
      </c>
      <c r="M7" s="67">
        <f t="array" ref="M7">_xlfn.XLOOKUP($B7&amp;M$3,'25-05'!B:B&amp;'25-05'!C:C,'25-05'!D:D,0)</f>
        <v>0</v>
      </c>
      <c r="N7" s="67">
        <f t="shared" si="2"/>
        <v>0</v>
      </c>
      <c r="O7" s="67">
        <f t="array" ref="O7">_xlfn.XLOOKUP($B7&amp;O$3,'26-06'!B:B&amp;'26-06'!C:C,'26-06'!D:D,0)</f>
        <v>13</v>
      </c>
      <c r="P7" s="67">
        <f t="array" ref="P7">_xlfn.XLOOKUP($B7&amp;P$3,'26-06'!B:B&amp;'26-06'!C:C,'26-06'!D:D,0)</f>
        <v>0</v>
      </c>
      <c r="Q7" s="67">
        <f t="array" ref="Q7">_xlfn.XLOOKUP($B7&amp;Q$3,'26-06'!B:B&amp;'26-06'!C:C,'26-06'!D:D,0)</f>
        <v>0</v>
      </c>
      <c r="R7" s="67">
        <f t="shared" si="3"/>
        <v>13</v>
      </c>
      <c r="S7" s="67">
        <f t="array" ref="S7">_xlfn.XLOOKUP($B7&amp;S$3,'25-07'!B:B&amp;'25-07'!C:C,'25-07'!D:D,0)</f>
        <v>24</v>
      </c>
      <c r="T7" s="67">
        <f t="array" ref="T7">_xlfn.XLOOKUP($B7&amp;T$3,'25-07'!B:B&amp;'25-07'!C:C,'25-07'!D:D,0)</f>
        <v>0</v>
      </c>
      <c r="U7" s="67">
        <f t="array" ref="U7">_xlfn.XLOOKUP($B7&amp;U$3,'25-07'!B:B&amp;'25-07'!C:C,'25-07'!D:D,0)</f>
        <v>0</v>
      </c>
      <c r="V7" s="67">
        <f t="shared" si="4"/>
        <v>24</v>
      </c>
      <c r="W7" s="67">
        <f t="array" ref="W7">_xlfn.XLOOKUP($B7&amp;W$3,'25-08'!B:B&amp;'25-08'!C:C,'25-08'!D:D,0)</f>
        <v>8</v>
      </c>
      <c r="X7" s="67">
        <f t="array" ref="X7">_xlfn.XLOOKUP($B7&amp;X$3,'25-08'!B:B&amp;'25-08'!C:C,'25-08'!D:D,0)</f>
        <v>0</v>
      </c>
      <c r="Y7" s="67">
        <f t="array" ref="Y7">_xlfn.XLOOKUP($B7&amp;Y$3,'25-08'!B:B&amp;'25-08'!C:C,'25-08'!D:D,0)</f>
        <v>0</v>
      </c>
      <c r="Z7" s="67">
        <f t="shared" si="5"/>
        <v>8</v>
      </c>
      <c r="AA7" s="67">
        <f t="array" ref="AA7">_xlfn.XLOOKUP($B7&amp;AA$3,'25-09'!B:B&amp;'25-09'!C:C,'25-09'!D:D,0)</f>
        <v>4</v>
      </c>
      <c r="AB7" s="67">
        <f t="array" ref="AB7">_xlfn.XLOOKUP($B7&amp;AB$3,'25-09'!B:B&amp;'25-09'!C:C,'25-09'!D:D,0)</f>
        <v>0</v>
      </c>
      <c r="AC7" s="67">
        <f t="array" ref="AC7">_xlfn.XLOOKUP($B7&amp;AC$3,'25-09'!B:B&amp;'25-09'!C:C,'25-09'!D:D,0)</f>
        <v>0</v>
      </c>
      <c r="AD7" s="67">
        <f t="shared" si="6"/>
        <v>4</v>
      </c>
      <c r="AE7" s="67">
        <f t="array" ref="AE7">_xlfn.XLOOKUP($B7&amp;AE$3,'25-10'!B:B&amp;'25-10'!C:C,'25-10'!D:D,0)</f>
        <v>1</v>
      </c>
      <c r="AF7" s="67">
        <f t="array" ref="AF7">_xlfn.XLOOKUP($B7&amp;AF$3,'25-10'!B:B&amp;'25-10'!C:C,'25-10'!D:D,0)</f>
        <v>0</v>
      </c>
      <c r="AG7" s="67">
        <f t="array" ref="AG7">_xlfn.XLOOKUP($B7&amp;AG$3,'25-10'!B:B&amp;'25-10'!C:C,'25-10'!D:D,0)</f>
        <v>0</v>
      </c>
      <c r="AH7" s="67">
        <f t="shared" si="7"/>
        <v>1</v>
      </c>
      <c r="AI7" s="67">
        <f t="array" ref="AI7">_xlfn.XLOOKUP($B7&amp;AI$3,'25-11'!B:B&amp;'25-11'!C:C,'25-11'!D:D,0)</f>
        <v>0</v>
      </c>
      <c r="AJ7" s="67">
        <f t="array" ref="AJ7">_xlfn.XLOOKUP($B7&amp;AJ$3,'25-11'!B:B&amp;'25-11'!C:C,'25-11'!D:D,0)</f>
        <v>0</v>
      </c>
      <c r="AK7" s="67">
        <f t="array" ref="AK7">_xlfn.XLOOKUP($B7&amp;AK$3,'25-11'!B:B&amp;'25-11'!C:C,'25-11'!D:D,0)</f>
        <v>0</v>
      </c>
      <c r="AL7" s="67">
        <f t="shared" si="8"/>
        <v>0</v>
      </c>
      <c r="AM7" s="67">
        <f t="array" ref="AM7">_xlfn.XLOOKUP($B7&amp;AM$3,'25-12'!B:B&amp;'25-12'!C:C,'25-12'!D:D,0)</f>
        <v>0</v>
      </c>
      <c r="AN7" s="67">
        <f t="array" ref="AN7">_xlfn.XLOOKUP($B7&amp;AN$3,'25-12'!B:B&amp;'25-12'!C:C,'25-12'!D:D,0)</f>
        <v>0</v>
      </c>
      <c r="AO7" s="67">
        <f t="array" ref="AO7">_xlfn.XLOOKUP($B7&amp;AO$3,'25-12'!B:B&amp;'25-12'!C:C,'25-12'!D:D,0)</f>
        <v>0</v>
      </c>
      <c r="AP7" s="67">
        <f t="shared" si="9"/>
        <v>0</v>
      </c>
      <c r="AQ7" s="67">
        <f t="array" ref="AQ7">_xlfn.XLOOKUP($B7&amp;AQ$3,'26-01'!B:B&amp;'26-01'!C:C,'26-01'!D:D,0)</f>
        <v>0</v>
      </c>
      <c r="AR7" s="67">
        <f t="array" ref="AR7">_xlfn.XLOOKUP($B7&amp;AR$3,'26-01'!B:B&amp;'26-01'!C:C,'26-01'!D:D,0)</f>
        <v>12</v>
      </c>
      <c r="AS7" s="67">
        <f t="array" ref="AS7">_xlfn.XLOOKUP($B7&amp;AS$3,'26-01'!B:B&amp;'26-01'!C:C,'26-01'!D:D,0)</f>
        <v>0</v>
      </c>
      <c r="AT7" s="67">
        <f t="shared" si="10"/>
        <v>12</v>
      </c>
      <c r="AU7" s="67" cm="1">
        <f t="array" ref="AU7">_xlfn.XLOOKUP($B7&amp;AU$3,'26-02'!B:B&amp;'26-02'!C:C,'26-02'!D:D,0)</f>
        <v>0</v>
      </c>
      <c r="AV7" s="67" cm="1">
        <f t="array" ref="AV7">_xlfn.XLOOKUP($B7&amp;AV$3,'26-02'!B:B&amp;'26-02'!C:C,'26-02'!D:D,0)</f>
        <v>12</v>
      </c>
      <c r="AW7" s="67" cm="1">
        <f t="array" ref="AW7">_xlfn.XLOOKUP($B7&amp;AW$3,'26-02'!B:B&amp;'26-02'!C:C,'26-02'!D:D,0)</f>
        <v>0</v>
      </c>
      <c r="AX7" s="67">
        <f t="shared" si="11"/>
        <v>12</v>
      </c>
      <c r="AY7" s="36">
        <f t="shared" si="12"/>
        <v>74</v>
      </c>
      <c r="AZ7" s="36">
        <f t="shared" si="13"/>
        <v>4.83333333333333</v>
      </c>
      <c r="BA7" s="36">
        <f t="shared" si="24"/>
        <v>6.72727272727273</v>
      </c>
      <c r="BB7" s="37">
        <f t="shared" si="14"/>
        <v>0.833333333333333</v>
      </c>
      <c r="BC7" s="37">
        <f t="shared" si="15"/>
        <v>4.54545454545455</v>
      </c>
      <c r="BD7" s="37">
        <f t="shared" si="16"/>
        <v>20</v>
      </c>
      <c r="BE7" s="37">
        <f t="shared" si="17"/>
        <v>4</v>
      </c>
      <c r="BF7" s="37">
        <f t="shared" si="18"/>
        <v>4</v>
      </c>
      <c r="BG7" s="37">
        <f t="shared" si="19"/>
        <v>36</v>
      </c>
      <c r="BH7" s="68">
        <f t="shared" si="20"/>
        <v>0</v>
      </c>
      <c r="BI7" s="37">
        <f t="shared" si="21"/>
        <v>0</v>
      </c>
      <c r="BJ7" s="37">
        <f t="shared" si="22"/>
        <v>1</v>
      </c>
      <c r="BK7" s="38">
        <f>_xlfn.XLOOKUP($B7,'BCS-1-KLG'!C:C,'BCS-1-KLG'!E:E,0)</f>
        <v>20</v>
      </c>
      <c r="BL7" s="38">
        <f>_xlfn.XLOOKUP($B7,'BCS-2 PIK 2'!C:C,'BCS-2 PIK 2'!E:E,0)</f>
        <v>36</v>
      </c>
      <c r="BM7" s="38">
        <f>_xlfn.XLOOKUP($B7,'BCS HO'!C:C,'BCS HO'!E:E,0)</f>
        <v>1</v>
      </c>
      <c r="BN7" s="38">
        <f t="shared" si="23"/>
        <v>57</v>
      </c>
    </row>
    <row r="8" s="33" customFormat="1" customHeight="1" spans="1:66">
      <c r="A8" s="34">
        <v>5</v>
      </c>
      <c r="B8" s="66" t="s">
        <v>120</v>
      </c>
      <c r="C8" s="67">
        <f t="array" ref="C8">_xlfn.XLOOKUP($B8&amp;$C$3,'25-03'!B:B&amp;'25-03'!C:C,'25-03'!D:D,0)</f>
        <v>4</v>
      </c>
      <c r="D8" s="67">
        <f t="array" ref="D8">_xlfn.XLOOKUP($B8&amp;$D$3,'25-03'!B:B&amp;'25-03'!C:C,'25-03'!D:D,0)</f>
        <v>0</v>
      </c>
      <c r="E8" s="67">
        <f t="array" ref="E8">_xlfn.XLOOKUP($B8&amp;E$3,'25-03'!B:B&amp;'25-03'!C:C,'25-03'!D:D,0)</f>
        <v>0</v>
      </c>
      <c r="F8" s="67">
        <f t="shared" si="0"/>
        <v>4</v>
      </c>
      <c r="G8" s="67">
        <f t="array" ref="G8">_xlfn.XLOOKUP($B8&amp;G$3,'25-04'!B:B&amp;'25-04'!C:C,'25-04'!D:D,0)</f>
        <v>0</v>
      </c>
      <c r="H8" s="67">
        <f t="array" ref="H8">_xlfn.XLOOKUP($B8&amp;H$3,'25-04'!B:B&amp;'25-04'!C:C,'25-04'!D:D,0)</f>
        <v>0</v>
      </c>
      <c r="I8" s="67">
        <f t="array" ref="I8">_xlfn.XLOOKUP($B8&amp;I$3,'25-04'!B:B&amp;'25-04'!C:C,'25-04'!D:D,0)</f>
        <v>0</v>
      </c>
      <c r="J8" s="67">
        <f t="shared" si="1"/>
        <v>0</v>
      </c>
      <c r="K8" s="67">
        <f t="array" ref="K8">_xlfn.XLOOKUP($B8&amp;K$3,'25-05'!B:B&amp;'25-05'!C:C,'25-05'!D:D,0)</f>
        <v>32</v>
      </c>
      <c r="L8" s="67">
        <f t="array" ref="L8">_xlfn.XLOOKUP($B8&amp;L$3,'25-05'!B:B&amp;'25-05'!C:C,'25-05'!D:D,0)</f>
        <v>0</v>
      </c>
      <c r="M8" s="67">
        <f t="array" ref="M8">_xlfn.XLOOKUP($B8&amp;M$3,'25-05'!B:B&amp;'25-05'!C:C,'25-05'!D:D,0)</f>
        <v>0</v>
      </c>
      <c r="N8" s="67">
        <f t="shared" si="2"/>
        <v>32</v>
      </c>
      <c r="O8" s="67">
        <f t="array" ref="O8">_xlfn.XLOOKUP($B8&amp;O$3,'26-06'!B:B&amp;'26-06'!C:C,'26-06'!D:D,0)</f>
        <v>20</v>
      </c>
      <c r="P8" s="67">
        <f t="array" ref="P8">_xlfn.XLOOKUP($B8&amp;P$3,'26-06'!B:B&amp;'26-06'!C:C,'26-06'!D:D,0)</f>
        <v>0</v>
      </c>
      <c r="Q8" s="67">
        <f t="array" ref="Q8">_xlfn.XLOOKUP($B8&amp;Q$3,'26-06'!B:B&amp;'26-06'!C:C,'26-06'!D:D,0)</f>
        <v>0</v>
      </c>
      <c r="R8" s="67">
        <f t="shared" si="3"/>
        <v>20</v>
      </c>
      <c r="S8" s="67">
        <f t="array" ref="S8">_xlfn.XLOOKUP($B8&amp;S$3,'25-07'!B:B&amp;'25-07'!C:C,'25-07'!D:D,0)</f>
        <v>36</v>
      </c>
      <c r="T8" s="67">
        <f t="array" ref="T8">_xlfn.XLOOKUP($B8&amp;T$3,'25-07'!B:B&amp;'25-07'!C:C,'25-07'!D:D,0)</f>
        <v>0</v>
      </c>
      <c r="U8" s="67">
        <f t="array" ref="U8">_xlfn.XLOOKUP($B8&amp;U$3,'25-07'!B:B&amp;'25-07'!C:C,'25-07'!D:D,0)</f>
        <v>0</v>
      </c>
      <c r="V8" s="67">
        <f t="shared" si="4"/>
        <v>36</v>
      </c>
      <c r="W8" s="67">
        <f t="array" ref="W8">_xlfn.XLOOKUP($B8&amp;W$3,'25-08'!B:B&amp;'25-08'!C:C,'25-08'!D:D,0)</f>
        <v>68</v>
      </c>
      <c r="X8" s="67">
        <f t="array" ref="X8">_xlfn.XLOOKUP($B8&amp;X$3,'25-08'!B:B&amp;'25-08'!C:C,'25-08'!D:D,0)</f>
        <v>0</v>
      </c>
      <c r="Y8" s="67">
        <f t="array" ref="Y8">_xlfn.XLOOKUP($B8&amp;Y$3,'25-08'!B:B&amp;'25-08'!C:C,'25-08'!D:D,0)</f>
        <v>0</v>
      </c>
      <c r="Z8" s="67">
        <f t="shared" si="5"/>
        <v>68</v>
      </c>
      <c r="AA8" s="67">
        <f t="array" ref="AA8">_xlfn.XLOOKUP($B8&amp;AA$3,'25-09'!B:B&amp;'25-09'!C:C,'25-09'!D:D,0)</f>
        <v>8</v>
      </c>
      <c r="AB8" s="67">
        <f t="array" ref="AB8">_xlfn.XLOOKUP($B8&amp;AB$3,'25-09'!B:B&amp;'25-09'!C:C,'25-09'!D:D,0)</f>
        <v>12</v>
      </c>
      <c r="AC8" s="67">
        <f t="array" ref="AC8">_xlfn.XLOOKUP($B8&amp;AC$3,'25-09'!B:B&amp;'25-09'!C:C,'25-09'!D:D,0)</f>
        <v>0</v>
      </c>
      <c r="AD8" s="67">
        <f t="shared" si="6"/>
        <v>20</v>
      </c>
      <c r="AE8" s="67">
        <f t="array" ref="AE8">_xlfn.XLOOKUP($B8&amp;AE$3,'25-10'!B:B&amp;'25-10'!C:C,'25-10'!D:D,0)</f>
        <v>8</v>
      </c>
      <c r="AF8" s="67">
        <f t="array" ref="AF8">_xlfn.XLOOKUP($B8&amp;AF$3,'25-10'!B:B&amp;'25-10'!C:C,'25-10'!D:D,0)</f>
        <v>0</v>
      </c>
      <c r="AG8" s="67">
        <f t="array" ref="AG8">_xlfn.XLOOKUP($B8&amp;AG$3,'25-10'!B:B&amp;'25-10'!C:C,'25-10'!D:D,0)</f>
        <v>0</v>
      </c>
      <c r="AH8" s="67">
        <f t="shared" si="7"/>
        <v>8</v>
      </c>
      <c r="AI8" s="67">
        <f t="array" ref="AI8">_xlfn.XLOOKUP($B8&amp;AI$3,'25-11'!B:B&amp;'25-11'!C:C,'25-11'!D:D,0)</f>
        <v>0</v>
      </c>
      <c r="AJ8" s="67">
        <f t="array" ref="AJ8">_xlfn.XLOOKUP($B8&amp;AJ$3,'25-11'!B:B&amp;'25-11'!C:C,'25-11'!D:D,0)</f>
        <v>0</v>
      </c>
      <c r="AK8" s="67">
        <f t="array" ref="AK8">_xlfn.XLOOKUP($B8&amp;AK$3,'25-11'!B:B&amp;'25-11'!C:C,'25-11'!D:D,0)</f>
        <v>0</v>
      </c>
      <c r="AL8" s="67">
        <f t="shared" si="8"/>
        <v>0</v>
      </c>
      <c r="AM8" s="67">
        <f t="array" ref="AM8">_xlfn.XLOOKUP($B8&amp;AM$3,'25-12'!B:B&amp;'25-12'!C:C,'25-12'!D:D,0)</f>
        <v>0</v>
      </c>
      <c r="AN8" s="67">
        <f t="array" ref="AN8">_xlfn.XLOOKUP($B8&amp;AN$3,'25-12'!B:B&amp;'25-12'!C:C,'25-12'!D:D,0)</f>
        <v>8</v>
      </c>
      <c r="AO8" s="67">
        <f t="array" ref="AO8">_xlfn.XLOOKUP($B8&amp;AO$3,'25-12'!B:B&amp;'25-12'!C:C,'25-12'!D:D,0)</f>
        <v>0</v>
      </c>
      <c r="AP8" s="67">
        <f t="shared" si="9"/>
        <v>8</v>
      </c>
      <c r="AQ8" s="67">
        <f t="array" ref="AQ8">_xlfn.XLOOKUP($B8&amp;AQ$3,'26-01'!B:B&amp;'26-01'!C:C,'26-01'!D:D,0)</f>
        <v>0</v>
      </c>
      <c r="AR8" s="67">
        <f t="array" ref="AR8">_xlfn.XLOOKUP($B8&amp;AR$3,'26-01'!B:B&amp;'26-01'!C:C,'26-01'!D:D,0)</f>
        <v>4</v>
      </c>
      <c r="AS8" s="67">
        <f t="array" ref="AS8">_xlfn.XLOOKUP($B8&amp;AS$3,'26-01'!B:B&amp;'26-01'!C:C,'26-01'!D:D,0)</f>
        <v>0</v>
      </c>
      <c r="AT8" s="67">
        <f t="shared" si="10"/>
        <v>4</v>
      </c>
      <c r="AU8" s="67" cm="1">
        <f t="array" ref="AU8">_xlfn.XLOOKUP($B8&amp;AU$3,'26-02'!B:B&amp;'26-02'!C:C,'26-02'!D:D,0)</f>
        <v>0</v>
      </c>
      <c r="AV8" s="67" cm="1">
        <f t="array" ref="AV8">_xlfn.XLOOKUP($B8&amp;AV$3,'26-02'!B:B&amp;'26-02'!C:C,'26-02'!D:D,0)</f>
        <v>0</v>
      </c>
      <c r="AW8" s="67" cm="1">
        <f t="array" ref="AW8">_xlfn.XLOOKUP($B8&amp;AW$3,'26-02'!B:B&amp;'26-02'!C:C,'26-02'!D:D,0)</f>
        <v>0</v>
      </c>
      <c r="AX8" s="67">
        <f t="shared" si="11"/>
        <v>0</v>
      </c>
      <c r="AY8" s="36">
        <f t="shared" si="12"/>
        <v>200</v>
      </c>
      <c r="AZ8" s="36">
        <f t="shared" si="13"/>
        <v>6.66666666666667</v>
      </c>
      <c r="BA8" s="36">
        <f t="shared" si="24"/>
        <v>17.8181818181818</v>
      </c>
      <c r="BB8" s="37">
        <f t="shared" si="14"/>
        <v>2.66666666666667</v>
      </c>
      <c r="BC8" s="37">
        <f t="shared" si="15"/>
        <v>15.6363636363636</v>
      </c>
      <c r="BD8" s="37">
        <f t="shared" si="16"/>
        <v>28</v>
      </c>
      <c r="BE8" s="37">
        <f t="shared" si="17"/>
        <v>4</v>
      </c>
      <c r="BF8" s="37">
        <f t="shared" si="18"/>
        <v>4</v>
      </c>
      <c r="BG8" s="37">
        <f t="shared" si="19"/>
        <v>20</v>
      </c>
      <c r="BH8" s="68">
        <f t="shared" si="20"/>
        <v>0</v>
      </c>
      <c r="BI8" s="37">
        <f t="shared" si="21"/>
        <v>0</v>
      </c>
      <c r="BJ8" s="37">
        <f t="shared" si="22"/>
        <v>25</v>
      </c>
      <c r="BK8" s="38">
        <f>_xlfn.XLOOKUP($B8,'BCS-1-KLG'!C:C,'BCS-1-KLG'!E:E,0)</f>
        <v>28</v>
      </c>
      <c r="BL8" s="38">
        <f>_xlfn.XLOOKUP($B8,'BCS-2 PIK 2'!C:C,'BCS-2 PIK 2'!E:E,0)</f>
        <v>20</v>
      </c>
      <c r="BM8" s="38">
        <f>_xlfn.XLOOKUP($B8,'BCS HO'!C:C,'BCS HO'!E:E,0)</f>
        <v>25</v>
      </c>
      <c r="BN8" s="38">
        <f t="shared" si="23"/>
        <v>73</v>
      </c>
    </row>
    <row r="9" s="33" customFormat="1" customHeight="1" spans="1:66">
      <c r="A9" s="34">
        <v>6</v>
      </c>
      <c r="B9" s="66" t="s">
        <v>123</v>
      </c>
      <c r="C9" s="67">
        <f t="array" ref="C9">_xlfn.XLOOKUP($B9&amp;$C$3,'25-03'!B:B&amp;'25-03'!C:C,'25-03'!D:D,0)</f>
        <v>3</v>
      </c>
      <c r="D9" s="67">
        <f t="array" ref="D9">_xlfn.XLOOKUP($B9&amp;$D$3,'25-03'!B:B&amp;'25-03'!C:C,'25-03'!D:D,0)</f>
        <v>0</v>
      </c>
      <c r="E9" s="67">
        <f t="array" ref="E9">_xlfn.XLOOKUP($B9&amp;E$3,'25-03'!B:B&amp;'25-03'!C:C,'25-03'!D:D,0)</f>
        <v>0</v>
      </c>
      <c r="F9" s="67">
        <f t="shared" si="0"/>
        <v>3</v>
      </c>
      <c r="G9" s="67">
        <f t="array" ref="G9">_xlfn.XLOOKUP($B9&amp;G$3,'25-04'!B:B&amp;'25-04'!C:C,'25-04'!D:D,0)</f>
        <v>0</v>
      </c>
      <c r="H9" s="67">
        <f t="array" ref="H9">_xlfn.XLOOKUP($B9&amp;H$3,'25-04'!B:B&amp;'25-04'!C:C,'25-04'!D:D,0)</f>
        <v>0</v>
      </c>
      <c r="I9" s="67">
        <f t="array" ref="I9">_xlfn.XLOOKUP($B9&amp;I$3,'25-04'!B:B&amp;'25-04'!C:C,'25-04'!D:D,0)</f>
        <v>0</v>
      </c>
      <c r="J9" s="67">
        <f t="shared" si="1"/>
        <v>0</v>
      </c>
      <c r="K9" s="67">
        <f t="array" ref="K9">_xlfn.XLOOKUP($B9&amp;K$3,'25-05'!B:B&amp;'25-05'!C:C,'25-05'!D:D,0)</f>
        <v>0</v>
      </c>
      <c r="L9" s="67">
        <f t="array" ref="L9">_xlfn.XLOOKUP($B9&amp;L$3,'25-05'!B:B&amp;'25-05'!C:C,'25-05'!D:D,0)</f>
        <v>0</v>
      </c>
      <c r="M9" s="67">
        <f t="array" ref="M9">_xlfn.XLOOKUP($B9&amp;M$3,'25-05'!B:B&amp;'25-05'!C:C,'25-05'!D:D,0)</f>
        <v>0</v>
      </c>
      <c r="N9" s="67">
        <f t="shared" si="2"/>
        <v>0</v>
      </c>
      <c r="O9" s="67">
        <f t="array" ref="O9">_xlfn.XLOOKUP($B9&amp;O$3,'26-06'!B:B&amp;'26-06'!C:C,'26-06'!D:D,0)</f>
        <v>24</v>
      </c>
      <c r="P9" s="67">
        <f t="array" ref="P9">_xlfn.XLOOKUP($B9&amp;P$3,'26-06'!B:B&amp;'26-06'!C:C,'26-06'!D:D,0)</f>
        <v>0</v>
      </c>
      <c r="Q9" s="67">
        <f t="array" ref="Q9">_xlfn.XLOOKUP($B9&amp;Q$3,'26-06'!B:B&amp;'26-06'!C:C,'26-06'!D:D,0)</f>
        <v>0</v>
      </c>
      <c r="R9" s="67">
        <f t="shared" si="3"/>
        <v>24</v>
      </c>
      <c r="S9" s="67">
        <f t="array" ref="S9">_xlfn.XLOOKUP($B9&amp;S$3,'25-07'!B:B&amp;'25-07'!C:C,'25-07'!D:D,0)</f>
        <v>20</v>
      </c>
      <c r="T9" s="67">
        <f t="array" ref="T9">_xlfn.XLOOKUP($B9&amp;T$3,'25-07'!B:B&amp;'25-07'!C:C,'25-07'!D:D,0)</f>
        <v>0</v>
      </c>
      <c r="U9" s="67">
        <f t="array" ref="U9">_xlfn.XLOOKUP($B9&amp;U$3,'25-07'!B:B&amp;'25-07'!C:C,'25-07'!D:D,0)</f>
        <v>0</v>
      </c>
      <c r="V9" s="67">
        <f t="shared" si="4"/>
        <v>20</v>
      </c>
      <c r="W9" s="67">
        <f t="array" ref="W9">_xlfn.XLOOKUP($B9&amp;W$3,'25-08'!B:B&amp;'25-08'!C:C,'25-08'!D:D,0)</f>
        <v>0</v>
      </c>
      <c r="X9" s="67">
        <f t="array" ref="X9">_xlfn.XLOOKUP($B9&amp;X$3,'25-08'!B:B&amp;'25-08'!C:C,'25-08'!D:D,0)</f>
        <v>0</v>
      </c>
      <c r="Y9" s="67">
        <f t="array" ref="Y9">_xlfn.XLOOKUP($B9&amp;Y$3,'25-08'!B:B&amp;'25-08'!C:C,'25-08'!D:D,0)</f>
        <v>0</v>
      </c>
      <c r="Z9" s="67">
        <f t="shared" si="5"/>
        <v>0</v>
      </c>
      <c r="AA9" s="67">
        <f t="array" ref="AA9">_xlfn.XLOOKUP($B9&amp;AA$3,'25-09'!B:B&amp;'25-09'!C:C,'25-09'!D:D,0)</f>
        <v>4</v>
      </c>
      <c r="AB9" s="67">
        <f t="array" ref="AB9">_xlfn.XLOOKUP($B9&amp;AB$3,'25-09'!B:B&amp;'25-09'!C:C,'25-09'!D:D,0)</f>
        <v>0</v>
      </c>
      <c r="AC9" s="67">
        <f t="array" ref="AC9">_xlfn.XLOOKUP($B9&amp;AC$3,'25-09'!B:B&amp;'25-09'!C:C,'25-09'!D:D,0)</f>
        <v>0</v>
      </c>
      <c r="AD9" s="67">
        <f t="shared" si="6"/>
        <v>4</v>
      </c>
      <c r="AE9" s="67">
        <f t="array" ref="AE9">_xlfn.XLOOKUP($B9&amp;AE$3,'25-10'!B:B&amp;'25-10'!C:C,'25-10'!D:D,0)</f>
        <v>0</v>
      </c>
      <c r="AF9" s="67">
        <f t="array" ref="AF9">_xlfn.XLOOKUP($B9&amp;AF$3,'25-10'!B:B&amp;'25-10'!C:C,'25-10'!D:D,0)</f>
        <v>0</v>
      </c>
      <c r="AG9" s="67">
        <f t="array" ref="AG9">_xlfn.XLOOKUP($B9&amp;AG$3,'25-10'!B:B&amp;'25-10'!C:C,'25-10'!D:D,0)</f>
        <v>0</v>
      </c>
      <c r="AH9" s="67">
        <f t="shared" si="7"/>
        <v>0</v>
      </c>
      <c r="AI9" s="67">
        <f t="array" ref="AI9">_xlfn.XLOOKUP($B9&amp;AI$3,'25-11'!B:B&amp;'25-11'!C:C,'25-11'!D:D,0)</f>
        <v>4</v>
      </c>
      <c r="AJ9" s="67">
        <f t="array" ref="AJ9">_xlfn.XLOOKUP($B9&amp;AJ$3,'25-11'!B:B&amp;'25-11'!C:C,'25-11'!D:D,0)</f>
        <v>0</v>
      </c>
      <c r="AK9" s="67">
        <f t="array" ref="AK9">_xlfn.XLOOKUP($B9&amp;AK$3,'25-11'!B:B&amp;'25-11'!C:C,'25-11'!D:D,0)</f>
        <v>0</v>
      </c>
      <c r="AL9" s="67">
        <f t="shared" si="8"/>
        <v>4</v>
      </c>
      <c r="AM9" s="67">
        <f t="array" ref="AM9">_xlfn.XLOOKUP($B9&amp;AM$3,'25-12'!B:B&amp;'25-12'!C:C,'25-12'!D:D,0)</f>
        <v>0</v>
      </c>
      <c r="AN9" s="67">
        <f t="array" ref="AN9">_xlfn.XLOOKUP($B9&amp;AN$3,'25-12'!B:B&amp;'25-12'!C:C,'25-12'!D:D,0)</f>
        <v>0</v>
      </c>
      <c r="AO9" s="67">
        <f t="array" ref="AO9">_xlfn.XLOOKUP($B9&amp;AO$3,'25-12'!B:B&amp;'25-12'!C:C,'25-12'!D:D,0)</f>
        <v>0</v>
      </c>
      <c r="AP9" s="67">
        <f t="shared" si="9"/>
        <v>0</v>
      </c>
      <c r="AQ9" s="67">
        <f t="array" ref="AQ9">_xlfn.XLOOKUP($B9&amp;AQ$3,'26-01'!B:B&amp;'26-01'!C:C,'26-01'!D:D,0)</f>
        <v>0</v>
      </c>
      <c r="AR9" s="67">
        <f t="array" ref="AR9">_xlfn.XLOOKUP($B9&amp;AR$3,'26-01'!B:B&amp;'26-01'!C:C,'26-01'!D:D,0)</f>
        <v>0</v>
      </c>
      <c r="AS9" s="67">
        <f t="array" ref="AS9">_xlfn.XLOOKUP($B9&amp;AS$3,'26-01'!B:B&amp;'26-01'!C:C,'26-01'!D:D,0)</f>
        <v>0</v>
      </c>
      <c r="AT9" s="67">
        <f t="shared" si="10"/>
        <v>0</v>
      </c>
      <c r="AU9" s="67" cm="1">
        <f t="array" ref="AU9">_xlfn.XLOOKUP($B9&amp;AU$3,'26-02'!B:B&amp;'26-02'!C:C,'26-02'!D:D,0)</f>
        <v>0</v>
      </c>
      <c r="AV9" s="67" cm="1">
        <f t="array" ref="AV9">_xlfn.XLOOKUP($B9&amp;AV$3,'26-02'!B:B&amp;'26-02'!C:C,'26-02'!D:D,0)</f>
        <v>0</v>
      </c>
      <c r="AW9" s="67" cm="1">
        <f t="array" ref="AW9">_xlfn.XLOOKUP($B9&amp;AW$3,'26-02'!B:B&amp;'26-02'!C:C,'26-02'!D:D,0)</f>
        <v>0</v>
      </c>
      <c r="AX9" s="67">
        <f t="shared" si="11"/>
        <v>0</v>
      </c>
      <c r="AY9" s="36">
        <f t="shared" si="12"/>
        <v>55</v>
      </c>
      <c r="AZ9" s="36">
        <f t="shared" si="13"/>
        <v>1.33333333333333</v>
      </c>
      <c r="BA9" s="36">
        <f t="shared" si="24"/>
        <v>4.72727272727273</v>
      </c>
      <c r="BB9" s="37">
        <f t="shared" si="14"/>
        <v>1.33333333333333</v>
      </c>
      <c r="BC9" s="37">
        <f t="shared" si="15"/>
        <v>4.72727272727273</v>
      </c>
      <c r="BD9" s="37">
        <f t="shared" si="16"/>
        <v>51</v>
      </c>
      <c r="BE9" s="37">
        <f t="shared" si="17"/>
        <v>0</v>
      </c>
      <c r="BF9" s="37">
        <f t="shared" si="18"/>
        <v>0</v>
      </c>
      <c r="BG9" s="37">
        <f t="shared" si="19"/>
        <v>0</v>
      </c>
      <c r="BH9" s="68">
        <f t="shared" si="20"/>
        <v>0</v>
      </c>
      <c r="BI9" s="37">
        <f t="shared" si="21"/>
        <v>0</v>
      </c>
      <c r="BJ9" s="37">
        <f t="shared" si="22"/>
        <v>0</v>
      </c>
      <c r="BK9" s="38">
        <f>_xlfn.XLOOKUP($B9,'BCS-1-KLG'!C:C,'BCS-1-KLG'!E:E,0)</f>
        <v>51</v>
      </c>
      <c r="BL9" s="38">
        <f>_xlfn.XLOOKUP($B9,'BCS-2 PIK 2'!C:C,'BCS-2 PIK 2'!E:E,0)</f>
        <v>0</v>
      </c>
      <c r="BM9" s="38">
        <f>_xlfn.XLOOKUP($B9,'BCS HO'!C:C,'BCS HO'!E:E,0)</f>
        <v>0</v>
      </c>
      <c r="BN9" s="38">
        <f t="shared" si="23"/>
        <v>51</v>
      </c>
    </row>
    <row r="10" s="33" customFormat="1" customHeight="1" spans="1:66">
      <c r="A10" s="34">
        <v>7</v>
      </c>
      <c r="B10" s="66" t="s">
        <v>125</v>
      </c>
      <c r="C10" s="67">
        <f t="array" ref="C10">_xlfn.XLOOKUP($B10&amp;$C$3,'25-03'!B:B&amp;'25-03'!C:C,'25-03'!D:D,0)</f>
        <v>0</v>
      </c>
      <c r="D10" s="67">
        <f t="array" ref="D10">_xlfn.XLOOKUP($B10&amp;$D$3,'25-03'!B:B&amp;'25-03'!C:C,'25-03'!D:D,0)</f>
        <v>0</v>
      </c>
      <c r="E10" s="67">
        <f t="array" ref="E10">_xlfn.XLOOKUP($B10&amp;E$3,'25-03'!B:B&amp;'25-03'!C:C,'25-03'!D:D,0)</f>
        <v>0</v>
      </c>
      <c r="F10" s="67">
        <f t="shared" si="0"/>
        <v>0</v>
      </c>
      <c r="G10" s="67">
        <f t="array" ref="G10">_xlfn.XLOOKUP($B10&amp;G$3,'25-04'!B:B&amp;'25-04'!C:C,'25-04'!D:D,0)</f>
        <v>0</v>
      </c>
      <c r="H10" s="67">
        <f t="array" ref="H10">_xlfn.XLOOKUP($B10&amp;H$3,'25-04'!B:B&amp;'25-04'!C:C,'25-04'!D:D,0)</f>
        <v>0</v>
      </c>
      <c r="I10" s="67">
        <f t="array" ref="I10">_xlfn.XLOOKUP($B10&amp;I$3,'25-04'!B:B&amp;'25-04'!C:C,'25-04'!D:D,0)</f>
        <v>0</v>
      </c>
      <c r="J10" s="67">
        <f t="shared" si="1"/>
        <v>0</v>
      </c>
      <c r="K10" s="67">
        <f t="array" ref="K10">_xlfn.XLOOKUP($B10&amp;K$3,'25-05'!B:B&amp;'25-05'!C:C,'25-05'!D:D,0)</f>
        <v>2</v>
      </c>
      <c r="L10" s="67">
        <f t="array" ref="L10">_xlfn.XLOOKUP($B10&amp;L$3,'25-05'!B:B&amp;'25-05'!C:C,'25-05'!D:D,0)</f>
        <v>0</v>
      </c>
      <c r="M10" s="67">
        <f t="array" ref="M10">_xlfn.XLOOKUP($B10&amp;M$3,'25-05'!B:B&amp;'25-05'!C:C,'25-05'!D:D,0)</f>
        <v>0</v>
      </c>
      <c r="N10" s="67">
        <f t="shared" si="2"/>
        <v>2</v>
      </c>
      <c r="O10" s="67">
        <f t="array" ref="O10">_xlfn.XLOOKUP($B10&amp;O$3,'26-06'!B:B&amp;'26-06'!C:C,'26-06'!D:D,0)</f>
        <v>0</v>
      </c>
      <c r="P10" s="67">
        <f t="array" ref="P10">_xlfn.XLOOKUP($B10&amp;P$3,'26-06'!B:B&amp;'26-06'!C:C,'26-06'!D:D,0)</f>
        <v>0</v>
      </c>
      <c r="Q10" s="67">
        <f t="array" ref="Q10">_xlfn.XLOOKUP($B10&amp;Q$3,'26-06'!B:B&amp;'26-06'!C:C,'26-06'!D:D,0)</f>
        <v>0</v>
      </c>
      <c r="R10" s="67">
        <f t="shared" si="3"/>
        <v>0</v>
      </c>
      <c r="S10" s="67">
        <f t="array" ref="S10">_xlfn.XLOOKUP($B10&amp;S$3,'25-07'!B:B&amp;'25-07'!C:C,'25-07'!D:D,0)</f>
        <v>8</v>
      </c>
      <c r="T10" s="67">
        <f t="array" ref="T10">_xlfn.XLOOKUP($B10&amp;T$3,'25-07'!B:B&amp;'25-07'!C:C,'25-07'!D:D,0)</f>
        <v>0</v>
      </c>
      <c r="U10" s="67">
        <f t="array" ref="U10">_xlfn.XLOOKUP($B10&amp;U$3,'25-07'!B:B&amp;'25-07'!C:C,'25-07'!D:D,0)</f>
        <v>0</v>
      </c>
      <c r="V10" s="67">
        <f t="shared" si="4"/>
        <v>8</v>
      </c>
      <c r="W10" s="67">
        <f t="array" ref="W10">_xlfn.XLOOKUP($B10&amp;W$3,'25-08'!B:B&amp;'25-08'!C:C,'25-08'!D:D,0)</f>
        <v>2</v>
      </c>
      <c r="X10" s="67">
        <f t="array" ref="X10">_xlfn.XLOOKUP($B10&amp;X$3,'25-08'!B:B&amp;'25-08'!C:C,'25-08'!D:D,0)</f>
        <v>0</v>
      </c>
      <c r="Y10" s="67">
        <f t="array" ref="Y10">_xlfn.XLOOKUP($B10&amp;Y$3,'25-08'!B:B&amp;'25-08'!C:C,'25-08'!D:D,0)</f>
        <v>0</v>
      </c>
      <c r="Z10" s="67">
        <f t="shared" si="5"/>
        <v>2</v>
      </c>
      <c r="AA10" s="67">
        <f t="array" ref="AA10">_xlfn.XLOOKUP($B10&amp;AA$3,'25-09'!B:B&amp;'25-09'!C:C,'25-09'!D:D,0)</f>
        <v>0</v>
      </c>
      <c r="AB10" s="67">
        <f t="array" ref="AB10">_xlfn.XLOOKUP($B10&amp;AB$3,'25-09'!B:B&amp;'25-09'!C:C,'25-09'!D:D,0)</f>
        <v>0</v>
      </c>
      <c r="AC10" s="67">
        <f t="array" ref="AC10">_xlfn.XLOOKUP($B10&amp;AC$3,'25-09'!B:B&amp;'25-09'!C:C,'25-09'!D:D,0)</f>
        <v>0</v>
      </c>
      <c r="AD10" s="67">
        <f t="shared" si="6"/>
        <v>0</v>
      </c>
      <c r="AE10" s="67">
        <f t="array" ref="AE10">_xlfn.XLOOKUP($B10&amp;AE$3,'25-10'!B:B&amp;'25-10'!C:C,'25-10'!D:D,0)</f>
        <v>0</v>
      </c>
      <c r="AF10" s="67">
        <f t="array" ref="AF10">_xlfn.XLOOKUP($B10&amp;AF$3,'25-10'!B:B&amp;'25-10'!C:C,'25-10'!D:D,0)</f>
        <v>0</v>
      </c>
      <c r="AG10" s="67">
        <f t="array" ref="AG10">_xlfn.XLOOKUP($B10&amp;AG$3,'25-10'!B:B&amp;'25-10'!C:C,'25-10'!D:D,0)</f>
        <v>0</v>
      </c>
      <c r="AH10" s="67">
        <f t="shared" si="7"/>
        <v>0</v>
      </c>
      <c r="AI10" s="67">
        <f t="array" ref="AI10">_xlfn.XLOOKUP($B10&amp;AI$3,'25-11'!B:B&amp;'25-11'!C:C,'25-11'!D:D,0)</f>
        <v>0</v>
      </c>
      <c r="AJ10" s="67">
        <f t="array" ref="AJ10">_xlfn.XLOOKUP($B10&amp;AJ$3,'25-11'!B:B&amp;'25-11'!C:C,'25-11'!D:D,0)</f>
        <v>0</v>
      </c>
      <c r="AK10" s="67">
        <f t="array" ref="AK10">_xlfn.XLOOKUP($B10&amp;AK$3,'25-11'!B:B&amp;'25-11'!C:C,'25-11'!D:D,0)</f>
        <v>0</v>
      </c>
      <c r="AL10" s="67">
        <f t="shared" si="8"/>
        <v>0</v>
      </c>
      <c r="AM10" s="67">
        <f t="array" ref="AM10">_xlfn.XLOOKUP($B10&amp;AM$3,'25-12'!B:B&amp;'25-12'!C:C,'25-12'!D:D,0)</f>
        <v>0</v>
      </c>
      <c r="AN10" s="67">
        <f t="array" ref="AN10">_xlfn.XLOOKUP($B10&amp;AN$3,'25-12'!B:B&amp;'25-12'!C:C,'25-12'!D:D,0)</f>
        <v>0</v>
      </c>
      <c r="AO10" s="67">
        <f t="array" ref="AO10">_xlfn.XLOOKUP($B10&amp;AO$3,'25-12'!B:B&amp;'25-12'!C:C,'25-12'!D:D,0)</f>
        <v>0</v>
      </c>
      <c r="AP10" s="67">
        <f t="shared" si="9"/>
        <v>0</v>
      </c>
      <c r="AQ10" s="67">
        <f t="array" ref="AQ10">_xlfn.XLOOKUP($B10&amp;AQ$3,'26-01'!B:B&amp;'26-01'!C:C,'26-01'!D:D,0)</f>
        <v>0</v>
      </c>
      <c r="AR10" s="67">
        <f t="array" ref="AR10">_xlfn.XLOOKUP($B10&amp;AR$3,'26-01'!B:B&amp;'26-01'!C:C,'26-01'!D:D,0)</f>
        <v>0</v>
      </c>
      <c r="AS10" s="67">
        <f t="array" ref="AS10">_xlfn.XLOOKUP($B10&amp;AS$3,'26-01'!B:B&amp;'26-01'!C:C,'26-01'!D:D,0)</f>
        <v>0</v>
      </c>
      <c r="AT10" s="67">
        <f t="shared" si="10"/>
        <v>0</v>
      </c>
      <c r="AU10" s="67" cm="1">
        <f t="array" ref="AU10">_xlfn.XLOOKUP($B10&amp;AU$3,'26-02'!B:B&amp;'26-02'!C:C,'26-02'!D:D,0)</f>
        <v>0</v>
      </c>
      <c r="AV10" s="67" cm="1">
        <f t="array" ref="AV10">_xlfn.XLOOKUP($B10&amp;AV$3,'26-02'!B:B&amp;'26-02'!C:C,'26-02'!D:D,0)</f>
        <v>0</v>
      </c>
      <c r="AW10" s="67" cm="1">
        <f t="array" ref="AW10">_xlfn.XLOOKUP($B10&amp;AW$3,'26-02'!B:B&amp;'26-02'!C:C,'26-02'!D:D,0)</f>
        <v>0</v>
      </c>
      <c r="AX10" s="67">
        <f t="shared" si="11"/>
        <v>0</v>
      </c>
      <c r="AY10" s="36">
        <f t="shared" si="12"/>
        <v>12</v>
      </c>
      <c r="AZ10" s="36">
        <f t="shared" si="13"/>
        <v>0</v>
      </c>
      <c r="BA10" s="36">
        <f t="shared" si="24"/>
        <v>1.09090909090909</v>
      </c>
      <c r="BB10" s="37">
        <f t="shared" si="14"/>
        <v>0</v>
      </c>
      <c r="BC10" s="37">
        <f t="shared" si="15"/>
        <v>1.09090909090909</v>
      </c>
      <c r="BD10" s="37">
        <f t="shared" si="16"/>
        <v>0</v>
      </c>
      <c r="BE10" s="37">
        <f t="shared" si="17"/>
        <v>0</v>
      </c>
      <c r="BF10" s="37">
        <f t="shared" si="18"/>
        <v>0</v>
      </c>
      <c r="BG10" s="37">
        <f t="shared" si="19"/>
        <v>0</v>
      </c>
      <c r="BH10" s="68">
        <f t="shared" si="20"/>
        <v>0</v>
      </c>
      <c r="BI10" s="37">
        <f t="shared" si="21"/>
        <v>0</v>
      </c>
      <c r="BJ10" s="37">
        <f t="shared" si="22"/>
        <v>12</v>
      </c>
      <c r="BK10" s="38">
        <f>_xlfn.XLOOKUP($B10,'BCS-1-KLG'!C:C,'BCS-1-KLG'!E:E,0)</f>
        <v>0</v>
      </c>
      <c r="BL10" s="38">
        <f>_xlfn.XLOOKUP($B10,'BCS-2 PIK 2'!C:C,'BCS-2 PIK 2'!E:E,0)</f>
        <v>0</v>
      </c>
      <c r="BM10" s="38">
        <f>_xlfn.XLOOKUP($B10,'BCS HO'!C:C,'BCS HO'!E:E,0)</f>
        <v>12</v>
      </c>
      <c r="BN10" s="38">
        <f t="shared" si="23"/>
        <v>12</v>
      </c>
    </row>
    <row r="11" s="33" customFormat="1" customHeight="1" spans="1:66">
      <c r="A11" s="34">
        <v>8</v>
      </c>
      <c r="B11" s="66" t="s">
        <v>98</v>
      </c>
      <c r="C11" s="67">
        <f t="array" ref="C11">_xlfn.XLOOKUP($B11&amp;$C$3,'25-03'!B:B&amp;'25-03'!C:C,'25-03'!D:D,0)</f>
        <v>0</v>
      </c>
      <c r="D11" s="67">
        <f t="array" ref="D11">_xlfn.XLOOKUP($B11&amp;$D$3,'25-03'!B:B&amp;'25-03'!C:C,'25-03'!D:D,0)</f>
        <v>0</v>
      </c>
      <c r="E11" s="67">
        <f t="array" ref="E11">_xlfn.XLOOKUP($B11&amp;E$3,'25-03'!B:B&amp;'25-03'!C:C,'25-03'!D:D,0)</f>
        <v>0</v>
      </c>
      <c r="F11" s="67">
        <f t="shared" si="0"/>
        <v>0</v>
      </c>
      <c r="G11" s="67">
        <f t="array" ref="G11">_xlfn.XLOOKUP($B11&amp;G$3,'25-04'!B:B&amp;'25-04'!C:C,'25-04'!D:D,0)</f>
        <v>0</v>
      </c>
      <c r="H11" s="67">
        <f t="array" ref="H11">_xlfn.XLOOKUP($B11&amp;H$3,'25-04'!B:B&amp;'25-04'!C:C,'25-04'!D:D,0)</f>
        <v>0</v>
      </c>
      <c r="I11" s="67">
        <f t="array" ref="I11">_xlfn.XLOOKUP($B11&amp;I$3,'25-04'!B:B&amp;'25-04'!C:C,'25-04'!D:D,0)</f>
        <v>0</v>
      </c>
      <c r="J11" s="67">
        <f t="shared" si="1"/>
        <v>0</v>
      </c>
      <c r="K11" s="67">
        <f t="array" ref="K11">_xlfn.XLOOKUP($B11&amp;K$3,'25-05'!B:B&amp;'25-05'!C:C,'25-05'!D:D,0)</f>
        <v>0</v>
      </c>
      <c r="L11" s="67">
        <f t="array" ref="L11">_xlfn.XLOOKUP($B11&amp;L$3,'25-05'!B:B&amp;'25-05'!C:C,'25-05'!D:D,0)</f>
        <v>0</v>
      </c>
      <c r="M11" s="67">
        <f t="array" ref="M11">_xlfn.XLOOKUP($B11&amp;M$3,'25-05'!B:B&amp;'25-05'!C:C,'25-05'!D:D,0)</f>
        <v>0</v>
      </c>
      <c r="N11" s="67">
        <f t="shared" si="2"/>
        <v>0</v>
      </c>
      <c r="O11" s="67">
        <f t="array" ref="O11">_xlfn.XLOOKUP($B11&amp;O$3,'26-06'!B:B&amp;'26-06'!C:C,'26-06'!D:D,0)</f>
        <v>0</v>
      </c>
      <c r="P11" s="67">
        <f t="array" ref="P11">_xlfn.XLOOKUP($B11&amp;P$3,'26-06'!B:B&amp;'26-06'!C:C,'26-06'!D:D,0)</f>
        <v>0</v>
      </c>
      <c r="Q11" s="67">
        <f t="array" ref="Q11">_xlfn.XLOOKUP($B11&amp;Q$3,'26-06'!B:B&amp;'26-06'!C:C,'26-06'!D:D,0)</f>
        <v>0</v>
      </c>
      <c r="R11" s="67">
        <f t="shared" si="3"/>
        <v>0</v>
      </c>
      <c r="S11" s="67">
        <f t="array" ref="S11">_xlfn.XLOOKUP($B11&amp;S$3,'25-07'!B:B&amp;'25-07'!C:C,'25-07'!D:D,0)</f>
        <v>14</v>
      </c>
      <c r="T11" s="67">
        <f t="array" ref="T11">_xlfn.XLOOKUP($B11&amp;T$3,'25-07'!B:B&amp;'25-07'!C:C,'25-07'!D:D,0)</f>
        <v>0</v>
      </c>
      <c r="U11" s="67">
        <f t="array" ref="U11">_xlfn.XLOOKUP($B11&amp;U$3,'25-07'!B:B&amp;'25-07'!C:C,'25-07'!D:D,0)</f>
        <v>0</v>
      </c>
      <c r="V11" s="67">
        <f t="shared" si="4"/>
        <v>14</v>
      </c>
      <c r="W11" s="67">
        <f t="array" ref="W11">_xlfn.XLOOKUP($B11&amp;W$3,'25-08'!B:B&amp;'25-08'!C:C,'25-08'!D:D,0)</f>
        <v>19</v>
      </c>
      <c r="X11" s="67">
        <f t="array" ref="X11">_xlfn.XLOOKUP($B11&amp;X$3,'25-08'!B:B&amp;'25-08'!C:C,'25-08'!D:D,0)</f>
        <v>0</v>
      </c>
      <c r="Y11" s="67">
        <f t="array" ref="Y11">_xlfn.XLOOKUP($B11&amp;Y$3,'25-08'!B:B&amp;'25-08'!C:C,'25-08'!D:D,0)</f>
        <v>0</v>
      </c>
      <c r="Z11" s="67">
        <f t="shared" si="5"/>
        <v>19</v>
      </c>
      <c r="AA11" s="67">
        <f t="array" ref="AA11">_xlfn.XLOOKUP($B11&amp;AA$3,'25-09'!B:B&amp;'25-09'!C:C,'25-09'!D:D,0)</f>
        <v>47</v>
      </c>
      <c r="AB11" s="67">
        <f t="array" ref="AB11">_xlfn.XLOOKUP($B11&amp;AB$3,'25-09'!B:B&amp;'25-09'!C:C,'25-09'!D:D,0)</f>
        <v>0</v>
      </c>
      <c r="AC11" s="67">
        <f t="array" ref="AC11">_xlfn.XLOOKUP($B11&amp;AC$3,'25-09'!B:B&amp;'25-09'!C:C,'25-09'!D:D,0)</f>
        <v>0</v>
      </c>
      <c r="AD11" s="67">
        <f t="shared" si="6"/>
        <v>47</v>
      </c>
      <c r="AE11" s="67">
        <f t="array" ref="AE11">_xlfn.XLOOKUP($B11&amp;AE$3,'25-10'!B:B&amp;'25-10'!C:C,'25-10'!D:D,0)</f>
        <v>52</v>
      </c>
      <c r="AF11" s="67">
        <f t="array" ref="AF11">_xlfn.XLOOKUP($B11&amp;AF$3,'25-10'!B:B&amp;'25-10'!C:C,'25-10'!D:D,0)</f>
        <v>25</v>
      </c>
      <c r="AG11" s="67">
        <f t="array" ref="AG11">_xlfn.XLOOKUP($B11&amp;AG$3,'25-10'!B:B&amp;'25-10'!C:C,'25-10'!D:D,0)</f>
        <v>0</v>
      </c>
      <c r="AH11" s="67">
        <f t="shared" si="7"/>
        <v>77</v>
      </c>
      <c r="AI11" s="67">
        <f t="array" ref="AI11">_xlfn.XLOOKUP($B11&amp;AI$3,'25-11'!B:B&amp;'25-11'!C:C,'25-11'!D:D,0)</f>
        <v>36</v>
      </c>
      <c r="AJ11" s="67">
        <f t="array" ref="AJ11">_xlfn.XLOOKUP($B11&amp;AJ$3,'25-11'!B:B&amp;'25-11'!C:C,'25-11'!D:D,0)</f>
        <v>12</v>
      </c>
      <c r="AK11" s="67">
        <f t="array" ref="AK11">_xlfn.XLOOKUP($B11&amp;AK$3,'25-11'!B:B&amp;'25-11'!C:C,'25-11'!D:D,0)</f>
        <v>0</v>
      </c>
      <c r="AL11" s="67">
        <f t="shared" si="8"/>
        <v>48</v>
      </c>
      <c r="AM11" s="67">
        <f t="array" ref="AM11">_xlfn.XLOOKUP($B11&amp;AM$3,'25-12'!B:B&amp;'25-12'!C:C,'25-12'!D:D,0)</f>
        <v>34</v>
      </c>
      <c r="AN11" s="67">
        <f t="array" ref="AN11">_xlfn.XLOOKUP($B11&amp;AN$3,'25-12'!B:B&amp;'25-12'!C:C,'25-12'!D:D,0)</f>
        <v>27</v>
      </c>
      <c r="AO11" s="67">
        <f t="array" ref="AO11">_xlfn.XLOOKUP($B11&amp;AO$3,'25-12'!B:B&amp;'25-12'!C:C,'25-12'!D:D,0)</f>
        <v>0</v>
      </c>
      <c r="AP11" s="67">
        <f t="shared" si="9"/>
        <v>61</v>
      </c>
      <c r="AQ11" s="67">
        <f t="array" ref="AQ11">_xlfn.XLOOKUP($B11&amp;AQ$3,'26-01'!B:B&amp;'26-01'!C:C,'26-01'!D:D,0)</f>
        <v>24</v>
      </c>
      <c r="AR11" s="67">
        <f t="array" ref="AR11">_xlfn.XLOOKUP($B11&amp;AR$3,'26-01'!B:B&amp;'26-01'!C:C,'26-01'!D:D,0)</f>
        <v>13</v>
      </c>
      <c r="AS11" s="67">
        <f t="array" ref="AS11">_xlfn.XLOOKUP($B11&amp;AS$3,'26-01'!B:B&amp;'26-01'!C:C,'26-01'!D:D,0)</f>
        <v>0</v>
      </c>
      <c r="AT11" s="67">
        <f t="shared" si="10"/>
        <v>37</v>
      </c>
      <c r="AU11" s="67" cm="1">
        <f t="array" ref="AU11">_xlfn.XLOOKUP($B11&amp;AU$3,'26-02'!B:B&amp;'26-02'!C:C,'26-02'!D:D,0)</f>
        <v>20</v>
      </c>
      <c r="AV11" s="67" cm="1">
        <f t="array" ref="AV11">_xlfn.XLOOKUP($B11&amp;AV$3,'26-02'!B:B&amp;'26-02'!C:C,'26-02'!D:D,0)</f>
        <v>24</v>
      </c>
      <c r="AW11" s="67" cm="1">
        <f t="array" ref="AW11">_xlfn.XLOOKUP($B11&amp;AW$3,'26-02'!B:B&amp;'26-02'!C:C,'26-02'!D:D,0)</f>
        <v>0</v>
      </c>
      <c r="AX11" s="67">
        <f t="shared" si="11"/>
        <v>44</v>
      </c>
      <c r="AY11" s="36">
        <f t="shared" si="12"/>
        <v>347</v>
      </c>
      <c r="AZ11" s="36">
        <f t="shared" si="13"/>
        <v>52.3333333333333</v>
      </c>
      <c r="BA11" s="36">
        <f t="shared" si="24"/>
        <v>31.5454545454545</v>
      </c>
      <c r="BB11" s="37">
        <f t="shared" si="14"/>
        <v>35.5</v>
      </c>
      <c r="BC11" s="37">
        <f t="shared" si="15"/>
        <v>22.3636363636364</v>
      </c>
      <c r="BD11" s="37">
        <f t="shared" si="16"/>
        <v>3</v>
      </c>
      <c r="BE11" s="37">
        <f t="shared" si="17"/>
        <v>16.8333333333333</v>
      </c>
      <c r="BF11" s="37">
        <f t="shared" si="18"/>
        <v>16.8333333333333</v>
      </c>
      <c r="BG11" s="37">
        <f t="shared" si="19"/>
        <v>59</v>
      </c>
      <c r="BH11" s="68">
        <f t="shared" si="20"/>
        <v>0</v>
      </c>
      <c r="BI11" s="37">
        <f t="shared" si="21"/>
        <v>0</v>
      </c>
      <c r="BJ11" s="37">
        <f t="shared" si="22"/>
        <v>48</v>
      </c>
      <c r="BK11" s="38">
        <f>_xlfn.XLOOKUP($B11,'BCS-1-KLG'!C:C,'BCS-1-KLG'!E:E,0)</f>
        <v>3</v>
      </c>
      <c r="BL11" s="38">
        <f>_xlfn.XLOOKUP($B11,'BCS-2 PIK 2'!C:C,'BCS-2 PIK 2'!E:E,0)</f>
        <v>59</v>
      </c>
      <c r="BM11" s="38">
        <f>_xlfn.XLOOKUP($B11,'BCS HO'!C:C,'BCS HO'!E:E,0)</f>
        <v>48</v>
      </c>
      <c r="BN11" s="38">
        <f t="shared" si="23"/>
        <v>110</v>
      </c>
    </row>
    <row r="12" s="33" customFormat="1" customHeight="1" spans="1:66">
      <c r="A12" s="34">
        <v>9</v>
      </c>
      <c r="B12" s="66" t="s">
        <v>117</v>
      </c>
      <c r="C12" s="67">
        <f t="array" ref="C12">_xlfn.XLOOKUP($B12&amp;$C$3,'25-03'!B:B&amp;'25-03'!C:C,'25-03'!D:D,0)</f>
        <v>0</v>
      </c>
      <c r="D12" s="67">
        <f t="array" ref="D12">_xlfn.XLOOKUP($B12&amp;$D$3,'25-03'!B:B&amp;'25-03'!C:C,'25-03'!D:D,0)</f>
        <v>0</v>
      </c>
      <c r="E12" s="67">
        <f t="array" ref="E12">_xlfn.XLOOKUP($B12&amp;E$3,'25-03'!B:B&amp;'25-03'!C:C,'25-03'!D:D,0)</f>
        <v>0</v>
      </c>
      <c r="F12" s="67">
        <f t="shared" si="0"/>
        <v>0</v>
      </c>
      <c r="G12" s="67">
        <f t="array" ref="G12">_xlfn.XLOOKUP($B12&amp;G$3,'25-04'!B:B&amp;'25-04'!C:C,'25-04'!D:D,0)</f>
        <v>0</v>
      </c>
      <c r="H12" s="67">
        <f t="array" ref="H12">_xlfn.XLOOKUP($B12&amp;H$3,'25-04'!B:B&amp;'25-04'!C:C,'25-04'!D:D,0)</f>
        <v>0</v>
      </c>
      <c r="I12" s="67">
        <f t="array" ref="I12">_xlfn.XLOOKUP($B12&amp;I$3,'25-04'!B:B&amp;'25-04'!C:C,'25-04'!D:D,0)</f>
        <v>0</v>
      </c>
      <c r="J12" s="67">
        <f t="shared" si="1"/>
        <v>0</v>
      </c>
      <c r="K12" s="67">
        <f t="array" ref="K12">_xlfn.XLOOKUP($B12&amp;K$3,'25-05'!B:B&amp;'25-05'!C:C,'25-05'!D:D,0)</f>
        <v>0</v>
      </c>
      <c r="L12" s="67">
        <f t="array" ref="L12">_xlfn.XLOOKUP($B12&amp;L$3,'25-05'!B:B&amp;'25-05'!C:C,'25-05'!D:D,0)</f>
        <v>0</v>
      </c>
      <c r="M12" s="67">
        <f t="array" ref="M12">_xlfn.XLOOKUP($B12&amp;M$3,'25-05'!B:B&amp;'25-05'!C:C,'25-05'!D:D,0)</f>
        <v>0</v>
      </c>
      <c r="N12" s="67">
        <f t="shared" si="2"/>
        <v>0</v>
      </c>
      <c r="O12" s="67">
        <f t="array" ref="O12">_xlfn.XLOOKUP($B12&amp;O$3,'26-06'!B:B&amp;'26-06'!C:C,'26-06'!D:D,0)</f>
        <v>0</v>
      </c>
      <c r="P12" s="67">
        <f t="array" ref="P12">_xlfn.XLOOKUP($B12&amp;P$3,'26-06'!B:B&amp;'26-06'!C:C,'26-06'!D:D,0)</f>
        <v>0</v>
      </c>
      <c r="Q12" s="67">
        <f t="array" ref="Q12">_xlfn.XLOOKUP($B12&amp;Q$3,'26-06'!B:B&amp;'26-06'!C:C,'26-06'!D:D,0)</f>
        <v>0</v>
      </c>
      <c r="R12" s="67">
        <f t="shared" si="3"/>
        <v>0</v>
      </c>
      <c r="S12" s="67">
        <f t="array" ref="S12">_xlfn.XLOOKUP($B12&amp;S$3,'25-07'!B:B&amp;'25-07'!C:C,'25-07'!D:D,0)</f>
        <v>12</v>
      </c>
      <c r="T12" s="67">
        <f t="array" ref="T12">_xlfn.XLOOKUP($B12&amp;T$3,'25-07'!B:B&amp;'25-07'!C:C,'25-07'!D:D,0)</f>
        <v>0</v>
      </c>
      <c r="U12" s="67">
        <f t="array" ref="U12">_xlfn.XLOOKUP($B12&amp;U$3,'25-07'!B:B&amp;'25-07'!C:C,'25-07'!D:D,0)</f>
        <v>0</v>
      </c>
      <c r="V12" s="67">
        <f t="shared" si="4"/>
        <v>12</v>
      </c>
      <c r="W12" s="67">
        <f t="array" ref="W12">_xlfn.XLOOKUP($B12&amp;W$3,'25-08'!B:B&amp;'25-08'!C:C,'25-08'!D:D,0)</f>
        <v>20</v>
      </c>
      <c r="X12" s="67">
        <f t="array" ref="X12">_xlfn.XLOOKUP($B12&amp;X$3,'25-08'!B:B&amp;'25-08'!C:C,'25-08'!D:D,0)</f>
        <v>0</v>
      </c>
      <c r="Y12" s="67">
        <f t="array" ref="Y12">_xlfn.XLOOKUP($B12&amp;Y$3,'25-08'!B:B&amp;'25-08'!C:C,'25-08'!D:D,0)</f>
        <v>0</v>
      </c>
      <c r="Z12" s="67">
        <f t="shared" si="5"/>
        <v>20</v>
      </c>
      <c r="AA12" s="67">
        <f t="array" ref="AA12">_xlfn.XLOOKUP($B12&amp;AA$3,'25-09'!B:B&amp;'25-09'!C:C,'25-09'!D:D,0)</f>
        <v>15</v>
      </c>
      <c r="AB12" s="67">
        <f t="array" ref="AB12">_xlfn.XLOOKUP($B12&amp;AB$3,'25-09'!B:B&amp;'25-09'!C:C,'25-09'!D:D,0)</f>
        <v>0</v>
      </c>
      <c r="AC12" s="67">
        <f t="array" ref="AC12">_xlfn.XLOOKUP($B12&amp;AC$3,'25-09'!B:B&amp;'25-09'!C:C,'25-09'!D:D,0)</f>
        <v>0</v>
      </c>
      <c r="AD12" s="67">
        <f t="shared" si="6"/>
        <v>15</v>
      </c>
      <c r="AE12" s="67">
        <f t="array" ref="AE12">_xlfn.XLOOKUP($B12&amp;AE$3,'25-10'!B:B&amp;'25-10'!C:C,'25-10'!D:D,0)</f>
        <v>41</v>
      </c>
      <c r="AF12" s="67">
        <f t="array" ref="AF12">_xlfn.XLOOKUP($B12&amp;AF$3,'25-10'!B:B&amp;'25-10'!C:C,'25-10'!D:D,0)</f>
        <v>4</v>
      </c>
      <c r="AG12" s="67">
        <f t="array" ref="AG12">_xlfn.XLOOKUP($B12&amp;AG$3,'25-10'!B:B&amp;'25-10'!C:C,'25-10'!D:D,0)</f>
        <v>0</v>
      </c>
      <c r="AH12" s="67">
        <f t="shared" si="7"/>
        <v>45</v>
      </c>
      <c r="AI12" s="67">
        <f t="array" ref="AI12">_xlfn.XLOOKUP($B12&amp;AI$3,'25-11'!B:B&amp;'25-11'!C:C,'25-11'!D:D,0)</f>
        <v>25</v>
      </c>
      <c r="AJ12" s="67">
        <f t="array" ref="AJ12">_xlfn.XLOOKUP($B12&amp;AJ$3,'25-11'!B:B&amp;'25-11'!C:C,'25-11'!D:D,0)</f>
        <v>8</v>
      </c>
      <c r="AK12" s="67">
        <f t="array" ref="AK12">_xlfn.XLOOKUP($B12&amp;AK$3,'25-11'!B:B&amp;'25-11'!C:C,'25-11'!D:D,0)</f>
        <v>0</v>
      </c>
      <c r="AL12" s="67">
        <f t="shared" si="8"/>
        <v>33</v>
      </c>
      <c r="AM12" s="67">
        <f t="array" ref="AM12">_xlfn.XLOOKUP($B12&amp;AM$3,'25-12'!B:B&amp;'25-12'!C:C,'25-12'!D:D,0)</f>
        <v>32</v>
      </c>
      <c r="AN12" s="67">
        <f t="array" ref="AN12">_xlfn.XLOOKUP($B12&amp;AN$3,'25-12'!B:B&amp;'25-12'!C:C,'25-12'!D:D,0)</f>
        <v>4</v>
      </c>
      <c r="AO12" s="67">
        <f t="array" ref="AO12">_xlfn.XLOOKUP($B12&amp;AO$3,'25-12'!B:B&amp;'25-12'!C:C,'25-12'!D:D,0)</f>
        <v>0</v>
      </c>
      <c r="AP12" s="67">
        <f t="shared" si="9"/>
        <v>36</v>
      </c>
      <c r="AQ12" s="67">
        <f t="array" ref="AQ12">_xlfn.XLOOKUP($B12&amp;AQ$3,'26-01'!B:B&amp;'26-01'!C:C,'26-01'!D:D,0)</f>
        <v>43</v>
      </c>
      <c r="AR12" s="67">
        <f t="array" ref="AR12">_xlfn.XLOOKUP($B12&amp;AR$3,'26-01'!B:B&amp;'26-01'!C:C,'26-01'!D:D,0)</f>
        <v>4</v>
      </c>
      <c r="AS12" s="67">
        <f t="array" ref="AS12">_xlfn.XLOOKUP($B12&amp;AS$3,'26-01'!B:B&amp;'26-01'!C:C,'26-01'!D:D,0)</f>
        <v>0</v>
      </c>
      <c r="AT12" s="67">
        <f t="shared" si="10"/>
        <v>47</v>
      </c>
      <c r="AU12" s="67" cm="1">
        <f t="array" ref="AU12">_xlfn.XLOOKUP($B12&amp;AU$3,'26-02'!B:B&amp;'26-02'!C:C,'26-02'!D:D,0)</f>
        <v>12</v>
      </c>
      <c r="AV12" s="67" cm="1">
        <f t="array" ref="AV12">_xlfn.XLOOKUP($B12&amp;AV$3,'26-02'!B:B&amp;'26-02'!C:C,'26-02'!D:D,0)</f>
        <v>0</v>
      </c>
      <c r="AW12" s="67" cm="1">
        <f t="array" ref="AW12">_xlfn.XLOOKUP($B12&amp;AW$3,'26-02'!B:B&amp;'26-02'!C:C,'26-02'!D:D,0)</f>
        <v>0</v>
      </c>
      <c r="AX12" s="67">
        <f t="shared" si="11"/>
        <v>12</v>
      </c>
      <c r="AY12" s="36">
        <f t="shared" si="12"/>
        <v>220</v>
      </c>
      <c r="AZ12" s="36">
        <f t="shared" si="13"/>
        <v>31.3333333333333</v>
      </c>
      <c r="BA12" s="36">
        <f t="shared" si="24"/>
        <v>20</v>
      </c>
      <c r="BB12" s="37">
        <f t="shared" si="14"/>
        <v>28</v>
      </c>
      <c r="BC12" s="37">
        <f t="shared" si="15"/>
        <v>18.1818181818182</v>
      </c>
      <c r="BD12" s="37">
        <f t="shared" si="16"/>
        <v>5</v>
      </c>
      <c r="BE12" s="37">
        <f t="shared" si="17"/>
        <v>3.33333333333333</v>
      </c>
      <c r="BF12" s="37">
        <f t="shared" si="18"/>
        <v>3.33333333333333</v>
      </c>
      <c r="BG12" s="37">
        <f t="shared" si="19"/>
        <v>36</v>
      </c>
      <c r="BH12" s="68">
        <f t="shared" si="20"/>
        <v>0</v>
      </c>
      <c r="BI12" s="37">
        <f t="shared" si="21"/>
        <v>0</v>
      </c>
      <c r="BJ12" s="37">
        <f t="shared" si="22"/>
        <v>0</v>
      </c>
      <c r="BK12" s="38">
        <f>_xlfn.XLOOKUP($B12,'BCS-1-KLG'!C:C,'BCS-1-KLG'!E:E,0)</f>
        <v>5</v>
      </c>
      <c r="BL12" s="38">
        <f>_xlfn.XLOOKUP($B12,'BCS-2 PIK 2'!C:C,'BCS-2 PIK 2'!E:E,0)</f>
        <v>36</v>
      </c>
      <c r="BM12" s="38">
        <f>_xlfn.XLOOKUP($B12,'BCS HO'!C:C,'BCS HO'!E:E,0)</f>
        <v>0</v>
      </c>
      <c r="BN12" s="38">
        <f t="shared" si="23"/>
        <v>41</v>
      </c>
    </row>
    <row r="13" s="33" customFormat="1" customHeight="1" spans="1:66">
      <c r="A13" s="34">
        <v>10</v>
      </c>
      <c r="B13" s="66" t="s">
        <v>111</v>
      </c>
      <c r="C13" s="67">
        <f t="array" ref="C13">_xlfn.XLOOKUP($B13&amp;$C$3,'25-03'!B:B&amp;'25-03'!C:C,'25-03'!D:D,0)</f>
        <v>0</v>
      </c>
      <c r="D13" s="67">
        <f t="array" ref="D13">_xlfn.XLOOKUP($B13&amp;$D$3,'25-03'!B:B&amp;'25-03'!C:C,'25-03'!D:D,0)</f>
        <v>0</v>
      </c>
      <c r="E13" s="67">
        <f t="array" ref="E13">_xlfn.XLOOKUP($B13&amp;E$3,'25-03'!B:B&amp;'25-03'!C:C,'25-03'!D:D,0)</f>
        <v>0</v>
      </c>
      <c r="F13" s="67">
        <f t="shared" si="0"/>
        <v>0</v>
      </c>
      <c r="G13" s="67">
        <f t="array" ref="G13">_xlfn.XLOOKUP($B13&amp;G$3,'25-04'!B:B&amp;'25-04'!C:C,'25-04'!D:D,0)</f>
        <v>0</v>
      </c>
      <c r="H13" s="67">
        <f t="array" ref="H13">_xlfn.XLOOKUP($B13&amp;H$3,'25-04'!B:B&amp;'25-04'!C:C,'25-04'!D:D,0)</f>
        <v>0</v>
      </c>
      <c r="I13" s="67">
        <f t="array" ref="I13">_xlfn.XLOOKUP($B13&amp;I$3,'25-04'!B:B&amp;'25-04'!C:C,'25-04'!D:D,0)</f>
        <v>0</v>
      </c>
      <c r="J13" s="67">
        <f t="shared" si="1"/>
        <v>0</v>
      </c>
      <c r="K13" s="67">
        <f t="array" ref="K13">_xlfn.XLOOKUP($B13&amp;K$3,'25-05'!B:B&amp;'25-05'!C:C,'25-05'!D:D,0)</f>
        <v>0</v>
      </c>
      <c r="L13" s="67">
        <f t="array" ref="L13">_xlfn.XLOOKUP($B13&amp;L$3,'25-05'!B:B&amp;'25-05'!C:C,'25-05'!D:D,0)</f>
        <v>0</v>
      </c>
      <c r="M13" s="67">
        <f t="array" ref="M13">_xlfn.XLOOKUP($B13&amp;M$3,'25-05'!B:B&amp;'25-05'!C:C,'25-05'!D:D,0)</f>
        <v>0</v>
      </c>
      <c r="N13" s="67">
        <f t="shared" si="2"/>
        <v>0</v>
      </c>
      <c r="O13" s="67">
        <f t="array" ref="O13">_xlfn.XLOOKUP($B13&amp;O$3,'26-06'!B:B&amp;'26-06'!C:C,'26-06'!D:D,0)</f>
        <v>0</v>
      </c>
      <c r="P13" s="67">
        <f t="array" ref="P13">_xlfn.XLOOKUP($B13&amp;P$3,'26-06'!B:B&amp;'26-06'!C:C,'26-06'!D:D,0)</f>
        <v>0</v>
      </c>
      <c r="Q13" s="67">
        <f t="array" ref="Q13">_xlfn.XLOOKUP($B13&amp;Q$3,'26-06'!B:B&amp;'26-06'!C:C,'26-06'!D:D,0)</f>
        <v>0</v>
      </c>
      <c r="R13" s="67">
        <f t="shared" si="3"/>
        <v>0</v>
      </c>
      <c r="S13" s="67">
        <f t="array" ref="S13">_xlfn.XLOOKUP($B13&amp;S$3,'25-07'!B:B&amp;'25-07'!C:C,'25-07'!D:D,0)</f>
        <v>0</v>
      </c>
      <c r="T13" s="67">
        <f t="array" ref="T13">_xlfn.XLOOKUP($B13&amp;T$3,'25-07'!B:B&amp;'25-07'!C:C,'25-07'!D:D,0)</f>
        <v>0</v>
      </c>
      <c r="U13" s="67">
        <f t="array" ref="U13">_xlfn.XLOOKUP($B13&amp;U$3,'25-07'!B:B&amp;'25-07'!C:C,'25-07'!D:D,0)</f>
        <v>0</v>
      </c>
      <c r="V13" s="67">
        <f t="shared" si="4"/>
        <v>0</v>
      </c>
      <c r="W13" s="67">
        <f t="array" ref="W13">_xlfn.XLOOKUP($B13&amp;W$3,'25-08'!B:B&amp;'25-08'!C:C,'25-08'!D:D,0)</f>
        <v>0</v>
      </c>
      <c r="X13" s="67">
        <f t="array" ref="X13">_xlfn.XLOOKUP($B13&amp;X$3,'25-08'!B:B&amp;'25-08'!C:C,'25-08'!D:D,0)</f>
        <v>0</v>
      </c>
      <c r="Y13" s="67">
        <f t="array" ref="Y13">_xlfn.XLOOKUP($B13&amp;Y$3,'25-08'!B:B&amp;'25-08'!C:C,'25-08'!D:D,0)</f>
        <v>0</v>
      </c>
      <c r="Z13" s="67">
        <f t="shared" si="5"/>
        <v>0</v>
      </c>
      <c r="AA13" s="67">
        <f t="array" ref="AA13">_xlfn.XLOOKUP($B13&amp;AA$3,'25-09'!B:B&amp;'25-09'!C:C,'25-09'!D:D,0)</f>
        <v>12</v>
      </c>
      <c r="AB13" s="67">
        <f t="array" ref="AB13">_xlfn.XLOOKUP($B13&amp;AB$3,'25-09'!B:B&amp;'25-09'!C:C,'25-09'!D:D,0)</f>
        <v>9</v>
      </c>
      <c r="AC13" s="67">
        <f t="array" ref="AC13">_xlfn.XLOOKUP($B13&amp;AC$3,'25-09'!B:B&amp;'25-09'!C:C,'25-09'!D:D,0)</f>
        <v>0</v>
      </c>
      <c r="AD13" s="67">
        <f t="shared" si="6"/>
        <v>21</v>
      </c>
      <c r="AE13" s="67">
        <f t="array" ref="AE13">_xlfn.XLOOKUP($B13&amp;AE$3,'25-10'!B:B&amp;'25-10'!C:C,'25-10'!D:D,0)</f>
        <v>26</v>
      </c>
      <c r="AF13" s="67">
        <f t="array" ref="AF13">_xlfn.XLOOKUP($B13&amp;AF$3,'25-10'!B:B&amp;'25-10'!C:C,'25-10'!D:D,0)</f>
        <v>26</v>
      </c>
      <c r="AG13" s="67">
        <f t="array" ref="AG13">_xlfn.XLOOKUP($B13&amp;AG$3,'25-10'!B:B&amp;'25-10'!C:C,'25-10'!D:D,0)</f>
        <v>0</v>
      </c>
      <c r="AH13" s="67">
        <f t="shared" si="7"/>
        <v>52</v>
      </c>
      <c r="AI13" s="67">
        <f t="array" ref="AI13">_xlfn.XLOOKUP($B13&amp;AI$3,'25-11'!B:B&amp;'25-11'!C:C,'25-11'!D:D,0)</f>
        <v>28</v>
      </c>
      <c r="AJ13" s="67">
        <f t="array" ref="AJ13">_xlfn.XLOOKUP($B13&amp;AJ$3,'25-11'!B:B&amp;'25-11'!C:C,'25-11'!D:D,0)</f>
        <v>24</v>
      </c>
      <c r="AK13" s="67">
        <f t="array" ref="AK13">_xlfn.XLOOKUP($B13&amp;AK$3,'25-11'!B:B&amp;'25-11'!C:C,'25-11'!D:D,0)</f>
        <v>0</v>
      </c>
      <c r="AL13" s="67">
        <f t="shared" si="8"/>
        <v>52</v>
      </c>
      <c r="AM13" s="67">
        <f t="array" ref="AM13">_xlfn.XLOOKUP($B13&amp;AM$3,'25-12'!B:B&amp;'25-12'!C:C,'25-12'!D:D,0)</f>
        <v>27</v>
      </c>
      <c r="AN13" s="67">
        <f t="array" ref="AN13">_xlfn.XLOOKUP($B13&amp;AN$3,'25-12'!B:B&amp;'25-12'!C:C,'25-12'!D:D,0)</f>
        <v>40</v>
      </c>
      <c r="AO13" s="67">
        <f t="array" ref="AO13">_xlfn.XLOOKUP($B13&amp;AO$3,'25-12'!B:B&amp;'25-12'!C:C,'25-12'!D:D,0)</f>
        <v>0</v>
      </c>
      <c r="AP13" s="67">
        <f t="shared" si="9"/>
        <v>67</v>
      </c>
      <c r="AQ13" s="67">
        <f t="array" ref="AQ13">_xlfn.XLOOKUP($B13&amp;AQ$3,'26-01'!B:B&amp;'26-01'!C:C,'26-01'!D:D,0)</f>
        <v>37</v>
      </c>
      <c r="AR13" s="67">
        <f t="array" ref="AR13">_xlfn.XLOOKUP($B13&amp;AR$3,'26-01'!B:B&amp;'26-01'!C:C,'26-01'!D:D,0)</f>
        <v>17</v>
      </c>
      <c r="AS13" s="67">
        <f t="array" ref="AS13">_xlfn.XLOOKUP($B13&amp;AS$3,'26-01'!B:B&amp;'26-01'!C:C,'26-01'!D:D,0)</f>
        <v>0</v>
      </c>
      <c r="AT13" s="67">
        <f t="shared" si="10"/>
        <v>54</v>
      </c>
      <c r="AU13" s="67" cm="1">
        <f t="array" ref="AU13">_xlfn.XLOOKUP($B13&amp;AU$3,'26-02'!B:B&amp;'26-02'!C:C,'26-02'!D:D,0)</f>
        <v>22</v>
      </c>
      <c r="AV13" s="67" cm="1">
        <f t="array" ref="AV13">_xlfn.XLOOKUP($B13&amp;AV$3,'26-02'!B:B&amp;'26-02'!C:C,'26-02'!D:D,0)</f>
        <v>8</v>
      </c>
      <c r="AW13" s="67" cm="1">
        <f t="array" ref="AW13">_xlfn.XLOOKUP($B13&amp;AW$3,'26-02'!B:B&amp;'26-02'!C:C,'26-02'!D:D,0)</f>
        <v>0</v>
      </c>
      <c r="AX13" s="67">
        <f t="shared" si="11"/>
        <v>30</v>
      </c>
      <c r="AY13" s="36">
        <f t="shared" si="12"/>
        <v>276</v>
      </c>
      <c r="AZ13" s="36">
        <f t="shared" si="13"/>
        <v>46</v>
      </c>
      <c r="BA13" s="36">
        <f t="shared" si="24"/>
        <v>25.0909090909091</v>
      </c>
      <c r="BB13" s="37">
        <f t="shared" si="14"/>
        <v>25.3333333333333</v>
      </c>
      <c r="BC13" s="37">
        <f t="shared" si="15"/>
        <v>13.8181818181818</v>
      </c>
      <c r="BD13" s="37">
        <f t="shared" si="16"/>
        <v>13</v>
      </c>
      <c r="BE13" s="37">
        <f t="shared" si="17"/>
        <v>20.6666666666667</v>
      </c>
      <c r="BF13" s="37">
        <f t="shared" si="18"/>
        <v>20.6666666666667</v>
      </c>
      <c r="BG13" s="37">
        <f t="shared" si="19"/>
        <v>48</v>
      </c>
      <c r="BH13" s="68">
        <f t="shared" si="20"/>
        <v>0</v>
      </c>
      <c r="BI13" s="37">
        <f t="shared" si="21"/>
        <v>0</v>
      </c>
      <c r="BJ13" s="37">
        <f t="shared" si="22"/>
        <v>48</v>
      </c>
      <c r="BK13" s="38">
        <f>_xlfn.XLOOKUP($B13,'BCS-1-KLG'!C:C,'BCS-1-KLG'!E:E,0)</f>
        <v>13</v>
      </c>
      <c r="BL13" s="38">
        <f>_xlfn.XLOOKUP($B13,'BCS-2 PIK 2'!C:C,'BCS-2 PIK 2'!E:E,0)</f>
        <v>48</v>
      </c>
      <c r="BM13" s="38">
        <f>_xlfn.XLOOKUP($B13,'BCS HO'!C:C,'BCS HO'!E:E,0)</f>
        <v>48</v>
      </c>
      <c r="BN13" s="38">
        <f t="shared" si="23"/>
        <v>109</v>
      </c>
    </row>
    <row r="14" s="33" customFormat="1" customHeight="1" spans="1:66">
      <c r="A14" s="34">
        <v>11</v>
      </c>
      <c r="B14" s="66" t="s">
        <v>115</v>
      </c>
      <c r="C14" s="67">
        <f t="array" ref="C14">_xlfn.XLOOKUP($B14&amp;$C$3,'25-03'!B:B&amp;'25-03'!C:C,'25-03'!D:D,0)</f>
        <v>0</v>
      </c>
      <c r="D14" s="67">
        <f t="array" ref="D14">_xlfn.XLOOKUP($B14&amp;$D$3,'25-03'!B:B&amp;'25-03'!C:C,'25-03'!D:D,0)</f>
        <v>0</v>
      </c>
      <c r="E14" s="67">
        <f t="array" ref="E14">_xlfn.XLOOKUP($B14&amp;E$3,'25-03'!B:B&amp;'25-03'!C:C,'25-03'!D:D,0)</f>
        <v>0</v>
      </c>
      <c r="F14" s="67">
        <f t="shared" si="0"/>
        <v>0</v>
      </c>
      <c r="G14" s="67">
        <f t="array" ref="G14">_xlfn.XLOOKUP($B14&amp;G$3,'25-04'!B:B&amp;'25-04'!C:C,'25-04'!D:D,0)</f>
        <v>0</v>
      </c>
      <c r="H14" s="67">
        <f t="array" ref="H14">_xlfn.XLOOKUP($B14&amp;H$3,'25-04'!B:B&amp;'25-04'!C:C,'25-04'!D:D,0)</f>
        <v>0</v>
      </c>
      <c r="I14" s="67">
        <f t="array" ref="I14">_xlfn.XLOOKUP($B14&amp;I$3,'25-04'!B:B&amp;'25-04'!C:C,'25-04'!D:D,0)</f>
        <v>0</v>
      </c>
      <c r="J14" s="67">
        <f t="shared" si="1"/>
        <v>0</v>
      </c>
      <c r="K14" s="67">
        <f t="array" ref="K14">_xlfn.XLOOKUP($B14&amp;K$3,'25-05'!B:B&amp;'25-05'!C:C,'25-05'!D:D,0)</f>
        <v>0</v>
      </c>
      <c r="L14" s="67">
        <f t="array" ref="L14">_xlfn.XLOOKUP($B14&amp;L$3,'25-05'!B:B&amp;'25-05'!C:C,'25-05'!D:D,0)</f>
        <v>0</v>
      </c>
      <c r="M14" s="67">
        <f t="array" ref="M14">_xlfn.XLOOKUP($B14&amp;M$3,'25-05'!B:B&amp;'25-05'!C:C,'25-05'!D:D,0)</f>
        <v>0</v>
      </c>
      <c r="N14" s="67">
        <f t="shared" si="2"/>
        <v>0</v>
      </c>
      <c r="O14" s="67">
        <f t="array" ref="O14">_xlfn.XLOOKUP($B14&amp;O$3,'26-06'!B:B&amp;'26-06'!C:C,'26-06'!D:D,0)</f>
        <v>0</v>
      </c>
      <c r="P14" s="67">
        <f t="array" ref="P14">_xlfn.XLOOKUP($B14&amp;P$3,'26-06'!B:B&amp;'26-06'!C:C,'26-06'!D:D,0)</f>
        <v>0</v>
      </c>
      <c r="Q14" s="67">
        <f t="array" ref="Q14">_xlfn.XLOOKUP($B14&amp;Q$3,'26-06'!B:B&amp;'26-06'!C:C,'26-06'!D:D,0)</f>
        <v>0</v>
      </c>
      <c r="R14" s="67">
        <f t="shared" si="3"/>
        <v>0</v>
      </c>
      <c r="S14" s="67">
        <f t="array" ref="S14">_xlfn.XLOOKUP($B14&amp;S$3,'25-07'!B:B&amp;'25-07'!C:C,'25-07'!D:D,0)</f>
        <v>0</v>
      </c>
      <c r="T14" s="67">
        <f t="array" ref="T14">_xlfn.XLOOKUP($B14&amp;T$3,'25-07'!B:B&amp;'25-07'!C:C,'25-07'!D:D,0)</f>
        <v>0</v>
      </c>
      <c r="U14" s="67">
        <f t="array" ref="U14">_xlfn.XLOOKUP($B14&amp;U$3,'25-07'!B:B&amp;'25-07'!C:C,'25-07'!D:D,0)</f>
        <v>0</v>
      </c>
      <c r="V14" s="67">
        <f t="shared" si="4"/>
        <v>0</v>
      </c>
      <c r="W14" s="67">
        <f t="array" ref="W14">_xlfn.XLOOKUP($B14&amp;W$3,'25-08'!B:B&amp;'25-08'!C:C,'25-08'!D:D,0)</f>
        <v>0</v>
      </c>
      <c r="X14" s="67">
        <f t="array" ref="X14">_xlfn.XLOOKUP($B14&amp;X$3,'25-08'!B:B&amp;'25-08'!C:C,'25-08'!D:D,0)</f>
        <v>0</v>
      </c>
      <c r="Y14" s="67">
        <f t="array" ref="Y14">_xlfn.XLOOKUP($B14&amp;Y$3,'25-08'!B:B&amp;'25-08'!C:C,'25-08'!D:D,0)</f>
        <v>0</v>
      </c>
      <c r="Z14" s="67">
        <f t="shared" si="5"/>
        <v>0</v>
      </c>
      <c r="AA14" s="67">
        <f t="array" ref="AA14">_xlfn.XLOOKUP($B14&amp;AA$3,'25-09'!B:B&amp;'25-09'!C:C,'25-09'!D:D,0)</f>
        <v>7</v>
      </c>
      <c r="AB14" s="67">
        <f t="array" ref="AB14">_xlfn.XLOOKUP($B14&amp;AB$3,'25-09'!B:B&amp;'25-09'!C:C,'25-09'!D:D,0)</f>
        <v>0</v>
      </c>
      <c r="AC14" s="67">
        <f t="array" ref="AC14">_xlfn.XLOOKUP($B14&amp;AC$3,'25-09'!B:B&amp;'25-09'!C:C,'25-09'!D:D,0)</f>
        <v>0</v>
      </c>
      <c r="AD14" s="67">
        <f t="shared" si="6"/>
        <v>7</v>
      </c>
      <c r="AE14" s="67">
        <f t="array" ref="AE14">_xlfn.XLOOKUP($B14&amp;AE$3,'25-10'!B:B&amp;'25-10'!C:C,'25-10'!D:D,0)</f>
        <v>37</v>
      </c>
      <c r="AF14" s="67">
        <f t="array" ref="AF14">_xlfn.XLOOKUP($B14&amp;AF$3,'25-10'!B:B&amp;'25-10'!C:C,'25-10'!D:D,0)</f>
        <v>13</v>
      </c>
      <c r="AG14" s="67">
        <f t="array" ref="AG14">_xlfn.XLOOKUP($B14&amp;AG$3,'25-10'!B:B&amp;'25-10'!C:C,'25-10'!D:D,0)</f>
        <v>0</v>
      </c>
      <c r="AH14" s="67">
        <f t="shared" si="7"/>
        <v>50</v>
      </c>
      <c r="AI14" s="67">
        <f t="array" ref="AI14">_xlfn.XLOOKUP($B14&amp;AI$3,'25-11'!B:B&amp;'25-11'!C:C,'25-11'!D:D,0)</f>
        <v>15</v>
      </c>
      <c r="AJ14" s="67">
        <f t="array" ref="AJ14">_xlfn.XLOOKUP($B14&amp;AJ$3,'25-11'!B:B&amp;'25-11'!C:C,'25-11'!D:D,0)</f>
        <v>20</v>
      </c>
      <c r="AK14" s="67">
        <f t="array" ref="AK14">_xlfn.XLOOKUP($B14&amp;AK$3,'25-11'!B:B&amp;'25-11'!C:C,'25-11'!D:D,0)</f>
        <v>0</v>
      </c>
      <c r="AL14" s="67">
        <f t="shared" si="8"/>
        <v>35</v>
      </c>
      <c r="AM14" s="67">
        <f t="array" ref="AM14">_xlfn.XLOOKUP($B14&amp;AM$3,'25-12'!B:B&amp;'25-12'!C:C,'25-12'!D:D,0)</f>
        <v>33</v>
      </c>
      <c r="AN14" s="67">
        <f t="array" ref="AN14">_xlfn.XLOOKUP($B14&amp;AN$3,'25-12'!B:B&amp;'25-12'!C:C,'25-12'!D:D,0)</f>
        <v>36</v>
      </c>
      <c r="AO14" s="67">
        <f t="array" ref="AO14">_xlfn.XLOOKUP($B14&amp;AO$3,'25-12'!B:B&amp;'25-12'!C:C,'25-12'!D:D,0)</f>
        <v>0</v>
      </c>
      <c r="AP14" s="67">
        <f t="shared" si="9"/>
        <v>69</v>
      </c>
      <c r="AQ14" s="67">
        <f t="array" ref="AQ14">_xlfn.XLOOKUP($B14&amp;AQ$3,'26-01'!B:B&amp;'26-01'!C:C,'26-01'!D:D,0)</f>
        <v>19</v>
      </c>
      <c r="AR14" s="67">
        <f t="array" ref="AR14">_xlfn.XLOOKUP($B14&amp;AR$3,'26-01'!B:B&amp;'26-01'!C:C,'26-01'!D:D,0)</f>
        <v>26</v>
      </c>
      <c r="AS14" s="67">
        <f t="array" ref="AS14">_xlfn.XLOOKUP($B14&amp;AS$3,'26-01'!B:B&amp;'26-01'!C:C,'26-01'!D:D,0)</f>
        <v>0</v>
      </c>
      <c r="AT14" s="67">
        <f t="shared" si="10"/>
        <v>45</v>
      </c>
      <c r="AU14" s="67" cm="1">
        <f t="array" ref="AU14">_xlfn.XLOOKUP($B14&amp;AU$3,'26-02'!B:B&amp;'26-02'!C:C,'26-02'!D:D,0)</f>
        <v>30</v>
      </c>
      <c r="AV14" s="67" cm="1">
        <f t="array" ref="AV14">_xlfn.XLOOKUP($B14&amp;AV$3,'26-02'!B:B&amp;'26-02'!C:C,'26-02'!D:D,0)</f>
        <v>6</v>
      </c>
      <c r="AW14" s="67" cm="1">
        <f t="array" ref="AW14">_xlfn.XLOOKUP($B14&amp;AW$3,'26-02'!B:B&amp;'26-02'!C:C,'26-02'!D:D,0)</f>
        <v>0</v>
      </c>
      <c r="AX14" s="67">
        <f t="shared" si="11"/>
        <v>36</v>
      </c>
      <c r="AY14" s="36">
        <f t="shared" si="12"/>
        <v>242</v>
      </c>
      <c r="AZ14" s="36">
        <f t="shared" si="13"/>
        <v>40.3333333333333</v>
      </c>
      <c r="BA14" s="36">
        <f t="shared" si="24"/>
        <v>22</v>
      </c>
      <c r="BB14" s="37">
        <f t="shared" si="14"/>
        <v>23.5</v>
      </c>
      <c r="BC14" s="37">
        <f t="shared" si="15"/>
        <v>12.8181818181818</v>
      </c>
      <c r="BD14" s="37">
        <f t="shared" si="16"/>
        <v>16</v>
      </c>
      <c r="BE14" s="37">
        <f t="shared" si="17"/>
        <v>16.8333333333333</v>
      </c>
      <c r="BF14" s="37">
        <f t="shared" si="18"/>
        <v>16.8333333333333</v>
      </c>
      <c r="BG14" s="37">
        <f t="shared" si="19"/>
        <v>32</v>
      </c>
      <c r="BH14" s="68">
        <f t="shared" si="20"/>
        <v>0</v>
      </c>
      <c r="BI14" s="37">
        <f t="shared" si="21"/>
        <v>0</v>
      </c>
      <c r="BJ14" s="37">
        <f t="shared" si="22"/>
        <v>25</v>
      </c>
      <c r="BK14" s="38">
        <f>_xlfn.XLOOKUP($B14,'BCS-1-KLG'!C:C,'BCS-1-KLG'!E:E,0)</f>
        <v>16</v>
      </c>
      <c r="BL14" s="38">
        <f>_xlfn.XLOOKUP($B14,'BCS-2 PIK 2'!C:C,'BCS-2 PIK 2'!E:E,0)</f>
        <v>32</v>
      </c>
      <c r="BM14" s="38">
        <f>_xlfn.XLOOKUP($B14,'BCS HO'!C:C,'BCS HO'!E:E,0)</f>
        <v>25</v>
      </c>
      <c r="BN14" s="38">
        <f t="shared" si="23"/>
        <v>73</v>
      </c>
    </row>
    <row r="15" s="33" customFormat="1" customHeight="1" spans="1:66">
      <c r="A15" s="34">
        <v>12</v>
      </c>
      <c r="B15" s="66" t="s">
        <v>92</v>
      </c>
      <c r="C15" s="67">
        <f t="array" ref="C15">_xlfn.XLOOKUP($B15&amp;$C$3,'25-03'!B:B&amp;'25-03'!C:C,'25-03'!D:D,0)</f>
        <v>4</v>
      </c>
      <c r="D15" s="67">
        <f t="array" ref="D15">_xlfn.XLOOKUP($B15&amp;$D$3,'25-03'!B:B&amp;'25-03'!C:C,'25-03'!D:D,0)</f>
        <v>0</v>
      </c>
      <c r="E15" s="67">
        <f t="array" ref="E15">_xlfn.XLOOKUP($B15&amp;E$3,'25-03'!B:B&amp;'25-03'!C:C,'25-03'!D:D,0)</f>
        <v>0</v>
      </c>
      <c r="F15" s="67">
        <f t="shared" si="0"/>
        <v>4</v>
      </c>
      <c r="G15" s="67">
        <f t="array" ref="G15">_xlfn.XLOOKUP($B15&amp;G$3,'25-04'!B:B&amp;'25-04'!C:C,'25-04'!D:D,0)</f>
        <v>0</v>
      </c>
      <c r="H15" s="67">
        <f t="array" ref="H15">_xlfn.XLOOKUP($B15&amp;H$3,'25-04'!B:B&amp;'25-04'!C:C,'25-04'!D:D,0)</f>
        <v>0</v>
      </c>
      <c r="I15" s="67">
        <f t="array" ref="I15">_xlfn.XLOOKUP($B15&amp;I$3,'25-04'!B:B&amp;'25-04'!C:C,'25-04'!D:D,0)</f>
        <v>0</v>
      </c>
      <c r="J15" s="67">
        <f t="shared" si="1"/>
        <v>0</v>
      </c>
      <c r="K15" s="67">
        <f t="array" ref="K15">_xlfn.XLOOKUP($B15&amp;K$3,'25-05'!B:B&amp;'25-05'!C:C,'25-05'!D:D,0)</f>
        <v>27</v>
      </c>
      <c r="L15" s="67">
        <f t="array" ref="L15">_xlfn.XLOOKUP($B15&amp;L$3,'25-05'!B:B&amp;'25-05'!C:C,'25-05'!D:D,0)</f>
        <v>0</v>
      </c>
      <c r="M15" s="67">
        <f t="array" ref="M15">_xlfn.XLOOKUP($B15&amp;M$3,'25-05'!B:B&amp;'25-05'!C:C,'25-05'!D:D,0)</f>
        <v>0</v>
      </c>
      <c r="N15" s="67">
        <f t="shared" si="2"/>
        <v>27</v>
      </c>
      <c r="O15" s="67">
        <f t="array" ref="O15">_xlfn.XLOOKUP($B15&amp;O$3,'26-06'!B:B&amp;'26-06'!C:C,'26-06'!D:D,0)</f>
        <v>71</v>
      </c>
      <c r="P15" s="67">
        <f t="array" ref="P15">_xlfn.XLOOKUP($B15&amp;P$3,'26-06'!B:B&amp;'26-06'!C:C,'26-06'!D:D,0)</f>
        <v>0</v>
      </c>
      <c r="Q15" s="67">
        <f t="array" ref="Q15">_xlfn.XLOOKUP($B15&amp;Q$3,'26-06'!B:B&amp;'26-06'!C:C,'26-06'!D:D,0)</f>
        <v>0</v>
      </c>
      <c r="R15" s="67">
        <f t="shared" si="3"/>
        <v>71</v>
      </c>
      <c r="S15" s="67">
        <f t="array" ref="S15">_xlfn.XLOOKUP($B15&amp;S$3,'25-07'!B:B&amp;'25-07'!C:C,'25-07'!D:D,0)</f>
        <v>97</v>
      </c>
      <c r="T15" s="67">
        <f t="array" ref="T15">_xlfn.XLOOKUP($B15&amp;T$3,'25-07'!B:B&amp;'25-07'!C:C,'25-07'!D:D,0)</f>
        <v>0</v>
      </c>
      <c r="U15" s="67">
        <f t="array" ref="U15">_xlfn.XLOOKUP($B15&amp;U$3,'25-07'!B:B&amp;'25-07'!C:C,'25-07'!D:D,0)</f>
        <v>0</v>
      </c>
      <c r="V15" s="67">
        <f t="shared" si="4"/>
        <v>97</v>
      </c>
      <c r="W15" s="67">
        <f t="array" ref="W15">_xlfn.XLOOKUP($B15&amp;W$3,'25-08'!B:B&amp;'25-08'!C:C,'25-08'!D:D,0)</f>
        <v>46</v>
      </c>
      <c r="X15" s="67">
        <f t="array" ref="X15">_xlfn.XLOOKUP($B15&amp;X$3,'25-08'!B:B&amp;'25-08'!C:C,'25-08'!D:D,0)</f>
        <v>0</v>
      </c>
      <c r="Y15" s="67">
        <f t="array" ref="Y15">_xlfn.XLOOKUP($B15&amp;Y$3,'25-08'!B:B&amp;'25-08'!C:C,'25-08'!D:D,0)</f>
        <v>0</v>
      </c>
      <c r="Z15" s="67">
        <f t="shared" si="5"/>
        <v>46</v>
      </c>
      <c r="AA15" s="67">
        <f t="array" ref="AA15">_xlfn.XLOOKUP($B15&amp;AA$3,'25-09'!B:B&amp;'25-09'!C:C,'25-09'!D:D,0)</f>
        <v>62</v>
      </c>
      <c r="AB15" s="67">
        <f t="array" ref="AB15">_xlfn.XLOOKUP($B15&amp;AB$3,'25-09'!B:B&amp;'25-09'!C:C,'25-09'!D:D,0)</f>
        <v>2</v>
      </c>
      <c r="AC15" s="67">
        <f t="array" ref="AC15">_xlfn.XLOOKUP($B15&amp;AC$3,'25-09'!B:B&amp;'25-09'!C:C,'25-09'!D:D,0)</f>
        <v>0</v>
      </c>
      <c r="AD15" s="67">
        <f t="shared" si="6"/>
        <v>64</v>
      </c>
      <c r="AE15" s="67">
        <f t="array" ref="AE15">_xlfn.XLOOKUP($B15&amp;AE$3,'25-10'!B:B&amp;'25-10'!C:C,'25-10'!D:D,0)</f>
        <v>2</v>
      </c>
      <c r="AF15" s="67">
        <f t="array" ref="AF15">_xlfn.XLOOKUP($B15&amp;AF$3,'25-10'!B:B&amp;'25-10'!C:C,'25-10'!D:D,0)</f>
        <v>26</v>
      </c>
      <c r="AG15" s="67">
        <f t="array" ref="AG15">_xlfn.XLOOKUP($B15&amp;AG$3,'25-10'!B:B&amp;'25-10'!C:C,'25-10'!D:D,0)</f>
        <v>0</v>
      </c>
      <c r="AH15" s="67">
        <f t="shared" si="7"/>
        <v>28</v>
      </c>
      <c r="AI15" s="67">
        <f t="array" ref="AI15">_xlfn.XLOOKUP($B15&amp;AI$3,'25-11'!B:B&amp;'25-11'!C:C,'25-11'!D:D,0)</f>
        <v>13</v>
      </c>
      <c r="AJ15" s="67">
        <f t="array" ref="AJ15">_xlfn.XLOOKUP($B15&amp;AJ$3,'25-11'!B:B&amp;'25-11'!C:C,'25-11'!D:D,0)</f>
        <v>56</v>
      </c>
      <c r="AK15" s="67">
        <f t="array" ref="AK15">_xlfn.XLOOKUP($B15&amp;AK$3,'25-11'!B:B&amp;'25-11'!C:C,'25-11'!D:D,0)</f>
        <v>0</v>
      </c>
      <c r="AL15" s="67">
        <f t="shared" si="8"/>
        <v>69</v>
      </c>
      <c r="AM15" s="67">
        <f t="array" ref="AM15">_xlfn.XLOOKUP($B15&amp;AM$3,'25-12'!B:B&amp;'25-12'!C:C,'25-12'!D:D,0)</f>
        <v>14</v>
      </c>
      <c r="AN15" s="67">
        <f t="array" ref="AN15">_xlfn.XLOOKUP($B15&amp;AN$3,'25-12'!B:B&amp;'25-12'!C:C,'25-12'!D:D,0)</f>
        <v>63</v>
      </c>
      <c r="AO15" s="67">
        <f t="array" ref="AO15">_xlfn.XLOOKUP($B15&amp;AO$3,'25-12'!B:B&amp;'25-12'!C:C,'25-12'!D:D,0)</f>
        <v>0</v>
      </c>
      <c r="AP15" s="67">
        <f t="shared" si="9"/>
        <v>77</v>
      </c>
      <c r="AQ15" s="67">
        <f t="array" ref="AQ15">_xlfn.XLOOKUP($B15&amp;AQ$3,'26-01'!B:B&amp;'26-01'!C:C,'26-01'!D:D,0)</f>
        <v>22</v>
      </c>
      <c r="AR15" s="67">
        <f t="array" ref="AR15">_xlfn.XLOOKUP($B15&amp;AR$3,'26-01'!B:B&amp;'26-01'!C:C,'26-01'!D:D,0)</f>
        <v>47</v>
      </c>
      <c r="AS15" s="67">
        <f t="array" ref="AS15">_xlfn.XLOOKUP($B15&amp;AS$3,'26-01'!B:B&amp;'26-01'!C:C,'26-01'!D:D,0)</f>
        <v>0</v>
      </c>
      <c r="AT15" s="67">
        <f t="shared" si="10"/>
        <v>69</v>
      </c>
      <c r="AU15" s="67" cm="1">
        <f t="array" ref="AU15">_xlfn.XLOOKUP($B15&amp;AU$3,'26-02'!B:B&amp;'26-02'!C:C,'26-02'!D:D,0)</f>
        <v>34</v>
      </c>
      <c r="AV15" s="67" cm="1">
        <f t="array" ref="AV15">_xlfn.XLOOKUP($B15&amp;AV$3,'26-02'!B:B&amp;'26-02'!C:C,'26-02'!D:D,0)</f>
        <v>60</v>
      </c>
      <c r="AW15" s="67" cm="1">
        <f t="array" ref="AW15">_xlfn.XLOOKUP($B15&amp;AW$3,'26-02'!B:B&amp;'26-02'!C:C,'26-02'!D:D,0)</f>
        <v>0</v>
      </c>
      <c r="AX15" s="67">
        <f t="shared" si="11"/>
        <v>94</v>
      </c>
      <c r="AY15" s="36">
        <f t="shared" si="12"/>
        <v>646</v>
      </c>
      <c r="AZ15" s="36">
        <f t="shared" si="13"/>
        <v>66.8333333333333</v>
      </c>
      <c r="BA15" s="36">
        <f t="shared" si="24"/>
        <v>58.3636363636364</v>
      </c>
      <c r="BB15" s="37">
        <f t="shared" si="14"/>
        <v>24.5</v>
      </c>
      <c r="BC15" s="37">
        <f t="shared" si="15"/>
        <v>35.2727272727273</v>
      </c>
      <c r="BD15" s="37">
        <f t="shared" si="16"/>
        <v>0</v>
      </c>
      <c r="BE15" s="37">
        <f t="shared" si="17"/>
        <v>42.3333333333333</v>
      </c>
      <c r="BF15" s="37">
        <f t="shared" si="18"/>
        <v>42.3333333333333</v>
      </c>
      <c r="BG15" s="37">
        <f t="shared" si="19"/>
        <v>1</v>
      </c>
      <c r="BH15" s="68">
        <f t="shared" si="20"/>
        <v>0</v>
      </c>
      <c r="BI15" s="37">
        <f t="shared" si="21"/>
        <v>0</v>
      </c>
      <c r="BJ15" s="37">
        <f t="shared" si="22"/>
        <v>0</v>
      </c>
      <c r="BK15" s="38">
        <f>_xlfn.XLOOKUP($B15,'BCS-1-KLG'!C:C,'BCS-1-KLG'!E:E,0)</f>
        <v>0</v>
      </c>
      <c r="BL15" s="38">
        <f>_xlfn.XLOOKUP($B15,'BCS-2 PIK 2'!C:C,'BCS-2 PIK 2'!E:E,0)</f>
        <v>1</v>
      </c>
      <c r="BM15" s="38">
        <f>_xlfn.XLOOKUP($B15,'BCS HO'!C:C,'BCS HO'!E:E,0)</f>
        <v>0</v>
      </c>
      <c r="BN15" s="38">
        <f t="shared" si="23"/>
        <v>1</v>
      </c>
    </row>
    <row r="16" s="33" customFormat="1" customHeight="1" spans="1:66">
      <c r="A16" s="34">
        <v>13</v>
      </c>
      <c r="B16" s="66" t="s">
        <v>113</v>
      </c>
      <c r="C16" s="67">
        <f t="array" ref="C16">_xlfn.XLOOKUP($B16&amp;$C$3,'25-03'!B:B&amp;'25-03'!C:C,'25-03'!D:D,0)</f>
        <v>0</v>
      </c>
      <c r="D16" s="67">
        <f t="array" ref="D16">_xlfn.XLOOKUP($B16&amp;$D$3,'25-03'!B:B&amp;'25-03'!C:C,'25-03'!D:D,0)</f>
        <v>0</v>
      </c>
      <c r="E16" s="67">
        <f t="array" ref="E16">_xlfn.XLOOKUP($B16&amp;E$3,'25-03'!B:B&amp;'25-03'!C:C,'25-03'!D:D,0)</f>
        <v>0</v>
      </c>
      <c r="F16" s="67">
        <f t="shared" si="0"/>
        <v>0</v>
      </c>
      <c r="G16" s="67">
        <f t="array" ref="G16">_xlfn.XLOOKUP($B16&amp;G$3,'25-04'!B:B&amp;'25-04'!C:C,'25-04'!D:D,0)</f>
        <v>0</v>
      </c>
      <c r="H16" s="67">
        <f t="array" ref="H16">_xlfn.XLOOKUP($B16&amp;H$3,'25-04'!B:B&amp;'25-04'!C:C,'25-04'!D:D,0)</f>
        <v>0</v>
      </c>
      <c r="I16" s="67">
        <f t="array" ref="I16">_xlfn.XLOOKUP($B16&amp;I$3,'25-04'!B:B&amp;'25-04'!C:C,'25-04'!D:D,0)</f>
        <v>0</v>
      </c>
      <c r="J16" s="67">
        <f t="shared" si="1"/>
        <v>0</v>
      </c>
      <c r="K16" s="67">
        <f t="array" ref="K16">_xlfn.XLOOKUP($B16&amp;K$3,'25-05'!B:B&amp;'25-05'!C:C,'25-05'!D:D,0)</f>
        <v>18</v>
      </c>
      <c r="L16" s="67">
        <f t="array" ref="L16">_xlfn.XLOOKUP($B16&amp;L$3,'25-05'!B:B&amp;'25-05'!C:C,'25-05'!D:D,0)</f>
        <v>0</v>
      </c>
      <c r="M16" s="67">
        <f t="array" ref="M16">_xlfn.XLOOKUP($B16&amp;M$3,'25-05'!B:B&amp;'25-05'!C:C,'25-05'!D:D,0)</f>
        <v>0</v>
      </c>
      <c r="N16" s="67">
        <f t="shared" si="2"/>
        <v>18</v>
      </c>
      <c r="O16" s="67">
        <f t="array" ref="O16">_xlfn.XLOOKUP($B16&amp;O$3,'26-06'!B:B&amp;'26-06'!C:C,'26-06'!D:D,0)</f>
        <v>19</v>
      </c>
      <c r="P16" s="67">
        <f t="array" ref="P16">_xlfn.XLOOKUP($B16&amp;P$3,'26-06'!B:B&amp;'26-06'!C:C,'26-06'!D:D,0)</f>
        <v>0</v>
      </c>
      <c r="Q16" s="67">
        <f t="array" ref="Q16">_xlfn.XLOOKUP($B16&amp;Q$3,'26-06'!B:B&amp;'26-06'!C:C,'26-06'!D:D,0)</f>
        <v>0</v>
      </c>
      <c r="R16" s="67">
        <f t="shared" si="3"/>
        <v>19</v>
      </c>
      <c r="S16" s="67">
        <f t="array" ref="S16">_xlfn.XLOOKUP($B16&amp;S$3,'25-07'!B:B&amp;'25-07'!C:C,'25-07'!D:D,0)</f>
        <v>18</v>
      </c>
      <c r="T16" s="67">
        <f t="array" ref="T16">_xlfn.XLOOKUP($B16&amp;T$3,'25-07'!B:B&amp;'25-07'!C:C,'25-07'!D:D,0)</f>
        <v>0</v>
      </c>
      <c r="U16" s="67">
        <f t="array" ref="U16">_xlfn.XLOOKUP($B16&amp;U$3,'25-07'!B:B&amp;'25-07'!C:C,'25-07'!D:D,0)</f>
        <v>0</v>
      </c>
      <c r="V16" s="67">
        <f t="shared" si="4"/>
        <v>18</v>
      </c>
      <c r="W16" s="67">
        <f t="array" ref="W16">_xlfn.XLOOKUP($B16&amp;W$3,'25-08'!B:B&amp;'25-08'!C:C,'25-08'!D:D,0)</f>
        <v>15</v>
      </c>
      <c r="X16" s="67">
        <f t="array" ref="X16">_xlfn.XLOOKUP($B16&amp;X$3,'25-08'!B:B&amp;'25-08'!C:C,'25-08'!D:D,0)</f>
        <v>0</v>
      </c>
      <c r="Y16" s="67">
        <f t="array" ref="Y16">_xlfn.XLOOKUP($B16&amp;Y$3,'25-08'!B:B&amp;'25-08'!C:C,'25-08'!D:D,0)</f>
        <v>0</v>
      </c>
      <c r="Z16" s="67">
        <f t="shared" si="5"/>
        <v>15</v>
      </c>
      <c r="AA16" s="67">
        <f t="array" ref="AA16">_xlfn.XLOOKUP($B16&amp;AA$3,'25-09'!B:B&amp;'25-09'!C:C,'25-09'!D:D,0)</f>
        <v>24</v>
      </c>
      <c r="AB16" s="67">
        <f t="array" ref="AB16">_xlfn.XLOOKUP($B16&amp;AB$3,'25-09'!B:B&amp;'25-09'!C:C,'25-09'!D:D,0)</f>
        <v>1</v>
      </c>
      <c r="AC16" s="67">
        <f t="array" ref="AC16">_xlfn.XLOOKUP($B16&amp;AC$3,'25-09'!B:B&amp;'25-09'!C:C,'25-09'!D:D,0)</f>
        <v>0</v>
      </c>
      <c r="AD16" s="67">
        <f t="shared" si="6"/>
        <v>25</v>
      </c>
      <c r="AE16" s="67">
        <f t="array" ref="AE16">_xlfn.XLOOKUP($B16&amp;AE$3,'25-10'!B:B&amp;'25-10'!C:C,'25-10'!D:D,0)</f>
        <v>7</v>
      </c>
      <c r="AF16" s="67">
        <f t="array" ref="AF16">_xlfn.XLOOKUP($B16&amp;AF$3,'25-10'!B:B&amp;'25-10'!C:C,'25-10'!D:D,0)</f>
        <v>12</v>
      </c>
      <c r="AG16" s="67">
        <f t="array" ref="AG16">_xlfn.XLOOKUP($B16&amp;AG$3,'25-10'!B:B&amp;'25-10'!C:C,'25-10'!D:D,0)</f>
        <v>0</v>
      </c>
      <c r="AH16" s="67">
        <f t="shared" si="7"/>
        <v>19</v>
      </c>
      <c r="AI16" s="67">
        <f t="array" ref="AI16">_xlfn.XLOOKUP($B16&amp;AI$3,'25-11'!B:B&amp;'25-11'!C:C,'25-11'!D:D,0)</f>
        <v>7</v>
      </c>
      <c r="AJ16" s="67">
        <f t="array" ref="AJ16">_xlfn.XLOOKUP($B16&amp;AJ$3,'25-11'!B:B&amp;'25-11'!C:C,'25-11'!D:D,0)</f>
        <v>48</v>
      </c>
      <c r="AK16" s="67">
        <f t="array" ref="AK16">_xlfn.XLOOKUP($B16&amp;AK$3,'25-11'!B:B&amp;'25-11'!C:C,'25-11'!D:D,0)</f>
        <v>0</v>
      </c>
      <c r="AL16" s="67">
        <f t="shared" si="8"/>
        <v>55</v>
      </c>
      <c r="AM16" s="67">
        <f t="array" ref="AM16">_xlfn.XLOOKUP($B16&amp;AM$3,'25-12'!B:B&amp;'25-12'!C:C,'25-12'!D:D,0)</f>
        <v>15</v>
      </c>
      <c r="AN16" s="67">
        <f t="array" ref="AN16">_xlfn.XLOOKUP($B16&amp;AN$3,'25-12'!B:B&amp;'25-12'!C:C,'25-12'!D:D,0)</f>
        <v>6</v>
      </c>
      <c r="AO16" s="67">
        <f t="array" ref="AO16">_xlfn.XLOOKUP($B16&amp;AO$3,'25-12'!B:B&amp;'25-12'!C:C,'25-12'!D:D,0)</f>
        <v>0</v>
      </c>
      <c r="AP16" s="67">
        <f t="shared" si="9"/>
        <v>21</v>
      </c>
      <c r="AQ16" s="67">
        <f t="array" ref="AQ16">_xlfn.XLOOKUP($B16&amp;AQ$3,'26-01'!B:B&amp;'26-01'!C:C,'26-01'!D:D,0)</f>
        <v>2</v>
      </c>
      <c r="AR16" s="67">
        <f t="array" ref="AR16">_xlfn.XLOOKUP($B16&amp;AR$3,'26-01'!B:B&amp;'26-01'!C:C,'26-01'!D:D,0)</f>
        <v>5</v>
      </c>
      <c r="AS16" s="67">
        <f t="array" ref="AS16">_xlfn.XLOOKUP($B16&amp;AS$3,'26-01'!B:B&amp;'26-01'!C:C,'26-01'!D:D,0)</f>
        <v>0</v>
      </c>
      <c r="AT16" s="67">
        <f t="shared" si="10"/>
        <v>7</v>
      </c>
      <c r="AU16" s="67" cm="1">
        <f t="array" ref="AU16">_xlfn.XLOOKUP($B16&amp;AU$3,'26-02'!B:B&amp;'26-02'!C:C,'26-02'!D:D,0)</f>
        <v>10</v>
      </c>
      <c r="AV16" s="67" cm="1">
        <f t="array" ref="AV16">_xlfn.XLOOKUP($B16&amp;AV$3,'26-02'!B:B&amp;'26-02'!C:C,'26-02'!D:D,0)</f>
        <v>60</v>
      </c>
      <c r="AW16" s="67" cm="1">
        <f t="array" ref="AW16">_xlfn.XLOOKUP($B16&amp;AW$3,'26-02'!B:B&amp;'26-02'!C:C,'26-02'!D:D,0)</f>
        <v>0</v>
      </c>
      <c r="AX16" s="67">
        <f t="shared" si="11"/>
        <v>70</v>
      </c>
      <c r="AY16" s="36">
        <f t="shared" si="12"/>
        <v>267</v>
      </c>
      <c r="AZ16" s="36">
        <f t="shared" si="13"/>
        <v>32.8333333333333</v>
      </c>
      <c r="BA16" s="36">
        <f t="shared" si="24"/>
        <v>24.2727272727273</v>
      </c>
      <c r="BB16" s="37">
        <f t="shared" si="14"/>
        <v>10.8333333333333</v>
      </c>
      <c r="BC16" s="37">
        <f t="shared" si="15"/>
        <v>12.2727272727273</v>
      </c>
      <c r="BD16" s="37">
        <f t="shared" si="16"/>
        <v>19</v>
      </c>
      <c r="BE16" s="37">
        <f t="shared" si="17"/>
        <v>22</v>
      </c>
      <c r="BF16" s="37">
        <f t="shared" si="18"/>
        <v>22</v>
      </c>
      <c r="BG16" s="37">
        <f t="shared" si="19"/>
        <v>22</v>
      </c>
      <c r="BH16" s="68">
        <f t="shared" si="20"/>
        <v>0</v>
      </c>
      <c r="BI16" s="37">
        <f t="shared" si="21"/>
        <v>0</v>
      </c>
      <c r="BJ16" s="37">
        <f t="shared" si="22"/>
        <v>12</v>
      </c>
      <c r="BK16" s="38">
        <f>_xlfn.XLOOKUP($B16,'BCS-1-KLG'!C:C,'BCS-1-KLG'!E:E,0)</f>
        <v>19</v>
      </c>
      <c r="BL16" s="38">
        <f>_xlfn.XLOOKUP($B16,'BCS-2 PIK 2'!C:C,'BCS-2 PIK 2'!E:E,0)</f>
        <v>22</v>
      </c>
      <c r="BM16" s="38">
        <f>_xlfn.XLOOKUP($B16,'BCS HO'!C:C,'BCS HO'!E:E,0)</f>
        <v>12</v>
      </c>
      <c r="BN16" s="38">
        <f t="shared" si="23"/>
        <v>53</v>
      </c>
    </row>
    <row r="17" s="33" customFormat="1" customHeight="1" spans="1:66">
      <c r="A17" s="34">
        <v>14</v>
      </c>
      <c r="B17" s="66" t="s">
        <v>126</v>
      </c>
      <c r="C17" s="67">
        <f t="array" ref="C17">_xlfn.XLOOKUP($B17&amp;$C$3,'25-03'!B:B&amp;'25-03'!C:C,'25-03'!D:D,0)</f>
        <v>1</v>
      </c>
      <c r="D17" s="67">
        <f t="array" ref="D17">_xlfn.XLOOKUP($B17&amp;$D$3,'25-03'!B:B&amp;'25-03'!C:C,'25-03'!D:D,0)</f>
        <v>0</v>
      </c>
      <c r="E17" s="67">
        <f t="array" ref="E17">_xlfn.XLOOKUP($B17&amp;E$3,'25-03'!B:B&amp;'25-03'!C:C,'25-03'!D:D,0)</f>
        <v>0</v>
      </c>
      <c r="F17" s="67">
        <f t="shared" si="0"/>
        <v>1</v>
      </c>
      <c r="G17" s="67">
        <f t="array" ref="G17">_xlfn.XLOOKUP($B17&amp;G$3,'25-04'!B:B&amp;'25-04'!C:C,'25-04'!D:D,0)</f>
        <v>0</v>
      </c>
      <c r="H17" s="67">
        <f t="array" ref="H17">_xlfn.XLOOKUP($B17&amp;H$3,'25-04'!B:B&amp;'25-04'!C:C,'25-04'!D:D,0)</f>
        <v>0</v>
      </c>
      <c r="I17" s="67">
        <f t="array" ref="I17">_xlfn.XLOOKUP($B17&amp;I$3,'25-04'!B:B&amp;'25-04'!C:C,'25-04'!D:D,0)</f>
        <v>0</v>
      </c>
      <c r="J17" s="67">
        <f t="shared" si="1"/>
        <v>0</v>
      </c>
      <c r="K17" s="67">
        <f t="array" ref="K17">_xlfn.XLOOKUP($B17&amp;K$3,'25-05'!B:B&amp;'25-05'!C:C,'25-05'!D:D,0)</f>
        <v>6</v>
      </c>
      <c r="L17" s="67">
        <f t="array" ref="L17">_xlfn.XLOOKUP($B17&amp;L$3,'25-05'!B:B&amp;'25-05'!C:C,'25-05'!D:D,0)</f>
        <v>0</v>
      </c>
      <c r="M17" s="67">
        <f t="array" ref="M17">_xlfn.XLOOKUP($B17&amp;M$3,'25-05'!B:B&amp;'25-05'!C:C,'25-05'!D:D,0)</f>
        <v>0</v>
      </c>
      <c r="N17" s="67">
        <f t="shared" si="2"/>
        <v>6</v>
      </c>
      <c r="O17" s="67">
        <f t="array" ref="O17">_xlfn.XLOOKUP($B17&amp;O$3,'26-06'!B:B&amp;'26-06'!C:C,'26-06'!D:D,0)</f>
        <v>0</v>
      </c>
      <c r="P17" s="67">
        <f t="array" ref="P17">_xlfn.XLOOKUP($B17&amp;P$3,'26-06'!B:B&amp;'26-06'!C:C,'26-06'!D:D,0)</f>
        <v>0</v>
      </c>
      <c r="Q17" s="67">
        <f t="array" ref="Q17">_xlfn.XLOOKUP($B17&amp;Q$3,'26-06'!B:B&amp;'26-06'!C:C,'26-06'!D:D,0)</f>
        <v>0</v>
      </c>
      <c r="R17" s="67">
        <f t="shared" si="3"/>
        <v>0</v>
      </c>
      <c r="S17" s="67">
        <f t="array" ref="S17">_xlfn.XLOOKUP($B17&amp;S$3,'25-07'!B:B&amp;'25-07'!C:C,'25-07'!D:D,0)</f>
        <v>0</v>
      </c>
      <c r="T17" s="67">
        <f t="array" ref="T17">_xlfn.XLOOKUP($B17&amp;T$3,'25-07'!B:B&amp;'25-07'!C:C,'25-07'!D:D,0)</f>
        <v>0</v>
      </c>
      <c r="U17" s="67">
        <f t="array" ref="U17">_xlfn.XLOOKUP($B17&amp;U$3,'25-07'!B:B&amp;'25-07'!C:C,'25-07'!D:D,0)</f>
        <v>0</v>
      </c>
      <c r="V17" s="67">
        <f t="shared" si="4"/>
        <v>0</v>
      </c>
      <c r="W17" s="67">
        <f t="array" ref="W17">_xlfn.XLOOKUP($B17&amp;W$3,'25-08'!B:B&amp;'25-08'!C:C,'25-08'!D:D,0)</f>
        <v>0</v>
      </c>
      <c r="X17" s="67">
        <f t="array" ref="X17">_xlfn.XLOOKUP($B17&amp;X$3,'25-08'!B:B&amp;'25-08'!C:C,'25-08'!D:D,0)</f>
        <v>0</v>
      </c>
      <c r="Y17" s="67">
        <f t="array" ref="Y17">_xlfn.XLOOKUP($B17&amp;Y$3,'25-08'!B:B&amp;'25-08'!C:C,'25-08'!D:D,0)</f>
        <v>0</v>
      </c>
      <c r="Z17" s="67">
        <f t="shared" si="5"/>
        <v>0</v>
      </c>
      <c r="AA17" s="67">
        <f t="array" ref="AA17">_xlfn.XLOOKUP($B17&amp;AA$3,'25-09'!B:B&amp;'25-09'!C:C,'25-09'!D:D,0)</f>
        <v>0</v>
      </c>
      <c r="AB17" s="67">
        <f t="array" ref="AB17">_xlfn.XLOOKUP($B17&amp;AB$3,'25-09'!B:B&amp;'25-09'!C:C,'25-09'!D:D,0)</f>
        <v>0</v>
      </c>
      <c r="AC17" s="67">
        <f t="array" ref="AC17">_xlfn.XLOOKUP($B17&amp;AC$3,'25-09'!B:B&amp;'25-09'!C:C,'25-09'!D:D,0)</f>
        <v>0</v>
      </c>
      <c r="AD17" s="67">
        <f t="shared" si="6"/>
        <v>0</v>
      </c>
      <c r="AE17" s="67">
        <f t="array" ref="AE17">_xlfn.XLOOKUP($B17&amp;AE$3,'25-10'!B:B&amp;'25-10'!C:C,'25-10'!D:D,0)</f>
        <v>0</v>
      </c>
      <c r="AF17" s="67">
        <f t="array" ref="AF17">_xlfn.XLOOKUP($B17&amp;AF$3,'25-10'!B:B&amp;'25-10'!C:C,'25-10'!D:D,0)</f>
        <v>0</v>
      </c>
      <c r="AG17" s="67">
        <f t="array" ref="AG17">_xlfn.XLOOKUP($B17&amp;AG$3,'25-10'!B:B&amp;'25-10'!C:C,'25-10'!D:D,0)</f>
        <v>0</v>
      </c>
      <c r="AH17" s="67">
        <f t="shared" si="7"/>
        <v>0</v>
      </c>
      <c r="AI17" s="67">
        <f t="array" ref="AI17">_xlfn.XLOOKUP($B17&amp;AI$3,'25-11'!B:B&amp;'25-11'!C:C,'25-11'!D:D,0)</f>
        <v>0</v>
      </c>
      <c r="AJ17" s="67">
        <f t="array" ref="AJ17">_xlfn.XLOOKUP($B17&amp;AJ$3,'25-11'!B:B&amp;'25-11'!C:C,'25-11'!D:D,0)</f>
        <v>0</v>
      </c>
      <c r="AK17" s="67">
        <f t="array" ref="AK17">_xlfn.XLOOKUP($B17&amp;AK$3,'25-11'!B:B&amp;'25-11'!C:C,'25-11'!D:D,0)</f>
        <v>0</v>
      </c>
      <c r="AL17" s="67">
        <f t="shared" si="8"/>
        <v>0</v>
      </c>
      <c r="AM17" s="67">
        <f t="array" ref="AM17">_xlfn.XLOOKUP($B17&amp;AM$3,'25-12'!B:B&amp;'25-12'!C:C,'25-12'!D:D,0)</f>
        <v>0</v>
      </c>
      <c r="AN17" s="67">
        <f t="array" ref="AN17">_xlfn.XLOOKUP($B17&amp;AN$3,'25-12'!B:B&amp;'25-12'!C:C,'25-12'!D:D,0)</f>
        <v>0</v>
      </c>
      <c r="AO17" s="67">
        <f t="array" ref="AO17">_xlfn.XLOOKUP($B17&amp;AO$3,'25-12'!B:B&amp;'25-12'!C:C,'25-12'!D:D,0)</f>
        <v>0</v>
      </c>
      <c r="AP17" s="67">
        <f t="shared" si="9"/>
        <v>0</v>
      </c>
      <c r="AQ17" s="67">
        <f t="array" ref="AQ17">_xlfn.XLOOKUP($B17&amp;AQ$3,'26-01'!B:B&amp;'26-01'!C:C,'26-01'!D:D,0)</f>
        <v>0</v>
      </c>
      <c r="AR17" s="67">
        <f t="array" ref="AR17">_xlfn.XLOOKUP($B17&amp;AR$3,'26-01'!B:B&amp;'26-01'!C:C,'26-01'!D:D,0)</f>
        <v>0</v>
      </c>
      <c r="AS17" s="67">
        <f t="array" ref="AS17">_xlfn.XLOOKUP($B17&amp;AS$3,'26-01'!B:B&amp;'26-01'!C:C,'26-01'!D:D,0)</f>
        <v>0</v>
      </c>
      <c r="AT17" s="67">
        <f t="shared" si="10"/>
        <v>0</v>
      </c>
      <c r="AU17" s="67" cm="1">
        <f t="array" ref="AU17">_xlfn.XLOOKUP($B17&amp;AU$3,'26-02'!B:B&amp;'26-02'!C:C,'26-02'!D:D,0)</f>
        <v>0</v>
      </c>
      <c r="AV17" s="67" cm="1">
        <f t="array" ref="AV17">_xlfn.XLOOKUP($B17&amp;AV$3,'26-02'!B:B&amp;'26-02'!C:C,'26-02'!D:D,0)</f>
        <v>0</v>
      </c>
      <c r="AW17" s="67" cm="1">
        <f t="array" ref="AW17">_xlfn.XLOOKUP($B17&amp;AW$3,'26-02'!B:B&amp;'26-02'!C:C,'26-02'!D:D,0)</f>
        <v>0</v>
      </c>
      <c r="AX17" s="67">
        <f t="shared" si="11"/>
        <v>0</v>
      </c>
      <c r="AY17" s="36">
        <f t="shared" si="12"/>
        <v>7</v>
      </c>
      <c r="AZ17" s="36">
        <f t="shared" si="13"/>
        <v>0</v>
      </c>
      <c r="BA17" s="36">
        <f t="shared" si="24"/>
        <v>0.545454545454545</v>
      </c>
      <c r="BB17" s="37">
        <f t="shared" si="14"/>
        <v>0</v>
      </c>
      <c r="BC17" s="37">
        <f t="shared" si="15"/>
        <v>0.545454545454545</v>
      </c>
      <c r="BD17" s="37">
        <f t="shared" si="16"/>
        <v>0</v>
      </c>
      <c r="BE17" s="37">
        <f t="shared" si="17"/>
        <v>0</v>
      </c>
      <c r="BF17" s="37">
        <f t="shared" si="18"/>
        <v>0</v>
      </c>
      <c r="BG17" s="37">
        <f t="shared" si="19"/>
        <v>25</v>
      </c>
      <c r="BH17" s="68">
        <f t="shared" si="20"/>
        <v>0</v>
      </c>
      <c r="BI17" s="37">
        <f t="shared" si="21"/>
        <v>0</v>
      </c>
      <c r="BJ17" s="37">
        <f t="shared" si="22"/>
        <v>0</v>
      </c>
      <c r="BK17" s="38">
        <f>_xlfn.XLOOKUP($B17,'BCS-1-KLG'!C:C,'BCS-1-KLG'!E:E,0)</f>
        <v>0</v>
      </c>
      <c r="BL17" s="38">
        <f>_xlfn.XLOOKUP($B17,'BCS-2 PIK 2'!C:C,'BCS-2 PIK 2'!E:E,0)</f>
        <v>25</v>
      </c>
      <c r="BM17" s="38">
        <f>_xlfn.XLOOKUP($B17,'BCS HO'!C:C,'BCS HO'!E:E,0)</f>
        <v>0</v>
      </c>
      <c r="BN17" s="38">
        <f t="shared" si="23"/>
        <v>25</v>
      </c>
    </row>
    <row r="18" s="33" customFormat="1" customHeight="1" spans="1:66">
      <c r="A18" s="34">
        <v>15</v>
      </c>
      <c r="B18" s="66" t="s">
        <v>128</v>
      </c>
      <c r="C18" s="67">
        <f t="array" ref="C18">_xlfn.XLOOKUP($B18&amp;$C$3,'25-03'!B:B&amp;'25-03'!C:C,'25-03'!D:D,0)</f>
        <v>0</v>
      </c>
      <c r="D18" s="67">
        <f t="array" ref="D18">_xlfn.XLOOKUP($B18&amp;$D$3,'25-03'!B:B&amp;'25-03'!C:C,'25-03'!D:D,0)</f>
        <v>0</v>
      </c>
      <c r="E18" s="67">
        <f t="array" ref="E18">_xlfn.XLOOKUP($B18&amp;E$3,'25-03'!B:B&amp;'25-03'!C:C,'25-03'!D:D,0)</f>
        <v>0</v>
      </c>
      <c r="F18" s="67">
        <f t="shared" si="0"/>
        <v>0</v>
      </c>
      <c r="G18" s="67">
        <f t="array" ref="G18">_xlfn.XLOOKUP($B18&amp;G$3,'25-04'!B:B&amp;'25-04'!C:C,'25-04'!D:D,0)</f>
        <v>0</v>
      </c>
      <c r="H18" s="67">
        <f t="array" ref="H18">_xlfn.XLOOKUP($B18&amp;H$3,'25-04'!B:B&amp;'25-04'!C:C,'25-04'!D:D,0)</f>
        <v>0</v>
      </c>
      <c r="I18" s="67">
        <f t="array" ref="I18">_xlfn.XLOOKUP($B18&amp;I$3,'25-04'!B:B&amp;'25-04'!C:C,'25-04'!D:D,0)</f>
        <v>0</v>
      </c>
      <c r="J18" s="67">
        <f t="shared" si="1"/>
        <v>0</v>
      </c>
      <c r="K18" s="67">
        <f t="array" ref="K18">_xlfn.XLOOKUP($B18&amp;K$3,'25-05'!B:B&amp;'25-05'!C:C,'25-05'!D:D,0)</f>
        <v>0</v>
      </c>
      <c r="L18" s="67">
        <f t="array" ref="L18">_xlfn.XLOOKUP($B18&amp;L$3,'25-05'!B:B&amp;'25-05'!C:C,'25-05'!D:D,0)</f>
        <v>0</v>
      </c>
      <c r="M18" s="67">
        <f t="array" ref="M18">_xlfn.XLOOKUP($B18&amp;M$3,'25-05'!B:B&amp;'25-05'!C:C,'25-05'!D:D,0)</f>
        <v>0</v>
      </c>
      <c r="N18" s="67">
        <f t="shared" si="2"/>
        <v>0</v>
      </c>
      <c r="O18" s="67">
        <f t="array" ref="O18">_xlfn.XLOOKUP($B18&amp;O$3,'26-06'!B:B&amp;'26-06'!C:C,'26-06'!D:D,0)</f>
        <v>0</v>
      </c>
      <c r="P18" s="67">
        <f t="array" ref="P18">_xlfn.XLOOKUP($B18&amp;P$3,'26-06'!B:B&amp;'26-06'!C:C,'26-06'!D:D,0)</f>
        <v>0</v>
      </c>
      <c r="Q18" s="67">
        <f t="array" ref="Q18">_xlfn.XLOOKUP($B18&amp;Q$3,'26-06'!B:B&amp;'26-06'!C:C,'26-06'!D:D,0)</f>
        <v>0</v>
      </c>
      <c r="R18" s="67">
        <f t="shared" si="3"/>
        <v>0</v>
      </c>
      <c r="S18" s="67">
        <f t="array" ref="S18">_xlfn.XLOOKUP($B18&amp;S$3,'25-07'!B:B&amp;'25-07'!C:C,'25-07'!D:D,0)</f>
        <v>0</v>
      </c>
      <c r="T18" s="67">
        <f t="array" ref="T18">_xlfn.XLOOKUP($B18&amp;T$3,'25-07'!B:B&amp;'25-07'!C:C,'25-07'!D:D,0)</f>
        <v>0</v>
      </c>
      <c r="U18" s="67">
        <f t="array" ref="U18">_xlfn.XLOOKUP($B18&amp;U$3,'25-07'!B:B&amp;'25-07'!C:C,'25-07'!D:D,0)</f>
        <v>0</v>
      </c>
      <c r="V18" s="67">
        <f t="shared" si="4"/>
        <v>0</v>
      </c>
      <c r="W18" s="67">
        <f t="array" ref="W18">_xlfn.XLOOKUP($B18&amp;W$3,'25-08'!B:B&amp;'25-08'!C:C,'25-08'!D:D,0)</f>
        <v>0</v>
      </c>
      <c r="X18" s="67">
        <f t="array" ref="X18">_xlfn.XLOOKUP($B18&amp;X$3,'25-08'!B:B&amp;'25-08'!C:C,'25-08'!D:D,0)</f>
        <v>0</v>
      </c>
      <c r="Y18" s="67">
        <f t="array" ref="Y18">_xlfn.XLOOKUP($B18&amp;Y$3,'25-08'!B:B&amp;'25-08'!C:C,'25-08'!D:D,0)</f>
        <v>0</v>
      </c>
      <c r="Z18" s="67">
        <f t="shared" si="5"/>
        <v>0</v>
      </c>
      <c r="AA18" s="67">
        <f t="array" ref="AA18">_xlfn.XLOOKUP($B18&amp;AA$3,'25-09'!B:B&amp;'25-09'!C:C,'25-09'!D:D,0)</f>
        <v>0</v>
      </c>
      <c r="AB18" s="67">
        <f t="array" ref="AB18">_xlfn.XLOOKUP($B18&amp;AB$3,'25-09'!B:B&amp;'25-09'!C:C,'25-09'!D:D,0)</f>
        <v>0</v>
      </c>
      <c r="AC18" s="67">
        <f t="array" ref="AC18">_xlfn.XLOOKUP($B18&amp;AC$3,'25-09'!B:B&amp;'25-09'!C:C,'25-09'!D:D,0)</f>
        <v>0</v>
      </c>
      <c r="AD18" s="67">
        <f t="shared" si="6"/>
        <v>0</v>
      </c>
      <c r="AE18" s="67">
        <f t="array" ref="AE18">_xlfn.XLOOKUP($B18&amp;AE$3,'25-10'!B:B&amp;'25-10'!C:C,'25-10'!D:D,0)</f>
        <v>0</v>
      </c>
      <c r="AF18" s="67">
        <f t="array" ref="AF18">_xlfn.XLOOKUP($B18&amp;AF$3,'25-10'!B:B&amp;'25-10'!C:C,'25-10'!D:D,0)</f>
        <v>0</v>
      </c>
      <c r="AG18" s="67">
        <f t="array" ref="AG18">_xlfn.XLOOKUP($B18&amp;AG$3,'25-10'!B:B&amp;'25-10'!C:C,'25-10'!D:D,0)</f>
        <v>0</v>
      </c>
      <c r="AH18" s="67">
        <f t="shared" si="7"/>
        <v>0</v>
      </c>
      <c r="AI18" s="67">
        <f t="array" ref="AI18">_xlfn.XLOOKUP($B18&amp;AI$3,'25-11'!B:B&amp;'25-11'!C:C,'25-11'!D:D,0)</f>
        <v>0</v>
      </c>
      <c r="AJ18" s="67">
        <f t="array" ref="AJ18">_xlfn.XLOOKUP($B18&amp;AJ$3,'25-11'!B:B&amp;'25-11'!C:C,'25-11'!D:D,0)</f>
        <v>0</v>
      </c>
      <c r="AK18" s="67">
        <f t="array" ref="AK18">_xlfn.XLOOKUP($B18&amp;AK$3,'25-11'!B:B&amp;'25-11'!C:C,'25-11'!D:D,0)</f>
        <v>0</v>
      </c>
      <c r="AL18" s="67">
        <f t="shared" si="8"/>
        <v>0</v>
      </c>
      <c r="AM18" s="67">
        <f t="array" ref="AM18">_xlfn.XLOOKUP($B18&amp;AM$3,'25-12'!B:B&amp;'25-12'!C:C,'25-12'!D:D,0)</f>
        <v>0</v>
      </c>
      <c r="AN18" s="67">
        <f t="array" ref="AN18">_xlfn.XLOOKUP($B18&amp;AN$3,'25-12'!B:B&amp;'25-12'!C:C,'25-12'!D:D,0)</f>
        <v>0</v>
      </c>
      <c r="AO18" s="67">
        <f t="array" ref="AO18">_xlfn.XLOOKUP($B18&amp;AO$3,'25-12'!B:B&amp;'25-12'!C:C,'25-12'!D:D,0)</f>
        <v>0</v>
      </c>
      <c r="AP18" s="67">
        <f t="shared" si="9"/>
        <v>0</v>
      </c>
      <c r="AQ18" s="67">
        <f t="array" ref="AQ18">_xlfn.XLOOKUP($B18&amp;AQ$3,'26-01'!B:B&amp;'26-01'!C:C,'26-01'!D:D,0)</f>
        <v>2</v>
      </c>
      <c r="AR18" s="67">
        <f t="array" ref="AR18">_xlfn.XLOOKUP($B18&amp;AR$3,'26-01'!B:B&amp;'26-01'!C:C,'26-01'!D:D,0)</f>
        <v>0</v>
      </c>
      <c r="AS18" s="67">
        <f t="array" ref="AS18">_xlfn.XLOOKUP($B18&amp;AS$3,'26-01'!B:B&amp;'26-01'!C:C,'26-01'!D:D,0)</f>
        <v>0</v>
      </c>
      <c r="AT18" s="67">
        <f t="shared" si="10"/>
        <v>2</v>
      </c>
      <c r="AU18" s="67" cm="1">
        <f t="array" ref="AU18">_xlfn.XLOOKUP($B18&amp;AU$3,'26-02'!B:B&amp;'26-02'!C:C,'26-02'!D:D,0)</f>
        <v>0</v>
      </c>
      <c r="AV18" s="67" cm="1">
        <f t="array" ref="AV18">_xlfn.XLOOKUP($B18&amp;AV$3,'26-02'!B:B&amp;'26-02'!C:C,'26-02'!D:D,0)</f>
        <v>0</v>
      </c>
      <c r="AW18" s="67" cm="1">
        <f t="array" ref="AW18">_xlfn.XLOOKUP($B18&amp;AW$3,'26-02'!B:B&amp;'26-02'!C:C,'26-02'!D:D,0)</f>
        <v>0</v>
      </c>
      <c r="AX18" s="67">
        <f t="shared" si="11"/>
        <v>0</v>
      </c>
      <c r="AY18" s="36">
        <f t="shared" si="12"/>
        <v>2</v>
      </c>
      <c r="AZ18" s="36">
        <f t="shared" si="13"/>
        <v>0.333333333333333</v>
      </c>
      <c r="BA18" s="36">
        <f t="shared" si="24"/>
        <v>0.181818181818182</v>
      </c>
      <c r="BB18" s="37">
        <f t="shared" si="14"/>
        <v>0.333333333333333</v>
      </c>
      <c r="BC18" s="37">
        <f t="shared" si="15"/>
        <v>0.181818181818182</v>
      </c>
      <c r="BD18" s="37">
        <f t="shared" si="16"/>
        <v>3</v>
      </c>
      <c r="BE18" s="37">
        <f t="shared" si="17"/>
        <v>0</v>
      </c>
      <c r="BF18" s="37">
        <f t="shared" si="18"/>
        <v>0</v>
      </c>
      <c r="BG18" s="37">
        <f t="shared" si="19"/>
        <v>5</v>
      </c>
      <c r="BH18" s="68">
        <f t="shared" si="20"/>
        <v>0</v>
      </c>
      <c r="BI18" s="37">
        <f t="shared" si="21"/>
        <v>0</v>
      </c>
      <c r="BJ18" s="37">
        <f t="shared" si="22"/>
        <v>1</v>
      </c>
      <c r="BK18" s="38">
        <f>_xlfn.XLOOKUP($B18,'BCS-1-KLG'!C:C,'BCS-1-KLG'!E:E,0)</f>
        <v>3</v>
      </c>
      <c r="BL18" s="38">
        <f>_xlfn.XLOOKUP($B18,'BCS-2 PIK 2'!C:C,'BCS-2 PIK 2'!E:E,0)</f>
        <v>5</v>
      </c>
      <c r="BM18" s="38">
        <f>_xlfn.XLOOKUP($B18,'BCS HO'!C:C,'BCS HO'!E:E,0)</f>
        <v>1</v>
      </c>
      <c r="BN18" s="38">
        <f t="shared" si="23"/>
        <v>9</v>
      </c>
    </row>
    <row r="19" s="33" customFormat="1" customHeight="1" spans="1:66">
      <c r="A19" s="34">
        <v>16</v>
      </c>
      <c r="B19" s="66" t="s">
        <v>108</v>
      </c>
      <c r="C19" s="67">
        <f t="array" ref="C19">_xlfn.XLOOKUP($B19&amp;$C$3,'25-03'!B:B&amp;'25-03'!C:C,'25-03'!D:D,0)</f>
        <v>0</v>
      </c>
      <c r="D19" s="67">
        <f t="array" ref="D19">_xlfn.XLOOKUP($B19&amp;$D$3,'25-03'!B:B&amp;'25-03'!C:C,'25-03'!D:D,0)</f>
        <v>0</v>
      </c>
      <c r="E19" s="67">
        <f t="array" ref="E19">_xlfn.XLOOKUP($B19&amp;E$3,'25-03'!B:B&amp;'25-03'!C:C,'25-03'!D:D,0)</f>
        <v>0</v>
      </c>
      <c r="F19" s="67">
        <f t="shared" si="0"/>
        <v>0</v>
      </c>
      <c r="G19" s="67">
        <f t="array" ref="G19">_xlfn.XLOOKUP($B19&amp;G$3,'25-04'!B:B&amp;'25-04'!C:C,'25-04'!D:D,0)</f>
        <v>0</v>
      </c>
      <c r="H19" s="67">
        <f t="array" ref="H19">_xlfn.XLOOKUP($B19&amp;H$3,'25-04'!B:B&amp;'25-04'!C:C,'25-04'!D:D,0)</f>
        <v>0</v>
      </c>
      <c r="I19" s="67">
        <f t="array" ref="I19">_xlfn.XLOOKUP($B19&amp;I$3,'25-04'!B:B&amp;'25-04'!C:C,'25-04'!D:D,0)</f>
        <v>0</v>
      </c>
      <c r="J19" s="67">
        <f t="shared" si="1"/>
        <v>0</v>
      </c>
      <c r="K19" s="67">
        <f t="array" ref="K19">_xlfn.XLOOKUP($B19&amp;K$3,'25-05'!B:B&amp;'25-05'!C:C,'25-05'!D:D,0)</f>
        <v>12</v>
      </c>
      <c r="L19" s="67">
        <f t="array" ref="L19">_xlfn.XLOOKUP($B19&amp;L$3,'25-05'!B:B&amp;'25-05'!C:C,'25-05'!D:D,0)</f>
        <v>0</v>
      </c>
      <c r="M19" s="67">
        <f t="array" ref="M19">_xlfn.XLOOKUP($B19&amp;M$3,'25-05'!B:B&amp;'25-05'!C:C,'25-05'!D:D,0)</f>
        <v>0</v>
      </c>
      <c r="N19" s="67">
        <f t="shared" si="2"/>
        <v>12</v>
      </c>
      <c r="O19" s="67">
        <f t="array" ref="O19">_xlfn.XLOOKUP($B19&amp;O$3,'26-06'!B:B&amp;'26-06'!C:C,'26-06'!D:D,0)</f>
        <v>5</v>
      </c>
      <c r="P19" s="67">
        <f t="array" ref="P19">_xlfn.XLOOKUP($B19&amp;P$3,'26-06'!B:B&amp;'26-06'!C:C,'26-06'!D:D,0)</f>
        <v>0</v>
      </c>
      <c r="Q19" s="67">
        <f t="array" ref="Q19">_xlfn.XLOOKUP($B19&amp;Q$3,'26-06'!B:B&amp;'26-06'!C:C,'26-06'!D:D,0)</f>
        <v>0</v>
      </c>
      <c r="R19" s="67">
        <f t="shared" si="3"/>
        <v>5</v>
      </c>
      <c r="S19" s="67">
        <f t="array" ref="S19">_xlfn.XLOOKUP($B19&amp;S$3,'25-07'!B:B&amp;'25-07'!C:C,'25-07'!D:D,0)</f>
        <v>2</v>
      </c>
      <c r="T19" s="67">
        <f t="array" ref="T19">_xlfn.XLOOKUP($B19&amp;T$3,'25-07'!B:B&amp;'25-07'!C:C,'25-07'!D:D,0)</f>
        <v>0</v>
      </c>
      <c r="U19" s="67">
        <f t="array" ref="U19">_xlfn.XLOOKUP($B19&amp;U$3,'25-07'!B:B&amp;'25-07'!C:C,'25-07'!D:D,0)</f>
        <v>0</v>
      </c>
      <c r="V19" s="67">
        <f t="shared" si="4"/>
        <v>2</v>
      </c>
      <c r="W19" s="67">
        <f t="array" ref="W19">_xlfn.XLOOKUP($B19&amp;W$3,'25-08'!B:B&amp;'25-08'!C:C,'25-08'!D:D,0)</f>
        <v>43</v>
      </c>
      <c r="X19" s="67">
        <f t="array" ref="X19">_xlfn.XLOOKUP($B19&amp;X$3,'25-08'!B:B&amp;'25-08'!C:C,'25-08'!D:D,0)</f>
        <v>0</v>
      </c>
      <c r="Y19" s="67">
        <f t="array" ref="Y19">_xlfn.XLOOKUP($B19&amp;Y$3,'25-08'!B:B&amp;'25-08'!C:C,'25-08'!D:D,0)</f>
        <v>0</v>
      </c>
      <c r="Z19" s="67">
        <f t="shared" si="5"/>
        <v>43</v>
      </c>
      <c r="AA19" s="67">
        <f t="array" ref="AA19">_xlfn.XLOOKUP($B19&amp;AA$3,'25-09'!B:B&amp;'25-09'!C:C,'25-09'!D:D,0)</f>
        <v>34</v>
      </c>
      <c r="AB19" s="67">
        <f t="array" ref="AB19">_xlfn.XLOOKUP($B19&amp;AB$3,'25-09'!B:B&amp;'25-09'!C:C,'25-09'!D:D,0)</f>
        <v>0</v>
      </c>
      <c r="AC19" s="67">
        <f t="array" ref="AC19">_xlfn.XLOOKUP($B19&amp;AC$3,'25-09'!B:B&amp;'25-09'!C:C,'25-09'!D:D,0)</f>
        <v>0</v>
      </c>
      <c r="AD19" s="67">
        <f t="shared" si="6"/>
        <v>34</v>
      </c>
      <c r="AE19" s="67">
        <f t="array" ref="AE19">_xlfn.XLOOKUP($B19&amp;AE$3,'25-10'!B:B&amp;'25-10'!C:C,'25-10'!D:D,0)</f>
        <v>46</v>
      </c>
      <c r="AF19" s="67">
        <f t="array" ref="AF19">_xlfn.XLOOKUP($B19&amp;AF$3,'25-10'!B:B&amp;'25-10'!C:C,'25-10'!D:D,0)</f>
        <v>4</v>
      </c>
      <c r="AG19" s="67">
        <f t="array" ref="AG19">_xlfn.XLOOKUP($B19&amp;AG$3,'25-10'!B:B&amp;'25-10'!C:C,'25-10'!D:D,0)</f>
        <v>0</v>
      </c>
      <c r="AH19" s="67">
        <f t="shared" si="7"/>
        <v>50</v>
      </c>
      <c r="AI19" s="67">
        <f t="array" ref="AI19">_xlfn.XLOOKUP($B19&amp;AI$3,'25-11'!B:B&amp;'25-11'!C:C,'25-11'!D:D,0)</f>
        <v>22</v>
      </c>
      <c r="AJ19" s="67">
        <f t="array" ref="AJ19">_xlfn.XLOOKUP($B19&amp;AJ$3,'25-11'!B:B&amp;'25-11'!C:C,'25-11'!D:D,0)</f>
        <v>30</v>
      </c>
      <c r="AK19" s="67">
        <f t="array" ref="AK19">_xlfn.XLOOKUP($B19&amp;AK$3,'25-11'!B:B&amp;'25-11'!C:C,'25-11'!D:D,0)</f>
        <v>0</v>
      </c>
      <c r="AL19" s="67">
        <f t="shared" si="8"/>
        <v>52</v>
      </c>
      <c r="AM19" s="67">
        <f t="array" ref="AM19">_xlfn.XLOOKUP($B19&amp;AM$3,'25-12'!B:B&amp;'25-12'!C:C,'25-12'!D:D,0)</f>
        <v>32</v>
      </c>
      <c r="AN19" s="67">
        <f t="array" ref="AN19">_xlfn.XLOOKUP($B19&amp;AN$3,'25-12'!B:B&amp;'25-12'!C:C,'25-12'!D:D,0)</f>
        <v>13</v>
      </c>
      <c r="AO19" s="67">
        <f t="array" ref="AO19">_xlfn.XLOOKUP($B19&amp;AO$3,'25-12'!B:B&amp;'25-12'!C:C,'25-12'!D:D,0)</f>
        <v>0</v>
      </c>
      <c r="AP19" s="67">
        <f t="shared" si="9"/>
        <v>45</v>
      </c>
      <c r="AQ19" s="67">
        <f t="array" ref="AQ19">_xlfn.XLOOKUP($B19&amp;AQ$3,'26-01'!B:B&amp;'26-01'!C:C,'26-01'!D:D,0)</f>
        <v>26</v>
      </c>
      <c r="AR19" s="67">
        <f t="array" ref="AR19">_xlfn.XLOOKUP($B19&amp;AR$3,'26-01'!B:B&amp;'26-01'!C:C,'26-01'!D:D,0)</f>
        <v>8</v>
      </c>
      <c r="AS19" s="67">
        <f t="array" ref="AS19">_xlfn.XLOOKUP($B19&amp;AS$3,'26-01'!B:B&amp;'26-01'!C:C,'26-01'!D:D,0)</f>
        <v>0</v>
      </c>
      <c r="AT19" s="67">
        <f t="shared" si="10"/>
        <v>34</v>
      </c>
      <c r="AU19" s="67" cm="1">
        <f t="array" ref="AU19">_xlfn.XLOOKUP($B19&amp;AU$3,'26-02'!B:B&amp;'26-02'!C:C,'26-02'!D:D,0)</f>
        <v>0</v>
      </c>
      <c r="AV19" s="67" cm="1">
        <f t="array" ref="AV19">_xlfn.XLOOKUP($B19&amp;AV$3,'26-02'!B:B&amp;'26-02'!C:C,'26-02'!D:D,0)</f>
        <v>0</v>
      </c>
      <c r="AW19" s="67" cm="1">
        <f t="array" ref="AW19">_xlfn.XLOOKUP($B19&amp;AW$3,'26-02'!B:B&amp;'26-02'!C:C,'26-02'!D:D,0)</f>
        <v>0</v>
      </c>
      <c r="AX19" s="67">
        <f t="shared" si="11"/>
        <v>0</v>
      </c>
      <c r="AY19" s="36">
        <f t="shared" si="12"/>
        <v>277</v>
      </c>
      <c r="AZ19" s="36">
        <f t="shared" si="13"/>
        <v>35.8333333333333</v>
      </c>
      <c r="BA19" s="36">
        <f t="shared" si="24"/>
        <v>25.1818181818182</v>
      </c>
      <c r="BB19" s="37">
        <f t="shared" si="14"/>
        <v>26.6666666666667</v>
      </c>
      <c r="BC19" s="37">
        <f t="shared" si="15"/>
        <v>20.1818181818182</v>
      </c>
      <c r="BD19" s="37">
        <f t="shared" si="16"/>
        <v>0</v>
      </c>
      <c r="BE19" s="37">
        <f t="shared" si="17"/>
        <v>9.16666666666667</v>
      </c>
      <c r="BF19" s="37">
        <f t="shared" si="18"/>
        <v>9.16666666666667</v>
      </c>
      <c r="BG19" s="37">
        <f t="shared" si="19"/>
        <v>0</v>
      </c>
      <c r="BH19" s="68">
        <f t="shared" si="20"/>
        <v>0</v>
      </c>
      <c r="BI19" s="37">
        <f t="shared" si="21"/>
        <v>0</v>
      </c>
      <c r="BJ19" s="37">
        <f t="shared" si="22"/>
        <v>0</v>
      </c>
      <c r="BK19" s="38">
        <f>_xlfn.XLOOKUP($B19,'BCS-1-KLG'!C:C,'BCS-1-KLG'!E:E,0)</f>
        <v>0</v>
      </c>
      <c r="BL19" s="38">
        <f>_xlfn.XLOOKUP($B19,'BCS-2 PIK 2'!C:C,'BCS-2 PIK 2'!E:E,0)</f>
        <v>0</v>
      </c>
      <c r="BM19" s="38">
        <f>_xlfn.XLOOKUP($B19,'BCS HO'!C:C,'BCS HO'!E:E,0)</f>
        <v>0</v>
      </c>
      <c r="BN19" s="38">
        <f t="shared" si="23"/>
        <v>0</v>
      </c>
    </row>
    <row r="20" s="33" customFormat="1" customHeight="1" spans="1:66">
      <c r="A20" s="34">
        <v>17</v>
      </c>
      <c r="B20" s="66" t="s">
        <v>130</v>
      </c>
      <c r="C20" s="67">
        <f t="array" ref="C20">_xlfn.XLOOKUP($B20&amp;$C$3,'25-03'!B:B&amp;'25-03'!C:C,'25-03'!D:D,0)</f>
        <v>0</v>
      </c>
      <c r="D20" s="67">
        <f t="array" ref="D20">_xlfn.XLOOKUP($B20&amp;$D$3,'25-03'!B:B&amp;'25-03'!C:C,'25-03'!D:D,0)</f>
        <v>0</v>
      </c>
      <c r="E20" s="67">
        <f t="array" ref="E20">_xlfn.XLOOKUP($B20&amp;E$3,'25-03'!B:B&amp;'25-03'!C:C,'25-03'!D:D,0)</f>
        <v>0</v>
      </c>
      <c r="F20" s="67">
        <f t="shared" si="0"/>
        <v>0</v>
      </c>
      <c r="G20" s="67">
        <f t="array" ref="G20">_xlfn.XLOOKUP($B20&amp;G$3,'25-04'!B:B&amp;'25-04'!C:C,'25-04'!D:D,0)</f>
        <v>0</v>
      </c>
      <c r="H20" s="67">
        <f t="array" ref="H20">_xlfn.XLOOKUP($B20&amp;H$3,'25-04'!B:B&amp;'25-04'!C:C,'25-04'!D:D,0)</f>
        <v>0</v>
      </c>
      <c r="I20" s="67">
        <f t="array" ref="I20">_xlfn.XLOOKUP($B20&amp;I$3,'25-04'!B:B&amp;'25-04'!C:C,'25-04'!D:D,0)</f>
        <v>0</v>
      </c>
      <c r="J20" s="67">
        <f t="shared" si="1"/>
        <v>0</v>
      </c>
      <c r="K20" s="67">
        <f t="array" ref="K20">_xlfn.XLOOKUP($B20&amp;K$3,'25-05'!B:B&amp;'25-05'!C:C,'25-05'!D:D,0)</f>
        <v>0</v>
      </c>
      <c r="L20" s="67">
        <f t="array" ref="L20">_xlfn.XLOOKUP($B20&amp;L$3,'25-05'!B:B&amp;'25-05'!C:C,'25-05'!D:D,0)</f>
        <v>0</v>
      </c>
      <c r="M20" s="67">
        <f t="array" ref="M20">_xlfn.XLOOKUP($B20&amp;M$3,'25-05'!B:B&amp;'25-05'!C:C,'25-05'!D:D,0)</f>
        <v>0</v>
      </c>
      <c r="N20" s="67">
        <f t="shared" si="2"/>
        <v>0</v>
      </c>
      <c r="O20" s="67">
        <f t="array" ref="O20">_xlfn.XLOOKUP($B20&amp;O$3,'26-06'!B:B&amp;'26-06'!C:C,'26-06'!D:D,0)</f>
        <v>0</v>
      </c>
      <c r="P20" s="67">
        <f t="array" ref="P20">_xlfn.XLOOKUP($B20&amp;P$3,'26-06'!B:B&amp;'26-06'!C:C,'26-06'!D:D,0)</f>
        <v>0</v>
      </c>
      <c r="Q20" s="67">
        <f t="array" ref="Q20">_xlfn.XLOOKUP($B20&amp;Q$3,'26-06'!B:B&amp;'26-06'!C:C,'26-06'!D:D,0)</f>
        <v>0</v>
      </c>
      <c r="R20" s="67">
        <f t="shared" si="3"/>
        <v>0</v>
      </c>
      <c r="S20" s="67">
        <f t="array" ref="S20">_xlfn.XLOOKUP($B20&amp;S$3,'25-07'!B:B&amp;'25-07'!C:C,'25-07'!D:D,0)</f>
        <v>0</v>
      </c>
      <c r="T20" s="67">
        <f t="array" ref="T20">_xlfn.XLOOKUP($B20&amp;T$3,'25-07'!B:B&amp;'25-07'!C:C,'25-07'!D:D,0)</f>
        <v>0</v>
      </c>
      <c r="U20" s="67">
        <f t="array" ref="U20">_xlfn.XLOOKUP($B20&amp;U$3,'25-07'!B:B&amp;'25-07'!C:C,'25-07'!D:D,0)</f>
        <v>0</v>
      </c>
      <c r="V20" s="67">
        <f t="shared" si="4"/>
        <v>0</v>
      </c>
      <c r="W20" s="67">
        <f t="array" ref="W20">_xlfn.XLOOKUP($B20&amp;W$3,'25-08'!B:B&amp;'25-08'!C:C,'25-08'!D:D,0)</f>
        <v>0</v>
      </c>
      <c r="X20" s="67">
        <f t="array" ref="X20">_xlfn.XLOOKUP($B20&amp;X$3,'25-08'!B:B&amp;'25-08'!C:C,'25-08'!D:D,0)</f>
        <v>0</v>
      </c>
      <c r="Y20" s="67">
        <f t="array" ref="Y20">_xlfn.XLOOKUP($B20&amp;Y$3,'25-08'!B:B&amp;'25-08'!C:C,'25-08'!D:D,0)</f>
        <v>0</v>
      </c>
      <c r="Z20" s="67">
        <f t="shared" si="5"/>
        <v>0</v>
      </c>
      <c r="AA20" s="67">
        <f t="array" ref="AA20">_xlfn.XLOOKUP($B20&amp;AA$3,'25-09'!B:B&amp;'25-09'!C:C,'25-09'!D:D,0)</f>
        <v>0</v>
      </c>
      <c r="AB20" s="67">
        <f t="array" ref="AB20">_xlfn.XLOOKUP($B20&amp;AB$3,'25-09'!B:B&amp;'25-09'!C:C,'25-09'!D:D,0)</f>
        <v>0</v>
      </c>
      <c r="AC20" s="67">
        <f t="array" ref="AC20">_xlfn.XLOOKUP($B20&amp;AC$3,'25-09'!B:B&amp;'25-09'!C:C,'25-09'!D:D,0)</f>
        <v>0</v>
      </c>
      <c r="AD20" s="67">
        <f t="shared" si="6"/>
        <v>0</v>
      </c>
      <c r="AE20" s="67">
        <f t="array" ref="AE20">_xlfn.XLOOKUP($B20&amp;AE$3,'25-10'!B:B&amp;'25-10'!C:C,'25-10'!D:D,0)</f>
        <v>0</v>
      </c>
      <c r="AF20" s="67">
        <f t="array" ref="AF20">_xlfn.XLOOKUP($B20&amp;AF$3,'25-10'!B:B&amp;'25-10'!C:C,'25-10'!D:D,0)</f>
        <v>0</v>
      </c>
      <c r="AG20" s="67">
        <f t="array" ref="AG20">_xlfn.XLOOKUP($B20&amp;AG$3,'25-10'!B:B&amp;'25-10'!C:C,'25-10'!D:D,0)</f>
        <v>0</v>
      </c>
      <c r="AH20" s="67">
        <f t="shared" si="7"/>
        <v>0</v>
      </c>
      <c r="AI20" s="67">
        <f t="array" ref="AI20">_xlfn.XLOOKUP($B20&amp;AI$3,'25-11'!B:B&amp;'25-11'!C:C,'25-11'!D:D,0)</f>
        <v>0</v>
      </c>
      <c r="AJ20" s="67">
        <f t="array" ref="AJ20">_xlfn.XLOOKUP($B20&amp;AJ$3,'25-11'!B:B&amp;'25-11'!C:C,'25-11'!D:D,0)</f>
        <v>0</v>
      </c>
      <c r="AK20" s="67">
        <f t="array" ref="AK20">_xlfn.XLOOKUP($B20&amp;AK$3,'25-11'!B:B&amp;'25-11'!C:C,'25-11'!D:D,0)</f>
        <v>0</v>
      </c>
      <c r="AL20" s="67">
        <f t="shared" si="8"/>
        <v>0</v>
      </c>
      <c r="AM20" s="67">
        <f t="array" ref="AM20">_xlfn.XLOOKUP($B20&amp;AM$3,'25-12'!B:B&amp;'25-12'!C:C,'25-12'!D:D,0)</f>
        <v>0</v>
      </c>
      <c r="AN20" s="67">
        <f t="array" ref="AN20">_xlfn.XLOOKUP($B20&amp;AN$3,'25-12'!B:B&amp;'25-12'!C:C,'25-12'!D:D,0)</f>
        <v>0</v>
      </c>
      <c r="AO20" s="67">
        <f t="array" ref="AO20">_xlfn.XLOOKUP($B20&amp;AO$3,'25-12'!B:B&amp;'25-12'!C:C,'25-12'!D:D,0)</f>
        <v>0</v>
      </c>
      <c r="AP20" s="67">
        <f t="shared" si="9"/>
        <v>0</v>
      </c>
      <c r="AQ20" s="67">
        <f t="array" ref="AQ20">_xlfn.XLOOKUP($B20&amp;AQ$3,'26-01'!B:B&amp;'26-01'!C:C,'26-01'!D:D,0)</f>
        <v>0</v>
      </c>
      <c r="AR20" s="67">
        <f t="array" ref="AR20">_xlfn.XLOOKUP($B20&amp;AR$3,'26-01'!B:B&amp;'26-01'!C:C,'26-01'!D:D,0)</f>
        <v>0</v>
      </c>
      <c r="AS20" s="67">
        <f t="array" ref="AS20">_xlfn.XLOOKUP($B20&amp;AS$3,'26-01'!B:B&amp;'26-01'!C:C,'26-01'!D:D,0)</f>
        <v>0</v>
      </c>
      <c r="AT20" s="67">
        <f t="shared" si="10"/>
        <v>0</v>
      </c>
      <c r="AU20" s="67" cm="1">
        <f t="array" ref="AU20">_xlfn.XLOOKUP($B20&amp;AU$3,'26-02'!B:B&amp;'26-02'!C:C,'26-02'!D:D,0)</f>
        <v>0</v>
      </c>
      <c r="AV20" s="67" cm="1">
        <f t="array" ref="AV20">_xlfn.XLOOKUP($B20&amp;AV$3,'26-02'!B:B&amp;'26-02'!C:C,'26-02'!D:D,0)</f>
        <v>0</v>
      </c>
      <c r="AW20" s="67" cm="1">
        <f t="array" ref="AW20">_xlfn.XLOOKUP($B20&amp;AW$3,'26-02'!B:B&amp;'26-02'!C:C,'26-02'!D:D,0)</f>
        <v>0</v>
      </c>
      <c r="AX20" s="67">
        <f t="shared" si="11"/>
        <v>0</v>
      </c>
      <c r="AY20" s="36">
        <f t="shared" si="12"/>
        <v>0</v>
      </c>
      <c r="AZ20" s="36">
        <f t="shared" si="13"/>
        <v>0</v>
      </c>
      <c r="BA20" s="36">
        <f t="shared" si="24"/>
        <v>0</v>
      </c>
      <c r="BB20" s="37">
        <f t="shared" si="14"/>
        <v>0</v>
      </c>
      <c r="BC20" s="37">
        <f t="shared" si="15"/>
        <v>0</v>
      </c>
      <c r="BD20" s="37">
        <f t="shared" si="16"/>
        <v>0</v>
      </c>
      <c r="BE20" s="37">
        <f t="shared" si="17"/>
        <v>0</v>
      </c>
      <c r="BF20" s="37">
        <f t="shared" si="18"/>
        <v>0</v>
      </c>
      <c r="BG20" s="37">
        <f t="shared" si="19"/>
        <v>0</v>
      </c>
      <c r="BH20" s="68">
        <f t="shared" si="20"/>
        <v>0</v>
      </c>
      <c r="BI20" s="37">
        <f t="shared" si="21"/>
        <v>0</v>
      </c>
      <c r="BJ20" s="37">
        <f t="shared" si="22"/>
        <v>0</v>
      </c>
      <c r="BK20" s="38">
        <f>_xlfn.XLOOKUP($B20,'BCS-1-KLG'!C:C,'BCS-1-KLG'!E:E,0)</f>
        <v>0</v>
      </c>
      <c r="BL20" s="38">
        <f>_xlfn.XLOOKUP($B20,'BCS-2 PIK 2'!C:C,'BCS-2 PIK 2'!E:E,0)</f>
        <v>0</v>
      </c>
      <c r="BM20" s="38">
        <f>_xlfn.XLOOKUP($B20,'BCS HO'!C:C,'BCS HO'!E:E,0)</f>
        <v>0</v>
      </c>
      <c r="BN20" s="38">
        <f t="shared" si="23"/>
        <v>0</v>
      </c>
    </row>
    <row r="21" s="33" customFormat="1" customHeight="1" spans="1:66">
      <c r="A21" s="34">
        <v>18</v>
      </c>
      <c r="B21" s="66" t="s">
        <v>131</v>
      </c>
      <c r="C21" s="67">
        <f t="array" ref="C21">_xlfn.XLOOKUP($B21&amp;$C$3,'25-03'!B:B&amp;'25-03'!C:C,'25-03'!D:D,0)</f>
        <v>0</v>
      </c>
      <c r="D21" s="67">
        <f t="array" ref="D21">_xlfn.XLOOKUP($B21&amp;$D$3,'25-03'!B:B&amp;'25-03'!C:C,'25-03'!D:D,0)</f>
        <v>0</v>
      </c>
      <c r="E21" s="67">
        <f t="array" ref="E21">_xlfn.XLOOKUP($B21&amp;E$3,'25-03'!B:B&amp;'25-03'!C:C,'25-03'!D:D,0)</f>
        <v>0</v>
      </c>
      <c r="F21" s="67">
        <f t="shared" si="0"/>
        <v>0</v>
      </c>
      <c r="G21" s="67">
        <f t="array" ref="G21">_xlfn.XLOOKUP($B21&amp;G$3,'25-04'!B:B&amp;'25-04'!C:C,'25-04'!D:D,0)</f>
        <v>0</v>
      </c>
      <c r="H21" s="67">
        <f t="array" ref="H21">_xlfn.XLOOKUP($B21&amp;H$3,'25-04'!B:B&amp;'25-04'!C:C,'25-04'!D:D,0)</f>
        <v>0</v>
      </c>
      <c r="I21" s="67">
        <f t="array" ref="I21">_xlfn.XLOOKUP($B21&amp;I$3,'25-04'!B:B&amp;'25-04'!C:C,'25-04'!D:D,0)</f>
        <v>0</v>
      </c>
      <c r="J21" s="67">
        <f t="shared" si="1"/>
        <v>0</v>
      </c>
      <c r="K21" s="67">
        <f t="array" ref="K21">_xlfn.XLOOKUP($B21&amp;K$3,'25-05'!B:B&amp;'25-05'!C:C,'25-05'!D:D,0)</f>
        <v>0</v>
      </c>
      <c r="L21" s="67">
        <f t="array" ref="L21">_xlfn.XLOOKUP($B21&amp;L$3,'25-05'!B:B&amp;'25-05'!C:C,'25-05'!D:D,0)</f>
        <v>0</v>
      </c>
      <c r="M21" s="67">
        <f t="array" ref="M21">_xlfn.XLOOKUP($B21&amp;M$3,'25-05'!B:B&amp;'25-05'!C:C,'25-05'!D:D,0)</f>
        <v>0</v>
      </c>
      <c r="N21" s="67">
        <f t="shared" si="2"/>
        <v>0</v>
      </c>
      <c r="O21" s="67">
        <f t="array" ref="O21">_xlfn.XLOOKUP($B21&amp;O$3,'26-06'!B:B&amp;'26-06'!C:C,'26-06'!D:D,0)</f>
        <v>0</v>
      </c>
      <c r="P21" s="67">
        <f t="array" ref="P21">_xlfn.XLOOKUP($B21&amp;P$3,'26-06'!B:B&amp;'26-06'!C:C,'26-06'!D:D,0)</f>
        <v>0</v>
      </c>
      <c r="Q21" s="67">
        <f t="array" ref="Q21">_xlfn.XLOOKUP($B21&amp;Q$3,'26-06'!B:B&amp;'26-06'!C:C,'26-06'!D:D,0)</f>
        <v>0</v>
      </c>
      <c r="R21" s="67">
        <f t="shared" si="3"/>
        <v>0</v>
      </c>
      <c r="S21" s="67">
        <f t="array" ref="S21">_xlfn.XLOOKUP($B21&amp;S$3,'25-07'!B:B&amp;'25-07'!C:C,'25-07'!D:D,0)</f>
        <v>0</v>
      </c>
      <c r="T21" s="67">
        <f t="array" ref="T21">_xlfn.XLOOKUP($B21&amp;T$3,'25-07'!B:B&amp;'25-07'!C:C,'25-07'!D:D,0)</f>
        <v>0</v>
      </c>
      <c r="U21" s="67">
        <f t="array" ref="U21">_xlfn.XLOOKUP($B21&amp;U$3,'25-07'!B:B&amp;'25-07'!C:C,'25-07'!D:D,0)</f>
        <v>0</v>
      </c>
      <c r="V21" s="67">
        <f t="shared" si="4"/>
        <v>0</v>
      </c>
      <c r="W21" s="67">
        <f t="array" ref="W21">_xlfn.XLOOKUP($B21&amp;W$3,'25-08'!B:B&amp;'25-08'!C:C,'25-08'!D:D,0)</f>
        <v>0</v>
      </c>
      <c r="X21" s="67">
        <f t="array" ref="X21">_xlfn.XLOOKUP($B21&amp;X$3,'25-08'!B:B&amp;'25-08'!C:C,'25-08'!D:D,0)</f>
        <v>0</v>
      </c>
      <c r="Y21" s="67">
        <f t="array" ref="Y21">_xlfn.XLOOKUP($B21&amp;Y$3,'25-08'!B:B&amp;'25-08'!C:C,'25-08'!D:D,0)</f>
        <v>0</v>
      </c>
      <c r="Z21" s="67">
        <f t="shared" si="5"/>
        <v>0</v>
      </c>
      <c r="AA21" s="67">
        <f t="array" ref="AA21">_xlfn.XLOOKUP($B21&amp;AA$3,'25-09'!B:B&amp;'25-09'!C:C,'25-09'!D:D,0)</f>
        <v>0</v>
      </c>
      <c r="AB21" s="67">
        <f t="array" ref="AB21">_xlfn.XLOOKUP($B21&amp;AB$3,'25-09'!B:B&amp;'25-09'!C:C,'25-09'!D:D,0)</f>
        <v>0</v>
      </c>
      <c r="AC21" s="67">
        <f t="array" ref="AC21">_xlfn.XLOOKUP($B21&amp;AC$3,'25-09'!B:B&amp;'25-09'!C:C,'25-09'!D:D,0)</f>
        <v>0</v>
      </c>
      <c r="AD21" s="67">
        <f t="shared" si="6"/>
        <v>0</v>
      </c>
      <c r="AE21" s="67">
        <f t="array" ref="AE21">_xlfn.XLOOKUP($B21&amp;AE$3,'25-10'!B:B&amp;'25-10'!C:C,'25-10'!D:D,0)</f>
        <v>0</v>
      </c>
      <c r="AF21" s="67">
        <f t="array" ref="AF21">_xlfn.XLOOKUP($B21&amp;AF$3,'25-10'!B:B&amp;'25-10'!C:C,'25-10'!D:D,0)</f>
        <v>0</v>
      </c>
      <c r="AG21" s="67">
        <f t="array" ref="AG21">_xlfn.XLOOKUP($B21&amp;AG$3,'25-10'!B:B&amp;'25-10'!C:C,'25-10'!D:D,0)</f>
        <v>0</v>
      </c>
      <c r="AH21" s="67">
        <f t="shared" si="7"/>
        <v>0</v>
      </c>
      <c r="AI21" s="67">
        <f t="array" ref="AI21">_xlfn.XLOOKUP($B21&amp;AI$3,'25-11'!B:B&amp;'25-11'!C:C,'25-11'!D:D,0)</f>
        <v>0</v>
      </c>
      <c r="AJ21" s="67">
        <f t="array" ref="AJ21">_xlfn.XLOOKUP($B21&amp;AJ$3,'25-11'!B:B&amp;'25-11'!C:C,'25-11'!D:D,0)</f>
        <v>0</v>
      </c>
      <c r="AK21" s="67">
        <f t="array" ref="AK21">_xlfn.XLOOKUP($B21&amp;AK$3,'25-11'!B:B&amp;'25-11'!C:C,'25-11'!D:D,0)</f>
        <v>0</v>
      </c>
      <c r="AL21" s="67">
        <f t="shared" si="8"/>
        <v>0</v>
      </c>
      <c r="AM21" s="67">
        <f t="array" ref="AM21">_xlfn.XLOOKUP($B21&amp;AM$3,'25-12'!B:B&amp;'25-12'!C:C,'25-12'!D:D,0)</f>
        <v>0</v>
      </c>
      <c r="AN21" s="67">
        <f t="array" ref="AN21">_xlfn.XLOOKUP($B21&amp;AN$3,'25-12'!B:B&amp;'25-12'!C:C,'25-12'!D:D,0)</f>
        <v>0</v>
      </c>
      <c r="AO21" s="67">
        <f t="array" ref="AO21">_xlfn.XLOOKUP($B21&amp;AO$3,'25-12'!B:B&amp;'25-12'!C:C,'25-12'!D:D,0)</f>
        <v>0</v>
      </c>
      <c r="AP21" s="67">
        <f t="shared" si="9"/>
        <v>0</v>
      </c>
      <c r="AQ21" s="67">
        <f t="array" ref="AQ21">_xlfn.XLOOKUP($B21&amp;AQ$3,'26-01'!B:B&amp;'26-01'!C:C,'26-01'!D:D,0)</f>
        <v>0</v>
      </c>
      <c r="AR21" s="67">
        <f t="array" ref="AR21">_xlfn.XLOOKUP($B21&amp;AR$3,'26-01'!B:B&amp;'26-01'!C:C,'26-01'!D:D,0)</f>
        <v>0</v>
      </c>
      <c r="AS21" s="67">
        <f t="array" ref="AS21">_xlfn.XLOOKUP($B21&amp;AS$3,'26-01'!B:B&amp;'26-01'!C:C,'26-01'!D:D,0)</f>
        <v>0</v>
      </c>
      <c r="AT21" s="67">
        <f t="shared" si="10"/>
        <v>0</v>
      </c>
      <c r="AU21" s="67" cm="1">
        <f t="array" ref="AU21">_xlfn.XLOOKUP($B21&amp;AU$3,'26-02'!B:B&amp;'26-02'!C:C,'26-02'!D:D,0)</f>
        <v>0</v>
      </c>
      <c r="AV21" s="67" cm="1">
        <f t="array" ref="AV21">_xlfn.XLOOKUP($B21&amp;AV$3,'26-02'!B:B&amp;'26-02'!C:C,'26-02'!D:D,0)</f>
        <v>0</v>
      </c>
      <c r="AW21" s="67" cm="1">
        <f t="array" ref="AW21">_xlfn.XLOOKUP($B21&amp;AW$3,'26-02'!B:B&amp;'26-02'!C:C,'26-02'!D:D,0)</f>
        <v>0</v>
      </c>
      <c r="AX21" s="67">
        <f t="shared" si="11"/>
        <v>0</v>
      </c>
      <c r="AY21" s="36">
        <f t="shared" si="12"/>
        <v>0</v>
      </c>
      <c r="AZ21" s="36">
        <f t="shared" si="13"/>
        <v>0</v>
      </c>
      <c r="BA21" s="36">
        <f t="shared" si="24"/>
        <v>0</v>
      </c>
      <c r="BB21" s="37">
        <f t="shared" si="14"/>
        <v>0</v>
      </c>
      <c r="BC21" s="37">
        <f t="shared" si="15"/>
        <v>0</v>
      </c>
      <c r="BD21" s="37">
        <f t="shared" si="16"/>
        <v>0</v>
      </c>
      <c r="BE21" s="37">
        <f t="shared" si="17"/>
        <v>0</v>
      </c>
      <c r="BF21" s="37">
        <f t="shared" si="18"/>
        <v>0</v>
      </c>
      <c r="BG21" s="37">
        <f t="shared" si="19"/>
        <v>0</v>
      </c>
      <c r="BH21" s="68">
        <f t="shared" si="20"/>
        <v>0</v>
      </c>
      <c r="BI21" s="37">
        <f t="shared" si="21"/>
        <v>0</v>
      </c>
      <c r="BJ21" s="37">
        <f t="shared" si="22"/>
        <v>0</v>
      </c>
      <c r="BK21" s="38">
        <f>_xlfn.XLOOKUP($B21,'BCS-1-KLG'!C:C,'BCS-1-KLG'!E:E,0)</f>
        <v>0</v>
      </c>
      <c r="BL21" s="38">
        <f>_xlfn.XLOOKUP($B21,'BCS-2 PIK 2'!C:C,'BCS-2 PIK 2'!E:E,0)</f>
        <v>0</v>
      </c>
      <c r="BM21" s="38">
        <f>_xlfn.XLOOKUP($B21,'BCS HO'!C:C,'BCS HO'!E:E,0)</f>
        <v>0</v>
      </c>
      <c r="BN21" s="38">
        <f t="shared" si="23"/>
        <v>0</v>
      </c>
    </row>
    <row r="22" s="33" customFormat="1" customHeight="1" spans="1:66">
      <c r="A22" s="34">
        <v>19</v>
      </c>
      <c r="B22" s="66" t="s">
        <v>132</v>
      </c>
      <c r="C22" s="67">
        <f t="array" ref="C22">_xlfn.XLOOKUP($B22&amp;$C$3,'25-03'!B:B&amp;'25-03'!C:C,'25-03'!D:D,0)</f>
        <v>0</v>
      </c>
      <c r="D22" s="67">
        <f t="array" ref="D22">_xlfn.XLOOKUP($B22&amp;$D$3,'25-03'!B:B&amp;'25-03'!C:C,'25-03'!D:D,0)</f>
        <v>0</v>
      </c>
      <c r="E22" s="67">
        <f t="array" ref="E22">_xlfn.XLOOKUP($B22&amp;E$3,'25-03'!B:B&amp;'25-03'!C:C,'25-03'!D:D,0)</f>
        <v>0</v>
      </c>
      <c r="F22" s="67">
        <f t="shared" si="0"/>
        <v>0</v>
      </c>
      <c r="G22" s="67">
        <f t="array" ref="G22">_xlfn.XLOOKUP($B22&amp;G$3,'25-04'!B:B&amp;'25-04'!C:C,'25-04'!D:D,0)</f>
        <v>0</v>
      </c>
      <c r="H22" s="67">
        <f t="array" ref="H22">_xlfn.XLOOKUP($B22&amp;H$3,'25-04'!B:B&amp;'25-04'!C:C,'25-04'!D:D,0)</f>
        <v>0</v>
      </c>
      <c r="I22" s="67">
        <f t="array" ref="I22">_xlfn.XLOOKUP($B22&amp;I$3,'25-04'!B:B&amp;'25-04'!C:C,'25-04'!D:D,0)</f>
        <v>0</v>
      </c>
      <c r="J22" s="67">
        <f t="shared" si="1"/>
        <v>0</v>
      </c>
      <c r="K22" s="67">
        <f t="array" ref="K22">_xlfn.XLOOKUP($B22&amp;K$3,'25-05'!B:B&amp;'25-05'!C:C,'25-05'!D:D,0)</f>
        <v>0</v>
      </c>
      <c r="L22" s="67">
        <f t="array" ref="L22">_xlfn.XLOOKUP($B22&amp;L$3,'25-05'!B:B&amp;'25-05'!C:C,'25-05'!D:D,0)</f>
        <v>0</v>
      </c>
      <c r="M22" s="67">
        <f t="array" ref="M22">_xlfn.XLOOKUP($B22&amp;M$3,'25-05'!B:B&amp;'25-05'!C:C,'25-05'!D:D,0)</f>
        <v>0</v>
      </c>
      <c r="N22" s="67">
        <f t="shared" si="2"/>
        <v>0</v>
      </c>
      <c r="O22" s="67">
        <f t="array" ref="O22">_xlfn.XLOOKUP($B22&amp;O$3,'26-06'!B:B&amp;'26-06'!C:C,'26-06'!D:D,0)</f>
        <v>0</v>
      </c>
      <c r="P22" s="67">
        <f t="array" ref="P22">_xlfn.XLOOKUP($B22&amp;P$3,'26-06'!B:B&amp;'26-06'!C:C,'26-06'!D:D,0)</f>
        <v>0</v>
      </c>
      <c r="Q22" s="67">
        <f t="array" ref="Q22">_xlfn.XLOOKUP($B22&amp;Q$3,'26-06'!B:B&amp;'26-06'!C:C,'26-06'!D:D,0)</f>
        <v>0</v>
      </c>
      <c r="R22" s="67">
        <f t="shared" si="3"/>
        <v>0</v>
      </c>
      <c r="S22" s="67">
        <f t="array" ref="S22">_xlfn.XLOOKUP($B22&amp;S$3,'25-07'!B:B&amp;'25-07'!C:C,'25-07'!D:D,0)</f>
        <v>0</v>
      </c>
      <c r="T22" s="67">
        <f t="array" ref="T22">_xlfn.XLOOKUP($B22&amp;T$3,'25-07'!B:B&amp;'25-07'!C:C,'25-07'!D:D,0)</f>
        <v>0</v>
      </c>
      <c r="U22" s="67">
        <f t="array" ref="U22">_xlfn.XLOOKUP($B22&amp;U$3,'25-07'!B:B&amp;'25-07'!C:C,'25-07'!D:D,0)</f>
        <v>0</v>
      </c>
      <c r="V22" s="67">
        <f t="shared" si="4"/>
        <v>0</v>
      </c>
      <c r="W22" s="67">
        <f t="array" ref="W22">_xlfn.XLOOKUP($B22&amp;W$3,'25-08'!B:B&amp;'25-08'!C:C,'25-08'!D:D,0)</f>
        <v>0</v>
      </c>
      <c r="X22" s="67">
        <f t="array" ref="X22">_xlfn.XLOOKUP($B22&amp;X$3,'25-08'!B:B&amp;'25-08'!C:C,'25-08'!D:D,0)</f>
        <v>0</v>
      </c>
      <c r="Y22" s="67">
        <f t="array" ref="Y22">_xlfn.XLOOKUP($B22&amp;Y$3,'25-08'!B:B&amp;'25-08'!C:C,'25-08'!D:D,0)</f>
        <v>0</v>
      </c>
      <c r="Z22" s="67">
        <f t="shared" si="5"/>
        <v>0</v>
      </c>
      <c r="AA22" s="67">
        <f t="array" ref="AA22">_xlfn.XLOOKUP($B22&amp;AA$3,'25-09'!B:B&amp;'25-09'!C:C,'25-09'!D:D,0)</f>
        <v>0</v>
      </c>
      <c r="AB22" s="67">
        <f t="array" ref="AB22">_xlfn.XLOOKUP($B22&amp;AB$3,'25-09'!B:B&amp;'25-09'!C:C,'25-09'!D:D,0)</f>
        <v>0</v>
      </c>
      <c r="AC22" s="67">
        <f t="array" ref="AC22">_xlfn.XLOOKUP($B22&amp;AC$3,'25-09'!B:B&amp;'25-09'!C:C,'25-09'!D:D,0)</f>
        <v>0</v>
      </c>
      <c r="AD22" s="67">
        <f t="shared" si="6"/>
        <v>0</v>
      </c>
      <c r="AE22" s="67">
        <f t="array" ref="AE22">_xlfn.XLOOKUP($B22&amp;AE$3,'25-10'!B:B&amp;'25-10'!C:C,'25-10'!D:D,0)</f>
        <v>0</v>
      </c>
      <c r="AF22" s="67">
        <f t="array" ref="AF22">_xlfn.XLOOKUP($B22&amp;AF$3,'25-10'!B:B&amp;'25-10'!C:C,'25-10'!D:D,0)</f>
        <v>0</v>
      </c>
      <c r="AG22" s="67">
        <f t="array" ref="AG22">_xlfn.XLOOKUP($B22&amp;AG$3,'25-10'!B:B&amp;'25-10'!C:C,'25-10'!D:D,0)</f>
        <v>0</v>
      </c>
      <c r="AH22" s="67">
        <f t="shared" si="7"/>
        <v>0</v>
      </c>
      <c r="AI22" s="67">
        <f t="array" ref="AI22">_xlfn.XLOOKUP($B22&amp;AI$3,'25-11'!B:B&amp;'25-11'!C:C,'25-11'!D:D,0)</f>
        <v>0</v>
      </c>
      <c r="AJ22" s="67">
        <f t="array" ref="AJ22">_xlfn.XLOOKUP($B22&amp;AJ$3,'25-11'!B:B&amp;'25-11'!C:C,'25-11'!D:D,0)</f>
        <v>0</v>
      </c>
      <c r="AK22" s="67">
        <f t="array" ref="AK22">_xlfn.XLOOKUP($B22&amp;AK$3,'25-11'!B:B&amp;'25-11'!C:C,'25-11'!D:D,0)</f>
        <v>0</v>
      </c>
      <c r="AL22" s="67">
        <f t="shared" si="8"/>
        <v>0</v>
      </c>
      <c r="AM22" s="67">
        <f t="array" ref="AM22">_xlfn.XLOOKUP($B22&amp;AM$3,'25-12'!B:B&amp;'25-12'!C:C,'25-12'!D:D,0)</f>
        <v>0</v>
      </c>
      <c r="AN22" s="67">
        <f t="array" ref="AN22">_xlfn.XLOOKUP($B22&amp;AN$3,'25-12'!B:B&amp;'25-12'!C:C,'25-12'!D:D,0)</f>
        <v>0</v>
      </c>
      <c r="AO22" s="67">
        <f t="array" ref="AO22">_xlfn.XLOOKUP($B22&amp;AO$3,'25-12'!B:B&amp;'25-12'!C:C,'25-12'!D:D,0)</f>
        <v>0</v>
      </c>
      <c r="AP22" s="67">
        <f t="shared" si="9"/>
        <v>0</v>
      </c>
      <c r="AQ22" s="67">
        <f t="array" ref="AQ22">_xlfn.XLOOKUP($B22&amp;AQ$3,'26-01'!B:B&amp;'26-01'!C:C,'26-01'!D:D,0)</f>
        <v>0</v>
      </c>
      <c r="AR22" s="67">
        <f t="array" ref="AR22">_xlfn.XLOOKUP($B22&amp;AR$3,'26-01'!B:B&amp;'26-01'!C:C,'26-01'!D:D,0)</f>
        <v>0</v>
      </c>
      <c r="AS22" s="67">
        <f t="array" ref="AS22">_xlfn.XLOOKUP($B22&amp;AS$3,'26-01'!B:B&amp;'26-01'!C:C,'26-01'!D:D,0)</f>
        <v>0</v>
      </c>
      <c r="AT22" s="67">
        <f t="shared" si="10"/>
        <v>0</v>
      </c>
      <c r="AU22" s="67" cm="1">
        <f t="array" ref="AU22">_xlfn.XLOOKUP($B22&amp;AU$3,'26-02'!B:B&amp;'26-02'!C:C,'26-02'!D:D,0)</f>
        <v>0</v>
      </c>
      <c r="AV22" s="67" cm="1">
        <f t="array" ref="AV22">_xlfn.XLOOKUP($B22&amp;AV$3,'26-02'!B:B&amp;'26-02'!C:C,'26-02'!D:D,0)</f>
        <v>0</v>
      </c>
      <c r="AW22" s="67" cm="1">
        <f t="array" ref="AW22">_xlfn.XLOOKUP($B22&amp;AW$3,'26-02'!B:B&amp;'26-02'!C:C,'26-02'!D:D,0)</f>
        <v>0</v>
      </c>
      <c r="AX22" s="67">
        <f t="shared" si="11"/>
        <v>0</v>
      </c>
      <c r="AY22" s="36">
        <f t="shared" si="12"/>
        <v>0</v>
      </c>
      <c r="AZ22" s="36">
        <f t="shared" si="13"/>
        <v>0</v>
      </c>
      <c r="BA22" s="36">
        <f t="shared" si="24"/>
        <v>0</v>
      </c>
      <c r="BB22" s="37">
        <f t="shared" si="14"/>
        <v>0</v>
      </c>
      <c r="BC22" s="37">
        <f t="shared" si="15"/>
        <v>0</v>
      </c>
      <c r="BD22" s="37">
        <f t="shared" si="16"/>
        <v>0</v>
      </c>
      <c r="BE22" s="37">
        <f t="shared" si="17"/>
        <v>0</v>
      </c>
      <c r="BF22" s="37">
        <f t="shared" si="18"/>
        <v>0</v>
      </c>
      <c r="BG22" s="37">
        <f t="shared" si="19"/>
        <v>0</v>
      </c>
      <c r="BH22" s="68">
        <f t="shared" si="20"/>
        <v>0</v>
      </c>
      <c r="BI22" s="37">
        <f t="shared" si="21"/>
        <v>0</v>
      </c>
      <c r="BJ22" s="37">
        <f t="shared" si="22"/>
        <v>0</v>
      </c>
      <c r="BK22" s="38">
        <f>_xlfn.XLOOKUP($B22,'BCS-1-KLG'!C:C,'BCS-1-KLG'!E:E,0)</f>
        <v>0</v>
      </c>
      <c r="BL22" s="38">
        <f>_xlfn.XLOOKUP($B22,'BCS-2 PIK 2'!C:C,'BCS-2 PIK 2'!E:E,0)</f>
        <v>0</v>
      </c>
      <c r="BM22" s="38">
        <f>_xlfn.XLOOKUP($B22,'BCS HO'!C:C,'BCS HO'!E:E,0)</f>
        <v>0</v>
      </c>
      <c r="BN22" s="38">
        <f t="shared" si="23"/>
        <v>0</v>
      </c>
    </row>
  </sheetData>
  <autoFilter xmlns:etc="http://www.wps.cn/officeDocument/2017/etCustomData" ref="A3:BN22" etc:filterBottomFollowUsedRange="0">
    <extLst/>
  </autoFilter>
  <mergeCells count="44">
    <mergeCell ref="AY1:BA1"/>
    <mergeCell ref="BB1:BD1"/>
    <mergeCell ref="BE1:BG1"/>
    <mergeCell ref="BH1:BJ1"/>
    <mergeCell ref="BK1:BN1"/>
    <mergeCell ref="C2:E2"/>
    <mergeCell ref="G2:I2"/>
    <mergeCell ref="K2:M2"/>
    <mergeCell ref="O2:Q2"/>
    <mergeCell ref="S2:U2"/>
    <mergeCell ref="W2:Y2"/>
    <mergeCell ref="AA2:AC2"/>
    <mergeCell ref="AE2:AG2"/>
    <mergeCell ref="AI2:AK2"/>
    <mergeCell ref="AM2:AO2"/>
    <mergeCell ref="AQ2:AS2"/>
    <mergeCell ref="AU2:AW2"/>
    <mergeCell ref="BK2:BM2"/>
    <mergeCell ref="A2:A3"/>
    <mergeCell ref="B2:B3"/>
    <mergeCell ref="F2:F3"/>
    <mergeCell ref="J2:J3"/>
    <mergeCell ref="N2:N3"/>
    <mergeCell ref="R2:R3"/>
    <mergeCell ref="V2:V3"/>
    <mergeCell ref="Z2:Z3"/>
    <mergeCell ref="AD2:AD3"/>
    <mergeCell ref="AH2:AH3"/>
    <mergeCell ref="AL2:AL3"/>
    <mergeCell ref="AP2:AP3"/>
    <mergeCell ref="AT2:AT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</mergeCells>
  <conditionalFormatting sqref="AU2:AW2">
    <cfRule type="cellIs" dxfId="0" priority="3" operator="greaterThan">
      <formula>0</formula>
    </cfRule>
  </conditionalFormatting>
  <conditionalFormatting sqref="W4:W22">
    <cfRule type="cellIs" dxfId="3" priority="76" operator="greaterThan">
      <formula>0</formula>
    </cfRule>
  </conditionalFormatting>
  <conditionalFormatting sqref="X4:X22">
    <cfRule type="cellIs" dxfId="3" priority="74" operator="greaterThan">
      <formula>0</formula>
    </cfRule>
  </conditionalFormatting>
  <conditionalFormatting sqref="Y4:Y22">
    <cfRule type="cellIs" dxfId="3" priority="75" operator="greaterThan">
      <formula>0</formula>
    </cfRule>
  </conditionalFormatting>
  <conditionalFormatting sqref="AI4:AI22">
    <cfRule type="cellIs" dxfId="3" priority="66" operator="greaterThan">
      <formula>0</formula>
    </cfRule>
  </conditionalFormatting>
  <conditionalFormatting sqref="AJ4:AJ22">
    <cfRule type="cellIs" dxfId="3" priority="64" operator="greaterThan">
      <formula>0</formula>
    </cfRule>
  </conditionalFormatting>
  <conditionalFormatting sqref="AK4:AK22">
    <cfRule type="cellIs" dxfId="3" priority="65" operator="greaterThan">
      <formula>0</formula>
    </cfRule>
  </conditionalFormatting>
  <conditionalFormatting sqref="AU4:AU22">
    <cfRule type="cellIs" dxfId="3" priority="1" operator="greaterThan">
      <formula>0</formula>
    </cfRule>
  </conditionalFormatting>
  <conditionalFormatting sqref="AV4:AV22">
    <cfRule type="cellIs" dxfId="3" priority="6" operator="greaterThan">
      <formula>0</formula>
    </cfRule>
  </conditionalFormatting>
  <conditionalFormatting sqref="AW4:AW22">
    <cfRule type="cellIs" dxfId="3" priority="7" operator="greaterThan">
      <formula>0</formula>
    </cfRule>
  </conditionalFormatting>
  <conditionalFormatting sqref="O$1:R$1048576">
    <cfRule type="cellIs" dxfId="2" priority="30" operator="greaterThan">
      <formula>0</formula>
    </cfRule>
  </conditionalFormatting>
  <conditionalFormatting sqref="S$1:V$1048576">
    <cfRule type="cellIs" dxfId="0" priority="29" operator="greaterThan">
      <formula>0</formula>
    </cfRule>
  </conditionalFormatting>
  <conditionalFormatting sqref="AA$1:AD$1048576">
    <cfRule type="cellIs" dxfId="2" priority="28" operator="greaterThan">
      <formula>0</formula>
    </cfRule>
  </conditionalFormatting>
  <conditionalFormatting sqref="AE$1:AH$1048576">
    <cfRule type="cellIs" dxfId="0" priority="27" operator="greaterThan">
      <formula>0</formula>
    </cfRule>
  </conditionalFormatting>
  <conditionalFormatting sqref="AM$1:AP$1048576">
    <cfRule type="cellIs" dxfId="2" priority="26" operator="greaterThan">
      <formula>0</formula>
    </cfRule>
  </conditionalFormatting>
  <conditionalFormatting sqref="AQ$1:AT$1048576">
    <cfRule type="cellIs" dxfId="0" priority="25" operator="greaterThan">
      <formula>0</formula>
    </cfRule>
  </conditionalFormatting>
  <conditionalFormatting sqref="AU1:AX1 AV4:AX22 AU23:AX1048576">
    <cfRule type="cellIs" dxfId="3" priority="5" operator="greaterThan">
      <formula>0</formula>
    </cfRule>
  </conditionalFormatting>
  <conditionalFormatting sqref="AY1:BA2 AZ3:BA3 AY4:BA1048576">
    <cfRule type="cellIs" dxfId="2" priority="21" operator="equal">
      <formula>0</formula>
    </cfRule>
  </conditionalFormatting>
  <conditionalFormatting sqref="BB$1:BD$1048576">
    <cfRule type="cellIs" dxfId="0" priority="19" operator="greaterThan">
      <formula>0</formula>
    </cfRule>
  </conditionalFormatting>
  <conditionalFormatting sqref="BE$1:BG$1048576">
    <cfRule type="cellIs" dxfId="3" priority="18" operator="greaterThan">
      <formula>0</formula>
    </cfRule>
  </conditionalFormatting>
  <conditionalFormatting sqref="BH$1:BJ$1048576">
    <cfRule type="cellIs" dxfId="2" priority="17" operator="greaterThan">
      <formula>0</formula>
    </cfRule>
  </conditionalFormatting>
  <conditionalFormatting sqref="BK$1:BN$1048576">
    <cfRule type="cellIs" dxfId="10" priority="16" operator="equal">
      <formula>0</formula>
    </cfRule>
  </conditionalFormatting>
  <conditionalFormatting sqref="C2:F1048576">
    <cfRule type="cellIs" dxfId="2" priority="110" operator="greaterThan">
      <formula>0</formula>
    </cfRule>
  </conditionalFormatting>
  <conditionalFormatting sqref="G2:J1048576">
    <cfRule type="cellIs" dxfId="0" priority="109" operator="greaterThan">
      <formula>0</formula>
    </cfRule>
  </conditionalFormatting>
  <conditionalFormatting sqref="K2:N1048576">
    <cfRule type="cellIs" dxfId="3" priority="108" operator="greaterThan">
      <formula>0</formula>
    </cfRule>
  </conditionalFormatting>
  <conditionalFormatting sqref="W2:Z2 W3:Y3">
    <cfRule type="cellIs" dxfId="4" priority="118" operator="greaterThan">
      <formula>0</formula>
    </cfRule>
  </conditionalFormatting>
  <conditionalFormatting sqref="W2:Z3 Z4:Z22 W23:Z1048576">
    <cfRule type="cellIs" dxfId="3" priority="105" operator="greaterThan">
      <formula>0</formula>
    </cfRule>
  </conditionalFormatting>
  <conditionalFormatting sqref="AI2:AL3 AL4:AL22 AI23:AL1048576">
    <cfRule type="cellIs" dxfId="3" priority="102" operator="greaterThan">
      <formula>0</formula>
    </cfRule>
  </conditionalFormatting>
  <conditionalFormatting sqref="AX2 AU3:AX3">
    <cfRule type="cellIs" dxfId="3" priority="4" operator="greaterThan">
      <formula>0</formula>
    </cfRule>
  </conditionalFormatting>
  <conditionalFormatting sqref="AU2:AX3">
    <cfRule type="cellIs" dxfId="3" priority="2" operator="greaterThan">
      <formula>0</formula>
    </cfRule>
  </conditionalFormatting>
  <conditionalFormatting sqref="AX4:AX22 AU23:AX1048576">
    <cfRule type="cellIs" dxfId="3" priority="9" operator="greater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9"/>
  <sheetViews>
    <sheetView zoomScale="131" zoomScaleNormal="131" topLeftCell="A69" workbookViewId="0">
      <selection activeCell="E6" sqref="E6"/>
    </sheetView>
  </sheetViews>
  <sheetFormatPr defaultColWidth="8.63392857142857" defaultRowHeight="16.8" outlineLevelCol="6"/>
  <cols>
    <col min="1" max="1" width="1.57142857142857" style="29" customWidth="1"/>
    <col min="2" max="2" width="27.5" style="9" customWidth="1"/>
    <col min="3" max="3" width="30.2053571428571" style="9" customWidth="1"/>
    <col min="4" max="4" width="29.3035714285714" style="9" customWidth="1"/>
    <col min="5" max="5" width="29.4642857142857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175</v>
      </c>
      <c r="C3" s="13" t="s">
        <v>175</v>
      </c>
      <c r="D3" s="13" t="s">
        <v>175</v>
      </c>
      <c r="E3" s="13" t="s">
        <v>175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181</v>
      </c>
      <c r="C6" s="20" t="s">
        <v>182</v>
      </c>
      <c r="D6" s="21">
        <v>1</v>
      </c>
      <c r="E6" s="22">
        <v>2702703</v>
      </c>
      <c r="F6" s="30"/>
      <c r="G6" s="30"/>
    </row>
    <row r="7" s="29" customFormat="1" spans="1:7">
      <c r="A7" s="30" t="s">
        <v>172</v>
      </c>
      <c r="B7" s="19" t="s">
        <v>181</v>
      </c>
      <c r="C7" s="16" t="s">
        <v>183</v>
      </c>
      <c r="D7" s="23">
        <v>1</v>
      </c>
      <c r="E7" s="24">
        <v>2702703</v>
      </c>
      <c r="F7" s="30"/>
      <c r="G7" s="30"/>
    </row>
    <row r="8" s="29" customFormat="1" ht="41" spans="1:7">
      <c r="A8" s="30" t="s">
        <v>172</v>
      </c>
      <c r="B8" s="19" t="s">
        <v>184</v>
      </c>
      <c r="C8" s="20" t="s">
        <v>182</v>
      </c>
      <c r="D8" s="21">
        <v>1</v>
      </c>
      <c r="E8" s="22">
        <v>1100100</v>
      </c>
      <c r="F8" s="30"/>
      <c r="G8" s="30"/>
    </row>
    <row r="9" s="29" customFormat="1" ht="28" spans="1:7">
      <c r="A9" s="30" t="s">
        <v>172</v>
      </c>
      <c r="B9" s="19" t="s">
        <v>184</v>
      </c>
      <c r="C9" s="16" t="s">
        <v>183</v>
      </c>
      <c r="D9" s="23">
        <v>1</v>
      </c>
      <c r="E9" s="24">
        <v>1100100</v>
      </c>
      <c r="F9" s="30"/>
      <c r="G9" s="30"/>
    </row>
    <row r="10" s="29" customFormat="1" ht="41" spans="1:7">
      <c r="A10" s="30" t="s">
        <v>172</v>
      </c>
      <c r="B10" s="19" t="s">
        <v>185</v>
      </c>
      <c r="C10" s="20" t="s">
        <v>182</v>
      </c>
      <c r="D10" s="21">
        <v>1</v>
      </c>
      <c r="E10" s="22">
        <v>900880</v>
      </c>
      <c r="F10" s="30"/>
      <c r="G10" s="30"/>
    </row>
    <row r="11" s="29" customFormat="1" ht="28" spans="1:7">
      <c r="A11" s="30" t="s">
        <v>172</v>
      </c>
      <c r="B11" s="19" t="s">
        <v>185</v>
      </c>
      <c r="C11" s="16" t="s">
        <v>183</v>
      </c>
      <c r="D11" s="23">
        <v>1</v>
      </c>
      <c r="E11" s="24">
        <v>900880</v>
      </c>
      <c r="F11" s="30"/>
      <c r="G11" s="30"/>
    </row>
    <row r="12" s="29" customFormat="1" ht="41" spans="1:7">
      <c r="A12" s="30" t="s">
        <v>172</v>
      </c>
      <c r="B12" s="19" t="s">
        <v>186</v>
      </c>
      <c r="C12" s="20" t="s">
        <v>182</v>
      </c>
      <c r="D12" s="21">
        <v>1</v>
      </c>
      <c r="E12" s="22">
        <v>228800</v>
      </c>
      <c r="F12" s="30"/>
      <c r="G12" s="30"/>
    </row>
    <row r="13" s="29" customFormat="1" spans="1:7">
      <c r="A13" s="30" t="s">
        <v>172</v>
      </c>
      <c r="B13" s="19" t="s">
        <v>186</v>
      </c>
      <c r="C13" s="16" t="s">
        <v>183</v>
      </c>
      <c r="D13" s="23">
        <v>1</v>
      </c>
      <c r="E13" s="24">
        <v>228800</v>
      </c>
      <c r="F13" s="30"/>
      <c r="G13" s="30"/>
    </row>
    <row r="14" s="29" customFormat="1" ht="41" spans="1:7">
      <c r="A14" s="30" t="s">
        <v>172</v>
      </c>
      <c r="B14" s="19" t="s">
        <v>187</v>
      </c>
      <c r="C14" s="20" t="s">
        <v>182</v>
      </c>
      <c r="D14" s="21">
        <v>1</v>
      </c>
      <c r="E14" s="22">
        <v>90000</v>
      </c>
      <c r="F14" s="30"/>
      <c r="G14" s="30"/>
    </row>
    <row r="15" s="29" customFormat="1" spans="1:7">
      <c r="A15" s="30" t="s">
        <v>172</v>
      </c>
      <c r="B15" s="19" t="s">
        <v>187</v>
      </c>
      <c r="C15" s="16" t="s">
        <v>183</v>
      </c>
      <c r="D15" s="23">
        <v>1</v>
      </c>
      <c r="E15" s="24">
        <v>90000</v>
      </c>
      <c r="F15" s="30"/>
      <c r="G15" s="30"/>
    </row>
    <row r="16" s="29" customFormat="1" ht="41" spans="1:7">
      <c r="A16" s="30" t="s">
        <v>172</v>
      </c>
      <c r="B16" s="19" t="s">
        <v>188</v>
      </c>
      <c r="C16" s="20" t="s">
        <v>182</v>
      </c>
      <c r="D16" s="21">
        <v>1</v>
      </c>
      <c r="E16" s="22">
        <v>85700</v>
      </c>
      <c r="F16" s="30"/>
      <c r="G16" s="30"/>
    </row>
    <row r="17" s="29" customFormat="1" ht="28.75" spans="1:7">
      <c r="A17" s="30" t="s">
        <v>172</v>
      </c>
      <c r="B17" s="19" t="s">
        <v>188</v>
      </c>
      <c r="C17" s="16" t="s">
        <v>183</v>
      </c>
      <c r="D17" s="23">
        <v>1</v>
      </c>
      <c r="E17" s="24">
        <v>85700</v>
      </c>
      <c r="F17" s="30"/>
      <c r="G17" s="30"/>
    </row>
    <row r="18" s="29" customFormat="1" spans="1:7">
      <c r="A18" s="30" t="s">
        <v>172</v>
      </c>
      <c r="B18" s="25"/>
      <c r="C18" s="25"/>
      <c r="D18" s="25"/>
      <c r="E18" s="25"/>
      <c r="F18" s="30"/>
      <c r="G18" s="30"/>
    </row>
    <row r="19" s="29" customFormat="1" ht="36" spans="1:7">
      <c r="A19" s="30" t="s">
        <v>172</v>
      </c>
      <c r="B19" s="26" t="s">
        <v>189</v>
      </c>
      <c r="C19" s="26" t="s">
        <v>189</v>
      </c>
      <c r="D19" s="26" t="s">
        <v>189</v>
      </c>
      <c r="E19" s="26" t="s">
        <v>189</v>
      </c>
      <c r="F19" s="30"/>
      <c r="G19" s="30"/>
    </row>
    <row r="20" s="29" customFormat="1" spans="1:7">
      <c r="A20" s="30" t="s">
        <v>172</v>
      </c>
      <c r="B20" s="26"/>
      <c r="C20" s="26"/>
      <c r="D20" s="26"/>
      <c r="E20" s="26"/>
      <c r="F20" s="30"/>
      <c r="G20" s="30"/>
    </row>
    <row r="21" s="29" customFormat="1" ht="36" spans="1:7">
      <c r="A21" s="30" t="s">
        <v>172</v>
      </c>
      <c r="B21" s="26" t="s">
        <v>190</v>
      </c>
      <c r="C21" s="26" t="s">
        <v>190</v>
      </c>
      <c r="D21" s="26" t="s">
        <v>190</v>
      </c>
      <c r="E21" s="26" t="s">
        <v>190</v>
      </c>
      <c r="F21" s="30"/>
      <c r="G21" s="30"/>
    </row>
    <row r="22" s="29" customFormat="1" spans="1:7">
      <c r="A22" s="30" t="s">
        <v>172</v>
      </c>
      <c r="B22" s="26" t="s">
        <v>191</v>
      </c>
      <c r="C22" s="26" t="s">
        <v>191</v>
      </c>
      <c r="D22" s="26" t="s">
        <v>191</v>
      </c>
      <c r="E22" s="26" t="s">
        <v>191</v>
      </c>
      <c r="F22" s="30"/>
      <c r="G22" s="30"/>
    </row>
    <row r="23" s="29" customFormat="1" ht="124" spans="1:7">
      <c r="A23" s="30" t="s">
        <v>172</v>
      </c>
      <c r="B23" s="11" t="s">
        <v>173</v>
      </c>
      <c r="C23" s="11" t="s">
        <v>173</v>
      </c>
      <c r="D23" s="11" t="s">
        <v>173</v>
      </c>
      <c r="E23" s="11" t="s">
        <v>173</v>
      </c>
      <c r="F23" s="30"/>
      <c r="G23" s="30"/>
    </row>
    <row r="24" s="29" customFormat="1" ht="156" spans="1:7">
      <c r="A24" s="30" t="s">
        <v>172</v>
      </c>
      <c r="B24" s="12" t="s">
        <v>174</v>
      </c>
      <c r="C24" s="12" t="s">
        <v>174</v>
      </c>
      <c r="D24" s="12" t="s">
        <v>174</v>
      </c>
      <c r="E24" s="12" t="s">
        <v>174</v>
      </c>
      <c r="F24" s="30"/>
      <c r="G24" s="30"/>
    </row>
    <row r="25" s="29" customFormat="1" ht="68" spans="1:7">
      <c r="A25" s="30" t="s">
        <v>172</v>
      </c>
      <c r="B25" s="13" t="s">
        <v>175</v>
      </c>
      <c r="C25" s="13" t="s">
        <v>175</v>
      </c>
      <c r="D25" s="13" t="s">
        <v>175</v>
      </c>
      <c r="E25" s="13" t="s">
        <v>175</v>
      </c>
      <c r="F25" s="30"/>
      <c r="G25" s="30"/>
    </row>
    <row r="26" s="29" customFormat="1" ht="22" spans="1:7">
      <c r="A26" s="30" t="s">
        <v>172</v>
      </c>
      <c r="B26" s="14" t="s">
        <v>176</v>
      </c>
      <c r="C26" s="14" t="s">
        <v>176</v>
      </c>
      <c r="D26" s="14" t="s">
        <v>176</v>
      </c>
      <c r="E26" s="14" t="s">
        <v>176</v>
      </c>
      <c r="F26" s="30"/>
      <c r="G26" s="30"/>
    </row>
    <row r="27" s="29" customFormat="1" spans="1:7">
      <c r="A27" s="30" t="s">
        <v>172</v>
      </c>
      <c r="B27" s="15" t="s">
        <v>177</v>
      </c>
      <c r="C27" s="16" t="s">
        <v>178</v>
      </c>
      <c r="D27" s="17" t="s">
        <v>179</v>
      </c>
      <c r="E27" s="18" t="s">
        <v>180</v>
      </c>
      <c r="F27" s="30"/>
      <c r="G27" s="30"/>
    </row>
    <row r="28" s="29" customFormat="1" ht="41" spans="1:7">
      <c r="A28" s="30" t="s">
        <v>172</v>
      </c>
      <c r="B28" s="19" t="s">
        <v>192</v>
      </c>
      <c r="C28" s="20" t="s">
        <v>182</v>
      </c>
      <c r="D28" s="21">
        <v>1</v>
      </c>
      <c r="E28" s="22">
        <v>31700</v>
      </c>
      <c r="F28" s="30"/>
      <c r="G28" s="30"/>
    </row>
    <row r="29" s="29" customFormat="1" ht="28" spans="1:7">
      <c r="A29" s="30" t="s">
        <v>172</v>
      </c>
      <c r="B29" s="19" t="s">
        <v>192</v>
      </c>
      <c r="C29" s="16" t="s">
        <v>183</v>
      </c>
      <c r="D29" s="23">
        <v>1</v>
      </c>
      <c r="E29" s="24">
        <v>31700</v>
      </c>
      <c r="F29" s="30"/>
      <c r="G29" s="30"/>
    </row>
    <row r="30" s="29" customFormat="1" ht="41" spans="1:7">
      <c r="A30" s="30" t="s">
        <v>172</v>
      </c>
      <c r="B30" s="19" t="s">
        <v>193</v>
      </c>
      <c r="C30" s="20" t="s">
        <v>182</v>
      </c>
      <c r="D30" s="21">
        <v>1</v>
      </c>
      <c r="E30" s="22">
        <v>260100</v>
      </c>
      <c r="F30" s="30"/>
      <c r="G30" s="30"/>
    </row>
    <row r="31" s="29" customFormat="1" ht="28" spans="1:7">
      <c r="A31" s="30" t="s">
        <v>172</v>
      </c>
      <c r="B31" s="19" t="s">
        <v>193</v>
      </c>
      <c r="C31" s="16" t="s">
        <v>183</v>
      </c>
      <c r="D31" s="23">
        <v>1</v>
      </c>
      <c r="E31" s="24">
        <v>260100</v>
      </c>
      <c r="F31" s="30"/>
      <c r="G31" s="30"/>
    </row>
    <row r="32" s="29" customFormat="1" ht="41" spans="1:7">
      <c r="A32" s="30" t="s">
        <v>172</v>
      </c>
      <c r="B32" s="19" t="s">
        <v>194</v>
      </c>
      <c r="C32" s="20" t="s">
        <v>182</v>
      </c>
      <c r="D32" s="21">
        <v>7</v>
      </c>
      <c r="E32" s="22">
        <v>0</v>
      </c>
      <c r="F32" s="30"/>
      <c r="G32" s="30"/>
    </row>
    <row r="33" s="29" customFormat="1" spans="1:7">
      <c r="A33" s="30" t="s">
        <v>172</v>
      </c>
      <c r="B33" s="19" t="s">
        <v>194</v>
      </c>
      <c r="C33" s="16" t="s">
        <v>183</v>
      </c>
      <c r="D33" s="23">
        <v>7</v>
      </c>
      <c r="E33" s="24">
        <v>0</v>
      </c>
      <c r="F33" s="30"/>
      <c r="G33" s="30"/>
    </row>
    <row r="34" s="29" customFormat="1" ht="41" spans="1:7">
      <c r="A34" s="30" t="s">
        <v>172</v>
      </c>
      <c r="B34" s="19" t="s">
        <v>195</v>
      </c>
      <c r="C34" s="20" t="s">
        <v>182</v>
      </c>
      <c r="D34" s="21">
        <v>5</v>
      </c>
      <c r="E34" s="22">
        <v>81600</v>
      </c>
      <c r="F34" s="30"/>
      <c r="G34" s="30"/>
    </row>
    <row r="35" s="29" customFormat="1" spans="1:7">
      <c r="A35" s="30" t="s">
        <v>172</v>
      </c>
      <c r="B35" s="19" t="s">
        <v>195</v>
      </c>
      <c r="C35" s="16" t="s">
        <v>183</v>
      </c>
      <c r="D35" s="23">
        <v>5</v>
      </c>
      <c r="E35" s="24">
        <v>81600</v>
      </c>
      <c r="F35" s="30"/>
      <c r="G35" s="30"/>
    </row>
    <row r="36" s="29" customFormat="1" ht="41" spans="1:7">
      <c r="A36" s="30" t="s">
        <v>172</v>
      </c>
      <c r="B36" s="19" t="s">
        <v>196</v>
      </c>
      <c r="C36" s="20" t="s">
        <v>182</v>
      </c>
      <c r="D36" s="21">
        <v>3</v>
      </c>
      <c r="E36" s="22">
        <v>0</v>
      </c>
      <c r="F36" s="30"/>
      <c r="G36" s="30"/>
    </row>
    <row r="37" s="29" customFormat="1" spans="1:7">
      <c r="A37" s="30" t="s">
        <v>172</v>
      </c>
      <c r="B37" s="19" t="s">
        <v>196</v>
      </c>
      <c r="C37" s="16" t="s">
        <v>183</v>
      </c>
      <c r="D37" s="23">
        <v>3</v>
      </c>
      <c r="E37" s="24">
        <v>0</v>
      </c>
      <c r="F37" s="30"/>
      <c r="G37" s="30"/>
    </row>
    <row r="38" s="29" customFormat="1" ht="41" spans="1:7">
      <c r="A38" s="30" t="s">
        <v>172</v>
      </c>
      <c r="B38" s="19" t="s">
        <v>197</v>
      </c>
      <c r="C38" s="20" t="s">
        <v>182</v>
      </c>
      <c r="D38" s="21">
        <v>8</v>
      </c>
      <c r="E38" s="22">
        <v>49700</v>
      </c>
      <c r="F38" s="30"/>
      <c r="G38" s="30"/>
    </row>
    <row r="39" s="29" customFormat="1" ht="17.55" spans="1:7">
      <c r="A39" s="30" t="s">
        <v>172</v>
      </c>
      <c r="B39" s="19" t="s">
        <v>197</v>
      </c>
      <c r="C39" s="16" t="s">
        <v>183</v>
      </c>
      <c r="D39" s="23">
        <v>8</v>
      </c>
      <c r="E39" s="24">
        <v>49700</v>
      </c>
      <c r="F39" s="30"/>
      <c r="G39" s="30"/>
    </row>
    <row r="40" s="29" customFormat="1" spans="1:7">
      <c r="A40" s="30" t="s">
        <v>172</v>
      </c>
      <c r="B40" s="25"/>
      <c r="C40" s="25"/>
      <c r="D40" s="25"/>
      <c r="E40" s="25"/>
      <c r="F40" s="30"/>
      <c r="G40" s="30"/>
    </row>
    <row r="41" s="29" customFormat="1" ht="36" spans="1:7">
      <c r="A41" s="30" t="s">
        <v>172</v>
      </c>
      <c r="B41" s="26" t="s">
        <v>189</v>
      </c>
      <c r="C41" s="26" t="s">
        <v>189</v>
      </c>
      <c r="D41" s="26" t="s">
        <v>189</v>
      </c>
      <c r="E41" s="26" t="s">
        <v>189</v>
      </c>
      <c r="F41" s="30"/>
      <c r="G41" s="30"/>
    </row>
    <row r="42" s="29" customFormat="1" spans="1:7">
      <c r="A42" s="30" t="s">
        <v>172</v>
      </c>
      <c r="B42" s="26"/>
      <c r="C42" s="26"/>
      <c r="D42" s="26"/>
      <c r="E42" s="26"/>
      <c r="F42" s="30"/>
      <c r="G42" s="30"/>
    </row>
    <row r="43" s="29" customFormat="1" ht="36" spans="1:7">
      <c r="A43" s="30" t="s">
        <v>172</v>
      </c>
      <c r="B43" s="26" t="s">
        <v>190</v>
      </c>
      <c r="C43" s="26" t="s">
        <v>190</v>
      </c>
      <c r="D43" s="26" t="s">
        <v>190</v>
      </c>
      <c r="E43" s="26" t="s">
        <v>190</v>
      </c>
    </row>
    <row r="44" s="29" customFormat="1" spans="1:7">
      <c r="A44" s="30" t="s">
        <v>172</v>
      </c>
      <c r="B44" s="26" t="s">
        <v>198</v>
      </c>
      <c r="C44" s="26" t="s">
        <v>198</v>
      </c>
      <c r="D44" s="26" t="s">
        <v>198</v>
      </c>
      <c r="E44" s="26" t="s">
        <v>198</v>
      </c>
    </row>
    <row r="45" s="29" customFormat="1" ht="124" spans="1:7">
      <c r="A45" s="30" t="s">
        <v>172</v>
      </c>
      <c r="B45" s="11" t="s">
        <v>173</v>
      </c>
      <c r="C45" s="11" t="s">
        <v>173</v>
      </c>
      <c r="D45" s="11" t="s">
        <v>173</v>
      </c>
      <c r="E45" s="11" t="s">
        <v>173</v>
      </c>
    </row>
    <row r="46" s="29" customFormat="1" ht="156" spans="1:7">
      <c r="A46" s="30" t="s">
        <v>172</v>
      </c>
      <c r="B46" s="12" t="s">
        <v>174</v>
      </c>
      <c r="C46" s="12" t="s">
        <v>174</v>
      </c>
      <c r="D46" s="12" t="s">
        <v>174</v>
      </c>
      <c r="E46" s="12" t="s">
        <v>174</v>
      </c>
    </row>
    <row r="47" s="29" customFormat="1" ht="68" spans="1:7">
      <c r="A47" s="30" t="s">
        <v>172</v>
      </c>
      <c r="B47" s="13" t="s">
        <v>175</v>
      </c>
      <c r="C47" s="13" t="s">
        <v>175</v>
      </c>
      <c r="D47" s="13" t="s">
        <v>175</v>
      </c>
      <c r="E47" s="13" t="s">
        <v>175</v>
      </c>
    </row>
    <row r="48" s="29" customFormat="1" ht="22" spans="1:7">
      <c r="A48" s="30" t="s">
        <v>172</v>
      </c>
      <c r="B48" s="14" t="s">
        <v>176</v>
      </c>
      <c r="C48" s="14" t="s">
        <v>176</v>
      </c>
      <c r="D48" s="14" t="s">
        <v>176</v>
      </c>
      <c r="E48" s="14" t="s">
        <v>176</v>
      </c>
    </row>
    <row r="49" s="29" customFormat="1" spans="1:5">
      <c r="A49" s="30" t="s">
        <v>172</v>
      </c>
      <c r="B49" s="15" t="s">
        <v>177</v>
      </c>
      <c r="C49" s="16" t="s">
        <v>178</v>
      </c>
      <c r="D49" s="17" t="s">
        <v>179</v>
      </c>
      <c r="E49" s="18" t="s">
        <v>180</v>
      </c>
    </row>
    <row r="50" s="29" customFormat="1" ht="41" spans="1:5">
      <c r="A50" s="30" t="s">
        <v>172</v>
      </c>
      <c r="B50" s="19" t="s">
        <v>199</v>
      </c>
      <c r="C50" s="20" t="s">
        <v>182</v>
      </c>
      <c r="D50" s="21">
        <v>8</v>
      </c>
      <c r="E50" s="22">
        <v>0</v>
      </c>
    </row>
    <row r="51" s="29" customFormat="1" spans="1:5">
      <c r="B51" s="19" t="s">
        <v>199</v>
      </c>
      <c r="C51" s="16" t="s">
        <v>183</v>
      </c>
      <c r="D51" s="23">
        <v>8</v>
      </c>
      <c r="E51" s="24">
        <v>0</v>
      </c>
    </row>
    <row r="52" s="29" customFormat="1" ht="41" spans="1:5">
      <c r="B52" s="19" t="s">
        <v>200</v>
      </c>
      <c r="C52" s="20" t="s">
        <v>182</v>
      </c>
      <c r="D52" s="21">
        <v>5</v>
      </c>
      <c r="E52" s="22">
        <v>50000</v>
      </c>
    </row>
    <row r="53" s="29" customFormat="1" spans="1:5">
      <c r="B53" s="19" t="s">
        <v>200</v>
      </c>
      <c r="C53" s="16" t="s">
        <v>183</v>
      </c>
      <c r="D53" s="23">
        <v>5</v>
      </c>
      <c r="E53" s="24">
        <v>50000</v>
      </c>
    </row>
    <row r="54" s="29" customFormat="1" ht="41" spans="1:5">
      <c r="B54" s="19" t="s">
        <v>201</v>
      </c>
      <c r="C54" s="20" t="s">
        <v>182</v>
      </c>
      <c r="D54" s="21">
        <v>1</v>
      </c>
      <c r="E54" s="22">
        <v>0</v>
      </c>
    </row>
    <row r="55" s="29" customFormat="1" spans="1:5">
      <c r="B55" s="19" t="s">
        <v>201</v>
      </c>
      <c r="C55" s="16" t="s">
        <v>183</v>
      </c>
      <c r="D55" s="23">
        <v>1</v>
      </c>
      <c r="E55" s="24">
        <v>0</v>
      </c>
    </row>
    <row r="56" s="29" customFormat="1" ht="41" spans="1:5">
      <c r="B56" s="19" t="s">
        <v>202</v>
      </c>
      <c r="C56" s="20" t="s">
        <v>182</v>
      </c>
      <c r="D56" s="21">
        <v>4</v>
      </c>
      <c r="E56" s="22">
        <v>500480</v>
      </c>
    </row>
    <row r="57" s="29" customFormat="1" ht="28" spans="1:5">
      <c r="B57" s="19" t="s">
        <v>202</v>
      </c>
      <c r="C57" s="16" t="s">
        <v>183</v>
      </c>
      <c r="D57" s="23">
        <v>4</v>
      </c>
      <c r="E57" s="24">
        <v>500480</v>
      </c>
    </row>
    <row r="58" s="29" customFormat="1" ht="41" spans="1:5">
      <c r="B58" s="19" t="s">
        <v>203</v>
      </c>
      <c r="C58" s="20" t="s">
        <v>182</v>
      </c>
      <c r="D58" s="21">
        <v>2</v>
      </c>
      <c r="E58" s="22">
        <v>96250</v>
      </c>
    </row>
    <row r="59" s="29" customFormat="1" ht="28" spans="1:5">
      <c r="B59" s="19" t="s">
        <v>203</v>
      </c>
      <c r="C59" s="16" t="s">
        <v>183</v>
      </c>
      <c r="D59" s="23">
        <v>2</v>
      </c>
      <c r="E59" s="24">
        <v>96250</v>
      </c>
    </row>
    <row r="60" s="29" customFormat="1" ht="41" spans="1:5">
      <c r="B60" s="19" t="s">
        <v>204</v>
      </c>
      <c r="C60" s="20" t="s">
        <v>182</v>
      </c>
      <c r="D60" s="21">
        <v>3</v>
      </c>
      <c r="E60" s="22">
        <v>144375</v>
      </c>
    </row>
    <row r="61" s="29" customFormat="1" ht="28.75" spans="1:5">
      <c r="B61" s="19" t="s">
        <v>204</v>
      </c>
      <c r="C61" s="16" t="s">
        <v>183</v>
      </c>
      <c r="D61" s="23">
        <v>3</v>
      </c>
      <c r="E61" s="24">
        <v>144375</v>
      </c>
    </row>
    <row r="62" s="29" customFormat="1" spans="1:5">
      <c r="B62" s="25"/>
      <c r="C62" s="25"/>
      <c r="D62" s="25"/>
      <c r="E62" s="25"/>
    </row>
    <row r="63" s="29" customFormat="1" ht="36" spans="1:5">
      <c r="B63" s="26" t="s">
        <v>189</v>
      </c>
      <c r="C63" s="26" t="s">
        <v>189</v>
      </c>
      <c r="D63" s="26" t="s">
        <v>189</v>
      </c>
      <c r="E63" s="26" t="s">
        <v>189</v>
      </c>
    </row>
    <row r="64" s="29" customFormat="1" spans="1:5">
      <c r="B64" s="26"/>
      <c r="C64" s="26"/>
      <c r="D64" s="26"/>
      <c r="E64" s="26"/>
    </row>
    <row r="65" s="29" customFormat="1" ht="36" spans="2:5">
      <c r="B65" s="26" t="s">
        <v>190</v>
      </c>
      <c r="C65" s="26" t="s">
        <v>190</v>
      </c>
      <c r="D65" s="26" t="s">
        <v>190</v>
      </c>
      <c r="E65" s="26" t="s">
        <v>190</v>
      </c>
    </row>
    <row r="66" s="29" customFormat="1" spans="2:5">
      <c r="B66" s="26" t="s">
        <v>205</v>
      </c>
      <c r="C66" s="26" t="s">
        <v>205</v>
      </c>
      <c r="D66" s="26" t="s">
        <v>205</v>
      </c>
      <c r="E66" s="26" t="s">
        <v>205</v>
      </c>
    </row>
    <row r="67" s="29" customFormat="1" ht="124" spans="2:5">
      <c r="B67" s="11" t="s">
        <v>173</v>
      </c>
      <c r="C67" s="11" t="s">
        <v>173</v>
      </c>
      <c r="D67" s="11" t="s">
        <v>173</v>
      </c>
      <c r="E67" s="11" t="s">
        <v>173</v>
      </c>
    </row>
    <row r="68" s="29" customFormat="1" ht="156" spans="2:5">
      <c r="B68" s="12" t="s">
        <v>174</v>
      </c>
      <c r="C68" s="12" t="s">
        <v>174</v>
      </c>
      <c r="D68" s="12" t="s">
        <v>174</v>
      </c>
      <c r="E68" s="12" t="s">
        <v>174</v>
      </c>
    </row>
    <row r="69" s="29" customFormat="1" ht="68" spans="2:5">
      <c r="B69" s="13" t="s">
        <v>175</v>
      </c>
      <c r="C69" s="13" t="s">
        <v>175</v>
      </c>
      <c r="D69" s="13" t="s">
        <v>175</v>
      </c>
      <c r="E69" s="13" t="s">
        <v>175</v>
      </c>
    </row>
    <row r="70" s="29" customFormat="1" ht="22" spans="2:5">
      <c r="B70" s="14" t="s">
        <v>176</v>
      </c>
      <c r="C70" s="14" t="s">
        <v>176</v>
      </c>
      <c r="D70" s="14" t="s">
        <v>176</v>
      </c>
      <c r="E70" s="14" t="s">
        <v>176</v>
      </c>
    </row>
    <row r="71" s="29" customFormat="1" spans="2:5">
      <c r="B71" s="15" t="s">
        <v>177</v>
      </c>
      <c r="C71" s="16" t="s">
        <v>178</v>
      </c>
      <c r="D71" s="17" t="s">
        <v>179</v>
      </c>
      <c r="E71" s="18" t="s">
        <v>180</v>
      </c>
    </row>
    <row r="72" s="29" customFormat="1" ht="41" spans="2:5">
      <c r="B72" s="19" t="s">
        <v>206</v>
      </c>
      <c r="C72" s="20" t="s">
        <v>182</v>
      </c>
      <c r="D72" s="21">
        <v>1</v>
      </c>
      <c r="E72" s="22">
        <v>54018</v>
      </c>
    </row>
    <row r="73" s="29" customFormat="1" ht="28" spans="2:5">
      <c r="B73" s="19" t="s">
        <v>206</v>
      </c>
      <c r="C73" s="16" t="s">
        <v>183</v>
      </c>
      <c r="D73" s="23">
        <v>1</v>
      </c>
      <c r="E73" s="24">
        <v>54018</v>
      </c>
    </row>
    <row r="74" s="29" customFormat="1" ht="41" spans="2:5">
      <c r="B74" s="19" t="s">
        <v>207</v>
      </c>
      <c r="C74" s="20" t="s">
        <v>182</v>
      </c>
      <c r="D74" s="21">
        <v>1</v>
      </c>
      <c r="E74" s="22">
        <v>60893</v>
      </c>
    </row>
    <row r="75" s="29" customFormat="1" ht="28" spans="2:5">
      <c r="B75" s="19" t="s">
        <v>207</v>
      </c>
      <c r="C75" s="16" t="s">
        <v>183</v>
      </c>
      <c r="D75" s="23">
        <v>1</v>
      </c>
      <c r="E75" s="24">
        <v>60893</v>
      </c>
    </row>
    <row r="76" s="29" customFormat="1" ht="41" spans="2:5">
      <c r="B76" s="19" t="s">
        <v>208</v>
      </c>
      <c r="C76" s="20" t="s">
        <v>182</v>
      </c>
      <c r="D76" s="21">
        <v>2</v>
      </c>
      <c r="E76" s="22">
        <v>137500</v>
      </c>
    </row>
    <row r="77" s="29" customFormat="1" ht="28" spans="2:5">
      <c r="B77" s="19" t="s">
        <v>208</v>
      </c>
      <c r="C77" s="16" t="s">
        <v>183</v>
      </c>
      <c r="D77" s="23">
        <v>2</v>
      </c>
      <c r="E77" s="24">
        <v>137500</v>
      </c>
    </row>
    <row r="78" s="29" customFormat="1" ht="41" spans="2:5">
      <c r="B78" s="19" t="s">
        <v>209</v>
      </c>
      <c r="C78" s="20" t="s">
        <v>182</v>
      </c>
      <c r="D78" s="21">
        <v>1</v>
      </c>
      <c r="E78" s="22">
        <v>105468.75</v>
      </c>
    </row>
    <row r="79" s="29" customFormat="1" ht="28" spans="2:5">
      <c r="B79" s="19" t="s">
        <v>209</v>
      </c>
      <c r="C79" s="16" t="s">
        <v>183</v>
      </c>
      <c r="D79" s="23">
        <v>1</v>
      </c>
      <c r="E79" s="24">
        <v>105468.75</v>
      </c>
    </row>
    <row r="80" s="29" customFormat="1" ht="41" spans="2:5">
      <c r="B80" s="19" t="s">
        <v>210</v>
      </c>
      <c r="C80" s="20" t="s">
        <v>182</v>
      </c>
      <c r="D80" s="21">
        <v>1</v>
      </c>
      <c r="E80" s="22">
        <v>158202.75</v>
      </c>
    </row>
    <row r="81" s="29" customFormat="1" ht="28" spans="2:5">
      <c r="B81" s="19" t="s">
        <v>210</v>
      </c>
      <c r="C81" s="16" t="s">
        <v>183</v>
      </c>
      <c r="D81" s="23">
        <v>1</v>
      </c>
      <c r="E81" s="24">
        <v>158202.75</v>
      </c>
    </row>
    <row r="82" s="29" customFormat="1" ht="41" spans="2:5">
      <c r="B82" s="19" t="s">
        <v>211</v>
      </c>
      <c r="C82" s="20" t="s">
        <v>182</v>
      </c>
      <c r="D82" s="21">
        <v>3</v>
      </c>
      <c r="E82" s="22">
        <v>222135</v>
      </c>
    </row>
    <row r="83" s="29" customFormat="1" ht="28.75" spans="2:5">
      <c r="B83" s="19" t="s">
        <v>211</v>
      </c>
      <c r="C83" s="16" t="s">
        <v>183</v>
      </c>
      <c r="D83" s="23">
        <v>3</v>
      </c>
      <c r="E83" s="24">
        <v>222135</v>
      </c>
    </row>
    <row r="84" s="29" customFormat="1" spans="2:5">
      <c r="B84" s="25"/>
      <c r="C84" s="25"/>
      <c r="D84" s="25"/>
      <c r="E84" s="25"/>
    </row>
    <row r="85" s="29" customFormat="1" ht="36" spans="2:5">
      <c r="B85" s="26" t="s">
        <v>189</v>
      </c>
      <c r="C85" s="26" t="s">
        <v>189</v>
      </c>
      <c r="D85" s="26" t="s">
        <v>189</v>
      </c>
      <c r="E85" s="26" t="s">
        <v>189</v>
      </c>
    </row>
    <row r="86" s="29" customFormat="1" spans="2:5">
      <c r="B86" s="26"/>
      <c r="C86" s="26"/>
      <c r="D86" s="26"/>
      <c r="E86" s="26"/>
    </row>
    <row r="87" s="29" customFormat="1" ht="36" spans="2:5">
      <c r="B87" s="26" t="s">
        <v>190</v>
      </c>
      <c r="C87" s="26" t="s">
        <v>190</v>
      </c>
      <c r="D87" s="26" t="s">
        <v>190</v>
      </c>
      <c r="E87" s="26" t="s">
        <v>190</v>
      </c>
    </row>
    <row r="88" s="29" customFormat="1" spans="2:5">
      <c r="B88" s="26" t="s">
        <v>212</v>
      </c>
      <c r="C88" s="26" t="s">
        <v>212</v>
      </c>
      <c r="D88" s="26" t="s">
        <v>212</v>
      </c>
      <c r="E88" s="26" t="s">
        <v>212</v>
      </c>
    </row>
    <row r="89" s="29" customFormat="1" ht="124" spans="2:5">
      <c r="B89" s="11" t="s">
        <v>173</v>
      </c>
      <c r="C89" s="11" t="s">
        <v>173</v>
      </c>
      <c r="D89" s="11" t="s">
        <v>173</v>
      </c>
      <c r="E89" s="11" t="s">
        <v>173</v>
      </c>
    </row>
    <row r="90" s="29" customFormat="1" ht="156" spans="2:5">
      <c r="B90" s="12" t="s">
        <v>174</v>
      </c>
      <c r="C90" s="12" t="s">
        <v>174</v>
      </c>
      <c r="D90" s="12" t="s">
        <v>174</v>
      </c>
      <c r="E90" s="12" t="s">
        <v>174</v>
      </c>
    </row>
    <row r="91" s="29" customFormat="1" ht="68" spans="2:5">
      <c r="B91" s="13" t="s">
        <v>175</v>
      </c>
      <c r="C91" s="13" t="s">
        <v>175</v>
      </c>
      <c r="D91" s="13" t="s">
        <v>175</v>
      </c>
      <c r="E91" s="13" t="s">
        <v>175</v>
      </c>
    </row>
    <row r="92" s="29" customFormat="1" ht="22" spans="2:5">
      <c r="B92" s="14" t="s">
        <v>176</v>
      </c>
      <c r="C92" s="14" t="s">
        <v>176</v>
      </c>
      <c r="D92" s="14" t="s">
        <v>176</v>
      </c>
      <c r="E92" s="14" t="s">
        <v>176</v>
      </c>
    </row>
    <row r="93" s="29" customFormat="1" spans="2:5">
      <c r="B93" s="15" t="s">
        <v>177</v>
      </c>
      <c r="C93" s="16" t="s">
        <v>178</v>
      </c>
      <c r="D93" s="17" t="s">
        <v>179</v>
      </c>
      <c r="E93" s="18" t="s">
        <v>180</v>
      </c>
    </row>
    <row r="94" s="29" customFormat="1" ht="41" spans="2:5">
      <c r="B94" s="19" t="s">
        <v>213</v>
      </c>
      <c r="C94" s="20" t="s">
        <v>182</v>
      </c>
      <c r="D94" s="21">
        <v>18</v>
      </c>
      <c r="E94" s="22">
        <v>1332809</v>
      </c>
    </row>
    <row r="95" s="29" customFormat="1" ht="28" spans="2:5">
      <c r="B95" s="19" t="s">
        <v>213</v>
      </c>
      <c r="C95" s="16" t="s">
        <v>183</v>
      </c>
      <c r="D95" s="23">
        <v>18</v>
      </c>
      <c r="E95" s="24">
        <v>1332809</v>
      </c>
    </row>
    <row r="96" s="29" customFormat="1" ht="41" spans="2:5">
      <c r="B96" s="19" t="s">
        <v>214</v>
      </c>
      <c r="C96" s="20" t="s">
        <v>182</v>
      </c>
      <c r="D96" s="21">
        <v>1</v>
      </c>
      <c r="E96" s="22">
        <v>86134</v>
      </c>
    </row>
    <row r="97" s="29" customFormat="1" ht="28" spans="2:5">
      <c r="B97" s="19" t="s">
        <v>214</v>
      </c>
      <c r="C97" s="16" t="s">
        <v>183</v>
      </c>
      <c r="D97" s="23">
        <v>1</v>
      </c>
      <c r="E97" s="24">
        <v>86134</v>
      </c>
    </row>
    <row r="98" s="29" customFormat="1" ht="41" spans="2:5">
      <c r="B98" s="19" t="s">
        <v>215</v>
      </c>
      <c r="C98" s="20" t="s">
        <v>182</v>
      </c>
      <c r="D98" s="21">
        <v>4</v>
      </c>
      <c r="E98" s="22">
        <v>344536</v>
      </c>
    </row>
    <row r="99" s="29" customFormat="1" ht="28" spans="2:5">
      <c r="B99" s="19" t="s">
        <v>215</v>
      </c>
      <c r="C99" s="16" t="s">
        <v>183</v>
      </c>
      <c r="D99" s="23">
        <v>4</v>
      </c>
      <c r="E99" s="24">
        <v>344536</v>
      </c>
    </row>
    <row r="100" s="29" customFormat="1" ht="41" spans="2:5">
      <c r="B100" s="19" t="s">
        <v>216</v>
      </c>
      <c r="C100" s="20" t="s">
        <v>182</v>
      </c>
      <c r="D100" s="21">
        <v>1</v>
      </c>
      <c r="E100" s="22">
        <v>91339</v>
      </c>
    </row>
    <row r="101" s="29" customFormat="1" ht="28" spans="2:5">
      <c r="B101" s="19" t="s">
        <v>216</v>
      </c>
      <c r="C101" s="16" t="s">
        <v>183</v>
      </c>
      <c r="D101" s="23">
        <v>1</v>
      </c>
      <c r="E101" s="24">
        <v>91339</v>
      </c>
    </row>
    <row r="102" s="29" customFormat="1" ht="41" spans="2:5">
      <c r="B102" s="19" t="s">
        <v>217</v>
      </c>
      <c r="C102" s="20" t="s">
        <v>182</v>
      </c>
      <c r="D102" s="21">
        <v>2</v>
      </c>
      <c r="E102" s="22">
        <v>184642</v>
      </c>
    </row>
    <row r="103" s="29" customFormat="1" ht="28" spans="2:5">
      <c r="B103" s="19" t="s">
        <v>217</v>
      </c>
      <c r="C103" s="16" t="s">
        <v>183</v>
      </c>
      <c r="D103" s="23">
        <v>2</v>
      </c>
      <c r="E103" s="24">
        <v>184642</v>
      </c>
    </row>
    <row r="104" s="29" customFormat="1" ht="41" spans="2:5">
      <c r="B104" s="19" t="s">
        <v>218</v>
      </c>
      <c r="C104" s="20" t="s">
        <v>182</v>
      </c>
      <c r="D104" s="21">
        <v>14</v>
      </c>
      <c r="E104" s="22">
        <v>1388745</v>
      </c>
    </row>
    <row r="105" s="29" customFormat="1" ht="28.75" spans="2:5">
      <c r="B105" s="19" t="s">
        <v>218</v>
      </c>
      <c r="C105" s="16" t="s">
        <v>183</v>
      </c>
      <c r="D105" s="23">
        <v>14</v>
      </c>
      <c r="E105" s="24">
        <v>1388745</v>
      </c>
    </row>
    <row r="106" s="29" customFormat="1" spans="2:5">
      <c r="B106" s="25"/>
      <c r="C106" s="25"/>
      <c r="D106" s="25"/>
      <c r="E106" s="25"/>
    </row>
    <row r="107" s="29" customFormat="1" ht="36" spans="2:5">
      <c r="B107" s="26" t="s">
        <v>189</v>
      </c>
      <c r="C107" s="26" t="s">
        <v>189</v>
      </c>
      <c r="D107" s="26" t="s">
        <v>189</v>
      </c>
      <c r="E107" s="26" t="s">
        <v>189</v>
      </c>
    </row>
    <row r="108" s="29" customFormat="1" spans="2:5">
      <c r="B108" s="26"/>
      <c r="C108" s="26"/>
      <c r="D108" s="26"/>
      <c r="E108" s="26"/>
    </row>
    <row r="109" s="29" customFormat="1" ht="36" spans="2:5">
      <c r="B109" s="26" t="s">
        <v>190</v>
      </c>
      <c r="C109" s="26" t="s">
        <v>190</v>
      </c>
      <c r="D109" s="26" t="s">
        <v>190</v>
      </c>
      <c r="E109" s="26" t="s">
        <v>190</v>
      </c>
    </row>
    <row r="110" s="29" customFormat="1" spans="2:5">
      <c r="B110" s="26" t="s">
        <v>219</v>
      </c>
      <c r="C110" s="26" t="s">
        <v>219</v>
      </c>
      <c r="D110" s="26" t="s">
        <v>219</v>
      </c>
      <c r="E110" s="26" t="s">
        <v>219</v>
      </c>
    </row>
    <row r="111" s="29" customFormat="1" ht="124" spans="2:5">
      <c r="B111" s="11" t="s">
        <v>173</v>
      </c>
      <c r="C111" s="11" t="s">
        <v>173</v>
      </c>
      <c r="D111" s="11" t="s">
        <v>173</v>
      </c>
      <c r="E111" s="11" t="s">
        <v>173</v>
      </c>
    </row>
    <row r="112" s="29" customFormat="1" ht="156" spans="2:5">
      <c r="B112" s="12" t="s">
        <v>174</v>
      </c>
      <c r="C112" s="12" t="s">
        <v>174</v>
      </c>
      <c r="D112" s="12" t="s">
        <v>174</v>
      </c>
      <c r="E112" s="12" t="s">
        <v>174</v>
      </c>
    </row>
    <row r="113" s="29" customFormat="1" ht="68" spans="2:5">
      <c r="B113" s="13" t="s">
        <v>175</v>
      </c>
      <c r="C113" s="13" t="s">
        <v>175</v>
      </c>
      <c r="D113" s="13" t="s">
        <v>175</v>
      </c>
      <c r="E113" s="13" t="s">
        <v>175</v>
      </c>
    </row>
    <row r="114" s="29" customFormat="1" ht="22" spans="2:5">
      <c r="B114" s="14" t="s">
        <v>176</v>
      </c>
      <c r="C114" s="14" t="s">
        <v>176</v>
      </c>
      <c r="D114" s="14" t="s">
        <v>176</v>
      </c>
      <c r="E114" s="14" t="s">
        <v>176</v>
      </c>
    </row>
    <row r="115" s="29" customFormat="1" spans="2:5">
      <c r="B115" s="15" t="s">
        <v>177</v>
      </c>
      <c r="C115" s="16" t="s">
        <v>178</v>
      </c>
      <c r="D115" s="17" t="s">
        <v>179</v>
      </c>
      <c r="E115" s="18" t="s">
        <v>180</v>
      </c>
    </row>
    <row r="116" s="29" customFormat="1" ht="41" spans="2:5">
      <c r="B116" s="19" t="s">
        <v>220</v>
      </c>
      <c r="C116" s="20" t="s">
        <v>182</v>
      </c>
      <c r="D116" s="21">
        <v>9</v>
      </c>
      <c r="E116" s="22">
        <v>898154</v>
      </c>
    </row>
    <row r="117" s="29" customFormat="1" ht="28" spans="2:5">
      <c r="B117" s="19" t="s">
        <v>220</v>
      </c>
      <c r="C117" s="16" t="s">
        <v>183</v>
      </c>
      <c r="D117" s="23">
        <v>9</v>
      </c>
      <c r="E117" s="24">
        <v>898154</v>
      </c>
    </row>
    <row r="118" s="29" customFormat="1" ht="41" spans="2:5">
      <c r="B118" s="19" t="s">
        <v>221</v>
      </c>
      <c r="C118" s="20" t="s">
        <v>182</v>
      </c>
      <c r="D118" s="21">
        <v>3</v>
      </c>
      <c r="E118" s="22">
        <v>313794</v>
      </c>
    </row>
    <row r="119" s="29" customFormat="1" ht="28" spans="2:5">
      <c r="B119" s="19" t="s">
        <v>221</v>
      </c>
      <c r="C119" s="16" t="s">
        <v>183</v>
      </c>
      <c r="D119" s="23">
        <v>3</v>
      </c>
      <c r="E119" s="24">
        <v>313794</v>
      </c>
    </row>
    <row r="120" s="29" customFormat="1" ht="41" spans="2:5">
      <c r="B120" s="19" t="s">
        <v>222</v>
      </c>
      <c r="C120" s="20" t="s">
        <v>182</v>
      </c>
      <c r="D120" s="21">
        <v>5</v>
      </c>
      <c r="E120" s="22">
        <v>410526</v>
      </c>
    </row>
    <row r="121" s="29" customFormat="1" ht="28" spans="2:5">
      <c r="B121" s="19" t="s">
        <v>222</v>
      </c>
      <c r="C121" s="16" t="s">
        <v>183</v>
      </c>
      <c r="D121" s="23">
        <v>5</v>
      </c>
      <c r="E121" s="24">
        <v>410526</v>
      </c>
    </row>
    <row r="122" s="29" customFormat="1" ht="41" spans="2:5">
      <c r="B122" s="19" t="s">
        <v>223</v>
      </c>
      <c r="C122" s="20" t="s">
        <v>182</v>
      </c>
      <c r="D122" s="21">
        <v>1</v>
      </c>
      <c r="E122" s="22">
        <v>88393</v>
      </c>
    </row>
    <row r="123" s="29" customFormat="1" ht="28" spans="2:5">
      <c r="B123" s="19" t="s">
        <v>223</v>
      </c>
      <c r="C123" s="16" t="s">
        <v>183</v>
      </c>
      <c r="D123" s="23">
        <v>1</v>
      </c>
      <c r="E123" s="24">
        <v>88393</v>
      </c>
    </row>
    <row r="124" s="29" customFormat="1" ht="41" spans="2:5">
      <c r="B124" s="19" t="s">
        <v>224</v>
      </c>
      <c r="C124" s="20" t="s">
        <v>182</v>
      </c>
      <c r="D124" s="21">
        <v>1</v>
      </c>
      <c r="E124" s="22">
        <v>97117</v>
      </c>
    </row>
    <row r="125" s="29" customFormat="1" ht="28" spans="2:5">
      <c r="B125" s="19" t="s">
        <v>224</v>
      </c>
      <c r="C125" s="16" t="s">
        <v>183</v>
      </c>
      <c r="D125" s="23">
        <v>1</v>
      </c>
      <c r="E125" s="24">
        <v>97117</v>
      </c>
    </row>
    <row r="126" s="29" customFormat="1" ht="41" spans="2:5">
      <c r="B126" s="19" t="s">
        <v>225</v>
      </c>
      <c r="C126" s="20" t="s">
        <v>182</v>
      </c>
      <c r="D126" s="21">
        <v>2</v>
      </c>
      <c r="E126" s="22">
        <v>187298</v>
      </c>
    </row>
    <row r="127" s="29" customFormat="1" ht="28.75" spans="2:5">
      <c r="B127" s="19" t="s">
        <v>225</v>
      </c>
      <c r="C127" s="16" t="s">
        <v>183</v>
      </c>
      <c r="D127" s="23">
        <v>2</v>
      </c>
      <c r="E127" s="24">
        <v>187298</v>
      </c>
    </row>
    <row r="128" s="29" customFormat="1" spans="2:5">
      <c r="B128" s="25"/>
      <c r="C128" s="25"/>
      <c r="D128" s="25"/>
      <c r="E128" s="25"/>
    </row>
    <row r="129" s="29" customFormat="1" ht="36" spans="2:5">
      <c r="B129" s="26" t="s">
        <v>189</v>
      </c>
      <c r="C129" s="26" t="s">
        <v>189</v>
      </c>
      <c r="D129" s="26" t="s">
        <v>189</v>
      </c>
      <c r="E129" s="26" t="s">
        <v>189</v>
      </c>
    </row>
    <row r="130" s="29" customFormat="1" spans="2:5">
      <c r="B130" s="26"/>
      <c r="C130" s="26"/>
      <c r="D130" s="26"/>
      <c r="E130" s="26"/>
    </row>
    <row r="131" s="29" customFormat="1" ht="36" spans="2:5">
      <c r="B131" s="26" t="s">
        <v>190</v>
      </c>
      <c r="C131" s="26" t="s">
        <v>190</v>
      </c>
      <c r="D131" s="26" t="s">
        <v>190</v>
      </c>
      <c r="E131" s="26" t="s">
        <v>190</v>
      </c>
    </row>
    <row r="132" s="29" customFormat="1" spans="2:5">
      <c r="B132" s="26" t="s">
        <v>226</v>
      </c>
      <c r="C132" s="26" t="s">
        <v>226</v>
      </c>
      <c r="D132" s="26" t="s">
        <v>226</v>
      </c>
      <c r="E132" s="26" t="s">
        <v>226</v>
      </c>
    </row>
    <row r="133" s="29" customFormat="1" ht="124" spans="2:5">
      <c r="B133" s="11" t="s">
        <v>173</v>
      </c>
      <c r="C133" s="11" t="s">
        <v>173</v>
      </c>
      <c r="D133" s="11" t="s">
        <v>173</v>
      </c>
      <c r="E133" s="11" t="s">
        <v>173</v>
      </c>
    </row>
    <row r="134" s="29" customFormat="1" ht="156" spans="2:5">
      <c r="B134" s="12" t="s">
        <v>174</v>
      </c>
      <c r="C134" s="12" t="s">
        <v>174</v>
      </c>
      <c r="D134" s="12" t="s">
        <v>174</v>
      </c>
      <c r="E134" s="12" t="s">
        <v>174</v>
      </c>
    </row>
    <row r="135" s="29" customFormat="1" ht="68" spans="2:5">
      <c r="B135" s="13" t="s">
        <v>175</v>
      </c>
      <c r="C135" s="13" t="s">
        <v>175</v>
      </c>
      <c r="D135" s="13" t="s">
        <v>175</v>
      </c>
      <c r="E135" s="13" t="s">
        <v>175</v>
      </c>
    </row>
    <row r="136" s="29" customFormat="1" ht="22" spans="2:5">
      <c r="B136" s="14" t="s">
        <v>176</v>
      </c>
      <c r="C136" s="14" t="s">
        <v>176</v>
      </c>
      <c r="D136" s="14" t="s">
        <v>176</v>
      </c>
      <c r="E136" s="14" t="s">
        <v>176</v>
      </c>
    </row>
    <row r="137" s="29" customFormat="1" spans="2:5">
      <c r="B137" s="15" t="s">
        <v>177</v>
      </c>
      <c r="C137" s="16" t="s">
        <v>178</v>
      </c>
      <c r="D137" s="17" t="s">
        <v>179</v>
      </c>
      <c r="E137" s="18" t="s">
        <v>180</v>
      </c>
    </row>
    <row r="138" s="29" customFormat="1" ht="41" spans="2:5">
      <c r="B138" s="19" t="s">
        <v>227</v>
      </c>
      <c r="C138" s="20" t="s">
        <v>182</v>
      </c>
      <c r="D138" s="21">
        <v>1</v>
      </c>
      <c r="E138" s="22">
        <v>89189</v>
      </c>
    </row>
    <row r="139" s="29" customFormat="1" ht="28" spans="2:5">
      <c r="B139" s="19" t="s">
        <v>227</v>
      </c>
      <c r="C139" s="16" t="s">
        <v>183</v>
      </c>
      <c r="D139" s="23">
        <v>1</v>
      </c>
      <c r="E139" s="24">
        <v>89189</v>
      </c>
    </row>
    <row r="140" s="29" customFormat="1" ht="41" spans="2:5">
      <c r="B140" s="19" t="s">
        <v>228</v>
      </c>
      <c r="C140" s="20" t="s">
        <v>182</v>
      </c>
      <c r="D140" s="21">
        <v>1</v>
      </c>
      <c r="E140" s="22">
        <v>872748</v>
      </c>
    </row>
    <row r="141" s="29" customFormat="1" spans="2:5">
      <c r="B141" s="19" t="s">
        <v>228</v>
      </c>
      <c r="C141" s="16" t="s">
        <v>183</v>
      </c>
      <c r="D141" s="23">
        <v>1</v>
      </c>
      <c r="E141" s="24">
        <v>872748</v>
      </c>
    </row>
    <row r="142" s="29" customFormat="1" ht="41" spans="2:5">
      <c r="B142" s="19" t="s">
        <v>229</v>
      </c>
      <c r="C142" s="20" t="s">
        <v>182</v>
      </c>
      <c r="D142" s="21">
        <v>1</v>
      </c>
      <c r="E142" s="22">
        <v>525225</v>
      </c>
    </row>
    <row r="143" s="29" customFormat="1" spans="2:5">
      <c r="B143" s="19" t="s">
        <v>229</v>
      </c>
      <c r="C143" s="16" t="s">
        <v>183</v>
      </c>
      <c r="D143" s="23">
        <v>1</v>
      </c>
      <c r="E143" s="24">
        <v>525225</v>
      </c>
    </row>
    <row r="144" s="29" customFormat="1" ht="41" spans="2:5">
      <c r="B144" s="19" t="s">
        <v>230</v>
      </c>
      <c r="C144" s="20" t="s">
        <v>182</v>
      </c>
      <c r="D144" s="21">
        <v>1</v>
      </c>
      <c r="E144" s="22">
        <v>1081081</v>
      </c>
    </row>
    <row r="145" s="29" customFormat="1" ht="28" spans="2:5">
      <c r="B145" s="19" t="s">
        <v>230</v>
      </c>
      <c r="C145" s="16" t="s">
        <v>183</v>
      </c>
      <c r="D145" s="23">
        <v>1</v>
      </c>
      <c r="E145" s="24">
        <v>1081081</v>
      </c>
    </row>
    <row r="146" s="29" customFormat="1" ht="41" spans="2:5">
      <c r="B146" s="19" t="s">
        <v>231</v>
      </c>
      <c r="C146" s="20" t="s">
        <v>182</v>
      </c>
      <c r="D146" s="21">
        <v>1</v>
      </c>
      <c r="E146" s="22">
        <v>541441</v>
      </c>
    </row>
    <row r="147" s="29" customFormat="1" spans="2:5">
      <c r="B147" s="19" t="s">
        <v>231</v>
      </c>
      <c r="C147" s="16" t="s">
        <v>183</v>
      </c>
      <c r="D147" s="23">
        <v>1</v>
      </c>
      <c r="E147" s="24">
        <v>541441</v>
      </c>
    </row>
    <row r="148" s="29" customFormat="1" ht="41" spans="2:5">
      <c r="B148" s="19" t="s">
        <v>232</v>
      </c>
      <c r="C148" s="20" t="s">
        <v>182</v>
      </c>
      <c r="D148" s="21">
        <v>1</v>
      </c>
      <c r="E148" s="22">
        <v>690000</v>
      </c>
    </row>
    <row r="149" s="29" customFormat="1" ht="28.75" spans="2:5">
      <c r="B149" s="19" t="s">
        <v>232</v>
      </c>
      <c r="C149" s="16" t="s">
        <v>183</v>
      </c>
      <c r="D149" s="23">
        <v>1</v>
      </c>
      <c r="E149" s="24">
        <v>690000</v>
      </c>
    </row>
    <row r="150" s="29" customFormat="1" spans="2:5">
      <c r="B150" s="25"/>
      <c r="C150" s="25"/>
      <c r="D150" s="25"/>
      <c r="E150" s="25"/>
    </row>
    <row r="151" s="29" customFormat="1" ht="36" spans="2:5">
      <c r="B151" s="26" t="s">
        <v>189</v>
      </c>
      <c r="C151" s="26" t="s">
        <v>189</v>
      </c>
      <c r="D151" s="26" t="s">
        <v>189</v>
      </c>
      <c r="E151" s="26" t="s">
        <v>189</v>
      </c>
    </row>
    <row r="152" s="29" customFormat="1" spans="2:5">
      <c r="B152" s="26"/>
      <c r="C152" s="26"/>
      <c r="D152" s="26"/>
      <c r="E152" s="26"/>
    </row>
    <row r="153" s="29" customFormat="1" ht="36" spans="2:5">
      <c r="B153" s="26" t="s">
        <v>190</v>
      </c>
      <c r="C153" s="26" t="s">
        <v>190</v>
      </c>
      <c r="D153" s="26" t="s">
        <v>190</v>
      </c>
      <c r="E153" s="26" t="s">
        <v>190</v>
      </c>
    </row>
    <row r="154" s="29" customFormat="1" spans="2:5">
      <c r="B154" s="26" t="s">
        <v>233</v>
      </c>
      <c r="C154" s="26" t="s">
        <v>233</v>
      </c>
      <c r="D154" s="26" t="s">
        <v>233</v>
      </c>
      <c r="E154" s="26" t="s">
        <v>233</v>
      </c>
    </row>
    <row r="155" s="29" customFormat="1" ht="124" spans="2:5">
      <c r="B155" s="11" t="s">
        <v>173</v>
      </c>
      <c r="C155" s="11" t="s">
        <v>173</v>
      </c>
      <c r="D155" s="11" t="s">
        <v>173</v>
      </c>
      <c r="E155" s="11" t="s">
        <v>173</v>
      </c>
    </row>
    <row r="156" s="29" customFormat="1" ht="156" spans="2:5">
      <c r="B156" s="12" t="s">
        <v>174</v>
      </c>
      <c r="C156" s="12" t="s">
        <v>174</v>
      </c>
      <c r="D156" s="12" t="s">
        <v>174</v>
      </c>
      <c r="E156" s="12" t="s">
        <v>174</v>
      </c>
    </row>
    <row r="157" s="29" customFormat="1" ht="68" spans="2:5">
      <c r="B157" s="13" t="s">
        <v>175</v>
      </c>
      <c r="C157" s="13" t="s">
        <v>175</v>
      </c>
      <c r="D157" s="13" t="s">
        <v>175</v>
      </c>
      <c r="E157" s="13" t="s">
        <v>175</v>
      </c>
    </row>
    <row r="158" s="29" customFormat="1" ht="22" spans="2:5">
      <c r="B158" s="14" t="s">
        <v>176</v>
      </c>
      <c r="C158" s="14" t="s">
        <v>176</v>
      </c>
      <c r="D158" s="14" t="s">
        <v>176</v>
      </c>
      <c r="E158" s="14" t="s">
        <v>176</v>
      </c>
    </row>
    <row r="159" s="29" customFormat="1" spans="2:5">
      <c r="B159" s="15" t="s">
        <v>177</v>
      </c>
      <c r="C159" s="16" t="s">
        <v>178</v>
      </c>
      <c r="D159" s="17" t="s">
        <v>179</v>
      </c>
      <c r="E159" s="18" t="s">
        <v>180</v>
      </c>
    </row>
    <row r="160" s="29" customFormat="1" ht="41" spans="2:5">
      <c r="B160" s="19" t="s">
        <v>234</v>
      </c>
      <c r="C160" s="20" t="s">
        <v>182</v>
      </c>
      <c r="D160" s="21">
        <v>20</v>
      </c>
      <c r="E160" s="22">
        <v>18432432</v>
      </c>
    </row>
    <row r="161" s="29" customFormat="1" ht="28" spans="2:5">
      <c r="B161" s="19" t="s">
        <v>234</v>
      </c>
      <c r="C161" s="16" t="s">
        <v>183</v>
      </c>
      <c r="D161" s="23">
        <v>20</v>
      </c>
      <c r="E161" s="24">
        <v>18432432</v>
      </c>
    </row>
    <row r="162" s="29" customFormat="1" ht="41" spans="2:5">
      <c r="B162" s="19" t="s">
        <v>235</v>
      </c>
      <c r="C162" s="20" t="s">
        <v>182</v>
      </c>
      <c r="D162" s="21">
        <v>6</v>
      </c>
      <c r="E162" s="22">
        <v>9094596</v>
      </c>
    </row>
    <row r="163" s="29" customFormat="1" ht="28" spans="2:5">
      <c r="B163" s="19" t="s">
        <v>235</v>
      </c>
      <c r="C163" s="16" t="s">
        <v>183</v>
      </c>
      <c r="D163" s="23">
        <v>6</v>
      </c>
      <c r="E163" s="24">
        <v>9094596</v>
      </c>
    </row>
    <row r="164" s="29" customFormat="1" ht="41" spans="2:5">
      <c r="B164" s="19" t="s">
        <v>236</v>
      </c>
      <c r="C164" s="20" t="s">
        <v>182</v>
      </c>
      <c r="D164" s="21">
        <v>8</v>
      </c>
      <c r="E164" s="22">
        <v>9560360</v>
      </c>
    </row>
    <row r="165" s="29" customFormat="1" ht="28" spans="2:5">
      <c r="B165" s="19" t="s">
        <v>236</v>
      </c>
      <c r="C165" s="16" t="s">
        <v>183</v>
      </c>
      <c r="D165" s="23">
        <v>8</v>
      </c>
      <c r="E165" s="24">
        <v>9560360</v>
      </c>
    </row>
    <row r="166" s="29" customFormat="1" ht="41" spans="2:5">
      <c r="B166" s="19" t="s">
        <v>237</v>
      </c>
      <c r="C166" s="20" t="s">
        <v>182</v>
      </c>
      <c r="D166" s="21">
        <v>4</v>
      </c>
      <c r="E166" s="22">
        <v>3372972</v>
      </c>
    </row>
    <row r="167" s="29" customFormat="1" ht="28" spans="2:5">
      <c r="B167" s="19" t="s">
        <v>237</v>
      </c>
      <c r="C167" s="16" t="s">
        <v>183</v>
      </c>
      <c r="D167" s="23">
        <v>4</v>
      </c>
      <c r="E167" s="24">
        <v>3372972</v>
      </c>
    </row>
    <row r="168" s="29" customFormat="1" ht="41" spans="2:5">
      <c r="B168" s="19" t="s">
        <v>238</v>
      </c>
      <c r="C168" s="20" t="s">
        <v>182</v>
      </c>
      <c r="D168" s="21">
        <v>24</v>
      </c>
      <c r="E168" s="22">
        <v>35848646</v>
      </c>
    </row>
    <row r="169" s="29" customFormat="1" ht="28" spans="2:5">
      <c r="B169" s="19" t="s">
        <v>238</v>
      </c>
      <c r="C169" s="16" t="s">
        <v>183</v>
      </c>
      <c r="D169" s="23">
        <v>24</v>
      </c>
      <c r="E169" s="24">
        <v>35848646</v>
      </c>
    </row>
    <row r="170" s="29" customFormat="1" ht="41" spans="2:5">
      <c r="B170" s="19" t="s">
        <v>239</v>
      </c>
      <c r="C170" s="20" t="s">
        <v>182</v>
      </c>
      <c r="D170" s="21">
        <v>8</v>
      </c>
      <c r="E170" s="22">
        <v>9700900</v>
      </c>
    </row>
    <row r="171" s="29" customFormat="1" ht="28.75" spans="2:5">
      <c r="B171" s="19" t="s">
        <v>239</v>
      </c>
      <c r="C171" s="16" t="s">
        <v>183</v>
      </c>
      <c r="D171" s="23">
        <v>8</v>
      </c>
      <c r="E171" s="24">
        <v>9700900</v>
      </c>
    </row>
    <row r="172" s="29" customFormat="1" spans="2:5">
      <c r="B172" s="25"/>
      <c r="C172" s="25"/>
      <c r="D172" s="25"/>
      <c r="E172" s="25"/>
    </row>
    <row r="173" s="29" customFormat="1" ht="36" spans="2:5">
      <c r="B173" s="26" t="s">
        <v>189</v>
      </c>
      <c r="C173" s="26" t="s">
        <v>189</v>
      </c>
      <c r="D173" s="26" t="s">
        <v>189</v>
      </c>
      <c r="E173" s="26" t="s">
        <v>189</v>
      </c>
    </row>
    <row r="174" s="29" customFormat="1" spans="2:5">
      <c r="B174" s="26"/>
      <c r="C174" s="26"/>
      <c r="D174" s="26"/>
      <c r="E174" s="26"/>
    </row>
    <row r="175" s="29" customFormat="1" ht="36" spans="2:5">
      <c r="B175" s="26" t="s">
        <v>190</v>
      </c>
      <c r="C175" s="26" t="s">
        <v>190</v>
      </c>
      <c r="D175" s="26" t="s">
        <v>190</v>
      </c>
      <c r="E175" s="26" t="s">
        <v>190</v>
      </c>
    </row>
    <row r="176" s="29" customFormat="1" spans="2:5">
      <c r="B176" s="26" t="s">
        <v>240</v>
      </c>
      <c r="C176" s="26" t="s">
        <v>240</v>
      </c>
      <c r="D176" s="26" t="s">
        <v>240</v>
      </c>
      <c r="E176" s="26" t="s">
        <v>240</v>
      </c>
    </row>
    <row r="177" s="29" customFormat="1" ht="124" spans="2:5">
      <c r="B177" s="11" t="s">
        <v>173</v>
      </c>
      <c r="C177" s="11" t="s">
        <v>173</v>
      </c>
      <c r="D177" s="11" t="s">
        <v>173</v>
      </c>
      <c r="E177" s="11" t="s">
        <v>173</v>
      </c>
    </row>
    <row r="178" s="29" customFormat="1" ht="156" spans="2:5">
      <c r="B178" s="12" t="s">
        <v>174</v>
      </c>
      <c r="C178" s="12" t="s">
        <v>174</v>
      </c>
      <c r="D178" s="12" t="s">
        <v>174</v>
      </c>
      <c r="E178" s="12" t="s">
        <v>174</v>
      </c>
    </row>
    <row r="179" s="29" customFormat="1" ht="68" spans="2:5">
      <c r="B179" s="13" t="s">
        <v>175</v>
      </c>
      <c r="C179" s="13" t="s">
        <v>175</v>
      </c>
      <c r="D179" s="13" t="s">
        <v>175</v>
      </c>
      <c r="E179" s="13" t="s">
        <v>175</v>
      </c>
    </row>
    <row r="180" s="29" customFormat="1" ht="22" spans="2:5">
      <c r="B180" s="14" t="s">
        <v>176</v>
      </c>
      <c r="C180" s="14" t="s">
        <v>176</v>
      </c>
      <c r="D180" s="14" t="s">
        <v>176</v>
      </c>
      <c r="E180" s="14" t="s">
        <v>176</v>
      </c>
    </row>
    <row r="181" s="29" customFormat="1" spans="2:5">
      <c r="B181" s="15" t="s">
        <v>177</v>
      </c>
      <c r="C181" s="16" t="s">
        <v>178</v>
      </c>
      <c r="D181" s="17" t="s">
        <v>179</v>
      </c>
      <c r="E181" s="18" t="s">
        <v>180</v>
      </c>
    </row>
    <row r="182" s="29" customFormat="1" ht="41" spans="2:5">
      <c r="B182" s="19" t="s">
        <v>241</v>
      </c>
      <c r="C182" s="20" t="s">
        <v>182</v>
      </c>
      <c r="D182" s="21">
        <v>8</v>
      </c>
      <c r="E182" s="22">
        <v>7073874</v>
      </c>
    </row>
    <row r="183" s="29" customFormat="1" ht="28" spans="2:5">
      <c r="B183" s="19" t="s">
        <v>241</v>
      </c>
      <c r="C183" s="16" t="s">
        <v>183</v>
      </c>
      <c r="D183" s="23">
        <v>8</v>
      </c>
      <c r="E183" s="24">
        <v>7073874</v>
      </c>
    </row>
    <row r="184" s="29" customFormat="1" ht="41" spans="2:5">
      <c r="B184" s="19" t="s">
        <v>242</v>
      </c>
      <c r="C184" s="20" t="s">
        <v>182</v>
      </c>
      <c r="D184" s="21">
        <v>2</v>
      </c>
      <c r="E184" s="22">
        <v>1190090</v>
      </c>
    </row>
    <row r="185" s="29" customFormat="1" ht="28" spans="2:5">
      <c r="B185" s="19" t="s">
        <v>242</v>
      </c>
      <c r="C185" s="16" t="s">
        <v>183</v>
      </c>
      <c r="D185" s="23">
        <v>2</v>
      </c>
      <c r="E185" s="24">
        <v>1190090</v>
      </c>
    </row>
    <row r="186" s="29" customFormat="1" ht="41" spans="2:5">
      <c r="B186" s="19" t="s">
        <v>243</v>
      </c>
      <c r="C186" s="20" t="s">
        <v>182</v>
      </c>
      <c r="D186" s="21">
        <v>36</v>
      </c>
      <c r="E186" s="22">
        <v>16102713.98</v>
      </c>
    </row>
    <row r="187" s="29" customFormat="1" ht="28" spans="2:5">
      <c r="B187" s="19" t="s">
        <v>243</v>
      </c>
      <c r="C187" s="16" t="s">
        <v>183</v>
      </c>
      <c r="D187" s="23">
        <v>36</v>
      </c>
      <c r="E187" s="24">
        <v>16102713.98</v>
      </c>
    </row>
    <row r="188" s="29" customFormat="1" ht="41" spans="2:5">
      <c r="B188" s="19" t="s">
        <v>244</v>
      </c>
      <c r="C188" s="20" t="s">
        <v>182</v>
      </c>
      <c r="D188" s="21">
        <v>4</v>
      </c>
      <c r="E188" s="22">
        <v>2131532</v>
      </c>
    </row>
    <row r="189" s="29" customFormat="1" ht="28" spans="2:5">
      <c r="B189" s="19" t="s">
        <v>244</v>
      </c>
      <c r="C189" s="16" t="s">
        <v>183</v>
      </c>
      <c r="D189" s="23">
        <v>4</v>
      </c>
      <c r="E189" s="24">
        <v>2131532</v>
      </c>
    </row>
    <row r="190" s="29" customFormat="1" ht="41" spans="2:5">
      <c r="B190" s="19" t="s">
        <v>245</v>
      </c>
      <c r="C190" s="20" t="s">
        <v>182</v>
      </c>
      <c r="D190" s="21">
        <v>16</v>
      </c>
      <c r="E190" s="22">
        <v>7394592</v>
      </c>
    </row>
    <row r="191" s="29" customFormat="1" ht="28" spans="2:5">
      <c r="B191" s="19" t="s">
        <v>245</v>
      </c>
      <c r="C191" s="16" t="s">
        <v>183</v>
      </c>
      <c r="D191" s="23">
        <v>16</v>
      </c>
      <c r="E191" s="24">
        <v>7394592</v>
      </c>
    </row>
    <row r="192" s="29" customFormat="1" ht="41" spans="2:5">
      <c r="B192" s="19" t="s">
        <v>246</v>
      </c>
      <c r="C192" s="20" t="s">
        <v>182</v>
      </c>
      <c r="D192" s="21">
        <v>2</v>
      </c>
      <c r="E192" s="22">
        <v>1640541</v>
      </c>
    </row>
    <row r="193" s="29" customFormat="1" ht="28.75" spans="2:5">
      <c r="B193" s="19" t="s">
        <v>246</v>
      </c>
      <c r="C193" s="16" t="s">
        <v>183</v>
      </c>
      <c r="D193" s="23">
        <v>2</v>
      </c>
      <c r="E193" s="24">
        <v>1640541</v>
      </c>
    </row>
    <row r="194" s="29" customFormat="1" spans="2:5">
      <c r="B194" s="25"/>
      <c r="C194" s="25"/>
      <c r="D194" s="25"/>
      <c r="E194" s="25"/>
    </row>
    <row r="195" s="29" customFormat="1" ht="36" spans="2:5">
      <c r="B195" s="26" t="s">
        <v>189</v>
      </c>
      <c r="C195" s="26" t="s">
        <v>189</v>
      </c>
      <c r="D195" s="26" t="s">
        <v>189</v>
      </c>
      <c r="E195" s="26" t="s">
        <v>189</v>
      </c>
    </row>
    <row r="196" s="29" customFormat="1" spans="2:5">
      <c r="B196" s="26"/>
      <c r="C196" s="26"/>
      <c r="D196" s="26"/>
      <c r="E196" s="26"/>
    </row>
    <row r="197" s="29" customFormat="1" ht="36" spans="2:5">
      <c r="B197" s="26" t="s">
        <v>190</v>
      </c>
      <c r="C197" s="26" t="s">
        <v>190</v>
      </c>
      <c r="D197" s="26" t="s">
        <v>190</v>
      </c>
      <c r="E197" s="26" t="s">
        <v>190</v>
      </c>
    </row>
    <row r="198" s="29" customFormat="1" spans="2:5">
      <c r="B198" s="26" t="s">
        <v>247</v>
      </c>
      <c r="C198" s="26" t="s">
        <v>247</v>
      </c>
      <c r="D198" s="26" t="s">
        <v>247</v>
      </c>
      <c r="E198" s="26" t="s">
        <v>247</v>
      </c>
    </row>
    <row r="199" s="29" customFormat="1" ht="124" spans="2:5">
      <c r="B199" s="11" t="s">
        <v>173</v>
      </c>
      <c r="C199" s="11" t="s">
        <v>173</v>
      </c>
      <c r="D199" s="11" t="s">
        <v>173</v>
      </c>
      <c r="E199" s="11" t="s">
        <v>173</v>
      </c>
    </row>
    <row r="200" s="29" customFormat="1" ht="156" spans="2:5">
      <c r="B200" s="12" t="s">
        <v>174</v>
      </c>
      <c r="C200" s="12" t="s">
        <v>174</v>
      </c>
      <c r="D200" s="12" t="s">
        <v>174</v>
      </c>
      <c r="E200" s="12" t="s">
        <v>174</v>
      </c>
    </row>
    <row r="201" s="29" customFormat="1" ht="68" spans="2:5">
      <c r="B201" s="13" t="s">
        <v>175</v>
      </c>
      <c r="C201" s="13" t="s">
        <v>175</v>
      </c>
      <c r="D201" s="13" t="s">
        <v>175</v>
      </c>
      <c r="E201" s="13" t="s">
        <v>175</v>
      </c>
    </row>
    <row r="202" s="29" customFormat="1" ht="22" spans="2:5">
      <c r="B202" s="14" t="s">
        <v>176</v>
      </c>
      <c r="C202" s="14" t="s">
        <v>176</v>
      </c>
      <c r="D202" s="14" t="s">
        <v>176</v>
      </c>
      <c r="E202" s="14" t="s">
        <v>176</v>
      </c>
    </row>
    <row r="203" s="29" customFormat="1" spans="2:5">
      <c r="B203" s="15" t="s">
        <v>177</v>
      </c>
      <c r="C203" s="16" t="s">
        <v>178</v>
      </c>
      <c r="D203" s="17" t="s">
        <v>179</v>
      </c>
      <c r="E203" s="18" t="s">
        <v>180</v>
      </c>
    </row>
    <row r="204" s="29" customFormat="1" ht="41" spans="2:5">
      <c r="B204" s="19" t="s">
        <v>248</v>
      </c>
      <c r="C204" s="20" t="s">
        <v>182</v>
      </c>
      <c r="D204" s="21">
        <v>4</v>
      </c>
      <c r="E204" s="22">
        <v>2459460</v>
      </c>
    </row>
    <row r="205" s="29" customFormat="1" ht="28" spans="2:5">
      <c r="B205" s="19" t="s">
        <v>248</v>
      </c>
      <c r="C205" s="16" t="s">
        <v>183</v>
      </c>
      <c r="D205" s="23">
        <v>4</v>
      </c>
      <c r="E205" s="24">
        <v>2459460</v>
      </c>
    </row>
    <row r="206" s="29" customFormat="1" ht="41" spans="2:5">
      <c r="B206" s="19" t="s">
        <v>249</v>
      </c>
      <c r="C206" s="20" t="s">
        <v>182</v>
      </c>
      <c r="D206" s="21">
        <v>30</v>
      </c>
      <c r="E206" s="22">
        <v>17576611</v>
      </c>
    </row>
    <row r="207" s="29" customFormat="1" ht="28" spans="2:5">
      <c r="B207" s="19" t="s">
        <v>249</v>
      </c>
      <c r="C207" s="16" t="s">
        <v>183</v>
      </c>
      <c r="D207" s="23">
        <v>30</v>
      </c>
      <c r="E207" s="24">
        <v>17576611</v>
      </c>
    </row>
    <row r="208" s="29" customFormat="1" ht="41" spans="2:5">
      <c r="B208" s="19" t="s">
        <v>250</v>
      </c>
      <c r="C208" s="20" t="s">
        <v>182</v>
      </c>
      <c r="D208" s="21">
        <v>22</v>
      </c>
      <c r="E208" s="22">
        <v>16044151</v>
      </c>
    </row>
    <row r="209" s="29" customFormat="1" ht="28" spans="2:5">
      <c r="B209" s="19" t="s">
        <v>250</v>
      </c>
      <c r="C209" s="16" t="s">
        <v>183</v>
      </c>
      <c r="D209" s="23">
        <v>22</v>
      </c>
      <c r="E209" s="24">
        <v>16044151</v>
      </c>
    </row>
    <row r="210" s="29" customFormat="1" ht="41" spans="2:5">
      <c r="B210" s="19" t="s">
        <v>251</v>
      </c>
      <c r="C210" s="20" t="s">
        <v>182</v>
      </c>
      <c r="D210" s="21">
        <v>6</v>
      </c>
      <c r="E210" s="22">
        <v>3491892</v>
      </c>
    </row>
    <row r="211" s="29" customFormat="1" ht="28" spans="2:5">
      <c r="B211" s="19" t="s">
        <v>251</v>
      </c>
      <c r="C211" s="16" t="s">
        <v>183</v>
      </c>
      <c r="D211" s="23">
        <v>6</v>
      </c>
      <c r="E211" s="24">
        <v>3491892</v>
      </c>
    </row>
    <row r="212" s="29" customFormat="1" ht="41" spans="2:5">
      <c r="B212" s="19" t="s">
        <v>252</v>
      </c>
      <c r="C212" s="20" t="s">
        <v>182</v>
      </c>
      <c r="D212" s="21">
        <v>4</v>
      </c>
      <c r="E212" s="22">
        <v>3288288</v>
      </c>
    </row>
    <row r="213" s="29" customFormat="1" ht="28" spans="2:5">
      <c r="B213" s="19" t="s">
        <v>252</v>
      </c>
      <c r="C213" s="16" t="s">
        <v>183</v>
      </c>
      <c r="D213" s="23">
        <v>4</v>
      </c>
      <c r="E213" s="24">
        <v>3288288</v>
      </c>
    </row>
    <row r="214" s="29" customFormat="1" ht="41" spans="2:5">
      <c r="B214" s="19" t="s">
        <v>253</v>
      </c>
      <c r="C214" s="20" t="s">
        <v>182</v>
      </c>
      <c r="D214" s="21">
        <v>8</v>
      </c>
      <c r="E214" s="22">
        <v>5084684</v>
      </c>
    </row>
    <row r="215" s="29" customFormat="1" ht="28.75" spans="2:5">
      <c r="B215" s="19" t="s">
        <v>253</v>
      </c>
      <c r="C215" s="16" t="s">
        <v>183</v>
      </c>
      <c r="D215" s="23">
        <v>8</v>
      </c>
      <c r="E215" s="24">
        <v>5084684</v>
      </c>
    </row>
    <row r="216" s="29" customFormat="1" spans="2:5">
      <c r="B216" s="25"/>
      <c r="C216" s="25"/>
      <c r="D216" s="25"/>
      <c r="E216" s="25"/>
    </row>
    <row r="217" s="29" customFormat="1" ht="36" spans="2:5">
      <c r="B217" s="26" t="s">
        <v>189</v>
      </c>
      <c r="C217" s="26" t="s">
        <v>189</v>
      </c>
      <c r="D217" s="26" t="s">
        <v>189</v>
      </c>
      <c r="E217" s="26" t="s">
        <v>189</v>
      </c>
    </row>
    <row r="218" s="29" customFormat="1" spans="2:5">
      <c r="B218" s="26"/>
      <c r="C218" s="26"/>
      <c r="D218" s="26"/>
      <c r="E218" s="26"/>
    </row>
    <row r="219" s="29" customFormat="1" ht="36" spans="2:5">
      <c r="B219" s="26" t="s">
        <v>190</v>
      </c>
      <c r="C219" s="26" t="s">
        <v>190</v>
      </c>
      <c r="D219" s="26" t="s">
        <v>190</v>
      </c>
      <c r="E219" s="26" t="s">
        <v>190</v>
      </c>
    </row>
    <row r="220" s="29" customFormat="1" spans="2:5">
      <c r="B220" s="26" t="s">
        <v>254</v>
      </c>
      <c r="C220" s="26" t="s">
        <v>254</v>
      </c>
      <c r="D220" s="26" t="s">
        <v>254</v>
      </c>
      <c r="E220" s="26" t="s">
        <v>254</v>
      </c>
    </row>
    <row r="221" s="29" customFormat="1" ht="124" spans="2:5">
      <c r="B221" s="11" t="s">
        <v>173</v>
      </c>
      <c r="C221" s="11" t="s">
        <v>173</v>
      </c>
      <c r="D221" s="11" t="s">
        <v>173</v>
      </c>
      <c r="E221" s="11" t="s">
        <v>173</v>
      </c>
    </row>
    <row r="222" s="29" customFormat="1" ht="156" spans="2:5">
      <c r="B222" s="12" t="s">
        <v>174</v>
      </c>
      <c r="C222" s="12" t="s">
        <v>174</v>
      </c>
      <c r="D222" s="12" t="s">
        <v>174</v>
      </c>
      <c r="E222" s="12" t="s">
        <v>174</v>
      </c>
    </row>
    <row r="223" s="29" customFormat="1" ht="68" spans="2:5">
      <c r="B223" s="13" t="s">
        <v>175</v>
      </c>
      <c r="C223" s="13" t="s">
        <v>175</v>
      </c>
      <c r="D223" s="13" t="s">
        <v>175</v>
      </c>
      <c r="E223" s="13" t="s">
        <v>175</v>
      </c>
    </row>
    <row r="224" s="29" customFormat="1" ht="22" spans="2:5">
      <c r="B224" s="14" t="s">
        <v>176</v>
      </c>
      <c r="C224" s="14" t="s">
        <v>176</v>
      </c>
      <c r="D224" s="14" t="s">
        <v>176</v>
      </c>
      <c r="E224" s="14" t="s">
        <v>176</v>
      </c>
    </row>
    <row r="225" s="29" customFormat="1" spans="2:5">
      <c r="B225" s="15" t="s">
        <v>177</v>
      </c>
      <c r="C225" s="16" t="s">
        <v>178</v>
      </c>
      <c r="D225" s="17" t="s">
        <v>179</v>
      </c>
      <c r="E225" s="18" t="s">
        <v>180</v>
      </c>
    </row>
    <row r="226" s="29" customFormat="1" ht="41" spans="2:5">
      <c r="B226" s="19" t="s">
        <v>255</v>
      </c>
      <c r="C226" s="20" t="s">
        <v>182</v>
      </c>
      <c r="D226" s="21">
        <v>14</v>
      </c>
      <c r="E226" s="22">
        <v>9503606</v>
      </c>
    </row>
    <row r="227" s="29" customFormat="1" ht="28" spans="2:5">
      <c r="B227" s="19" t="s">
        <v>255</v>
      </c>
      <c r="C227" s="16" t="s">
        <v>183</v>
      </c>
      <c r="D227" s="23">
        <v>14</v>
      </c>
      <c r="E227" s="24">
        <v>9503606</v>
      </c>
    </row>
    <row r="228" s="29" customFormat="1" ht="41" spans="2:5">
      <c r="B228" s="19" t="s">
        <v>256</v>
      </c>
      <c r="C228" s="20" t="s">
        <v>182</v>
      </c>
      <c r="D228" s="21">
        <v>8</v>
      </c>
      <c r="E228" s="22">
        <v>3268468</v>
      </c>
    </row>
    <row r="229" s="29" customFormat="1" ht="28" spans="2:5">
      <c r="B229" s="19" t="s">
        <v>256</v>
      </c>
      <c r="C229" s="16" t="s">
        <v>183</v>
      </c>
      <c r="D229" s="23">
        <v>8</v>
      </c>
      <c r="E229" s="24">
        <v>3268468</v>
      </c>
    </row>
    <row r="230" s="29" customFormat="1" ht="41" spans="2:5">
      <c r="B230" s="19" t="s">
        <v>257</v>
      </c>
      <c r="C230" s="20" t="s">
        <v>182</v>
      </c>
      <c r="D230" s="21">
        <v>6</v>
      </c>
      <c r="E230" s="22">
        <v>2564866</v>
      </c>
    </row>
    <row r="231" s="29" customFormat="1" ht="28" spans="2:5">
      <c r="B231" s="19" t="s">
        <v>257</v>
      </c>
      <c r="C231" s="16" t="s">
        <v>183</v>
      </c>
      <c r="D231" s="23">
        <v>6</v>
      </c>
      <c r="E231" s="24">
        <v>2564866</v>
      </c>
    </row>
    <row r="232" s="29" customFormat="1" ht="41" spans="2:5">
      <c r="B232" s="19" t="s">
        <v>258</v>
      </c>
      <c r="C232" s="20" t="s">
        <v>182</v>
      </c>
      <c r="D232" s="21">
        <v>2</v>
      </c>
      <c r="E232" s="22">
        <v>1094596</v>
      </c>
    </row>
    <row r="233" s="29" customFormat="1" ht="28" spans="2:5">
      <c r="B233" s="19" t="s">
        <v>258</v>
      </c>
      <c r="C233" s="16" t="s">
        <v>183</v>
      </c>
      <c r="D233" s="23">
        <v>2</v>
      </c>
      <c r="E233" s="24">
        <v>1094596</v>
      </c>
    </row>
    <row r="234" s="29" customFormat="1" ht="41" spans="2:5">
      <c r="B234" s="19" t="s">
        <v>259</v>
      </c>
      <c r="C234" s="20" t="s">
        <v>182</v>
      </c>
      <c r="D234" s="21">
        <v>10</v>
      </c>
      <c r="E234" s="22">
        <v>4504504</v>
      </c>
    </row>
    <row r="235" s="29" customFormat="1" ht="28" spans="2:5">
      <c r="B235" s="19" t="s">
        <v>259</v>
      </c>
      <c r="C235" s="16" t="s">
        <v>183</v>
      </c>
      <c r="D235" s="23">
        <v>10</v>
      </c>
      <c r="E235" s="24">
        <v>4504504</v>
      </c>
    </row>
    <row r="236" s="29" customFormat="1" ht="41" spans="2:5">
      <c r="B236" s="19" t="s">
        <v>260</v>
      </c>
      <c r="C236" s="20" t="s">
        <v>182</v>
      </c>
      <c r="D236" s="21">
        <v>14</v>
      </c>
      <c r="E236" s="22">
        <v>8513512</v>
      </c>
    </row>
    <row r="237" s="29" customFormat="1" ht="28.75" spans="2:5">
      <c r="B237" s="19" t="s">
        <v>260</v>
      </c>
      <c r="C237" s="16" t="s">
        <v>183</v>
      </c>
      <c r="D237" s="23">
        <v>14</v>
      </c>
      <c r="E237" s="24">
        <v>8513512</v>
      </c>
    </row>
    <row r="238" s="29" customFormat="1" spans="2:5">
      <c r="B238" s="25"/>
      <c r="C238" s="25"/>
      <c r="D238" s="25"/>
      <c r="E238" s="25"/>
    </row>
    <row r="239" s="29" customFormat="1" ht="36" spans="2:5">
      <c r="B239" s="26" t="s">
        <v>189</v>
      </c>
      <c r="C239" s="26" t="s">
        <v>189</v>
      </c>
      <c r="D239" s="26" t="s">
        <v>189</v>
      </c>
      <c r="E239" s="26" t="s">
        <v>189</v>
      </c>
    </row>
    <row r="240" s="29" customFormat="1" spans="2:5">
      <c r="B240" s="26"/>
      <c r="C240" s="26"/>
      <c r="D240" s="26"/>
      <c r="E240" s="26"/>
    </row>
    <row r="241" s="29" customFormat="1" ht="36" spans="2:5">
      <c r="B241" s="26" t="s">
        <v>190</v>
      </c>
      <c r="C241" s="26" t="s">
        <v>190</v>
      </c>
      <c r="D241" s="26" t="s">
        <v>190</v>
      </c>
      <c r="E241" s="26" t="s">
        <v>190</v>
      </c>
    </row>
    <row r="242" s="29" customFormat="1" spans="2:5">
      <c r="B242" s="26" t="s">
        <v>261</v>
      </c>
      <c r="C242" s="26" t="s">
        <v>261</v>
      </c>
      <c r="D242" s="26" t="s">
        <v>261</v>
      </c>
      <c r="E242" s="26" t="s">
        <v>261</v>
      </c>
    </row>
    <row r="243" s="29" customFormat="1" ht="124" spans="2:5">
      <c r="B243" s="11" t="s">
        <v>173</v>
      </c>
      <c r="C243" s="11" t="s">
        <v>173</v>
      </c>
      <c r="D243" s="11" t="s">
        <v>173</v>
      </c>
      <c r="E243" s="11" t="s">
        <v>173</v>
      </c>
    </row>
    <row r="244" s="29" customFormat="1" ht="156" spans="2:5">
      <c r="B244" s="12" t="s">
        <v>174</v>
      </c>
      <c r="C244" s="12" t="s">
        <v>174</v>
      </c>
      <c r="D244" s="12" t="s">
        <v>174</v>
      </c>
      <c r="E244" s="12" t="s">
        <v>174</v>
      </c>
    </row>
    <row r="245" s="29" customFormat="1" ht="68" spans="2:5">
      <c r="B245" s="13" t="s">
        <v>175</v>
      </c>
      <c r="C245" s="13" t="s">
        <v>175</v>
      </c>
      <c r="D245" s="13" t="s">
        <v>175</v>
      </c>
      <c r="E245" s="13" t="s">
        <v>175</v>
      </c>
    </row>
    <row r="246" s="29" customFormat="1" ht="22" spans="2:5">
      <c r="B246" s="14" t="s">
        <v>176</v>
      </c>
      <c r="C246" s="14" t="s">
        <v>176</v>
      </c>
      <c r="D246" s="14" t="s">
        <v>176</v>
      </c>
      <c r="E246" s="14" t="s">
        <v>176</v>
      </c>
    </row>
    <row r="247" s="29" customFormat="1" spans="2:5">
      <c r="B247" s="15" t="s">
        <v>177</v>
      </c>
      <c r="C247" s="16" t="s">
        <v>178</v>
      </c>
      <c r="D247" s="17" t="s">
        <v>179</v>
      </c>
      <c r="E247" s="18" t="s">
        <v>180</v>
      </c>
    </row>
    <row r="248" s="29" customFormat="1" ht="41" spans="2:5">
      <c r="B248" s="19" t="s">
        <v>262</v>
      </c>
      <c r="C248" s="20" t="s">
        <v>182</v>
      </c>
      <c r="D248" s="21">
        <v>10</v>
      </c>
      <c r="E248" s="22">
        <v>5936936</v>
      </c>
    </row>
    <row r="249" s="29" customFormat="1" ht="28" spans="2:5">
      <c r="B249" s="19" t="s">
        <v>262</v>
      </c>
      <c r="C249" s="16" t="s">
        <v>183</v>
      </c>
      <c r="D249" s="23">
        <v>10</v>
      </c>
      <c r="E249" s="24">
        <v>5936936</v>
      </c>
    </row>
    <row r="250" s="29" customFormat="1" ht="41" spans="2:5">
      <c r="B250" s="19" t="s">
        <v>263</v>
      </c>
      <c r="C250" s="20" t="s">
        <v>182</v>
      </c>
      <c r="D250" s="21">
        <v>4</v>
      </c>
      <c r="E250" s="22">
        <v>3039640</v>
      </c>
    </row>
    <row r="251" s="29" customFormat="1" ht="28" spans="2:5">
      <c r="B251" s="19" t="s">
        <v>263</v>
      </c>
      <c r="C251" s="16" t="s">
        <v>183</v>
      </c>
      <c r="D251" s="23">
        <v>4</v>
      </c>
      <c r="E251" s="24">
        <v>3039640</v>
      </c>
    </row>
    <row r="252" s="29" customFormat="1" ht="41" spans="2:5">
      <c r="B252" s="19" t="s">
        <v>264</v>
      </c>
      <c r="C252" s="20" t="s">
        <v>182</v>
      </c>
      <c r="D252" s="21">
        <v>4</v>
      </c>
      <c r="E252" s="22">
        <v>3428828</v>
      </c>
    </row>
    <row r="253" s="29" customFormat="1" ht="28" spans="2:5">
      <c r="B253" s="19" t="s">
        <v>264</v>
      </c>
      <c r="C253" s="16" t="s">
        <v>183</v>
      </c>
      <c r="D253" s="23">
        <v>4</v>
      </c>
      <c r="E253" s="24">
        <v>3428828</v>
      </c>
    </row>
    <row r="254" s="29" customFormat="1" ht="41" spans="2:5">
      <c r="B254" s="19" t="s">
        <v>265</v>
      </c>
      <c r="C254" s="20" t="s">
        <v>182</v>
      </c>
      <c r="D254" s="21">
        <v>4</v>
      </c>
      <c r="E254" s="22">
        <v>3621622</v>
      </c>
    </row>
    <row r="255" s="29" customFormat="1" ht="28" spans="2:5">
      <c r="B255" s="19" t="s">
        <v>265</v>
      </c>
      <c r="C255" s="16" t="s">
        <v>183</v>
      </c>
      <c r="D255" s="23">
        <v>4</v>
      </c>
      <c r="E255" s="24">
        <v>3621622</v>
      </c>
    </row>
    <row r="256" s="29" customFormat="1" ht="41" spans="2:5">
      <c r="B256" s="19" t="s">
        <v>266</v>
      </c>
      <c r="C256" s="20" t="s">
        <v>182</v>
      </c>
      <c r="D256" s="21">
        <v>8</v>
      </c>
      <c r="E256" s="22">
        <v>6381982</v>
      </c>
    </row>
    <row r="257" s="29" customFormat="1" ht="28" spans="2:5">
      <c r="B257" s="19" t="s">
        <v>266</v>
      </c>
      <c r="C257" s="16" t="s">
        <v>183</v>
      </c>
      <c r="D257" s="23">
        <v>8</v>
      </c>
      <c r="E257" s="24">
        <v>6381982</v>
      </c>
    </row>
    <row r="258" s="29" customFormat="1" ht="41" spans="2:5">
      <c r="B258" s="19" t="s">
        <v>267</v>
      </c>
      <c r="C258" s="20" t="s">
        <v>182</v>
      </c>
      <c r="D258" s="21">
        <v>4</v>
      </c>
      <c r="E258" s="22">
        <v>3596396</v>
      </c>
    </row>
    <row r="259" s="29" customFormat="1" ht="28.75" spans="2:5">
      <c r="B259" s="19" t="s">
        <v>267</v>
      </c>
      <c r="C259" s="16" t="s">
        <v>183</v>
      </c>
      <c r="D259" s="23">
        <v>4</v>
      </c>
      <c r="E259" s="24">
        <v>3596396</v>
      </c>
    </row>
    <row r="260" s="29" customFormat="1" spans="2:5">
      <c r="B260" s="25"/>
      <c r="C260" s="25"/>
      <c r="D260" s="25"/>
      <c r="E260" s="25"/>
    </row>
    <row r="261" s="29" customFormat="1" ht="36" spans="2:5">
      <c r="B261" s="26" t="s">
        <v>189</v>
      </c>
      <c r="C261" s="26" t="s">
        <v>189</v>
      </c>
      <c r="D261" s="26" t="s">
        <v>189</v>
      </c>
      <c r="E261" s="26" t="s">
        <v>189</v>
      </c>
    </row>
    <row r="262" s="29" customFormat="1" spans="2:5">
      <c r="B262" s="26"/>
      <c r="C262" s="26"/>
      <c r="D262" s="26"/>
      <c r="E262" s="26"/>
    </row>
    <row r="263" s="29" customFormat="1" ht="36" spans="2:5">
      <c r="B263" s="26" t="s">
        <v>190</v>
      </c>
      <c r="C263" s="26" t="s">
        <v>190</v>
      </c>
      <c r="D263" s="26" t="s">
        <v>190</v>
      </c>
      <c r="E263" s="26" t="s">
        <v>190</v>
      </c>
    </row>
    <row r="264" s="29" customFormat="1" spans="2:5">
      <c r="B264" s="26" t="s">
        <v>268</v>
      </c>
      <c r="C264" s="26" t="s">
        <v>268</v>
      </c>
      <c r="D264" s="26" t="s">
        <v>268</v>
      </c>
      <c r="E264" s="26" t="s">
        <v>268</v>
      </c>
    </row>
    <row r="265" s="29" customFormat="1" ht="124" spans="2:5">
      <c r="B265" s="11" t="s">
        <v>173</v>
      </c>
      <c r="C265" s="11" t="s">
        <v>173</v>
      </c>
      <c r="D265" s="11" t="s">
        <v>173</v>
      </c>
      <c r="E265" s="11" t="s">
        <v>173</v>
      </c>
    </row>
    <row r="266" s="29" customFormat="1" ht="156" spans="2:5">
      <c r="B266" s="12" t="s">
        <v>174</v>
      </c>
      <c r="C266" s="12" t="s">
        <v>174</v>
      </c>
      <c r="D266" s="12" t="s">
        <v>174</v>
      </c>
      <c r="E266" s="12" t="s">
        <v>174</v>
      </c>
    </row>
    <row r="267" s="29" customFormat="1" ht="68" spans="2:5">
      <c r="B267" s="13" t="s">
        <v>175</v>
      </c>
      <c r="C267" s="13" t="s">
        <v>175</v>
      </c>
      <c r="D267" s="13" t="s">
        <v>175</v>
      </c>
      <c r="E267" s="13" t="s">
        <v>175</v>
      </c>
    </row>
    <row r="268" s="29" customFormat="1" ht="22" spans="2:5">
      <c r="B268" s="14" t="s">
        <v>176</v>
      </c>
      <c r="C268" s="14" t="s">
        <v>176</v>
      </c>
      <c r="D268" s="14" t="s">
        <v>176</v>
      </c>
      <c r="E268" s="14" t="s">
        <v>176</v>
      </c>
    </row>
    <row r="269" s="29" customFormat="1" spans="2:5">
      <c r="B269" s="15" t="s">
        <v>177</v>
      </c>
      <c r="C269" s="16" t="s">
        <v>178</v>
      </c>
      <c r="D269" s="17" t="s">
        <v>179</v>
      </c>
      <c r="E269" s="18" t="s">
        <v>180</v>
      </c>
    </row>
    <row r="270" s="29" customFormat="1" ht="41" spans="2:5">
      <c r="B270" s="19" t="s">
        <v>269</v>
      </c>
      <c r="C270" s="20" t="s">
        <v>182</v>
      </c>
      <c r="D270" s="21">
        <v>4</v>
      </c>
      <c r="E270" s="22">
        <v>3601802</v>
      </c>
    </row>
    <row r="271" s="29" customFormat="1" ht="28" spans="2:5">
      <c r="B271" s="19" t="s">
        <v>269</v>
      </c>
      <c r="C271" s="16" t="s">
        <v>183</v>
      </c>
      <c r="D271" s="23">
        <v>4</v>
      </c>
      <c r="E271" s="24">
        <v>3601802</v>
      </c>
    </row>
    <row r="272" s="29" customFormat="1" ht="41" spans="2:5">
      <c r="B272" s="19" t="s">
        <v>270</v>
      </c>
      <c r="C272" s="20" t="s">
        <v>182</v>
      </c>
      <c r="D272" s="21">
        <v>6</v>
      </c>
      <c r="E272" s="22">
        <v>5394594</v>
      </c>
    </row>
    <row r="273" s="29" customFormat="1" ht="28" spans="2:5">
      <c r="B273" s="19" t="s">
        <v>270</v>
      </c>
      <c r="C273" s="16" t="s">
        <v>183</v>
      </c>
      <c r="D273" s="23">
        <v>6</v>
      </c>
      <c r="E273" s="24">
        <v>5394594</v>
      </c>
    </row>
    <row r="274" s="29" customFormat="1" ht="41" spans="2:5">
      <c r="B274" s="19" t="s">
        <v>271</v>
      </c>
      <c r="C274" s="20" t="s">
        <v>182</v>
      </c>
      <c r="D274" s="21">
        <v>2</v>
      </c>
      <c r="E274" s="22">
        <v>45046</v>
      </c>
    </row>
    <row r="275" s="29" customFormat="1" spans="2:5">
      <c r="B275" s="19" t="s">
        <v>271</v>
      </c>
      <c r="C275" s="16" t="s">
        <v>183</v>
      </c>
      <c r="D275" s="23">
        <v>2</v>
      </c>
      <c r="E275" s="24">
        <v>45046</v>
      </c>
    </row>
    <row r="276" s="29" customFormat="1" ht="41" spans="2:5">
      <c r="B276" s="19" t="s">
        <v>272</v>
      </c>
      <c r="C276" s="20" t="s">
        <v>182</v>
      </c>
      <c r="D276" s="21">
        <v>4</v>
      </c>
      <c r="E276" s="22">
        <v>237116</v>
      </c>
    </row>
    <row r="277" s="29" customFormat="1" ht="28" spans="2:5">
      <c r="B277" s="19" t="s">
        <v>272</v>
      </c>
      <c r="C277" s="16" t="s">
        <v>183</v>
      </c>
      <c r="D277" s="23">
        <v>4</v>
      </c>
      <c r="E277" s="24">
        <v>237116</v>
      </c>
    </row>
    <row r="278" s="29" customFormat="1" ht="41" spans="2:5">
      <c r="B278" s="19" t="s">
        <v>273</v>
      </c>
      <c r="C278" s="20" t="s">
        <v>182</v>
      </c>
      <c r="D278" s="21">
        <v>4</v>
      </c>
      <c r="E278" s="22">
        <v>0</v>
      </c>
    </row>
    <row r="279" s="29" customFormat="1" ht="28" spans="2:5">
      <c r="B279" s="19" t="s">
        <v>273</v>
      </c>
      <c r="C279" s="16" t="s">
        <v>183</v>
      </c>
      <c r="D279" s="23">
        <v>4</v>
      </c>
      <c r="E279" s="24">
        <v>0</v>
      </c>
    </row>
    <row r="280" s="29" customFormat="1" ht="41" spans="2:5">
      <c r="B280" s="19" t="s">
        <v>274</v>
      </c>
      <c r="C280" s="20" t="s">
        <v>182</v>
      </c>
      <c r="D280" s="21">
        <v>3</v>
      </c>
      <c r="E280" s="22">
        <v>0</v>
      </c>
    </row>
    <row r="281" s="29" customFormat="1" ht="28.75" spans="2:5">
      <c r="B281" s="19" t="s">
        <v>274</v>
      </c>
      <c r="C281" s="16" t="s">
        <v>183</v>
      </c>
      <c r="D281" s="23">
        <v>3</v>
      </c>
      <c r="E281" s="24">
        <v>0</v>
      </c>
    </row>
    <row r="282" s="29" customFormat="1" spans="2:5">
      <c r="B282" s="25"/>
      <c r="C282" s="25"/>
      <c r="D282" s="25"/>
      <c r="E282" s="25"/>
    </row>
    <row r="283" s="29" customFormat="1" ht="36" spans="2:5">
      <c r="B283" s="26" t="s">
        <v>189</v>
      </c>
      <c r="C283" s="26" t="s">
        <v>189</v>
      </c>
      <c r="D283" s="26" t="s">
        <v>189</v>
      </c>
      <c r="E283" s="26" t="s">
        <v>189</v>
      </c>
    </row>
    <row r="284" s="29" customFormat="1" spans="2:5">
      <c r="B284" s="26"/>
      <c r="C284" s="26"/>
      <c r="D284" s="26"/>
      <c r="E284" s="26"/>
    </row>
    <row r="285" s="29" customFormat="1" ht="36" spans="2:5">
      <c r="B285" s="26" t="s">
        <v>190</v>
      </c>
      <c r="C285" s="26" t="s">
        <v>190</v>
      </c>
      <c r="D285" s="26" t="s">
        <v>190</v>
      </c>
      <c r="E285" s="26" t="s">
        <v>190</v>
      </c>
    </row>
    <row r="286" s="29" customFormat="1" spans="2:5">
      <c r="B286" s="26" t="s">
        <v>275</v>
      </c>
      <c r="C286" s="26" t="s">
        <v>275</v>
      </c>
      <c r="D286" s="26" t="s">
        <v>275</v>
      </c>
      <c r="E286" s="26" t="s">
        <v>275</v>
      </c>
    </row>
    <row r="287" s="29" customFormat="1" ht="124" spans="2:5">
      <c r="B287" s="11" t="s">
        <v>173</v>
      </c>
      <c r="C287" s="11" t="s">
        <v>173</v>
      </c>
      <c r="D287" s="11" t="s">
        <v>173</v>
      </c>
      <c r="E287" s="11" t="s">
        <v>173</v>
      </c>
    </row>
    <row r="288" s="29" customFormat="1" ht="156" spans="2:5">
      <c r="B288" s="12" t="s">
        <v>174</v>
      </c>
      <c r="C288" s="12" t="s">
        <v>174</v>
      </c>
      <c r="D288" s="12" t="s">
        <v>174</v>
      </c>
      <c r="E288" s="12" t="s">
        <v>174</v>
      </c>
    </row>
    <row r="289" s="29" customFormat="1" ht="68" spans="2:5">
      <c r="B289" s="13" t="s">
        <v>175</v>
      </c>
      <c r="C289" s="13" t="s">
        <v>175</v>
      </c>
      <c r="D289" s="13" t="s">
        <v>175</v>
      </c>
      <c r="E289" s="13" t="s">
        <v>175</v>
      </c>
    </row>
    <row r="290" s="29" customFormat="1" ht="22" spans="2:5">
      <c r="B290" s="14" t="s">
        <v>176</v>
      </c>
      <c r="C290" s="14" t="s">
        <v>176</v>
      </c>
      <c r="D290" s="14" t="s">
        <v>176</v>
      </c>
      <c r="E290" s="14" t="s">
        <v>176</v>
      </c>
    </row>
    <row r="291" s="29" customFormat="1" spans="2:5">
      <c r="B291" s="15" t="s">
        <v>177</v>
      </c>
      <c r="C291" s="16" t="s">
        <v>178</v>
      </c>
      <c r="D291" s="17" t="s">
        <v>179</v>
      </c>
      <c r="E291" s="18" t="s">
        <v>180</v>
      </c>
    </row>
    <row r="292" s="29" customFormat="1" ht="41" spans="2:5">
      <c r="B292" s="19" t="s">
        <v>276</v>
      </c>
      <c r="C292" s="20" t="s">
        <v>182</v>
      </c>
      <c r="D292" s="21">
        <v>1</v>
      </c>
      <c r="E292" s="22">
        <v>1330000</v>
      </c>
    </row>
    <row r="293" s="29" customFormat="1" ht="28" spans="2:5">
      <c r="B293" s="19" t="s">
        <v>276</v>
      </c>
      <c r="C293" s="16" t="s">
        <v>183</v>
      </c>
      <c r="D293" s="23">
        <v>1</v>
      </c>
      <c r="E293" s="24">
        <v>1330000</v>
      </c>
    </row>
    <row r="294" s="29" customFormat="1" ht="41" spans="2:5">
      <c r="B294" s="19" t="s">
        <v>277</v>
      </c>
      <c r="C294" s="20" t="s">
        <v>182</v>
      </c>
      <c r="D294" s="21">
        <v>2</v>
      </c>
      <c r="E294" s="22">
        <v>1380000</v>
      </c>
    </row>
    <row r="295" s="29" customFormat="1" spans="2:5">
      <c r="B295" s="19" t="s">
        <v>277</v>
      </c>
      <c r="C295" s="16" t="s">
        <v>183</v>
      </c>
      <c r="D295" s="23">
        <v>2</v>
      </c>
      <c r="E295" s="24">
        <v>1380000</v>
      </c>
    </row>
    <row r="296" s="29" customFormat="1" ht="41" spans="2:5">
      <c r="B296" s="19" t="s">
        <v>278</v>
      </c>
      <c r="C296" s="20" t="s">
        <v>182</v>
      </c>
      <c r="D296" s="21">
        <v>2</v>
      </c>
      <c r="E296" s="22">
        <v>1770450.72</v>
      </c>
    </row>
    <row r="297" s="29" customFormat="1" spans="2:5">
      <c r="B297" s="19" t="s">
        <v>278</v>
      </c>
      <c r="C297" s="16" t="s">
        <v>183</v>
      </c>
      <c r="D297" s="23">
        <v>2</v>
      </c>
      <c r="E297" s="24">
        <v>1770450.72</v>
      </c>
    </row>
    <row r="298" s="29" customFormat="1" ht="41" spans="2:5">
      <c r="B298" s="19" t="s">
        <v>279</v>
      </c>
      <c r="C298" s="20" t="s">
        <v>182</v>
      </c>
      <c r="D298" s="21">
        <v>2</v>
      </c>
      <c r="E298" s="22">
        <v>1261262</v>
      </c>
    </row>
    <row r="299" s="29" customFormat="1" spans="2:5">
      <c r="B299" s="19" t="s">
        <v>279</v>
      </c>
      <c r="C299" s="16" t="s">
        <v>183</v>
      </c>
      <c r="D299" s="23">
        <v>2</v>
      </c>
      <c r="E299" s="24">
        <v>1261262</v>
      </c>
    </row>
    <row r="300" s="29" customFormat="1" ht="41" spans="2:5">
      <c r="B300" s="19" t="s">
        <v>280</v>
      </c>
      <c r="C300" s="20" t="s">
        <v>182</v>
      </c>
      <c r="D300" s="21">
        <v>12</v>
      </c>
      <c r="E300" s="22">
        <v>5189188</v>
      </c>
    </row>
    <row r="301" s="29" customFormat="1" ht="28" spans="2:5">
      <c r="B301" s="19" t="s">
        <v>280</v>
      </c>
      <c r="C301" s="16" t="s">
        <v>183</v>
      </c>
      <c r="D301" s="23">
        <v>12</v>
      </c>
      <c r="E301" s="24">
        <v>5189188</v>
      </c>
    </row>
    <row r="302" s="29" customFormat="1" ht="41" spans="2:5">
      <c r="B302" s="19" t="s">
        <v>281</v>
      </c>
      <c r="C302" s="20" t="s">
        <v>182</v>
      </c>
      <c r="D302" s="21">
        <v>4</v>
      </c>
      <c r="E302" s="22">
        <v>2634776</v>
      </c>
    </row>
    <row r="303" s="29" customFormat="1" ht="28.75" spans="2:5">
      <c r="B303" s="19" t="s">
        <v>281</v>
      </c>
      <c r="C303" s="16" t="s">
        <v>183</v>
      </c>
      <c r="D303" s="23">
        <v>4</v>
      </c>
      <c r="E303" s="24">
        <v>2634776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190</v>
      </c>
      <c r="C307" s="26" t="s">
        <v>190</v>
      </c>
      <c r="D307" s="26" t="s">
        <v>190</v>
      </c>
      <c r="E307" s="26" t="s">
        <v>190</v>
      </c>
    </row>
    <row r="308" s="29" customFormat="1" spans="2:5">
      <c r="B308" s="26" t="s">
        <v>282</v>
      </c>
      <c r="C308" s="26" t="s">
        <v>282</v>
      </c>
      <c r="D308" s="26" t="s">
        <v>282</v>
      </c>
      <c r="E308" s="26" t="s">
        <v>282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175</v>
      </c>
      <c r="C311" s="13" t="s">
        <v>175</v>
      </c>
      <c r="D311" s="13" t="s">
        <v>175</v>
      </c>
      <c r="E311" s="13" t="s">
        <v>175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41" spans="2:5">
      <c r="B314" s="19" t="s">
        <v>283</v>
      </c>
      <c r="C314" s="20" t="s">
        <v>182</v>
      </c>
      <c r="D314" s="21">
        <v>8</v>
      </c>
      <c r="E314" s="22">
        <v>5537296</v>
      </c>
    </row>
    <row r="315" s="29" customFormat="1" ht="28" spans="2:5">
      <c r="B315" s="19" t="s">
        <v>283</v>
      </c>
      <c r="C315" s="16" t="s">
        <v>183</v>
      </c>
      <c r="D315" s="23">
        <v>8</v>
      </c>
      <c r="E315" s="24">
        <v>5537296</v>
      </c>
    </row>
    <row r="316" s="29" customFormat="1" ht="41" spans="2:5">
      <c r="B316" s="19" t="s">
        <v>284</v>
      </c>
      <c r="C316" s="20" t="s">
        <v>182</v>
      </c>
      <c r="D316" s="21">
        <v>8</v>
      </c>
      <c r="E316" s="22">
        <v>5274956</v>
      </c>
    </row>
    <row r="317" s="29" customFormat="1" ht="28" spans="2:5">
      <c r="B317" s="19" t="s">
        <v>284</v>
      </c>
      <c r="C317" s="16" t="s">
        <v>183</v>
      </c>
      <c r="D317" s="23">
        <v>8</v>
      </c>
      <c r="E317" s="24">
        <v>5274956</v>
      </c>
    </row>
    <row r="318" s="29" customFormat="1" ht="41" spans="2:5">
      <c r="B318" s="19" t="s">
        <v>285</v>
      </c>
      <c r="C318" s="20" t="s">
        <v>182</v>
      </c>
      <c r="D318" s="21">
        <v>4</v>
      </c>
      <c r="E318" s="22">
        <v>4257118</v>
      </c>
    </row>
    <row r="319" s="29" customFormat="1" ht="28" spans="2:5">
      <c r="B319" s="19" t="s">
        <v>285</v>
      </c>
      <c r="C319" s="16" t="s">
        <v>183</v>
      </c>
      <c r="D319" s="23">
        <v>4</v>
      </c>
      <c r="E319" s="24">
        <v>4257118</v>
      </c>
    </row>
    <row r="320" s="29" customFormat="1" ht="41" spans="2:5">
      <c r="B320" s="19" t="s">
        <v>286</v>
      </c>
      <c r="C320" s="20" t="s">
        <v>182</v>
      </c>
      <c r="D320" s="21">
        <v>2</v>
      </c>
      <c r="E320" s="22">
        <v>1341712</v>
      </c>
    </row>
    <row r="321" s="29" customFormat="1" ht="28" spans="2:5">
      <c r="B321" s="19" t="s">
        <v>286</v>
      </c>
      <c r="C321" s="16" t="s">
        <v>183</v>
      </c>
      <c r="D321" s="23">
        <v>2</v>
      </c>
      <c r="E321" s="24">
        <v>1341712</v>
      </c>
    </row>
    <row r="322" s="29" customFormat="1" ht="41" spans="2:5">
      <c r="B322" s="19" t="s">
        <v>287</v>
      </c>
      <c r="C322" s="20" t="s">
        <v>182</v>
      </c>
      <c r="D322" s="21">
        <v>4</v>
      </c>
      <c r="E322" s="22">
        <v>2340900</v>
      </c>
    </row>
    <row r="323" s="29" customFormat="1" ht="28" spans="2:5">
      <c r="B323" s="19" t="s">
        <v>287</v>
      </c>
      <c r="C323" s="16" t="s">
        <v>183</v>
      </c>
      <c r="D323" s="23">
        <v>4</v>
      </c>
      <c r="E323" s="24">
        <v>2340900</v>
      </c>
    </row>
    <row r="324" s="29" customFormat="1" ht="41" spans="2:5">
      <c r="B324" s="19" t="s">
        <v>288</v>
      </c>
      <c r="C324" s="20" t="s">
        <v>182</v>
      </c>
      <c r="D324" s="21">
        <v>4</v>
      </c>
      <c r="E324" s="22">
        <v>3920180</v>
      </c>
    </row>
    <row r="325" s="29" customFormat="1" ht="28.75" spans="2:5">
      <c r="B325" s="19" t="s">
        <v>288</v>
      </c>
      <c r="C325" s="16" t="s">
        <v>183</v>
      </c>
      <c r="D325" s="23">
        <v>4</v>
      </c>
      <c r="E325" s="24">
        <v>3920180</v>
      </c>
    </row>
    <row r="326" s="29" customFormat="1" spans="2:5">
      <c r="B326" s="25"/>
      <c r="C326" s="25"/>
      <c r="D326" s="25"/>
      <c r="E326" s="25"/>
    </row>
    <row r="327" s="29" customFormat="1" ht="36" spans="2:5">
      <c r="B327" s="26" t="s">
        <v>189</v>
      </c>
      <c r="C327" s="26" t="s">
        <v>189</v>
      </c>
      <c r="D327" s="26" t="s">
        <v>189</v>
      </c>
      <c r="E327" s="26" t="s">
        <v>189</v>
      </c>
    </row>
    <row r="328" s="29" customFormat="1" spans="2:5">
      <c r="B328" s="26"/>
      <c r="C328" s="26"/>
      <c r="D328" s="26"/>
      <c r="E328" s="26"/>
    </row>
    <row r="329" s="29" customFormat="1" ht="36" spans="2:5">
      <c r="B329" s="26" t="s">
        <v>190</v>
      </c>
      <c r="C329" s="26" t="s">
        <v>190</v>
      </c>
      <c r="D329" s="26" t="s">
        <v>190</v>
      </c>
      <c r="E329" s="26" t="s">
        <v>190</v>
      </c>
    </row>
    <row r="330" s="29" customFormat="1" spans="2:5">
      <c r="B330" s="26" t="s">
        <v>289</v>
      </c>
      <c r="C330" s="26" t="s">
        <v>289</v>
      </c>
      <c r="D330" s="26" t="s">
        <v>289</v>
      </c>
      <c r="E330" s="26" t="s">
        <v>289</v>
      </c>
    </row>
    <row r="331" s="29" customFormat="1" ht="124" spans="2:5">
      <c r="B331" s="11" t="s">
        <v>173</v>
      </c>
      <c r="C331" s="11" t="s">
        <v>173</v>
      </c>
      <c r="D331" s="11" t="s">
        <v>173</v>
      </c>
      <c r="E331" s="11" t="s">
        <v>173</v>
      </c>
    </row>
    <row r="332" s="29" customFormat="1" ht="156" spans="2:5">
      <c r="B332" s="12" t="s">
        <v>174</v>
      </c>
      <c r="C332" s="12" t="s">
        <v>174</v>
      </c>
      <c r="D332" s="12" t="s">
        <v>174</v>
      </c>
      <c r="E332" s="12" t="s">
        <v>174</v>
      </c>
    </row>
    <row r="333" s="29" customFormat="1" ht="68" spans="2:5">
      <c r="B333" s="13" t="s">
        <v>175</v>
      </c>
      <c r="C333" s="13" t="s">
        <v>175</v>
      </c>
      <c r="D333" s="13" t="s">
        <v>175</v>
      </c>
      <c r="E333" s="13" t="s">
        <v>175</v>
      </c>
    </row>
    <row r="334" s="29" customFormat="1" ht="22" spans="2:5">
      <c r="B334" s="14" t="s">
        <v>176</v>
      </c>
      <c r="C334" s="14" t="s">
        <v>176</v>
      </c>
      <c r="D334" s="14" t="s">
        <v>176</v>
      </c>
      <c r="E334" s="14" t="s">
        <v>176</v>
      </c>
    </row>
    <row r="335" s="29" customFormat="1" spans="2:5">
      <c r="B335" s="15" t="s">
        <v>177</v>
      </c>
      <c r="C335" s="16" t="s">
        <v>178</v>
      </c>
      <c r="D335" s="17" t="s">
        <v>179</v>
      </c>
      <c r="E335" s="18" t="s">
        <v>180</v>
      </c>
    </row>
    <row r="336" s="29" customFormat="1" ht="41" spans="2:5">
      <c r="B336" s="19" t="s">
        <v>290</v>
      </c>
      <c r="C336" s="20" t="s">
        <v>182</v>
      </c>
      <c r="D336" s="21">
        <v>4</v>
      </c>
      <c r="E336" s="22">
        <v>3902882</v>
      </c>
    </row>
    <row r="337" s="29" customFormat="1" ht="28" spans="2:5">
      <c r="B337" s="19" t="s">
        <v>290</v>
      </c>
      <c r="C337" s="16" t="s">
        <v>183</v>
      </c>
      <c r="D337" s="23">
        <v>4</v>
      </c>
      <c r="E337" s="24">
        <v>3902882</v>
      </c>
    </row>
    <row r="338" s="29" customFormat="1" ht="41" spans="2:5">
      <c r="B338" s="19" t="s">
        <v>291</v>
      </c>
      <c r="C338" s="20" t="s">
        <v>182</v>
      </c>
      <c r="D338" s="21">
        <v>4</v>
      </c>
      <c r="E338" s="22">
        <v>1347748</v>
      </c>
    </row>
    <row r="339" s="29" customFormat="1" ht="28" spans="2:5">
      <c r="B339" s="19" t="s">
        <v>291</v>
      </c>
      <c r="C339" s="16" t="s">
        <v>183</v>
      </c>
      <c r="D339" s="23">
        <v>4</v>
      </c>
      <c r="E339" s="24">
        <v>1347748</v>
      </c>
    </row>
    <row r="340" s="29" customFormat="1" ht="41" spans="2:5">
      <c r="B340" s="19" t="s">
        <v>292</v>
      </c>
      <c r="C340" s="20" t="s">
        <v>182</v>
      </c>
      <c r="D340" s="21">
        <v>8</v>
      </c>
      <c r="E340" s="22">
        <v>3512072</v>
      </c>
    </row>
    <row r="341" s="29" customFormat="1" ht="28" spans="2:5">
      <c r="B341" s="19" t="s">
        <v>292</v>
      </c>
      <c r="C341" s="16" t="s">
        <v>183</v>
      </c>
      <c r="D341" s="23">
        <v>8</v>
      </c>
      <c r="E341" s="24">
        <v>3512072</v>
      </c>
    </row>
    <row r="342" s="29" customFormat="1" ht="41" spans="2:5">
      <c r="B342" s="19" t="s">
        <v>293</v>
      </c>
      <c r="C342" s="20" t="s">
        <v>182</v>
      </c>
      <c r="D342" s="21">
        <v>8</v>
      </c>
      <c r="E342" s="22">
        <v>3214056</v>
      </c>
    </row>
    <row r="343" s="29" customFormat="1" ht="28" spans="2:5">
      <c r="B343" s="19" t="s">
        <v>293</v>
      </c>
      <c r="C343" s="16" t="s">
        <v>183</v>
      </c>
      <c r="D343" s="23">
        <v>8</v>
      </c>
      <c r="E343" s="24">
        <v>3214056</v>
      </c>
    </row>
    <row r="344" s="29" customFormat="1" ht="41" spans="2:5">
      <c r="B344" s="19" t="s">
        <v>294</v>
      </c>
      <c r="C344" s="20" t="s">
        <v>182</v>
      </c>
      <c r="D344" s="21">
        <v>1</v>
      </c>
      <c r="E344" s="22">
        <v>279279</v>
      </c>
    </row>
    <row r="345" s="29" customFormat="1" ht="28" spans="2:5">
      <c r="B345" s="19" t="s">
        <v>294</v>
      </c>
      <c r="C345" s="16" t="s">
        <v>183</v>
      </c>
      <c r="D345" s="23">
        <v>1</v>
      </c>
      <c r="E345" s="24">
        <v>279279</v>
      </c>
    </row>
    <row r="346" s="29" customFormat="1" ht="41" spans="2:5">
      <c r="B346" s="19" t="s">
        <v>295</v>
      </c>
      <c r="C346" s="20" t="s">
        <v>182</v>
      </c>
      <c r="D346" s="21">
        <v>2</v>
      </c>
      <c r="E346" s="22">
        <v>1120000</v>
      </c>
    </row>
    <row r="347" s="29" customFormat="1" ht="28.75" spans="2:5">
      <c r="B347" s="19" t="s">
        <v>295</v>
      </c>
      <c r="C347" s="16" t="s">
        <v>183</v>
      </c>
      <c r="D347" s="23">
        <v>2</v>
      </c>
      <c r="E347" s="24">
        <v>1120000</v>
      </c>
    </row>
    <row r="348" s="29" customFormat="1" spans="2:5">
      <c r="B348" s="25"/>
      <c r="C348" s="25"/>
      <c r="D348" s="25"/>
      <c r="E348" s="25"/>
    </row>
    <row r="349" s="29" customFormat="1" ht="36" spans="2:5">
      <c r="B349" s="26" t="s">
        <v>189</v>
      </c>
      <c r="C349" s="26" t="s">
        <v>189</v>
      </c>
      <c r="D349" s="26" t="s">
        <v>189</v>
      </c>
      <c r="E349" s="26" t="s">
        <v>189</v>
      </c>
    </row>
    <row r="350" s="29" customFormat="1" spans="2:5">
      <c r="B350" s="26"/>
      <c r="C350" s="26"/>
      <c r="D350" s="26"/>
      <c r="E350" s="26"/>
    </row>
    <row r="351" s="29" customFormat="1" ht="36" spans="2:5">
      <c r="B351" s="26" t="s">
        <v>190</v>
      </c>
      <c r="C351" s="26" t="s">
        <v>190</v>
      </c>
      <c r="D351" s="26" t="s">
        <v>190</v>
      </c>
      <c r="E351" s="26" t="s">
        <v>190</v>
      </c>
    </row>
    <row r="352" s="29" customFormat="1" spans="2:5">
      <c r="B352" s="26" t="s">
        <v>296</v>
      </c>
      <c r="C352" s="26" t="s">
        <v>296</v>
      </c>
      <c r="D352" s="26" t="s">
        <v>296</v>
      </c>
      <c r="E352" s="26" t="s">
        <v>296</v>
      </c>
    </row>
    <row r="353" s="29" customFormat="1" ht="124" spans="2:5">
      <c r="B353" s="11" t="s">
        <v>173</v>
      </c>
      <c r="C353" s="11" t="s">
        <v>173</v>
      </c>
      <c r="D353" s="11" t="s">
        <v>173</v>
      </c>
      <c r="E353" s="11" t="s">
        <v>173</v>
      </c>
    </row>
    <row r="354" s="29" customFormat="1" ht="156" spans="2:5">
      <c r="B354" s="12" t="s">
        <v>174</v>
      </c>
      <c r="C354" s="12" t="s">
        <v>174</v>
      </c>
      <c r="D354" s="12" t="s">
        <v>174</v>
      </c>
      <c r="E354" s="12" t="s">
        <v>174</v>
      </c>
    </row>
    <row r="355" s="29" customFormat="1" ht="68" spans="2:5">
      <c r="B355" s="13" t="s">
        <v>175</v>
      </c>
      <c r="C355" s="13" t="s">
        <v>175</v>
      </c>
      <c r="D355" s="13" t="s">
        <v>175</v>
      </c>
      <c r="E355" s="13" t="s">
        <v>175</v>
      </c>
    </row>
    <row r="356" s="29" customFormat="1" ht="22" spans="2:5">
      <c r="B356" s="14" t="s">
        <v>176</v>
      </c>
      <c r="C356" s="14" t="s">
        <v>176</v>
      </c>
      <c r="D356" s="14" t="s">
        <v>176</v>
      </c>
      <c r="E356" s="14" t="s">
        <v>176</v>
      </c>
    </row>
    <row r="357" s="29" customFormat="1" spans="2:5">
      <c r="B357" s="15" t="s">
        <v>177</v>
      </c>
      <c r="C357" s="16" t="s">
        <v>178</v>
      </c>
      <c r="D357" s="17" t="s">
        <v>179</v>
      </c>
      <c r="E357" s="18" t="s">
        <v>180</v>
      </c>
    </row>
    <row r="358" s="29" customFormat="1" ht="41" spans="2:5">
      <c r="B358" s="19" t="s">
        <v>297</v>
      </c>
      <c r="C358" s="20" t="s">
        <v>182</v>
      </c>
      <c r="D358" s="21">
        <v>1</v>
      </c>
      <c r="E358" s="22">
        <v>315315</v>
      </c>
    </row>
    <row r="359" s="29" customFormat="1" spans="2:5">
      <c r="B359" s="19" t="s">
        <v>297</v>
      </c>
      <c r="C359" s="16" t="s">
        <v>183</v>
      </c>
      <c r="D359" s="23">
        <v>1</v>
      </c>
      <c r="E359" s="24">
        <v>315315</v>
      </c>
    </row>
    <row r="360" s="29" customFormat="1" ht="41" spans="2:5">
      <c r="B360" s="19" t="s">
        <v>298</v>
      </c>
      <c r="C360" s="20" t="s">
        <v>182</v>
      </c>
      <c r="D360" s="21">
        <v>1</v>
      </c>
      <c r="E360" s="22">
        <v>259000</v>
      </c>
    </row>
    <row r="361" s="29" customFormat="1" spans="2:5">
      <c r="B361" s="19" t="s">
        <v>298</v>
      </c>
      <c r="C361" s="16" t="s">
        <v>183</v>
      </c>
      <c r="D361" s="23">
        <v>1</v>
      </c>
      <c r="E361" s="24">
        <v>259000</v>
      </c>
    </row>
    <row r="362" s="29" customFormat="1" ht="41" spans="2:5">
      <c r="B362" s="19" t="s">
        <v>299</v>
      </c>
      <c r="C362" s="20" t="s">
        <v>182</v>
      </c>
      <c r="D362" s="21">
        <v>24</v>
      </c>
      <c r="E362" s="22">
        <v>1692527.001</v>
      </c>
    </row>
    <row r="363" s="29" customFormat="1" ht="28" spans="2:5">
      <c r="B363" s="19" t="s">
        <v>299</v>
      </c>
      <c r="C363" s="16" t="s">
        <v>183</v>
      </c>
      <c r="D363" s="23">
        <v>24</v>
      </c>
      <c r="E363" s="24">
        <v>1692527.001</v>
      </c>
    </row>
    <row r="364" s="29" customFormat="1" ht="41" spans="2:5">
      <c r="B364" s="19" t="s">
        <v>300</v>
      </c>
      <c r="C364" s="20" t="s">
        <v>182</v>
      </c>
      <c r="D364" s="21">
        <v>1</v>
      </c>
      <c r="E364" s="22">
        <v>125000</v>
      </c>
    </row>
    <row r="365" s="29" customFormat="1" spans="2:5">
      <c r="B365" s="19" t="s">
        <v>300</v>
      </c>
      <c r="C365" s="16" t="s">
        <v>183</v>
      </c>
      <c r="D365" s="23">
        <v>1</v>
      </c>
      <c r="E365" s="24">
        <v>125000</v>
      </c>
    </row>
    <row r="366" s="29" customFormat="1" ht="41" spans="2:5">
      <c r="B366" s="19" t="s">
        <v>301</v>
      </c>
      <c r="C366" s="20" t="s">
        <v>182</v>
      </c>
      <c r="D366" s="21">
        <v>11</v>
      </c>
      <c r="E366" s="22">
        <v>825000</v>
      </c>
    </row>
    <row r="367" s="29" customFormat="1" spans="2:5">
      <c r="B367" s="19" t="s">
        <v>301</v>
      </c>
      <c r="C367" s="16" t="s">
        <v>183</v>
      </c>
      <c r="D367" s="23">
        <v>11</v>
      </c>
      <c r="E367" s="24">
        <v>825000</v>
      </c>
    </row>
    <row r="368" s="29" customFormat="1" ht="41" spans="2:5">
      <c r="B368" s="19" t="s">
        <v>302</v>
      </c>
      <c r="C368" s="20" t="s">
        <v>182</v>
      </c>
      <c r="D368" s="21">
        <v>22</v>
      </c>
      <c r="E368" s="22">
        <v>232434.7</v>
      </c>
    </row>
    <row r="369" s="29" customFormat="1" ht="17.55" spans="2:5">
      <c r="B369" s="19" t="s">
        <v>302</v>
      </c>
      <c r="C369" s="16" t="s">
        <v>183</v>
      </c>
      <c r="D369" s="23">
        <v>22</v>
      </c>
      <c r="E369" s="24">
        <v>232434.7</v>
      </c>
    </row>
    <row r="370" s="29" customFormat="1" spans="2:5">
      <c r="B370" s="25"/>
      <c r="C370" s="25"/>
      <c r="D370" s="25"/>
      <c r="E370" s="25"/>
    </row>
    <row r="371" s="29" customFormat="1" ht="36" spans="2:5">
      <c r="B371" s="26" t="s">
        <v>189</v>
      </c>
      <c r="C371" s="26" t="s">
        <v>189</v>
      </c>
      <c r="D371" s="26" t="s">
        <v>189</v>
      </c>
      <c r="E371" s="26" t="s">
        <v>189</v>
      </c>
    </row>
    <row r="372" s="29" customFormat="1" spans="2:5">
      <c r="B372" s="26"/>
      <c r="C372" s="26"/>
      <c r="D372" s="26"/>
      <c r="E372" s="26"/>
    </row>
    <row r="373" s="29" customFormat="1" ht="36" spans="2:5">
      <c r="B373" s="26" t="s">
        <v>190</v>
      </c>
      <c r="C373" s="26" t="s">
        <v>190</v>
      </c>
      <c r="D373" s="26" t="s">
        <v>190</v>
      </c>
      <c r="E373" s="26" t="s">
        <v>190</v>
      </c>
    </row>
    <row r="374" s="29" customFormat="1" spans="2:5">
      <c r="B374" s="26" t="s">
        <v>303</v>
      </c>
      <c r="C374" s="26" t="s">
        <v>303</v>
      </c>
      <c r="D374" s="26" t="s">
        <v>303</v>
      </c>
      <c r="E374" s="26" t="s">
        <v>303</v>
      </c>
    </row>
    <row r="375" s="29" customFormat="1" ht="124" spans="2:5">
      <c r="B375" s="11" t="s">
        <v>173</v>
      </c>
      <c r="C375" s="11" t="s">
        <v>173</v>
      </c>
      <c r="D375" s="11" t="s">
        <v>173</v>
      </c>
      <c r="E375" s="11" t="s">
        <v>173</v>
      </c>
    </row>
    <row r="376" s="29" customFormat="1" ht="156" spans="2:5">
      <c r="B376" s="12" t="s">
        <v>174</v>
      </c>
      <c r="C376" s="12" t="s">
        <v>174</v>
      </c>
      <c r="D376" s="12" t="s">
        <v>174</v>
      </c>
      <c r="E376" s="12" t="s">
        <v>174</v>
      </c>
    </row>
    <row r="377" s="29" customFormat="1" ht="68" spans="2:5">
      <c r="B377" s="13" t="s">
        <v>175</v>
      </c>
      <c r="C377" s="13" t="s">
        <v>175</v>
      </c>
      <c r="D377" s="13" t="s">
        <v>175</v>
      </c>
      <c r="E377" s="13" t="s">
        <v>175</v>
      </c>
    </row>
    <row r="378" s="29" customFormat="1" ht="22" spans="2:5">
      <c r="B378" s="14" t="s">
        <v>176</v>
      </c>
      <c r="C378" s="14" t="s">
        <v>176</v>
      </c>
      <c r="D378" s="14" t="s">
        <v>176</v>
      </c>
      <c r="E378" s="14" t="s">
        <v>176</v>
      </c>
    </row>
    <row r="379" s="29" customFormat="1" spans="2:5">
      <c r="B379" s="15" t="s">
        <v>177</v>
      </c>
      <c r="C379" s="16" t="s">
        <v>178</v>
      </c>
      <c r="D379" s="17" t="s">
        <v>179</v>
      </c>
      <c r="E379" s="18" t="s">
        <v>180</v>
      </c>
    </row>
    <row r="380" s="29" customFormat="1" ht="41" spans="2:5">
      <c r="B380" s="19" t="s">
        <v>304</v>
      </c>
      <c r="C380" s="20" t="s">
        <v>182</v>
      </c>
      <c r="D380" s="21">
        <v>6</v>
      </c>
      <c r="E380" s="22">
        <v>2624325</v>
      </c>
    </row>
    <row r="381" s="29" customFormat="1" ht="28" spans="2:5">
      <c r="B381" s="19" t="s">
        <v>304</v>
      </c>
      <c r="C381" s="16" t="s">
        <v>183</v>
      </c>
      <c r="D381" s="23">
        <v>6</v>
      </c>
      <c r="E381" s="24">
        <v>2624325</v>
      </c>
    </row>
    <row r="382" s="29" customFormat="1" ht="41" spans="2:5">
      <c r="B382" s="19" t="s">
        <v>305</v>
      </c>
      <c r="C382" s="20" t="s">
        <v>182</v>
      </c>
      <c r="D382" s="21">
        <v>10</v>
      </c>
      <c r="E382" s="22">
        <v>4882883</v>
      </c>
    </row>
    <row r="383" s="29" customFormat="1" ht="28" spans="2:5">
      <c r="B383" s="19" t="s">
        <v>305</v>
      </c>
      <c r="C383" s="16" t="s">
        <v>183</v>
      </c>
      <c r="D383" s="23">
        <v>10</v>
      </c>
      <c r="E383" s="24">
        <v>4882883</v>
      </c>
    </row>
    <row r="384" s="29" customFormat="1" ht="41" spans="2:5">
      <c r="B384" s="19" t="s">
        <v>306</v>
      </c>
      <c r="C384" s="20" t="s">
        <v>182</v>
      </c>
      <c r="D384" s="21">
        <v>8</v>
      </c>
      <c r="E384" s="22">
        <v>3668468</v>
      </c>
    </row>
    <row r="385" s="29" customFormat="1" ht="28" spans="2:5">
      <c r="B385" s="19" t="s">
        <v>306</v>
      </c>
      <c r="C385" s="16" t="s">
        <v>183</v>
      </c>
      <c r="D385" s="23">
        <v>8</v>
      </c>
      <c r="E385" s="24">
        <v>3668468</v>
      </c>
    </row>
    <row r="386" s="29" customFormat="1" ht="41" spans="2:5">
      <c r="B386" s="19" t="s">
        <v>307</v>
      </c>
      <c r="C386" s="20" t="s">
        <v>182</v>
      </c>
      <c r="D386" s="21">
        <v>2</v>
      </c>
      <c r="E386" s="22">
        <v>1081982</v>
      </c>
    </row>
    <row r="387" s="29" customFormat="1" ht="28" spans="2:5">
      <c r="B387" s="19" t="s">
        <v>307</v>
      </c>
      <c r="C387" s="16" t="s">
        <v>183</v>
      </c>
      <c r="D387" s="23">
        <v>2</v>
      </c>
      <c r="E387" s="24">
        <v>1081982</v>
      </c>
    </row>
    <row r="388" s="29" customFormat="1" ht="41" spans="2:5">
      <c r="B388" s="19" t="s">
        <v>308</v>
      </c>
      <c r="C388" s="20" t="s">
        <v>182</v>
      </c>
      <c r="D388" s="21">
        <v>2</v>
      </c>
      <c r="E388" s="22">
        <v>1218018</v>
      </c>
    </row>
    <row r="389" s="29" customFormat="1" ht="28" spans="2:5">
      <c r="B389" s="19" t="s">
        <v>308</v>
      </c>
      <c r="C389" s="16" t="s">
        <v>183</v>
      </c>
      <c r="D389" s="23">
        <v>2</v>
      </c>
      <c r="E389" s="24">
        <v>1218018</v>
      </c>
    </row>
    <row r="390" s="29" customFormat="1" ht="41" spans="2:5">
      <c r="B390" s="19" t="s">
        <v>309</v>
      </c>
      <c r="C390" s="20" t="s">
        <v>182</v>
      </c>
      <c r="D390" s="21">
        <v>8</v>
      </c>
      <c r="E390" s="22">
        <v>5063064</v>
      </c>
    </row>
    <row r="391" s="29" customFormat="1" ht="28.75" spans="2:5">
      <c r="B391" s="19" t="s">
        <v>309</v>
      </c>
      <c r="C391" s="16" t="s">
        <v>183</v>
      </c>
      <c r="D391" s="23">
        <v>8</v>
      </c>
      <c r="E391" s="24">
        <v>5063064</v>
      </c>
    </row>
    <row r="392" s="29" customFormat="1" spans="2:5">
      <c r="B392" s="25"/>
      <c r="C392" s="25"/>
      <c r="D392" s="25"/>
      <c r="E392" s="25"/>
    </row>
    <row r="393" s="29" customFormat="1" ht="36" spans="2:5">
      <c r="B393" s="26" t="s">
        <v>189</v>
      </c>
      <c r="C393" s="26" t="s">
        <v>189</v>
      </c>
      <c r="D393" s="26" t="s">
        <v>189</v>
      </c>
      <c r="E393" s="26" t="s">
        <v>189</v>
      </c>
    </row>
    <row r="394" s="29" customFormat="1" spans="2:5">
      <c r="B394" s="26"/>
      <c r="C394" s="26"/>
      <c r="D394" s="26"/>
      <c r="E394" s="26"/>
    </row>
    <row r="395" s="29" customFormat="1" ht="36" spans="2:5">
      <c r="B395" s="26" t="s">
        <v>190</v>
      </c>
      <c r="C395" s="26" t="s">
        <v>190</v>
      </c>
      <c r="D395" s="26" t="s">
        <v>190</v>
      </c>
      <c r="E395" s="26" t="s">
        <v>190</v>
      </c>
    </row>
    <row r="396" s="29" customFormat="1" spans="2:5">
      <c r="B396" s="26" t="s">
        <v>310</v>
      </c>
      <c r="C396" s="26" t="s">
        <v>310</v>
      </c>
      <c r="D396" s="26" t="s">
        <v>310</v>
      </c>
      <c r="E396" s="26" t="s">
        <v>310</v>
      </c>
    </row>
    <row r="397" s="29" customFormat="1" ht="124" spans="2:5">
      <c r="B397" s="11" t="s">
        <v>173</v>
      </c>
      <c r="C397" s="11" t="s">
        <v>173</v>
      </c>
      <c r="D397" s="11" t="s">
        <v>173</v>
      </c>
      <c r="E397" s="11" t="s">
        <v>173</v>
      </c>
    </row>
    <row r="398" s="29" customFormat="1" ht="156" spans="2:5">
      <c r="B398" s="12" t="s">
        <v>174</v>
      </c>
      <c r="C398" s="12" t="s">
        <v>174</v>
      </c>
      <c r="D398" s="12" t="s">
        <v>174</v>
      </c>
      <c r="E398" s="12" t="s">
        <v>174</v>
      </c>
    </row>
    <row r="399" s="29" customFormat="1" ht="68" spans="2:5">
      <c r="B399" s="13" t="s">
        <v>175</v>
      </c>
      <c r="C399" s="13" t="s">
        <v>175</v>
      </c>
      <c r="D399" s="13" t="s">
        <v>175</v>
      </c>
      <c r="E399" s="13" t="s">
        <v>175</v>
      </c>
    </row>
    <row r="400" s="29" customFormat="1" ht="22" spans="2:5">
      <c r="B400" s="14" t="s">
        <v>176</v>
      </c>
      <c r="C400" s="14" t="s">
        <v>176</v>
      </c>
      <c r="D400" s="14" t="s">
        <v>176</v>
      </c>
      <c r="E400" s="14" t="s">
        <v>176</v>
      </c>
    </row>
    <row r="401" s="29" customFormat="1" spans="2:5">
      <c r="B401" s="15" t="s">
        <v>177</v>
      </c>
      <c r="C401" s="16" t="s">
        <v>178</v>
      </c>
      <c r="D401" s="17" t="s">
        <v>179</v>
      </c>
      <c r="E401" s="18" t="s">
        <v>180</v>
      </c>
    </row>
    <row r="402" s="29" customFormat="1" ht="41" spans="2:5">
      <c r="B402" s="19" t="s">
        <v>311</v>
      </c>
      <c r="C402" s="20" t="s">
        <v>182</v>
      </c>
      <c r="D402" s="21">
        <v>2</v>
      </c>
      <c r="E402" s="22">
        <v>770000</v>
      </c>
    </row>
    <row r="403" s="29" customFormat="1" spans="2:5">
      <c r="B403" s="19" t="s">
        <v>311</v>
      </c>
      <c r="C403" s="16" t="s">
        <v>183</v>
      </c>
      <c r="D403" s="23">
        <v>2</v>
      </c>
      <c r="E403" s="24">
        <v>770000</v>
      </c>
    </row>
    <row r="404" s="29" customFormat="1" ht="41" spans="2:5">
      <c r="B404" s="19" t="s">
        <v>312</v>
      </c>
      <c r="C404" s="20" t="s">
        <v>182</v>
      </c>
      <c r="D404" s="21">
        <v>2</v>
      </c>
      <c r="E404" s="22">
        <v>693694</v>
      </c>
    </row>
    <row r="405" s="29" customFormat="1" ht="28" spans="2:5">
      <c r="B405" s="19" t="s">
        <v>312</v>
      </c>
      <c r="C405" s="16" t="s">
        <v>183</v>
      </c>
      <c r="D405" s="23">
        <v>2</v>
      </c>
      <c r="E405" s="24">
        <v>693694</v>
      </c>
    </row>
    <row r="406" s="29" customFormat="1" ht="41" spans="2:5">
      <c r="B406" s="19" t="s">
        <v>313</v>
      </c>
      <c r="C406" s="20" t="s">
        <v>182</v>
      </c>
      <c r="D406" s="21">
        <v>2</v>
      </c>
      <c r="E406" s="22">
        <v>1700000</v>
      </c>
    </row>
    <row r="407" s="29" customFormat="1" ht="28" spans="2:5">
      <c r="B407" s="19" t="s">
        <v>313</v>
      </c>
      <c r="C407" s="16" t="s">
        <v>183</v>
      </c>
      <c r="D407" s="23">
        <v>2</v>
      </c>
      <c r="E407" s="24">
        <v>1700000</v>
      </c>
    </row>
    <row r="408" s="29" customFormat="1" ht="41" spans="2:5">
      <c r="B408" s="19" t="s">
        <v>314</v>
      </c>
      <c r="C408" s="20" t="s">
        <v>182</v>
      </c>
      <c r="D408" s="21">
        <v>2</v>
      </c>
      <c r="E408" s="22">
        <v>693694</v>
      </c>
    </row>
    <row r="409" s="29" customFormat="1" spans="2:5">
      <c r="B409" s="19" t="s">
        <v>314</v>
      </c>
      <c r="C409" s="16" t="s">
        <v>183</v>
      </c>
      <c r="D409" s="23">
        <v>2</v>
      </c>
      <c r="E409" s="24">
        <v>693694</v>
      </c>
    </row>
    <row r="410" s="29" customFormat="1" ht="41" spans="2:5">
      <c r="B410" s="19" t="s">
        <v>315</v>
      </c>
      <c r="C410" s="20" t="s">
        <v>182</v>
      </c>
      <c r="D410" s="21">
        <v>2</v>
      </c>
      <c r="E410" s="22">
        <v>2100000</v>
      </c>
    </row>
    <row r="411" s="29" customFormat="1" ht="28" spans="2:5">
      <c r="B411" s="19" t="s">
        <v>315</v>
      </c>
      <c r="C411" s="16" t="s">
        <v>183</v>
      </c>
      <c r="D411" s="23">
        <v>2</v>
      </c>
      <c r="E411" s="24">
        <v>2100000</v>
      </c>
    </row>
    <row r="412" s="29" customFormat="1" ht="41" spans="2:5">
      <c r="B412" s="19" t="s">
        <v>316</v>
      </c>
      <c r="C412" s="20" t="s">
        <v>182</v>
      </c>
      <c r="D412" s="21">
        <v>4</v>
      </c>
      <c r="E412" s="22">
        <v>296623</v>
      </c>
    </row>
    <row r="413" s="29" customFormat="1" ht="28.75" spans="2:5">
      <c r="B413" s="19" t="s">
        <v>316</v>
      </c>
      <c r="C413" s="16" t="s">
        <v>183</v>
      </c>
      <c r="D413" s="23">
        <v>4</v>
      </c>
      <c r="E413" s="24">
        <v>296623</v>
      </c>
    </row>
    <row r="414" s="29" customFormat="1" spans="2:5">
      <c r="B414" s="25"/>
      <c r="C414" s="25"/>
      <c r="D414" s="25"/>
      <c r="E414" s="25"/>
    </row>
    <row r="415" s="29" customFormat="1" ht="36" spans="2:5">
      <c r="B415" s="26" t="s">
        <v>189</v>
      </c>
      <c r="C415" s="26" t="s">
        <v>189</v>
      </c>
      <c r="D415" s="26" t="s">
        <v>189</v>
      </c>
      <c r="E415" s="26" t="s">
        <v>189</v>
      </c>
    </row>
    <row r="416" s="29" customFormat="1" spans="2:5">
      <c r="B416" s="26"/>
      <c r="C416" s="26"/>
      <c r="D416" s="26"/>
      <c r="E416" s="26"/>
    </row>
    <row r="417" s="29" customFormat="1" ht="36" spans="2:5">
      <c r="B417" s="26" t="s">
        <v>190</v>
      </c>
      <c r="C417" s="26" t="s">
        <v>190</v>
      </c>
      <c r="D417" s="26" t="s">
        <v>190</v>
      </c>
      <c r="E417" s="26" t="s">
        <v>190</v>
      </c>
    </row>
    <row r="418" s="29" customFormat="1" spans="2:5">
      <c r="B418" s="26" t="s">
        <v>317</v>
      </c>
      <c r="C418" s="26" t="s">
        <v>317</v>
      </c>
      <c r="D418" s="26" t="s">
        <v>317</v>
      </c>
      <c r="E418" s="26" t="s">
        <v>317</v>
      </c>
    </row>
    <row r="419" s="29" customFormat="1" ht="124" spans="2:5">
      <c r="B419" s="11" t="s">
        <v>173</v>
      </c>
      <c r="C419" s="11" t="s">
        <v>173</v>
      </c>
      <c r="D419" s="11" t="s">
        <v>173</v>
      </c>
      <c r="E419" s="11" t="s">
        <v>173</v>
      </c>
    </row>
    <row r="420" s="29" customFormat="1" ht="156" spans="2:5">
      <c r="B420" s="12" t="s">
        <v>174</v>
      </c>
      <c r="C420" s="12" t="s">
        <v>174</v>
      </c>
      <c r="D420" s="12" t="s">
        <v>174</v>
      </c>
      <c r="E420" s="12" t="s">
        <v>174</v>
      </c>
    </row>
    <row r="421" s="29" customFormat="1" ht="68" spans="2:5">
      <c r="B421" s="13" t="s">
        <v>175</v>
      </c>
      <c r="C421" s="13" t="s">
        <v>175</v>
      </c>
      <c r="D421" s="13" t="s">
        <v>175</v>
      </c>
      <c r="E421" s="13" t="s">
        <v>175</v>
      </c>
    </row>
    <row r="422" s="29" customFormat="1" ht="22" spans="2:5">
      <c r="B422" s="14" t="s">
        <v>176</v>
      </c>
      <c r="C422" s="14" t="s">
        <v>176</v>
      </c>
      <c r="D422" s="14" t="s">
        <v>176</v>
      </c>
      <c r="E422" s="14" t="s">
        <v>176</v>
      </c>
    </row>
    <row r="423" s="29" customFormat="1" spans="2:5">
      <c r="B423" s="15" t="s">
        <v>177</v>
      </c>
      <c r="C423" s="16" t="s">
        <v>178</v>
      </c>
      <c r="D423" s="17" t="s">
        <v>179</v>
      </c>
      <c r="E423" s="18" t="s">
        <v>180</v>
      </c>
    </row>
    <row r="424" s="29" customFormat="1" ht="41" spans="2:5">
      <c r="B424" s="19" t="s">
        <v>318</v>
      </c>
      <c r="C424" s="20" t="s">
        <v>182</v>
      </c>
      <c r="D424" s="21">
        <v>1</v>
      </c>
      <c r="E424" s="22">
        <v>285946.2</v>
      </c>
    </row>
    <row r="425" s="29" customFormat="1" ht="28" spans="2:5">
      <c r="B425" s="19" t="s">
        <v>318</v>
      </c>
      <c r="C425" s="16" t="s">
        <v>183</v>
      </c>
      <c r="D425" s="23">
        <v>1</v>
      </c>
      <c r="E425" s="24">
        <v>285946.2</v>
      </c>
    </row>
    <row r="426" s="29" customFormat="1" ht="41" spans="2:5">
      <c r="B426" s="19" t="s">
        <v>319</v>
      </c>
      <c r="C426" s="20" t="s">
        <v>182</v>
      </c>
      <c r="D426" s="21">
        <v>1</v>
      </c>
      <c r="E426" s="22">
        <v>0</v>
      </c>
    </row>
    <row r="427" s="29" customFormat="1" spans="2:5">
      <c r="B427" s="19" t="s">
        <v>319</v>
      </c>
      <c r="C427" s="16" t="s">
        <v>183</v>
      </c>
      <c r="D427" s="23">
        <v>1</v>
      </c>
      <c r="E427" s="24">
        <v>0</v>
      </c>
    </row>
    <row r="428" s="29" customFormat="1" ht="41" spans="2:5">
      <c r="B428" s="19" t="s">
        <v>320</v>
      </c>
      <c r="C428" s="20" t="s">
        <v>182</v>
      </c>
      <c r="D428" s="21">
        <v>24</v>
      </c>
      <c r="E428" s="22">
        <v>0</v>
      </c>
    </row>
    <row r="429" s="29" customFormat="1" ht="28" spans="2:5">
      <c r="B429" s="19" t="s">
        <v>320</v>
      </c>
      <c r="C429" s="16" t="s">
        <v>183</v>
      </c>
      <c r="D429" s="23">
        <v>24</v>
      </c>
      <c r="E429" s="24">
        <v>0</v>
      </c>
    </row>
    <row r="430" s="29" customFormat="1" ht="41" spans="2:5">
      <c r="B430" s="19" t="s">
        <v>321</v>
      </c>
      <c r="C430" s="20" t="s">
        <v>182</v>
      </c>
      <c r="D430" s="21">
        <v>9</v>
      </c>
      <c r="E430" s="22">
        <v>0</v>
      </c>
    </row>
    <row r="431" s="29" customFormat="1" ht="28" spans="2:5">
      <c r="B431" s="19" t="s">
        <v>321</v>
      </c>
      <c r="C431" s="16" t="s">
        <v>183</v>
      </c>
      <c r="D431" s="23">
        <v>9</v>
      </c>
      <c r="E431" s="24">
        <v>0</v>
      </c>
    </row>
    <row r="432" s="29" customFormat="1" ht="41" spans="2:5">
      <c r="B432" s="19" t="s">
        <v>322</v>
      </c>
      <c r="C432" s="20" t="s">
        <v>182</v>
      </c>
      <c r="D432" s="21">
        <v>52</v>
      </c>
      <c r="E432" s="22">
        <v>0</v>
      </c>
    </row>
    <row r="433" s="29" customFormat="1" ht="28" spans="2:5">
      <c r="B433" s="19" t="s">
        <v>322</v>
      </c>
      <c r="C433" s="16" t="s">
        <v>183</v>
      </c>
      <c r="D433" s="23">
        <v>52</v>
      </c>
      <c r="E433" s="24">
        <v>0</v>
      </c>
    </row>
    <row r="434" s="29" customFormat="1" ht="41" spans="2:5">
      <c r="B434" s="19" t="s">
        <v>323</v>
      </c>
      <c r="C434" s="20" t="s">
        <v>182</v>
      </c>
      <c r="D434" s="21">
        <v>6</v>
      </c>
      <c r="E434" s="22">
        <v>0</v>
      </c>
    </row>
    <row r="435" s="29" customFormat="1" ht="28.75" spans="2:5">
      <c r="B435" s="19" t="s">
        <v>323</v>
      </c>
      <c r="C435" s="16" t="s">
        <v>183</v>
      </c>
      <c r="D435" s="23">
        <v>6</v>
      </c>
      <c r="E435" s="24">
        <v>0</v>
      </c>
    </row>
    <row r="436" s="29" customFormat="1" spans="2:5">
      <c r="B436" s="25"/>
      <c r="C436" s="25"/>
      <c r="D436" s="25"/>
      <c r="E436" s="25"/>
    </row>
    <row r="437" s="29" customFormat="1" ht="36" spans="2:5">
      <c r="B437" s="26" t="s">
        <v>189</v>
      </c>
      <c r="C437" s="26" t="s">
        <v>189</v>
      </c>
      <c r="D437" s="26" t="s">
        <v>189</v>
      </c>
      <c r="E437" s="26" t="s">
        <v>189</v>
      </c>
    </row>
    <row r="438" s="29" customFormat="1" spans="2:5">
      <c r="B438" s="26"/>
      <c r="C438" s="26"/>
      <c r="D438" s="26"/>
      <c r="E438" s="26"/>
    </row>
    <row r="439" s="29" customFormat="1" ht="36" spans="2:5">
      <c r="B439" s="26" t="s">
        <v>190</v>
      </c>
      <c r="C439" s="26" t="s">
        <v>190</v>
      </c>
      <c r="D439" s="26" t="s">
        <v>190</v>
      </c>
      <c r="E439" s="26" t="s">
        <v>190</v>
      </c>
    </row>
    <row r="440" s="29" customFormat="1" spans="2:5">
      <c r="B440" s="26" t="s">
        <v>324</v>
      </c>
      <c r="C440" s="26" t="s">
        <v>324</v>
      </c>
      <c r="D440" s="26" t="s">
        <v>324</v>
      </c>
      <c r="E440" s="26" t="s">
        <v>324</v>
      </c>
    </row>
    <row r="441" s="29" customFormat="1" ht="124" spans="2:5">
      <c r="B441" s="11" t="s">
        <v>173</v>
      </c>
      <c r="C441" s="11" t="s">
        <v>173</v>
      </c>
      <c r="D441" s="11" t="s">
        <v>173</v>
      </c>
      <c r="E441" s="11" t="s">
        <v>173</v>
      </c>
    </row>
    <row r="442" s="29" customFormat="1" ht="156" spans="2:5">
      <c r="B442" s="12" t="s">
        <v>174</v>
      </c>
      <c r="C442" s="12" t="s">
        <v>174</v>
      </c>
      <c r="D442" s="12" t="s">
        <v>174</v>
      </c>
      <c r="E442" s="12" t="s">
        <v>174</v>
      </c>
    </row>
    <row r="443" s="29" customFormat="1" ht="68" spans="2:5">
      <c r="B443" s="13" t="s">
        <v>175</v>
      </c>
      <c r="C443" s="13" t="s">
        <v>175</v>
      </c>
      <c r="D443" s="13" t="s">
        <v>175</v>
      </c>
      <c r="E443" s="13" t="s">
        <v>175</v>
      </c>
    </row>
    <row r="444" s="29" customFormat="1" ht="22" spans="2:5">
      <c r="B444" s="14" t="s">
        <v>176</v>
      </c>
      <c r="C444" s="14" t="s">
        <v>176</v>
      </c>
      <c r="D444" s="14" t="s">
        <v>176</v>
      </c>
      <c r="E444" s="14" t="s">
        <v>176</v>
      </c>
    </row>
    <row r="445" s="29" customFormat="1" spans="2:5">
      <c r="B445" s="15" t="s">
        <v>177</v>
      </c>
      <c r="C445" s="16" t="s">
        <v>178</v>
      </c>
      <c r="D445" s="17" t="s">
        <v>179</v>
      </c>
      <c r="E445" s="18" t="s">
        <v>180</v>
      </c>
    </row>
    <row r="446" s="29" customFormat="1" ht="41" spans="2:5">
      <c r="B446" s="19" t="s">
        <v>325</v>
      </c>
      <c r="C446" s="20" t="s">
        <v>182</v>
      </c>
      <c r="D446" s="21">
        <v>3</v>
      </c>
      <c r="E446" s="22">
        <v>264615</v>
      </c>
    </row>
    <row r="447" s="29" customFormat="1" ht="28" spans="2:5">
      <c r="B447" s="19" t="s">
        <v>325</v>
      </c>
      <c r="C447" s="16" t="s">
        <v>183</v>
      </c>
      <c r="D447" s="23">
        <v>3</v>
      </c>
      <c r="E447" s="24">
        <v>264615</v>
      </c>
    </row>
    <row r="448" s="29" customFormat="1" ht="41" spans="2:5">
      <c r="B448" s="19" t="s">
        <v>326</v>
      </c>
      <c r="C448" s="20" t="s">
        <v>182</v>
      </c>
      <c r="D448" s="21">
        <v>11</v>
      </c>
      <c r="E448" s="22">
        <v>1101078</v>
      </c>
    </row>
    <row r="449" s="29" customFormat="1" ht="28" spans="2:5">
      <c r="B449" s="19" t="s">
        <v>326</v>
      </c>
      <c r="C449" s="16" t="s">
        <v>183</v>
      </c>
      <c r="D449" s="23">
        <v>11</v>
      </c>
      <c r="E449" s="24">
        <v>1101078</v>
      </c>
    </row>
    <row r="450" s="29" customFormat="1" ht="41" spans="2:5">
      <c r="B450" s="19" t="s">
        <v>327</v>
      </c>
      <c r="C450" s="20" t="s">
        <v>182</v>
      </c>
      <c r="D450" s="21">
        <v>1</v>
      </c>
      <c r="E450" s="22">
        <v>112613</v>
      </c>
    </row>
    <row r="451" s="29" customFormat="1" spans="2:5">
      <c r="B451" s="19" t="s">
        <v>327</v>
      </c>
      <c r="C451" s="16" t="s">
        <v>183</v>
      </c>
      <c r="D451" s="23">
        <v>1</v>
      </c>
      <c r="E451" s="24">
        <v>112613</v>
      </c>
    </row>
    <row r="452" s="29" customFormat="1" ht="41" spans="2:5">
      <c r="B452" s="19" t="s">
        <v>328</v>
      </c>
      <c r="C452" s="20" t="s">
        <v>182</v>
      </c>
      <c r="D452" s="21">
        <v>4</v>
      </c>
      <c r="E452" s="22">
        <v>184576.08</v>
      </c>
    </row>
    <row r="453" s="29" customFormat="1" ht="28" spans="2:5">
      <c r="B453" s="19" t="s">
        <v>328</v>
      </c>
      <c r="C453" s="16" t="s">
        <v>183</v>
      </c>
      <c r="D453" s="23">
        <v>4</v>
      </c>
      <c r="E453" s="24">
        <v>184576.08</v>
      </c>
    </row>
    <row r="454" s="29" customFormat="1" ht="41" spans="2:5">
      <c r="B454" s="19" t="s">
        <v>329</v>
      </c>
      <c r="C454" s="20" t="s">
        <v>182</v>
      </c>
      <c r="D454" s="21">
        <v>3</v>
      </c>
      <c r="E454" s="22">
        <v>709910</v>
      </c>
    </row>
    <row r="455" s="29" customFormat="1" ht="28" spans="2:5">
      <c r="B455" s="19" t="s">
        <v>329</v>
      </c>
      <c r="C455" s="16" t="s">
        <v>183</v>
      </c>
      <c r="D455" s="23">
        <v>3</v>
      </c>
      <c r="E455" s="24">
        <v>709910</v>
      </c>
    </row>
    <row r="456" s="29" customFormat="1" ht="41" spans="2:5">
      <c r="B456" s="19" t="s">
        <v>330</v>
      </c>
      <c r="C456" s="20" t="s">
        <v>182</v>
      </c>
      <c r="D456" s="21">
        <v>4</v>
      </c>
      <c r="E456" s="22">
        <v>675328</v>
      </c>
    </row>
    <row r="457" s="29" customFormat="1" ht="28.75" spans="2:5">
      <c r="B457" s="19" t="s">
        <v>330</v>
      </c>
      <c r="C457" s="16" t="s">
        <v>183</v>
      </c>
      <c r="D457" s="23">
        <v>4</v>
      </c>
      <c r="E457" s="24">
        <v>675328</v>
      </c>
    </row>
    <row r="458" s="29" customFormat="1" spans="2:5">
      <c r="B458" s="25"/>
      <c r="C458" s="25"/>
      <c r="D458" s="25"/>
      <c r="E458" s="25"/>
    </row>
    <row r="459" s="29" customFormat="1" ht="36" spans="2:5">
      <c r="B459" s="26" t="s">
        <v>189</v>
      </c>
      <c r="C459" s="26" t="s">
        <v>189</v>
      </c>
      <c r="D459" s="26" t="s">
        <v>189</v>
      </c>
      <c r="E459" s="26" t="s">
        <v>189</v>
      </c>
    </row>
    <row r="460" s="29" customFormat="1" spans="2:5">
      <c r="B460" s="26"/>
      <c r="C460" s="26"/>
      <c r="D460" s="26"/>
      <c r="E460" s="26"/>
    </row>
    <row r="461" s="29" customFormat="1" ht="36" spans="2:5">
      <c r="B461" s="26" t="s">
        <v>190</v>
      </c>
      <c r="C461" s="26" t="s">
        <v>190</v>
      </c>
      <c r="D461" s="26" t="s">
        <v>190</v>
      </c>
      <c r="E461" s="26" t="s">
        <v>190</v>
      </c>
    </row>
    <row r="462" s="29" customFormat="1" spans="2:5">
      <c r="B462" s="26" t="s">
        <v>331</v>
      </c>
      <c r="C462" s="26" t="s">
        <v>331</v>
      </c>
      <c r="D462" s="26" t="s">
        <v>331</v>
      </c>
      <c r="E462" s="26" t="s">
        <v>331</v>
      </c>
    </row>
    <row r="463" s="29" customFormat="1" ht="124" spans="2:5">
      <c r="B463" s="11" t="s">
        <v>173</v>
      </c>
      <c r="C463" s="11" t="s">
        <v>173</v>
      </c>
      <c r="D463" s="11" t="s">
        <v>173</v>
      </c>
      <c r="E463" s="11" t="s">
        <v>173</v>
      </c>
    </row>
    <row r="464" s="29" customFormat="1" ht="156" spans="2:5">
      <c r="B464" s="12" t="s">
        <v>174</v>
      </c>
      <c r="C464" s="12" t="s">
        <v>174</v>
      </c>
      <c r="D464" s="12" t="s">
        <v>174</v>
      </c>
      <c r="E464" s="12" t="s">
        <v>174</v>
      </c>
    </row>
    <row r="465" s="29" customFormat="1" ht="68" spans="2:5">
      <c r="B465" s="13" t="s">
        <v>175</v>
      </c>
      <c r="C465" s="13" t="s">
        <v>175</v>
      </c>
      <c r="D465" s="13" t="s">
        <v>175</v>
      </c>
      <c r="E465" s="13" t="s">
        <v>175</v>
      </c>
    </row>
    <row r="466" s="29" customFormat="1" ht="22" spans="2:5">
      <c r="B466" s="14" t="s">
        <v>176</v>
      </c>
      <c r="C466" s="14" t="s">
        <v>176</v>
      </c>
      <c r="D466" s="14" t="s">
        <v>176</v>
      </c>
      <c r="E466" s="14" t="s">
        <v>176</v>
      </c>
    </row>
    <row r="467" s="29" customFormat="1" spans="2:5">
      <c r="B467" s="15" t="s">
        <v>177</v>
      </c>
      <c r="C467" s="16" t="s">
        <v>178</v>
      </c>
      <c r="D467" s="17" t="s">
        <v>179</v>
      </c>
      <c r="E467" s="18" t="s">
        <v>180</v>
      </c>
    </row>
    <row r="468" s="29" customFormat="1" ht="41" spans="2:5">
      <c r="B468" s="19" t="s">
        <v>332</v>
      </c>
      <c r="C468" s="20" t="s">
        <v>182</v>
      </c>
      <c r="D468" s="21">
        <v>6</v>
      </c>
      <c r="E468" s="22">
        <v>765504</v>
      </c>
    </row>
    <row r="469" s="29" customFormat="1" ht="28" spans="2:5">
      <c r="B469" s="19" t="s">
        <v>332</v>
      </c>
      <c r="C469" s="16" t="s">
        <v>183</v>
      </c>
      <c r="D469" s="23">
        <v>6</v>
      </c>
      <c r="E469" s="24">
        <v>765504</v>
      </c>
    </row>
    <row r="470" s="29" customFormat="1" ht="41" spans="2:5">
      <c r="B470" s="19" t="s">
        <v>333</v>
      </c>
      <c r="C470" s="20" t="s">
        <v>182</v>
      </c>
      <c r="D470" s="21">
        <v>3</v>
      </c>
      <c r="E470" s="22">
        <v>754011</v>
      </c>
    </row>
    <row r="471" s="29" customFormat="1" ht="28" spans="2:5">
      <c r="B471" s="19" t="s">
        <v>333</v>
      </c>
      <c r="C471" s="16" t="s">
        <v>183</v>
      </c>
      <c r="D471" s="23">
        <v>3</v>
      </c>
      <c r="E471" s="24">
        <v>754011</v>
      </c>
    </row>
    <row r="472" s="29" customFormat="1" ht="41" spans="2:5">
      <c r="B472" s="19" t="s">
        <v>334</v>
      </c>
      <c r="C472" s="20" t="s">
        <v>182</v>
      </c>
      <c r="D472" s="21">
        <v>4</v>
      </c>
      <c r="E472" s="22">
        <v>0</v>
      </c>
    </row>
    <row r="473" s="29" customFormat="1" ht="28" spans="2:5">
      <c r="B473" s="19" t="s">
        <v>334</v>
      </c>
      <c r="C473" s="16" t="s">
        <v>183</v>
      </c>
      <c r="D473" s="23">
        <v>4</v>
      </c>
      <c r="E473" s="24">
        <v>0</v>
      </c>
    </row>
    <row r="474" s="29" customFormat="1" ht="41" spans="2:5">
      <c r="B474" s="19" t="s">
        <v>335</v>
      </c>
      <c r="C474" s="20" t="s">
        <v>182</v>
      </c>
      <c r="D474" s="21">
        <v>1</v>
      </c>
      <c r="E474" s="22">
        <v>118919</v>
      </c>
    </row>
    <row r="475" s="29" customFormat="1" spans="2:5">
      <c r="B475" s="19" t="s">
        <v>335</v>
      </c>
      <c r="C475" s="16" t="s">
        <v>183</v>
      </c>
      <c r="D475" s="23">
        <v>1</v>
      </c>
      <c r="E475" s="24">
        <v>118919</v>
      </c>
    </row>
    <row r="476" s="29" customFormat="1" ht="41" spans="2:5">
      <c r="B476" s="19" t="s">
        <v>336</v>
      </c>
      <c r="C476" s="20" t="s">
        <v>182</v>
      </c>
      <c r="D476" s="21">
        <v>359</v>
      </c>
      <c r="E476" s="22">
        <v>0</v>
      </c>
    </row>
    <row r="477" s="29" customFormat="1" spans="2:5">
      <c r="B477" s="19" t="s">
        <v>336</v>
      </c>
      <c r="C477" s="16" t="s">
        <v>183</v>
      </c>
      <c r="D477" s="23">
        <v>359</v>
      </c>
      <c r="E477" s="24">
        <v>0</v>
      </c>
    </row>
    <row r="478" s="29" customFormat="1" ht="41" spans="2:5">
      <c r="B478" s="19" t="s">
        <v>337</v>
      </c>
      <c r="C478" s="20" t="s">
        <v>182</v>
      </c>
      <c r="D478" s="21">
        <v>1</v>
      </c>
      <c r="E478" s="22">
        <v>435045</v>
      </c>
    </row>
    <row r="479" s="29" customFormat="1" ht="17.55" spans="2:5">
      <c r="B479" s="19" t="s">
        <v>337</v>
      </c>
      <c r="C479" s="16" t="s">
        <v>183</v>
      </c>
      <c r="D479" s="23">
        <v>1</v>
      </c>
      <c r="E479" s="24">
        <v>435045</v>
      </c>
    </row>
    <row r="480" s="29" customFormat="1" spans="2:5">
      <c r="B480" s="25"/>
      <c r="C480" s="25"/>
      <c r="D480" s="25"/>
      <c r="E480" s="25"/>
    </row>
    <row r="481" s="29" customFormat="1" ht="36" spans="2:5">
      <c r="B481" s="26" t="s">
        <v>189</v>
      </c>
      <c r="C481" s="26" t="s">
        <v>189</v>
      </c>
      <c r="D481" s="26" t="s">
        <v>189</v>
      </c>
      <c r="E481" s="26" t="s">
        <v>189</v>
      </c>
    </row>
    <row r="482" s="29" customFormat="1" spans="2:5">
      <c r="B482" s="26"/>
      <c r="C482" s="26"/>
      <c r="D482" s="26"/>
      <c r="E482" s="26"/>
    </row>
    <row r="483" s="29" customFormat="1" ht="36" spans="2:5">
      <c r="B483" s="26" t="s">
        <v>190</v>
      </c>
      <c r="C483" s="26" t="s">
        <v>190</v>
      </c>
      <c r="D483" s="26" t="s">
        <v>190</v>
      </c>
      <c r="E483" s="26" t="s">
        <v>190</v>
      </c>
    </row>
    <row r="484" s="29" customFormat="1" spans="2:5">
      <c r="B484" s="26" t="s">
        <v>338</v>
      </c>
      <c r="C484" s="26" t="s">
        <v>338</v>
      </c>
      <c r="D484" s="26" t="s">
        <v>338</v>
      </c>
      <c r="E484" s="26" t="s">
        <v>338</v>
      </c>
    </row>
    <row r="485" s="29" customFormat="1" ht="124" spans="2:5">
      <c r="B485" s="11" t="s">
        <v>173</v>
      </c>
      <c r="C485" s="11" t="s">
        <v>173</v>
      </c>
      <c r="D485" s="11" t="s">
        <v>173</v>
      </c>
      <c r="E485" s="11" t="s">
        <v>173</v>
      </c>
    </row>
    <row r="486" s="29" customFormat="1" ht="156" spans="2:5">
      <c r="B486" s="12" t="s">
        <v>174</v>
      </c>
      <c r="C486" s="12" t="s">
        <v>174</v>
      </c>
      <c r="D486" s="12" t="s">
        <v>174</v>
      </c>
      <c r="E486" s="12" t="s">
        <v>174</v>
      </c>
    </row>
    <row r="487" s="29" customFormat="1" ht="68" spans="2:5">
      <c r="B487" s="13" t="s">
        <v>175</v>
      </c>
      <c r="C487" s="13" t="s">
        <v>175</v>
      </c>
      <c r="D487" s="13" t="s">
        <v>175</v>
      </c>
      <c r="E487" s="13" t="s">
        <v>175</v>
      </c>
    </row>
    <row r="488" s="29" customFormat="1" ht="22" spans="2:5">
      <c r="B488" s="14" t="s">
        <v>176</v>
      </c>
      <c r="C488" s="14" t="s">
        <v>176</v>
      </c>
      <c r="D488" s="14" t="s">
        <v>176</v>
      </c>
      <c r="E488" s="14" t="s">
        <v>176</v>
      </c>
    </row>
    <row r="489" s="29" customFormat="1" spans="2:5">
      <c r="B489" s="15" t="s">
        <v>177</v>
      </c>
      <c r="C489" s="16" t="s">
        <v>178</v>
      </c>
      <c r="D489" s="17" t="s">
        <v>179</v>
      </c>
      <c r="E489" s="18" t="s">
        <v>180</v>
      </c>
    </row>
    <row r="490" s="29" customFormat="1" ht="41" spans="2:5">
      <c r="B490" s="19" t="s">
        <v>339</v>
      </c>
      <c r="C490" s="20" t="s">
        <v>182</v>
      </c>
      <c r="D490" s="21">
        <v>1</v>
      </c>
      <c r="E490" s="22">
        <v>351351</v>
      </c>
    </row>
    <row r="491" s="29" customFormat="1" ht="28" spans="2:5">
      <c r="B491" s="19" t="s">
        <v>339</v>
      </c>
      <c r="C491" s="16" t="s">
        <v>183</v>
      </c>
      <c r="D491" s="23">
        <v>1</v>
      </c>
      <c r="E491" s="24">
        <v>351351</v>
      </c>
    </row>
    <row r="492" s="29" customFormat="1" ht="41" spans="2:5">
      <c r="B492" s="19" t="s">
        <v>340</v>
      </c>
      <c r="C492" s="20" t="s">
        <v>182</v>
      </c>
      <c r="D492" s="21">
        <v>2</v>
      </c>
      <c r="E492" s="22">
        <v>720720</v>
      </c>
    </row>
    <row r="493" s="29" customFormat="1" spans="2:5">
      <c r="B493" s="19" t="s">
        <v>340</v>
      </c>
      <c r="C493" s="16" t="s">
        <v>183</v>
      </c>
      <c r="D493" s="23">
        <v>2</v>
      </c>
      <c r="E493" s="24">
        <v>720720</v>
      </c>
    </row>
    <row r="494" s="29" customFormat="1" ht="17.55" spans="2:5">
      <c r="B494" s="28" t="s">
        <v>341</v>
      </c>
      <c r="C494" s="28" t="s">
        <v>341</v>
      </c>
      <c r="D494" s="23">
        <v>1139</v>
      </c>
      <c r="E494" s="24">
        <v>334841145.181</v>
      </c>
    </row>
    <row r="495" s="29" customFormat="1" spans="2:5">
      <c r="B495" s="25"/>
      <c r="C495" s="25"/>
      <c r="D495" s="25"/>
      <c r="E495" s="25"/>
    </row>
    <row r="496" s="29" customFormat="1" ht="36" spans="2:5">
      <c r="B496" s="26" t="s">
        <v>189</v>
      </c>
      <c r="C496" s="26" t="s">
        <v>189</v>
      </c>
      <c r="D496" s="26" t="s">
        <v>189</v>
      </c>
      <c r="E496" s="26" t="s">
        <v>189</v>
      </c>
    </row>
    <row r="497" s="29" customFormat="1" spans="2:5">
      <c r="B497" s="26"/>
      <c r="C497" s="26"/>
      <c r="D497" s="26"/>
      <c r="E497" s="26"/>
    </row>
    <row r="498" s="29" customFormat="1" ht="36" spans="2:5">
      <c r="B498" s="26" t="s">
        <v>190</v>
      </c>
      <c r="C498" s="26" t="s">
        <v>190</v>
      </c>
      <c r="D498" s="26" t="s">
        <v>190</v>
      </c>
      <c r="E498" s="26" t="s">
        <v>190</v>
      </c>
    </row>
    <row r="499" s="29" customFormat="1" spans="2:5">
      <c r="B499" s="26" t="s">
        <v>342</v>
      </c>
      <c r="C499" s="26" t="s">
        <v>342</v>
      </c>
      <c r="D499" s="26" t="s">
        <v>342</v>
      </c>
      <c r="E499" s="26" t="s">
        <v>342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1"/>
  <sheetViews>
    <sheetView topLeftCell="A2"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343</v>
      </c>
      <c r="C3" s="13" t="s">
        <v>343</v>
      </c>
      <c r="D3" s="13" t="s">
        <v>343</v>
      </c>
      <c r="E3" s="13" t="s">
        <v>343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344</v>
      </c>
      <c r="C6" s="20" t="s">
        <v>182</v>
      </c>
      <c r="D6" s="21">
        <v>2</v>
      </c>
      <c r="E6" s="22">
        <v>227600</v>
      </c>
      <c r="F6" s="30"/>
      <c r="G6" s="30"/>
    </row>
    <row r="7" s="29" customFormat="1" spans="1:7">
      <c r="A7" s="30" t="s">
        <v>172</v>
      </c>
      <c r="B7" s="19" t="s">
        <v>344</v>
      </c>
      <c r="C7" s="16" t="s">
        <v>183</v>
      </c>
      <c r="D7" s="23">
        <v>2</v>
      </c>
      <c r="E7" s="24">
        <v>227600</v>
      </c>
      <c r="F7" s="30"/>
      <c r="G7" s="30"/>
    </row>
    <row r="8" s="29" customFormat="1" spans="1:7">
      <c r="A8" s="30" t="s">
        <v>172</v>
      </c>
      <c r="B8" s="19" t="s">
        <v>345</v>
      </c>
      <c r="C8" s="20" t="s">
        <v>172</v>
      </c>
      <c r="D8" s="21">
        <v>1</v>
      </c>
      <c r="E8" s="22">
        <v>78000</v>
      </c>
      <c r="F8" s="30"/>
      <c r="G8" s="30"/>
    </row>
    <row r="9" s="29" customFormat="1" spans="1:7">
      <c r="A9" s="30" t="s">
        <v>172</v>
      </c>
      <c r="B9" s="19" t="s">
        <v>345</v>
      </c>
      <c r="C9" s="16" t="s">
        <v>183</v>
      </c>
      <c r="D9" s="23">
        <v>1</v>
      </c>
      <c r="E9" s="24">
        <v>78000</v>
      </c>
      <c r="F9" s="30"/>
      <c r="G9" s="30"/>
    </row>
    <row r="10" s="29" customFormat="1" ht="41" spans="1:7">
      <c r="A10" s="30" t="s">
        <v>172</v>
      </c>
      <c r="B10" s="19" t="s">
        <v>346</v>
      </c>
      <c r="C10" s="20" t="s">
        <v>182</v>
      </c>
      <c r="D10" s="21">
        <v>2</v>
      </c>
      <c r="E10" s="22">
        <v>2058400</v>
      </c>
      <c r="F10" s="30"/>
      <c r="G10" s="30"/>
    </row>
    <row r="11" s="29" customFormat="1" ht="28" spans="1:7">
      <c r="A11" s="30" t="s">
        <v>172</v>
      </c>
      <c r="B11" s="19" t="s">
        <v>346</v>
      </c>
      <c r="C11" s="16" t="s">
        <v>183</v>
      </c>
      <c r="D11" s="23">
        <v>2</v>
      </c>
      <c r="E11" s="24">
        <v>2058400</v>
      </c>
      <c r="F11" s="30"/>
      <c r="G11" s="30"/>
    </row>
    <row r="12" s="29" customFormat="1" ht="41" spans="1:7">
      <c r="A12" s="30" t="s">
        <v>172</v>
      </c>
      <c r="B12" s="19" t="s">
        <v>185</v>
      </c>
      <c r="C12" s="20" t="s">
        <v>182</v>
      </c>
      <c r="D12" s="21">
        <v>1</v>
      </c>
      <c r="E12" s="22">
        <v>1126100</v>
      </c>
      <c r="F12" s="30"/>
      <c r="G12" s="30"/>
    </row>
    <row r="13" s="29" customFormat="1" ht="28" spans="1:7">
      <c r="A13" s="30" t="s">
        <v>172</v>
      </c>
      <c r="B13" s="19" t="s">
        <v>185</v>
      </c>
      <c r="C13" s="16" t="s">
        <v>183</v>
      </c>
      <c r="D13" s="23">
        <v>1</v>
      </c>
      <c r="E13" s="24">
        <v>1126100</v>
      </c>
      <c r="F13" s="30"/>
      <c r="G13" s="30"/>
    </row>
    <row r="14" s="29" customFormat="1" ht="41" spans="1:7">
      <c r="A14" s="30" t="s">
        <v>172</v>
      </c>
      <c r="B14" s="19" t="s">
        <v>347</v>
      </c>
      <c r="C14" s="20" t="s">
        <v>182</v>
      </c>
      <c r="D14" s="21">
        <v>1</v>
      </c>
      <c r="E14" s="22">
        <v>1126100</v>
      </c>
      <c r="F14" s="30"/>
      <c r="G14" s="30"/>
    </row>
    <row r="15" s="29" customFormat="1" ht="28" spans="1:7">
      <c r="A15" s="30" t="s">
        <v>172</v>
      </c>
      <c r="B15" s="19" t="s">
        <v>347</v>
      </c>
      <c r="C15" s="16" t="s">
        <v>183</v>
      </c>
      <c r="D15" s="23">
        <v>1</v>
      </c>
      <c r="E15" s="24">
        <v>1126100</v>
      </c>
      <c r="F15" s="30"/>
      <c r="G15" s="30"/>
    </row>
    <row r="16" s="29" customFormat="1" ht="41" spans="1:7">
      <c r="A16" s="30" t="s">
        <v>172</v>
      </c>
      <c r="B16" s="19" t="s">
        <v>348</v>
      </c>
      <c r="C16" s="20" t="s">
        <v>182</v>
      </c>
      <c r="D16" s="21">
        <v>1</v>
      </c>
      <c r="E16" s="22">
        <v>228800</v>
      </c>
      <c r="F16" s="30"/>
      <c r="G16" s="30"/>
    </row>
    <row r="17" s="29" customFormat="1" ht="28" spans="1:7">
      <c r="A17" s="30" t="s">
        <v>172</v>
      </c>
      <c r="B17" s="19" t="s">
        <v>348</v>
      </c>
      <c r="C17" s="16" t="s">
        <v>183</v>
      </c>
      <c r="D17" s="23">
        <v>1</v>
      </c>
      <c r="E17" s="24">
        <v>228800</v>
      </c>
      <c r="F17" s="30"/>
      <c r="G17" s="30"/>
    </row>
    <row r="18" s="29" customFormat="1" ht="41" spans="1:7">
      <c r="A18" s="30" t="s">
        <v>172</v>
      </c>
      <c r="B18" s="19" t="s">
        <v>349</v>
      </c>
      <c r="C18" s="20" t="s">
        <v>182</v>
      </c>
      <c r="D18" s="21">
        <v>1</v>
      </c>
      <c r="E18" s="22">
        <v>228800</v>
      </c>
      <c r="F18" s="30"/>
      <c r="G18" s="30"/>
    </row>
    <row r="19" s="29" customFormat="1" ht="28.75" spans="1:7">
      <c r="A19" s="30" t="s">
        <v>172</v>
      </c>
      <c r="B19" s="19" t="s">
        <v>349</v>
      </c>
      <c r="C19" s="16" t="s">
        <v>183</v>
      </c>
      <c r="D19" s="23">
        <v>1</v>
      </c>
      <c r="E19" s="24">
        <v>228800</v>
      </c>
      <c r="F19" s="30"/>
      <c r="G19" s="30"/>
    </row>
    <row r="20" s="29" customFormat="1" spans="1:7">
      <c r="A20" s="30" t="s">
        <v>172</v>
      </c>
      <c r="B20" s="25"/>
      <c r="C20" s="25"/>
      <c r="D20" s="25"/>
      <c r="E20" s="25"/>
      <c r="F20" s="30"/>
      <c r="G20" s="30"/>
    </row>
    <row r="21" s="29" customFormat="1" ht="36" spans="1:7">
      <c r="A21" s="30" t="s">
        <v>172</v>
      </c>
      <c r="B21" s="26" t="s">
        <v>189</v>
      </c>
      <c r="C21" s="26" t="s">
        <v>189</v>
      </c>
      <c r="D21" s="26" t="s">
        <v>189</v>
      </c>
      <c r="E21" s="26" t="s">
        <v>189</v>
      </c>
      <c r="F21" s="30"/>
      <c r="G21" s="30"/>
    </row>
    <row r="22" s="29" customFormat="1" spans="1:7">
      <c r="A22" s="30" t="s">
        <v>172</v>
      </c>
      <c r="B22" s="26"/>
      <c r="C22" s="26"/>
      <c r="D22" s="26"/>
      <c r="E22" s="26"/>
      <c r="F22" s="30"/>
      <c r="G22" s="30"/>
    </row>
    <row r="23" s="29" customFormat="1" ht="36" spans="1:7">
      <c r="A23" s="30" t="s">
        <v>172</v>
      </c>
      <c r="B23" s="26" t="s">
        <v>190</v>
      </c>
      <c r="C23" s="26" t="s">
        <v>190</v>
      </c>
      <c r="D23" s="26" t="s">
        <v>190</v>
      </c>
      <c r="E23" s="26" t="s">
        <v>190</v>
      </c>
      <c r="F23" s="30"/>
      <c r="G23" s="30"/>
    </row>
    <row r="24" s="29" customFormat="1" spans="1:7">
      <c r="A24" s="30" t="s">
        <v>172</v>
      </c>
      <c r="B24" s="26" t="s">
        <v>191</v>
      </c>
      <c r="C24" s="26" t="s">
        <v>191</v>
      </c>
      <c r="D24" s="26" t="s">
        <v>191</v>
      </c>
      <c r="E24" s="26" t="s">
        <v>191</v>
      </c>
      <c r="F24" s="30"/>
      <c r="G24" s="30"/>
    </row>
    <row r="25" s="29" customFormat="1" ht="124" spans="1:7">
      <c r="A25" s="30" t="s">
        <v>172</v>
      </c>
      <c r="B25" s="11" t="s">
        <v>173</v>
      </c>
      <c r="C25" s="11" t="s">
        <v>173</v>
      </c>
      <c r="D25" s="11" t="s">
        <v>173</v>
      </c>
      <c r="E25" s="11" t="s">
        <v>173</v>
      </c>
      <c r="F25" s="30"/>
      <c r="G25" s="30"/>
    </row>
    <row r="26" s="29" customFormat="1" ht="156" spans="1:7">
      <c r="A26" s="30" t="s">
        <v>172</v>
      </c>
      <c r="B26" s="12" t="s">
        <v>174</v>
      </c>
      <c r="C26" s="12" t="s">
        <v>174</v>
      </c>
      <c r="D26" s="12" t="s">
        <v>174</v>
      </c>
      <c r="E26" s="12" t="s">
        <v>174</v>
      </c>
      <c r="F26" s="30"/>
      <c r="G26" s="30"/>
    </row>
    <row r="27" s="29" customFormat="1" ht="68" spans="1:7">
      <c r="A27" s="30" t="s">
        <v>172</v>
      </c>
      <c r="B27" s="13" t="s">
        <v>343</v>
      </c>
      <c r="C27" s="13" t="s">
        <v>343</v>
      </c>
      <c r="D27" s="13" t="s">
        <v>343</v>
      </c>
      <c r="E27" s="13" t="s">
        <v>343</v>
      </c>
      <c r="F27" s="30"/>
      <c r="G27" s="30"/>
    </row>
    <row r="28" s="29" customFormat="1" ht="22" spans="1:7">
      <c r="A28" s="30" t="s">
        <v>172</v>
      </c>
      <c r="B28" s="14" t="s">
        <v>176</v>
      </c>
      <c r="C28" s="14" t="s">
        <v>176</v>
      </c>
      <c r="D28" s="14" t="s">
        <v>176</v>
      </c>
      <c r="E28" s="14" t="s">
        <v>176</v>
      </c>
      <c r="F28" s="30"/>
      <c r="G28" s="30"/>
    </row>
    <row r="29" s="29" customFormat="1" spans="1:7">
      <c r="A29" s="30" t="s">
        <v>172</v>
      </c>
      <c r="B29" s="15" t="s">
        <v>177</v>
      </c>
      <c r="C29" s="16" t="s">
        <v>178</v>
      </c>
      <c r="D29" s="17" t="s">
        <v>179</v>
      </c>
      <c r="E29" s="18" t="s">
        <v>180</v>
      </c>
      <c r="F29" s="30"/>
      <c r="G29" s="30"/>
    </row>
    <row r="30" s="29" customFormat="1" spans="1:7">
      <c r="A30" s="30" t="s">
        <v>172</v>
      </c>
      <c r="B30" s="19" t="s">
        <v>350</v>
      </c>
      <c r="C30" s="20" t="s">
        <v>172</v>
      </c>
      <c r="D30" s="21">
        <v>1</v>
      </c>
      <c r="E30" s="22">
        <v>199000</v>
      </c>
      <c r="F30" s="30"/>
      <c r="G30" s="30"/>
    </row>
    <row r="31" s="29" customFormat="1" spans="1:7">
      <c r="A31" s="30" t="s">
        <v>172</v>
      </c>
      <c r="B31" s="19" t="s">
        <v>350</v>
      </c>
      <c r="C31" s="16" t="s">
        <v>183</v>
      </c>
      <c r="D31" s="23">
        <v>1</v>
      </c>
      <c r="E31" s="24">
        <v>199000</v>
      </c>
      <c r="F31" s="30"/>
      <c r="G31" s="30"/>
    </row>
    <row r="32" s="29" customFormat="1" ht="41" spans="1:7">
      <c r="A32" s="30" t="s">
        <v>172</v>
      </c>
      <c r="B32" s="19" t="s">
        <v>187</v>
      </c>
      <c r="C32" s="20" t="s">
        <v>182</v>
      </c>
      <c r="D32" s="21">
        <v>1</v>
      </c>
      <c r="E32" s="22">
        <v>90000</v>
      </c>
      <c r="F32" s="30"/>
      <c r="G32" s="30"/>
    </row>
    <row r="33" s="29" customFormat="1" spans="1:7">
      <c r="A33" s="30" t="s">
        <v>172</v>
      </c>
      <c r="B33" s="19" t="s">
        <v>187</v>
      </c>
      <c r="C33" s="16" t="s">
        <v>183</v>
      </c>
      <c r="D33" s="23">
        <v>1</v>
      </c>
      <c r="E33" s="24">
        <v>90000</v>
      </c>
      <c r="F33" s="30"/>
      <c r="G33" s="30"/>
    </row>
    <row r="34" s="29" customFormat="1" ht="41" spans="1:7">
      <c r="A34" s="30" t="s">
        <v>172</v>
      </c>
      <c r="B34" s="19" t="s">
        <v>351</v>
      </c>
      <c r="C34" s="20" t="s">
        <v>182</v>
      </c>
      <c r="D34" s="21">
        <v>1</v>
      </c>
      <c r="E34" s="22">
        <v>147200</v>
      </c>
      <c r="F34" s="30"/>
      <c r="G34" s="30"/>
    </row>
    <row r="35" s="29" customFormat="1" spans="1:7">
      <c r="A35" s="30" t="s">
        <v>172</v>
      </c>
      <c r="B35" s="19" t="s">
        <v>351</v>
      </c>
      <c r="C35" s="20" t="s">
        <v>172</v>
      </c>
      <c r="D35" s="21">
        <v>1</v>
      </c>
      <c r="E35" s="22">
        <v>184000</v>
      </c>
      <c r="F35" s="30"/>
      <c r="G35" s="30"/>
    </row>
    <row r="36" s="29" customFormat="1" spans="1:7">
      <c r="A36" s="30" t="s">
        <v>172</v>
      </c>
      <c r="B36" s="19" t="s">
        <v>351</v>
      </c>
      <c r="C36" s="16" t="s">
        <v>183</v>
      </c>
      <c r="D36" s="23">
        <v>2</v>
      </c>
      <c r="E36" s="24">
        <v>331200</v>
      </c>
      <c r="F36" s="30"/>
      <c r="G36" s="30"/>
    </row>
    <row r="37" s="29" customFormat="1" ht="41" spans="1:7">
      <c r="A37" s="30" t="s">
        <v>172</v>
      </c>
      <c r="B37" s="19" t="s">
        <v>192</v>
      </c>
      <c r="C37" s="20" t="s">
        <v>182</v>
      </c>
      <c r="D37" s="21">
        <v>6</v>
      </c>
      <c r="E37" s="22">
        <v>773800</v>
      </c>
      <c r="F37" s="30"/>
      <c r="G37" s="30"/>
    </row>
    <row r="38" s="29" customFormat="1" ht="28" spans="1:7">
      <c r="A38" s="30" t="s">
        <v>172</v>
      </c>
      <c r="B38" s="19" t="s">
        <v>192</v>
      </c>
      <c r="C38" s="16" t="s">
        <v>183</v>
      </c>
      <c r="D38" s="23">
        <v>6</v>
      </c>
      <c r="E38" s="24">
        <v>773800</v>
      </c>
      <c r="F38" s="30"/>
      <c r="G38" s="30"/>
    </row>
    <row r="39" s="29" customFormat="1" ht="28" spans="1:7">
      <c r="A39" s="30" t="s">
        <v>172</v>
      </c>
      <c r="B39" s="19" t="s">
        <v>352</v>
      </c>
      <c r="C39" s="20" t="s">
        <v>172</v>
      </c>
      <c r="D39" s="21">
        <v>1</v>
      </c>
      <c r="E39" s="22">
        <v>13514</v>
      </c>
      <c r="F39" s="30"/>
      <c r="G39" s="30"/>
    </row>
    <row r="40" s="29" customFormat="1" ht="28" spans="1:7">
      <c r="A40" s="30" t="s">
        <v>172</v>
      </c>
      <c r="B40" s="19" t="s">
        <v>352</v>
      </c>
      <c r="C40" s="16" t="s">
        <v>183</v>
      </c>
      <c r="D40" s="23">
        <v>1</v>
      </c>
      <c r="E40" s="24">
        <v>13514</v>
      </c>
      <c r="F40" s="30"/>
      <c r="G40" s="30"/>
    </row>
    <row r="41" s="29" customFormat="1" ht="41" spans="1:7">
      <c r="A41" s="30" t="s">
        <v>172</v>
      </c>
      <c r="B41" s="19" t="s">
        <v>353</v>
      </c>
      <c r="C41" s="20" t="s">
        <v>182</v>
      </c>
      <c r="D41" s="21">
        <v>1</v>
      </c>
      <c r="E41" s="22">
        <v>13514</v>
      </c>
      <c r="F41" s="30"/>
      <c r="G41" s="30"/>
    </row>
    <row r="42" s="29" customFormat="1" ht="28" spans="1:7">
      <c r="A42" s="30" t="s">
        <v>172</v>
      </c>
      <c r="B42" s="19" t="s">
        <v>353</v>
      </c>
      <c r="C42" s="16" t="s">
        <v>183</v>
      </c>
      <c r="D42" s="23">
        <v>1</v>
      </c>
      <c r="E42" s="24">
        <v>13514</v>
      </c>
      <c r="F42" s="30"/>
      <c r="G42" s="30"/>
    </row>
    <row r="43" s="29" customFormat="1" ht="28" spans="1:7">
      <c r="A43" s="30" t="s">
        <v>172</v>
      </c>
      <c r="B43" s="19" t="s">
        <v>354</v>
      </c>
      <c r="C43" s="20" t="s">
        <v>172</v>
      </c>
      <c r="D43" s="21">
        <v>1</v>
      </c>
      <c r="E43" s="22">
        <v>9910</v>
      </c>
      <c r="F43" s="30"/>
      <c r="G43" s="30"/>
    </row>
    <row r="44" s="29" customFormat="1" ht="28" spans="1:7">
      <c r="A44" s="30" t="s">
        <v>172</v>
      </c>
      <c r="B44" s="19" t="s">
        <v>354</v>
      </c>
      <c r="C44" s="16" t="s">
        <v>183</v>
      </c>
      <c r="D44" s="23">
        <v>1</v>
      </c>
      <c r="E44" s="24">
        <v>9910</v>
      </c>
      <c r="F44" s="30"/>
      <c r="G44" s="30"/>
    </row>
    <row r="45" s="29" customFormat="1" ht="41.75" spans="1:7">
      <c r="A45" s="30" t="s">
        <v>172</v>
      </c>
      <c r="B45" s="20" t="s">
        <v>194</v>
      </c>
      <c r="C45" s="20" t="s">
        <v>182</v>
      </c>
      <c r="D45" s="21">
        <v>2</v>
      </c>
      <c r="E45" s="22">
        <v>43000</v>
      </c>
      <c r="F45" s="30"/>
      <c r="G45" s="30"/>
    </row>
    <row r="46" s="29" customFormat="1" spans="1:7">
      <c r="A46" s="30" t="s">
        <v>172</v>
      </c>
      <c r="B46" s="25"/>
      <c r="C46" s="25"/>
      <c r="D46" s="25"/>
      <c r="E46" s="25"/>
      <c r="F46" s="30"/>
      <c r="G46" s="30"/>
    </row>
    <row r="47" s="29" customFormat="1" ht="36" spans="1:7">
      <c r="A47" s="30" t="s">
        <v>172</v>
      </c>
      <c r="B47" s="26" t="s">
        <v>189</v>
      </c>
      <c r="C47" s="26" t="s">
        <v>189</v>
      </c>
      <c r="D47" s="26" t="s">
        <v>189</v>
      </c>
      <c r="E47" s="26" t="s">
        <v>189</v>
      </c>
      <c r="F47" s="30"/>
      <c r="G47" s="30"/>
    </row>
    <row r="48" s="29" customFormat="1" spans="1:7">
      <c r="A48" s="30" t="s">
        <v>172</v>
      </c>
      <c r="B48" s="26"/>
      <c r="C48" s="26"/>
      <c r="D48" s="26"/>
      <c r="E48" s="26"/>
      <c r="F48" s="30"/>
      <c r="G48" s="30"/>
    </row>
    <row r="49" s="29" customFormat="1" ht="36" spans="1:7">
      <c r="A49" s="30" t="s">
        <v>172</v>
      </c>
      <c r="B49" s="26" t="s">
        <v>190</v>
      </c>
      <c r="C49" s="26" t="s">
        <v>190</v>
      </c>
      <c r="D49" s="26" t="s">
        <v>190</v>
      </c>
      <c r="E49" s="26" t="s">
        <v>190</v>
      </c>
      <c r="F49" s="30"/>
      <c r="G49" s="30"/>
    </row>
    <row r="50" s="29" customFormat="1" spans="1:7">
      <c r="A50" s="30" t="s">
        <v>172</v>
      </c>
      <c r="B50" s="26" t="s">
        <v>198</v>
      </c>
      <c r="C50" s="26" t="s">
        <v>198</v>
      </c>
      <c r="D50" s="26" t="s">
        <v>198</v>
      </c>
      <c r="E50" s="26" t="s">
        <v>198</v>
      </c>
      <c r="F50" s="30"/>
      <c r="G50" s="30"/>
    </row>
    <row r="51" s="29" customFormat="1" ht="124" spans="1:7">
      <c r="B51" s="11" t="s">
        <v>173</v>
      </c>
      <c r="C51" s="11" t="s">
        <v>173</v>
      </c>
      <c r="D51" s="11" t="s">
        <v>173</v>
      </c>
      <c r="E51" s="11" t="s">
        <v>173</v>
      </c>
      <c r="F51" s="30"/>
      <c r="G51" s="30"/>
    </row>
    <row r="52" s="29" customFormat="1" ht="156" spans="1:7">
      <c r="B52" s="12" t="s">
        <v>174</v>
      </c>
      <c r="C52" s="12" t="s">
        <v>174</v>
      </c>
      <c r="D52" s="12" t="s">
        <v>174</v>
      </c>
      <c r="E52" s="12" t="s">
        <v>174</v>
      </c>
      <c r="F52" s="30"/>
      <c r="G52" s="30"/>
    </row>
    <row r="53" s="29" customFormat="1" ht="68" spans="1:7">
      <c r="B53" s="13" t="s">
        <v>343</v>
      </c>
      <c r="C53" s="13" t="s">
        <v>343</v>
      </c>
      <c r="D53" s="13" t="s">
        <v>343</v>
      </c>
      <c r="E53" s="13" t="s">
        <v>343</v>
      </c>
      <c r="F53" s="30"/>
      <c r="G53" s="30"/>
    </row>
    <row r="54" s="29" customFormat="1" ht="22" spans="1:7">
      <c r="B54" s="14" t="s">
        <v>176</v>
      </c>
      <c r="C54" s="14" t="s">
        <v>176</v>
      </c>
      <c r="D54" s="14" t="s">
        <v>176</v>
      </c>
      <c r="E54" s="14" t="s">
        <v>176</v>
      </c>
      <c r="F54" s="30"/>
      <c r="G54" s="30"/>
    </row>
    <row r="55" s="29" customFormat="1" spans="1:7">
      <c r="B55" s="15" t="s">
        <v>177</v>
      </c>
      <c r="C55" s="16" t="s">
        <v>178</v>
      </c>
      <c r="D55" s="17" t="s">
        <v>179</v>
      </c>
      <c r="E55" s="18" t="s">
        <v>180</v>
      </c>
      <c r="F55" s="30"/>
      <c r="G55" s="30"/>
    </row>
    <row r="56" s="29" customFormat="1" spans="1:7">
      <c r="B56" s="19" t="s">
        <v>194</v>
      </c>
      <c r="C56" s="20" t="s">
        <v>172</v>
      </c>
      <c r="D56" s="21">
        <v>1</v>
      </c>
      <c r="E56" s="22">
        <v>43000</v>
      </c>
      <c r="F56" s="30"/>
      <c r="G56" s="30"/>
    </row>
    <row r="57" s="29" customFormat="1" spans="1:7">
      <c r="B57" s="19" t="s">
        <v>194</v>
      </c>
      <c r="C57" s="16" t="s">
        <v>183</v>
      </c>
      <c r="D57" s="23">
        <v>3</v>
      </c>
      <c r="E57" s="24">
        <v>86000</v>
      </c>
      <c r="F57" s="30"/>
      <c r="G57" s="30"/>
    </row>
    <row r="58" s="29" customFormat="1" ht="41" spans="1:7">
      <c r="B58" s="19" t="s">
        <v>195</v>
      </c>
      <c r="C58" s="20" t="s">
        <v>182</v>
      </c>
      <c r="D58" s="21">
        <v>2</v>
      </c>
      <c r="E58" s="22">
        <v>629730</v>
      </c>
      <c r="F58" s="30"/>
      <c r="G58" s="30"/>
    </row>
    <row r="59" s="29" customFormat="1" spans="1:7">
      <c r="B59" s="19" t="s">
        <v>195</v>
      </c>
      <c r="C59" s="20" t="s">
        <v>172</v>
      </c>
      <c r="D59" s="21">
        <v>4</v>
      </c>
      <c r="E59" s="22">
        <v>169800</v>
      </c>
      <c r="F59" s="30"/>
      <c r="G59" s="30"/>
    </row>
    <row r="60" s="29" customFormat="1" spans="1:7">
      <c r="B60" s="19" t="s">
        <v>195</v>
      </c>
      <c r="C60" s="16" t="s">
        <v>183</v>
      </c>
      <c r="D60" s="23">
        <v>6</v>
      </c>
      <c r="E60" s="24">
        <v>799530</v>
      </c>
      <c r="F60" s="30"/>
      <c r="G60" s="30"/>
    </row>
    <row r="61" s="29" customFormat="1" spans="1:7">
      <c r="B61" s="19" t="s">
        <v>197</v>
      </c>
      <c r="C61" s="20" t="s">
        <v>172</v>
      </c>
      <c r="D61" s="21">
        <v>3</v>
      </c>
      <c r="E61" s="22">
        <v>105200</v>
      </c>
      <c r="F61" s="30"/>
      <c r="G61" s="30"/>
    </row>
    <row r="62" s="29" customFormat="1" spans="1:7">
      <c r="B62" s="19" t="s">
        <v>197</v>
      </c>
      <c r="C62" s="16" t="s">
        <v>183</v>
      </c>
      <c r="D62" s="23">
        <v>3</v>
      </c>
      <c r="E62" s="24">
        <v>105200</v>
      </c>
      <c r="F62" s="30"/>
      <c r="G62" s="30"/>
    </row>
    <row r="63" s="29" customFormat="1" ht="41" spans="1:7">
      <c r="B63" s="19" t="s">
        <v>199</v>
      </c>
      <c r="C63" s="20" t="s">
        <v>182</v>
      </c>
      <c r="D63" s="21">
        <v>1</v>
      </c>
      <c r="E63" s="22">
        <v>0</v>
      </c>
      <c r="F63" s="30"/>
      <c r="G63" s="30"/>
    </row>
    <row r="64" s="29" customFormat="1" spans="1:7">
      <c r="B64" s="19" t="s">
        <v>199</v>
      </c>
      <c r="C64" s="20" t="s">
        <v>172</v>
      </c>
      <c r="D64" s="21">
        <v>6</v>
      </c>
      <c r="E64" s="22">
        <v>299189</v>
      </c>
      <c r="F64" s="30"/>
      <c r="G64" s="30"/>
    </row>
    <row r="65" s="29" customFormat="1" spans="2:7">
      <c r="B65" s="19" t="s">
        <v>199</v>
      </c>
      <c r="C65" s="16" t="s">
        <v>183</v>
      </c>
      <c r="D65" s="23">
        <v>7</v>
      </c>
      <c r="E65" s="24">
        <v>299189</v>
      </c>
      <c r="F65" s="30"/>
      <c r="G65" s="30"/>
    </row>
    <row r="66" s="29" customFormat="1" ht="41" spans="2:7">
      <c r="B66" s="19" t="s">
        <v>200</v>
      </c>
      <c r="C66" s="20" t="s">
        <v>182</v>
      </c>
      <c r="D66" s="21">
        <v>1</v>
      </c>
      <c r="E66" s="22">
        <v>50000</v>
      </c>
      <c r="F66" s="30"/>
      <c r="G66" s="30"/>
    </row>
    <row r="67" s="29" customFormat="1" spans="2:7">
      <c r="B67" s="19" t="s">
        <v>200</v>
      </c>
      <c r="C67" s="20" t="s">
        <v>172</v>
      </c>
      <c r="D67" s="21">
        <v>2</v>
      </c>
      <c r="E67" s="22">
        <v>56000</v>
      </c>
    </row>
    <row r="68" s="29" customFormat="1" spans="2:7">
      <c r="B68" s="19" t="s">
        <v>200</v>
      </c>
      <c r="C68" s="16" t="s">
        <v>183</v>
      </c>
      <c r="D68" s="23">
        <v>3</v>
      </c>
      <c r="E68" s="24">
        <v>106000</v>
      </c>
    </row>
    <row r="69" s="29" customFormat="1" spans="2:7">
      <c r="B69" s="19" t="s">
        <v>355</v>
      </c>
      <c r="C69" s="20" t="s">
        <v>172</v>
      </c>
      <c r="D69" s="21">
        <v>1</v>
      </c>
      <c r="E69" s="22">
        <v>49700</v>
      </c>
    </row>
    <row r="70" s="29" customFormat="1" spans="2:7">
      <c r="B70" s="19" t="s">
        <v>355</v>
      </c>
      <c r="C70" s="16" t="s">
        <v>183</v>
      </c>
      <c r="D70" s="23">
        <v>1</v>
      </c>
      <c r="E70" s="24">
        <v>49700</v>
      </c>
    </row>
    <row r="71" s="29" customFormat="1" spans="2:7">
      <c r="B71" s="19" t="s">
        <v>356</v>
      </c>
      <c r="C71" s="20" t="s">
        <v>172</v>
      </c>
      <c r="D71" s="21">
        <v>1</v>
      </c>
      <c r="E71" s="22">
        <v>208389</v>
      </c>
    </row>
    <row r="72" s="29" customFormat="1" ht="17.55" spans="2:7">
      <c r="B72" s="19" t="s">
        <v>356</v>
      </c>
      <c r="C72" s="16" t="s">
        <v>183</v>
      </c>
      <c r="D72" s="23">
        <v>1</v>
      </c>
      <c r="E72" s="24">
        <v>208389</v>
      </c>
    </row>
    <row r="73" s="29" customFormat="1" spans="2:7">
      <c r="B73" s="25"/>
      <c r="C73" s="25"/>
      <c r="D73" s="25"/>
      <c r="E73" s="25"/>
    </row>
    <row r="74" s="29" customFormat="1" ht="36" spans="2:7">
      <c r="B74" s="26" t="s">
        <v>189</v>
      </c>
      <c r="C74" s="26" t="s">
        <v>189</v>
      </c>
      <c r="D74" s="26" t="s">
        <v>189</v>
      </c>
      <c r="E74" s="26" t="s">
        <v>189</v>
      </c>
    </row>
    <row r="75" s="29" customFormat="1" spans="2:7">
      <c r="B75" s="26"/>
      <c r="C75" s="26"/>
      <c r="D75" s="26"/>
      <c r="E75" s="26"/>
    </row>
    <row r="76" s="29" customFormat="1" ht="36" spans="2:7">
      <c r="B76" s="26" t="s">
        <v>190</v>
      </c>
      <c r="C76" s="26" t="s">
        <v>190</v>
      </c>
      <c r="D76" s="26" t="s">
        <v>190</v>
      </c>
      <c r="E76" s="26" t="s">
        <v>190</v>
      </c>
    </row>
    <row r="77" s="29" customFormat="1" spans="2:7">
      <c r="B77" s="26" t="s">
        <v>205</v>
      </c>
      <c r="C77" s="26" t="s">
        <v>205</v>
      </c>
      <c r="D77" s="26" t="s">
        <v>205</v>
      </c>
      <c r="E77" s="26" t="s">
        <v>205</v>
      </c>
    </row>
    <row r="78" s="29" customFormat="1" ht="124" spans="2:7">
      <c r="B78" s="11" t="s">
        <v>173</v>
      </c>
      <c r="C78" s="11" t="s">
        <v>173</v>
      </c>
      <c r="D78" s="11" t="s">
        <v>173</v>
      </c>
      <c r="E78" s="11" t="s">
        <v>173</v>
      </c>
    </row>
    <row r="79" s="29" customFormat="1" ht="156" spans="2:7">
      <c r="B79" s="12" t="s">
        <v>174</v>
      </c>
      <c r="C79" s="12" t="s">
        <v>174</v>
      </c>
      <c r="D79" s="12" t="s">
        <v>174</v>
      </c>
      <c r="E79" s="12" t="s">
        <v>174</v>
      </c>
    </row>
    <row r="80" s="29" customFormat="1" ht="68" spans="2:7">
      <c r="B80" s="13" t="s">
        <v>343</v>
      </c>
      <c r="C80" s="13" t="s">
        <v>343</v>
      </c>
      <c r="D80" s="13" t="s">
        <v>343</v>
      </c>
      <c r="E80" s="13" t="s">
        <v>343</v>
      </c>
    </row>
    <row r="81" s="29" customFormat="1" ht="22" spans="2:5">
      <c r="B81" s="14" t="s">
        <v>176</v>
      </c>
      <c r="C81" s="14" t="s">
        <v>176</v>
      </c>
      <c r="D81" s="14" t="s">
        <v>176</v>
      </c>
      <c r="E81" s="14" t="s">
        <v>176</v>
      </c>
    </row>
    <row r="82" s="29" customFormat="1" spans="2:5">
      <c r="B82" s="15" t="s">
        <v>177</v>
      </c>
      <c r="C82" s="16" t="s">
        <v>178</v>
      </c>
      <c r="D82" s="17" t="s">
        <v>179</v>
      </c>
      <c r="E82" s="18" t="s">
        <v>180</v>
      </c>
    </row>
    <row r="83" s="29" customFormat="1" ht="41" spans="2:5">
      <c r="B83" s="19" t="s">
        <v>357</v>
      </c>
      <c r="C83" s="20" t="s">
        <v>182</v>
      </c>
      <c r="D83" s="21">
        <v>4</v>
      </c>
      <c r="E83" s="22">
        <v>138560</v>
      </c>
    </row>
    <row r="84" s="29" customFormat="1" ht="28" spans="2:5">
      <c r="B84" s="19" t="s">
        <v>357</v>
      </c>
      <c r="C84" s="16" t="s">
        <v>183</v>
      </c>
      <c r="D84" s="23">
        <v>4</v>
      </c>
      <c r="E84" s="24">
        <v>138560</v>
      </c>
    </row>
    <row r="85" s="29" customFormat="1" ht="41" spans="2:5">
      <c r="B85" s="19" t="s">
        <v>203</v>
      </c>
      <c r="C85" s="20" t="s">
        <v>182</v>
      </c>
      <c r="D85" s="21">
        <v>5</v>
      </c>
      <c r="E85" s="22">
        <v>266545</v>
      </c>
    </row>
    <row r="86" s="29" customFormat="1" ht="28" spans="2:5">
      <c r="B86" s="19" t="s">
        <v>203</v>
      </c>
      <c r="C86" s="16" t="s">
        <v>183</v>
      </c>
      <c r="D86" s="23">
        <v>5</v>
      </c>
      <c r="E86" s="24">
        <v>266545</v>
      </c>
    </row>
    <row r="87" s="29" customFormat="1" ht="41" spans="2:5">
      <c r="B87" s="19" t="s">
        <v>204</v>
      </c>
      <c r="C87" s="20" t="s">
        <v>182</v>
      </c>
      <c r="D87" s="21">
        <v>4</v>
      </c>
      <c r="E87" s="22">
        <v>270260</v>
      </c>
    </row>
    <row r="88" s="29" customFormat="1" ht="28" spans="2:5">
      <c r="B88" s="19" t="s">
        <v>204</v>
      </c>
      <c r="C88" s="20" t="s">
        <v>172</v>
      </c>
      <c r="D88" s="21">
        <v>1</v>
      </c>
      <c r="E88" s="22">
        <v>38500</v>
      </c>
    </row>
    <row r="89" s="29" customFormat="1" ht="28" spans="2:5">
      <c r="B89" s="19" t="s">
        <v>204</v>
      </c>
      <c r="C89" s="16" t="s">
        <v>183</v>
      </c>
      <c r="D89" s="23">
        <v>5</v>
      </c>
      <c r="E89" s="24">
        <v>308760</v>
      </c>
    </row>
    <row r="90" s="29" customFormat="1" ht="41" spans="2:5">
      <c r="B90" s="19" t="s">
        <v>358</v>
      </c>
      <c r="C90" s="20" t="s">
        <v>182</v>
      </c>
      <c r="D90" s="21">
        <v>1</v>
      </c>
      <c r="E90" s="22">
        <v>51562</v>
      </c>
    </row>
    <row r="91" s="29" customFormat="1" ht="28" spans="2:5">
      <c r="B91" s="19" t="s">
        <v>358</v>
      </c>
      <c r="C91" s="16" t="s">
        <v>183</v>
      </c>
      <c r="D91" s="23">
        <v>1</v>
      </c>
      <c r="E91" s="24">
        <v>51562</v>
      </c>
    </row>
    <row r="92" s="29" customFormat="1" ht="41" spans="2:5">
      <c r="B92" s="19" t="s">
        <v>359</v>
      </c>
      <c r="C92" s="20" t="s">
        <v>182</v>
      </c>
      <c r="D92" s="21">
        <v>2</v>
      </c>
      <c r="E92" s="22">
        <v>103124</v>
      </c>
    </row>
    <row r="93" s="29" customFormat="1" ht="28" spans="2:5">
      <c r="B93" s="19" t="s">
        <v>359</v>
      </c>
      <c r="C93" s="16" t="s">
        <v>183</v>
      </c>
      <c r="D93" s="23">
        <v>2</v>
      </c>
      <c r="E93" s="24">
        <v>103124</v>
      </c>
    </row>
    <row r="94" s="29" customFormat="1" ht="41" spans="2:5">
      <c r="B94" s="19" t="s">
        <v>206</v>
      </c>
      <c r="C94" s="20" t="s">
        <v>182</v>
      </c>
      <c r="D94" s="21">
        <v>2</v>
      </c>
      <c r="E94" s="22">
        <v>108036</v>
      </c>
    </row>
    <row r="95" s="29" customFormat="1" ht="28" spans="2:5">
      <c r="B95" s="19" t="s">
        <v>206</v>
      </c>
      <c r="C95" s="20" t="s">
        <v>172</v>
      </c>
      <c r="D95" s="21">
        <v>1</v>
      </c>
      <c r="E95" s="22">
        <v>43215</v>
      </c>
    </row>
    <row r="96" s="29" customFormat="1" ht="28.75" spans="2:5">
      <c r="B96" s="19" t="s">
        <v>206</v>
      </c>
      <c r="C96" s="16" t="s">
        <v>183</v>
      </c>
      <c r="D96" s="23">
        <v>3</v>
      </c>
      <c r="E96" s="24">
        <v>151251</v>
      </c>
    </row>
    <row r="97" s="29" customFormat="1" spans="2:5">
      <c r="B97" s="25"/>
      <c r="C97" s="25"/>
      <c r="D97" s="25"/>
      <c r="E97" s="25"/>
    </row>
    <row r="98" s="29" customFormat="1" ht="36" spans="2:5">
      <c r="B98" s="26" t="s">
        <v>189</v>
      </c>
      <c r="C98" s="26" t="s">
        <v>189</v>
      </c>
      <c r="D98" s="26" t="s">
        <v>189</v>
      </c>
      <c r="E98" s="26" t="s">
        <v>189</v>
      </c>
    </row>
    <row r="99" s="29" customFormat="1" spans="2:5">
      <c r="B99" s="26"/>
      <c r="C99" s="26"/>
      <c r="D99" s="26"/>
      <c r="E99" s="26"/>
    </row>
    <row r="100" s="29" customFormat="1" ht="36" spans="2:5">
      <c r="B100" s="26" t="s">
        <v>190</v>
      </c>
      <c r="C100" s="26" t="s">
        <v>190</v>
      </c>
      <c r="D100" s="26" t="s">
        <v>190</v>
      </c>
      <c r="E100" s="26" t="s">
        <v>190</v>
      </c>
    </row>
    <row r="101" s="29" customFormat="1" spans="2:5">
      <c r="B101" s="26" t="s">
        <v>212</v>
      </c>
      <c r="C101" s="26" t="s">
        <v>212</v>
      </c>
      <c r="D101" s="26" t="s">
        <v>212</v>
      </c>
      <c r="E101" s="26" t="s">
        <v>212</v>
      </c>
    </row>
    <row r="102" s="29" customFormat="1" ht="124" spans="2:5">
      <c r="B102" s="11" t="s">
        <v>173</v>
      </c>
      <c r="C102" s="11" t="s">
        <v>173</v>
      </c>
      <c r="D102" s="11" t="s">
        <v>173</v>
      </c>
      <c r="E102" s="11" t="s">
        <v>173</v>
      </c>
    </row>
    <row r="103" s="29" customFormat="1" ht="156" spans="2:5">
      <c r="B103" s="12" t="s">
        <v>174</v>
      </c>
      <c r="C103" s="12" t="s">
        <v>174</v>
      </c>
      <c r="D103" s="12" t="s">
        <v>174</v>
      </c>
      <c r="E103" s="12" t="s">
        <v>174</v>
      </c>
    </row>
    <row r="104" s="29" customFormat="1" ht="68" spans="2:5">
      <c r="B104" s="13" t="s">
        <v>343</v>
      </c>
      <c r="C104" s="13" t="s">
        <v>343</v>
      </c>
      <c r="D104" s="13" t="s">
        <v>343</v>
      </c>
      <c r="E104" s="13" t="s">
        <v>343</v>
      </c>
    </row>
    <row r="105" s="29" customFormat="1" ht="22" spans="2:5">
      <c r="B105" s="14" t="s">
        <v>176</v>
      </c>
      <c r="C105" s="14" t="s">
        <v>176</v>
      </c>
      <c r="D105" s="14" t="s">
        <v>176</v>
      </c>
      <c r="E105" s="14" t="s">
        <v>176</v>
      </c>
    </row>
    <row r="106" s="29" customFormat="1" spans="2:5">
      <c r="B106" s="15" t="s">
        <v>177</v>
      </c>
      <c r="C106" s="16" t="s">
        <v>178</v>
      </c>
      <c r="D106" s="17" t="s">
        <v>179</v>
      </c>
      <c r="E106" s="18" t="s">
        <v>180</v>
      </c>
    </row>
    <row r="107" s="29" customFormat="1" ht="41" spans="2:5">
      <c r="B107" s="19" t="s">
        <v>207</v>
      </c>
      <c r="C107" s="20" t="s">
        <v>182</v>
      </c>
      <c r="D107" s="21">
        <v>7</v>
      </c>
      <c r="E107" s="22">
        <v>426341</v>
      </c>
    </row>
    <row r="108" s="29" customFormat="1" ht="28" spans="2:5">
      <c r="B108" s="19" t="s">
        <v>207</v>
      </c>
      <c r="C108" s="20" t="s">
        <v>172</v>
      </c>
      <c r="D108" s="21">
        <v>1</v>
      </c>
      <c r="E108" s="22">
        <v>60893</v>
      </c>
    </row>
    <row r="109" s="29" customFormat="1" ht="28" spans="2:5">
      <c r="B109" s="19" t="s">
        <v>207</v>
      </c>
      <c r="C109" s="16" t="s">
        <v>183</v>
      </c>
      <c r="D109" s="23">
        <v>8</v>
      </c>
      <c r="E109" s="24">
        <v>487234</v>
      </c>
    </row>
    <row r="110" s="29" customFormat="1" ht="41" spans="2:5">
      <c r="B110" s="19" t="s">
        <v>208</v>
      </c>
      <c r="C110" s="20" t="s">
        <v>182</v>
      </c>
      <c r="D110" s="21">
        <v>2</v>
      </c>
      <c r="E110" s="22">
        <v>167946</v>
      </c>
    </row>
    <row r="111" s="29" customFormat="1" ht="28" spans="2:5">
      <c r="B111" s="19" t="s">
        <v>208</v>
      </c>
      <c r="C111" s="16" t="s">
        <v>183</v>
      </c>
      <c r="D111" s="23">
        <v>2</v>
      </c>
      <c r="E111" s="24">
        <v>167946</v>
      </c>
    </row>
    <row r="112" s="29" customFormat="1" ht="41" spans="2:5">
      <c r="B112" s="19" t="s">
        <v>360</v>
      </c>
      <c r="C112" s="20" t="s">
        <v>182</v>
      </c>
      <c r="D112" s="21">
        <v>3</v>
      </c>
      <c r="E112" s="22">
        <v>267142</v>
      </c>
    </row>
    <row r="113" s="29" customFormat="1" ht="28" spans="2:5">
      <c r="B113" s="19" t="s">
        <v>360</v>
      </c>
      <c r="C113" s="16" t="s">
        <v>183</v>
      </c>
      <c r="D113" s="23">
        <v>3</v>
      </c>
      <c r="E113" s="24">
        <v>267142</v>
      </c>
    </row>
    <row r="114" s="29" customFormat="1" ht="41" spans="2:5">
      <c r="B114" s="19" t="s">
        <v>361</v>
      </c>
      <c r="C114" s="20" t="s">
        <v>182</v>
      </c>
      <c r="D114" s="21">
        <v>2</v>
      </c>
      <c r="E114" s="22">
        <v>209196</v>
      </c>
    </row>
    <row r="115" s="29" customFormat="1" ht="28" spans="2:5">
      <c r="B115" s="19" t="s">
        <v>361</v>
      </c>
      <c r="C115" s="16" t="s">
        <v>183</v>
      </c>
      <c r="D115" s="23">
        <v>2</v>
      </c>
      <c r="E115" s="24">
        <v>209196</v>
      </c>
    </row>
    <row r="116" s="29" customFormat="1" ht="41" spans="2:5">
      <c r="B116" s="19" t="s">
        <v>209</v>
      </c>
      <c r="C116" s="20" t="s">
        <v>182</v>
      </c>
      <c r="D116" s="21">
        <v>1</v>
      </c>
      <c r="E116" s="22">
        <v>141892</v>
      </c>
    </row>
    <row r="117" s="29" customFormat="1" ht="28" spans="2:5">
      <c r="B117" s="19" t="s">
        <v>209</v>
      </c>
      <c r="C117" s="16" t="s">
        <v>183</v>
      </c>
      <c r="D117" s="23">
        <v>1</v>
      </c>
      <c r="E117" s="24">
        <v>141892</v>
      </c>
    </row>
    <row r="118" s="29" customFormat="1" ht="28" spans="2:5">
      <c r="B118" s="19" t="s">
        <v>362</v>
      </c>
      <c r="C118" s="20" t="s">
        <v>172</v>
      </c>
      <c r="D118" s="21">
        <v>1</v>
      </c>
      <c r="E118" s="22">
        <v>155856</v>
      </c>
    </row>
    <row r="119" s="29" customFormat="1" ht="28" spans="2:5">
      <c r="B119" s="19" t="s">
        <v>362</v>
      </c>
      <c r="C119" s="16" t="s">
        <v>183</v>
      </c>
      <c r="D119" s="23">
        <v>1</v>
      </c>
      <c r="E119" s="24">
        <v>155856</v>
      </c>
    </row>
    <row r="120" s="29" customFormat="1" ht="28" spans="2:5">
      <c r="B120" s="19" t="s">
        <v>363</v>
      </c>
      <c r="C120" s="20" t="s">
        <v>172</v>
      </c>
      <c r="D120" s="21">
        <v>1</v>
      </c>
      <c r="E120" s="22">
        <v>189189</v>
      </c>
    </row>
    <row r="121" s="29" customFormat="1" ht="28.75" spans="2:5">
      <c r="B121" s="19" t="s">
        <v>363</v>
      </c>
      <c r="C121" s="16" t="s">
        <v>183</v>
      </c>
      <c r="D121" s="23">
        <v>1</v>
      </c>
      <c r="E121" s="24">
        <v>189189</v>
      </c>
    </row>
    <row r="122" s="29" customFormat="1" spans="2:5">
      <c r="B122" s="25"/>
      <c r="C122" s="25"/>
      <c r="D122" s="25"/>
      <c r="E122" s="25"/>
    </row>
    <row r="123" s="29" customFormat="1" ht="36" spans="2:5">
      <c r="B123" s="26" t="s">
        <v>189</v>
      </c>
      <c r="C123" s="26" t="s">
        <v>189</v>
      </c>
      <c r="D123" s="26" t="s">
        <v>189</v>
      </c>
      <c r="E123" s="26" t="s">
        <v>189</v>
      </c>
    </row>
    <row r="124" s="29" customFormat="1" spans="2:5">
      <c r="B124" s="26"/>
      <c r="C124" s="26"/>
      <c r="D124" s="26"/>
      <c r="E124" s="26"/>
    </row>
    <row r="125" s="29" customFormat="1" ht="36" spans="2:5">
      <c r="B125" s="26" t="s">
        <v>190</v>
      </c>
      <c r="C125" s="26" t="s">
        <v>190</v>
      </c>
      <c r="D125" s="26" t="s">
        <v>190</v>
      </c>
      <c r="E125" s="26" t="s">
        <v>190</v>
      </c>
    </row>
    <row r="126" s="29" customFormat="1" spans="2:5">
      <c r="B126" s="26" t="s">
        <v>219</v>
      </c>
      <c r="C126" s="26" t="s">
        <v>219</v>
      </c>
      <c r="D126" s="26" t="s">
        <v>219</v>
      </c>
      <c r="E126" s="26" t="s">
        <v>219</v>
      </c>
    </row>
    <row r="127" s="29" customFormat="1" ht="124" spans="2:5">
      <c r="B127" s="11" t="s">
        <v>173</v>
      </c>
      <c r="C127" s="11" t="s">
        <v>173</v>
      </c>
      <c r="D127" s="11" t="s">
        <v>173</v>
      </c>
      <c r="E127" s="11" t="s">
        <v>173</v>
      </c>
    </row>
    <row r="128" s="29" customFormat="1" ht="156" spans="2:5">
      <c r="B128" s="12" t="s">
        <v>174</v>
      </c>
      <c r="C128" s="12" t="s">
        <v>174</v>
      </c>
      <c r="D128" s="12" t="s">
        <v>174</v>
      </c>
      <c r="E128" s="12" t="s">
        <v>174</v>
      </c>
    </row>
    <row r="129" s="29" customFormat="1" ht="68" spans="2:5">
      <c r="B129" s="13" t="s">
        <v>343</v>
      </c>
      <c r="C129" s="13" t="s">
        <v>343</v>
      </c>
      <c r="D129" s="13" t="s">
        <v>343</v>
      </c>
      <c r="E129" s="13" t="s">
        <v>343</v>
      </c>
    </row>
    <row r="130" s="29" customFormat="1" ht="22" spans="2:5">
      <c r="B130" s="14" t="s">
        <v>176</v>
      </c>
      <c r="C130" s="14" t="s">
        <v>176</v>
      </c>
      <c r="D130" s="14" t="s">
        <v>176</v>
      </c>
      <c r="E130" s="14" t="s">
        <v>176</v>
      </c>
    </row>
    <row r="131" s="29" customFormat="1" spans="2:5">
      <c r="B131" s="15" t="s">
        <v>177</v>
      </c>
      <c r="C131" s="16" t="s">
        <v>178</v>
      </c>
      <c r="D131" s="17" t="s">
        <v>179</v>
      </c>
      <c r="E131" s="18" t="s">
        <v>180</v>
      </c>
    </row>
    <row r="132" s="29" customFormat="1" ht="41" spans="2:5">
      <c r="B132" s="19" t="s">
        <v>210</v>
      </c>
      <c r="C132" s="20" t="s">
        <v>182</v>
      </c>
      <c r="D132" s="21">
        <v>1</v>
      </c>
      <c r="E132" s="22">
        <v>212838</v>
      </c>
    </row>
    <row r="133" s="29" customFormat="1" ht="28" spans="2:5">
      <c r="B133" s="19" t="s">
        <v>210</v>
      </c>
      <c r="C133" s="16" t="s">
        <v>183</v>
      </c>
      <c r="D133" s="23">
        <v>1</v>
      </c>
      <c r="E133" s="24">
        <v>212838</v>
      </c>
    </row>
    <row r="134" s="29" customFormat="1" ht="41" spans="2:5">
      <c r="B134" s="19" t="s">
        <v>211</v>
      </c>
      <c r="C134" s="20" t="s">
        <v>182</v>
      </c>
      <c r="D134" s="21">
        <v>8</v>
      </c>
      <c r="E134" s="22">
        <v>592360</v>
      </c>
    </row>
    <row r="135" s="29" customFormat="1" ht="28" spans="2:5">
      <c r="B135" s="19" t="s">
        <v>211</v>
      </c>
      <c r="C135" s="20" t="s">
        <v>172</v>
      </c>
      <c r="D135" s="21">
        <v>1</v>
      </c>
      <c r="E135" s="22">
        <v>74045</v>
      </c>
    </row>
    <row r="136" s="29" customFormat="1" ht="28" spans="2:5">
      <c r="B136" s="19" t="s">
        <v>211</v>
      </c>
      <c r="C136" s="16" t="s">
        <v>183</v>
      </c>
      <c r="D136" s="23">
        <v>9</v>
      </c>
      <c r="E136" s="24">
        <v>666405</v>
      </c>
    </row>
    <row r="137" s="29" customFormat="1" ht="41" spans="2:5">
      <c r="B137" s="19" t="s">
        <v>213</v>
      </c>
      <c r="C137" s="20" t="s">
        <v>182</v>
      </c>
      <c r="D137" s="21">
        <v>16</v>
      </c>
      <c r="E137" s="22">
        <v>1184720</v>
      </c>
    </row>
    <row r="138" s="29" customFormat="1" ht="28" spans="2:5">
      <c r="B138" s="19" t="s">
        <v>213</v>
      </c>
      <c r="C138" s="20" t="s">
        <v>172</v>
      </c>
      <c r="D138" s="21">
        <v>3</v>
      </c>
      <c r="E138" s="22">
        <v>222135</v>
      </c>
    </row>
    <row r="139" s="29" customFormat="1" ht="28" spans="2:5">
      <c r="B139" s="19" t="s">
        <v>213</v>
      </c>
      <c r="C139" s="16" t="s">
        <v>183</v>
      </c>
      <c r="D139" s="23">
        <v>19</v>
      </c>
      <c r="E139" s="24">
        <v>1406855</v>
      </c>
    </row>
    <row r="140" s="29" customFormat="1" ht="41" spans="2:5">
      <c r="B140" s="19" t="s">
        <v>214</v>
      </c>
      <c r="C140" s="20" t="s">
        <v>182</v>
      </c>
      <c r="D140" s="21">
        <v>2</v>
      </c>
      <c r="E140" s="22">
        <v>172268</v>
      </c>
    </row>
    <row r="141" s="29" customFormat="1" ht="28" spans="2:5">
      <c r="B141" s="19" t="s">
        <v>214</v>
      </c>
      <c r="C141" s="16" t="s">
        <v>183</v>
      </c>
      <c r="D141" s="23">
        <v>2</v>
      </c>
      <c r="E141" s="24">
        <v>172268</v>
      </c>
    </row>
    <row r="142" s="29" customFormat="1" ht="41" spans="2:5">
      <c r="B142" s="19" t="s">
        <v>215</v>
      </c>
      <c r="C142" s="20" t="s">
        <v>182</v>
      </c>
      <c r="D142" s="21">
        <v>4</v>
      </c>
      <c r="E142" s="22">
        <v>344536</v>
      </c>
    </row>
    <row r="143" s="29" customFormat="1" ht="28" spans="2:5">
      <c r="B143" s="19" t="s">
        <v>215</v>
      </c>
      <c r="C143" s="16" t="s">
        <v>183</v>
      </c>
      <c r="D143" s="23">
        <v>4</v>
      </c>
      <c r="E143" s="24">
        <v>344536</v>
      </c>
    </row>
    <row r="144" s="29" customFormat="1" ht="41.75" spans="2:5">
      <c r="B144" s="20" t="s">
        <v>216</v>
      </c>
      <c r="C144" s="20" t="s">
        <v>182</v>
      </c>
      <c r="D144" s="21">
        <v>1</v>
      </c>
      <c r="E144" s="22">
        <v>91339</v>
      </c>
    </row>
    <row r="145" s="29" customFormat="1" spans="2:5">
      <c r="B145" s="25"/>
      <c r="C145" s="25"/>
      <c r="D145" s="25"/>
      <c r="E145" s="25"/>
    </row>
    <row r="146" s="29" customFormat="1" ht="36" spans="2:5">
      <c r="B146" s="26" t="s">
        <v>189</v>
      </c>
      <c r="C146" s="26" t="s">
        <v>189</v>
      </c>
      <c r="D146" s="26" t="s">
        <v>189</v>
      </c>
      <c r="E146" s="26" t="s">
        <v>189</v>
      </c>
    </row>
    <row r="147" s="29" customFormat="1" spans="2:5">
      <c r="B147" s="26"/>
      <c r="C147" s="26"/>
      <c r="D147" s="26"/>
      <c r="E147" s="26"/>
    </row>
    <row r="148" s="29" customFormat="1" ht="36" spans="2:5">
      <c r="B148" s="26" t="s">
        <v>190</v>
      </c>
      <c r="C148" s="26" t="s">
        <v>190</v>
      </c>
      <c r="D148" s="26" t="s">
        <v>190</v>
      </c>
      <c r="E148" s="26" t="s">
        <v>190</v>
      </c>
    </row>
    <row r="149" s="29" customFormat="1" spans="2:5">
      <c r="B149" s="26" t="s">
        <v>226</v>
      </c>
      <c r="C149" s="26" t="s">
        <v>226</v>
      </c>
      <c r="D149" s="26" t="s">
        <v>226</v>
      </c>
      <c r="E149" s="26" t="s">
        <v>226</v>
      </c>
    </row>
    <row r="150" s="29" customFormat="1" ht="124" spans="2:5">
      <c r="B150" s="11" t="s">
        <v>173</v>
      </c>
      <c r="C150" s="11" t="s">
        <v>173</v>
      </c>
      <c r="D150" s="11" t="s">
        <v>173</v>
      </c>
      <c r="E150" s="11" t="s">
        <v>173</v>
      </c>
    </row>
    <row r="151" s="29" customFormat="1" ht="156" spans="2:5">
      <c r="B151" s="12" t="s">
        <v>174</v>
      </c>
      <c r="C151" s="12" t="s">
        <v>174</v>
      </c>
      <c r="D151" s="12" t="s">
        <v>174</v>
      </c>
      <c r="E151" s="12" t="s">
        <v>174</v>
      </c>
    </row>
    <row r="152" s="29" customFormat="1" ht="68" spans="2:5">
      <c r="B152" s="13" t="s">
        <v>343</v>
      </c>
      <c r="C152" s="13" t="s">
        <v>343</v>
      </c>
      <c r="D152" s="13" t="s">
        <v>343</v>
      </c>
      <c r="E152" s="13" t="s">
        <v>343</v>
      </c>
    </row>
    <row r="153" s="29" customFormat="1" ht="22" spans="2:5">
      <c r="B153" s="14" t="s">
        <v>176</v>
      </c>
      <c r="C153" s="14" t="s">
        <v>176</v>
      </c>
      <c r="D153" s="14" t="s">
        <v>176</v>
      </c>
      <c r="E153" s="14" t="s">
        <v>176</v>
      </c>
    </row>
    <row r="154" s="29" customFormat="1" spans="2:5">
      <c r="B154" s="15" t="s">
        <v>177</v>
      </c>
      <c r="C154" s="16" t="s">
        <v>178</v>
      </c>
      <c r="D154" s="17" t="s">
        <v>179</v>
      </c>
      <c r="E154" s="18" t="s">
        <v>180</v>
      </c>
    </row>
    <row r="155" s="29" customFormat="1" ht="28" spans="2:5">
      <c r="B155" s="19" t="s">
        <v>216</v>
      </c>
      <c r="C155" s="20" t="s">
        <v>172</v>
      </c>
      <c r="D155" s="21">
        <v>1</v>
      </c>
      <c r="E155" s="22">
        <v>91339</v>
      </c>
    </row>
    <row r="156" s="29" customFormat="1" ht="28" spans="2:5">
      <c r="B156" s="19" t="s">
        <v>216</v>
      </c>
      <c r="C156" s="16" t="s">
        <v>183</v>
      </c>
      <c r="D156" s="23">
        <v>2</v>
      </c>
      <c r="E156" s="24">
        <v>182678</v>
      </c>
    </row>
    <row r="157" s="29" customFormat="1" ht="41" spans="2:5">
      <c r="B157" s="19" t="s">
        <v>364</v>
      </c>
      <c r="C157" s="20" t="s">
        <v>182</v>
      </c>
      <c r="D157" s="21">
        <v>5</v>
      </c>
      <c r="E157" s="22">
        <v>456695</v>
      </c>
    </row>
    <row r="158" s="29" customFormat="1" ht="28" spans="2:5">
      <c r="B158" s="19" t="s">
        <v>364</v>
      </c>
      <c r="C158" s="16" t="s">
        <v>183</v>
      </c>
      <c r="D158" s="23">
        <v>5</v>
      </c>
      <c r="E158" s="24">
        <v>456695</v>
      </c>
    </row>
    <row r="159" s="29" customFormat="1" ht="41" spans="2:5">
      <c r="B159" s="19" t="s">
        <v>217</v>
      </c>
      <c r="C159" s="20" t="s">
        <v>182</v>
      </c>
      <c r="D159" s="21">
        <v>3</v>
      </c>
      <c r="E159" s="22">
        <v>276963</v>
      </c>
    </row>
    <row r="160" s="29" customFormat="1" ht="28" spans="2:5">
      <c r="B160" s="19" t="s">
        <v>217</v>
      </c>
      <c r="C160" s="16" t="s">
        <v>183</v>
      </c>
      <c r="D160" s="23">
        <v>3</v>
      </c>
      <c r="E160" s="24">
        <v>276963</v>
      </c>
    </row>
    <row r="161" s="29" customFormat="1" ht="41" spans="2:5">
      <c r="B161" s="19" t="s">
        <v>218</v>
      </c>
      <c r="C161" s="20" t="s">
        <v>182</v>
      </c>
      <c r="D161" s="21">
        <v>7</v>
      </c>
      <c r="E161" s="22">
        <v>694372</v>
      </c>
    </row>
    <row r="162" s="29" customFormat="1" ht="28" spans="2:5">
      <c r="B162" s="19" t="s">
        <v>218</v>
      </c>
      <c r="C162" s="20" t="s">
        <v>172</v>
      </c>
      <c r="D162" s="21">
        <v>2</v>
      </c>
      <c r="E162" s="22">
        <v>198392</v>
      </c>
    </row>
    <row r="163" s="29" customFormat="1" ht="28" spans="2:5">
      <c r="B163" s="19" t="s">
        <v>218</v>
      </c>
      <c r="C163" s="16" t="s">
        <v>183</v>
      </c>
      <c r="D163" s="23">
        <v>9</v>
      </c>
      <c r="E163" s="24">
        <v>892764</v>
      </c>
    </row>
    <row r="164" s="29" customFormat="1" ht="41" spans="2:5">
      <c r="B164" s="19" t="s">
        <v>220</v>
      </c>
      <c r="C164" s="20" t="s">
        <v>182</v>
      </c>
      <c r="D164" s="21">
        <v>8</v>
      </c>
      <c r="E164" s="22">
        <v>793568</v>
      </c>
    </row>
    <row r="165" s="29" customFormat="1" ht="28" spans="2:5">
      <c r="B165" s="19" t="s">
        <v>220</v>
      </c>
      <c r="C165" s="20" t="s">
        <v>172</v>
      </c>
      <c r="D165" s="21">
        <v>4</v>
      </c>
      <c r="E165" s="22">
        <v>396784</v>
      </c>
    </row>
    <row r="166" s="29" customFormat="1" ht="28" spans="2:5">
      <c r="B166" s="19" t="s">
        <v>220</v>
      </c>
      <c r="C166" s="16" t="s">
        <v>183</v>
      </c>
      <c r="D166" s="23">
        <v>12</v>
      </c>
      <c r="E166" s="24">
        <v>1190352</v>
      </c>
    </row>
    <row r="167" s="29" customFormat="1" ht="41" spans="2:5">
      <c r="B167" s="19" t="s">
        <v>221</v>
      </c>
      <c r="C167" s="20" t="s">
        <v>182</v>
      </c>
      <c r="D167" s="21">
        <v>4</v>
      </c>
      <c r="E167" s="22">
        <v>418392</v>
      </c>
    </row>
    <row r="168" s="29" customFormat="1" ht="28" spans="2:5">
      <c r="B168" s="19" t="s">
        <v>221</v>
      </c>
      <c r="C168" s="20" t="s">
        <v>172</v>
      </c>
      <c r="D168" s="21">
        <v>1</v>
      </c>
      <c r="E168" s="22">
        <v>104598</v>
      </c>
    </row>
    <row r="169" s="29" customFormat="1" ht="28.75" spans="2:5">
      <c r="B169" s="19" t="s">
        <v>221</v>
      </c>
      <c r="C169" s="16" t="s">
        <v>183</v>
      </c>
      <c r="D169" s="23">
        <v>5</v>
      </c>
      <c r="E169" s="24">
        <v>522990</v>
      </c>
    </row>
    <row r="170" s="29" customFormat="1" spans="2:5">
      <c r="B170" s="25"/>
      <c r="C170" s="25"/>
      <c r="D170" s="25"/>
      <c r="E170" s="25"/>
    </row>
    <row r="171" s="29" customFormat="1" ht="36" spans="2:5">
      <c r="B171" s="26" t="s">
        <v>189</v>
      </c>
      <c r="C171" s="26" t="s">
        <v>189</v>
      </c>
      <c r="D171" s="26" t="s">
        <v>189</v>
      </c>
      <c r="E171" s="26" t="s">
        <v>189</v>
      </c>
    </row>
    <row r="172" s="29" customFormat="1" spans="2:5">
      <c r="B172" s="26"/>
      <c r="C172" s="26"/>
      <c r="D172" s="26"/>
      <c r="E172" s="26"/>
    </row>
    <row r="173" s="29" customFormat="1" ht="36" spans="2:5">
      <c r="B173" s="26" t="s">
        <v>190</v>
      </c>
      <c r="C173" s="26" t="s">
        <v>190</v>
      </c>
      <c r="D173" s="26" t="s">
        <v>190</v>
      </c>
      <c r="E173" s="26" t="s">
        <v>190</v>
      </c>
    </row>
    <row r="174" s="29" customFormat="1" spans="2:5">
      <c r="B174" s="26" t="s">
        <v>233</v>
      </c>
      <c r="C174" s="26" t="s">
        <v>233</v>
      </c>
      <c r="D174" s="26" t="s">
        <v>233</v>
      </c>
      <c r="E174" s="26" t="s">
        <v>233</v>
      </c>
    </row>
    <row r="175" s="29" customFormat="1" ht="124" spans="2:5">
      <c r="B175" s="11" t="s">
        <v>173</v>
      </c>
      <c r="C175" s="11" t="s">
        <v>173</v>
      </c>
      <c r="D175" s="11" t="s">
        <v>173</v>
      </c>
      <c r="E175" s="11" t="s">
        <v>173</v>
      </c>
    </row>
    <row r="176" s="29" customFormat="1" ht="156" spans="2:5">
      <c r="B176" s="12" t="s">
        <v>174</v>
      </c>
      <c r="C176" s="12" t="s">
        <v>174</v>
      </c>
      <c r="D176" s="12" t="s">
        <v>174</v>
      </c>
      <c r="E176" s="12" t="s">
        <v>174</v>
      </c>
    </row>
    <row r="177" s="29" customFormat="1" ht="68" spans="2:5">
      <c r="B177" s="13" t="s">
        <v>343</v>
      </c>
      <c r="C177" s="13" t="s">
        <v>343</v>
      </c>
      <c r="D177" s="13" t="s">
        <v>343</v>
      </c>
      <c r="E177" s="13" t="s">
        <v>343</v>
      </c>
    </row>
    <row r="178" s="29" customFormat="1" ht="22" spans="2:5">
      <c r="B178" s="14" t="s">
        <v>176</v>
      </c>
      <c r="C178" s="14" t="s">
        <v>176</v>
      </c>
      <c r="D178" s="14" t="s">
        <v>176</v>
      </c>
      <c r="E178" s="14" t="s">
        <v>176</v>
      </c>
    </row>
    <row r="179" s="29" customFormat="1" spans="2:5">
      <c r="B179" s="15" t="s">
        <v>177</v>
      </c>
      <c r="C179" s="16" t="s">
        <v>178</v>
      </c>
      <c r="D179" s="17" t="s">
        <v>179</v>
      </c>
      <c r="E179" s="18" t="s">
        <v>180</v>
      </c>
    </row>
    <row r="180" s="29" customFormat="1" ht="41" spans="2:5">
      <c r="B180" s="19" t="s">
        <v>222</v>
      </c>
      <c r="C180" s="20" t="s">
        <v>182</v>
      </c>
      <c r="D180" s="21">
        <v>6</v>
      </c>
      <c r="E180" s="22">
        <v>493512</v>
      </c>
    </row>
    <row r="181" s="29" customFormat="1" ht="28" spans="2:5">
      <c r="B181" s="19" t="s">
        <v>222</v>
      </c>
      <c r="C181" s="20" t="s">
        <v>172</v>
      </c>
      <c r="D181" s="21">
        <v>2</v>
      </c>
      <c r="E181" s="22">
        <v>179369</v>
      </c>
    </row>
    <row r="182" s="29" customFormat="1" ht="28" spans="2:5">
      <c r="B182" s="19" t="s">
        <v>222</v>
      </c>
      <c r="C182" s="16" t="s">
        <v>183</v>
      </c>
      <c r="D182" s="23">
        <v>8</v>
      </c>
      <c r="E182" s="24">
        <v>672881</v>
      </c>
    </row>
    <row r="183" s="29" customFormat="1" ht="41" spans="2:5">
      <c r="B183" s="19" t="s">
        <v>223</v>
      </c>
      <c r="C183" s="20" t="s">
        <v>182</v>
      </c>
      <c r="D183" s="21">
        <v>3</v>
      </c>
      <c r="E183" s="22">
        <v>267567</v>
      </c>
    </row>
    <row r="184" s="29" customFormat="1" ht="28" spans="2:5">
      <c r="B184" s="19" t="s">
        <v>223</v>
      </c>
      <c r="C184" s="16" t="s">
        <v>183</v>
      </c>
      <c r="D184" s="23">
        <v>3</v>
      </c>
      <c r="E184" s="24">
        <v>267567</v>
      </c>
    </row>
    <row r="185" s="29" customFormat="1" ht="28" spans="2:5">
      <c r="B185" s="19" t="s">
        <v>225</v>
      </c>
      <c r="C185" s="20" t="s">
        <v>172</v>
      </c>
      <c r="D185" s="21">
        <v>1</v>
      </c>
      <c r="E185" s="22">
        <v>93649</v>
      </c>
    </row>
    <row r="186" s="29" customFormat="1" ht="28" spans="2:5">
      <c r="B186" s="19" t="s">
        <v>225</v>
      </c>
      <c r="C186" s="16" t="s">
        <v>183</v>
      </c>
      <c r="D186" s="23">
        <v>1</v>
      </c>
      <c r="E186" s="24">
        <v>93649</v>
      </c>
    </row>
    <row r="187" s="29" customFormat="1" ht="41" spans="2:5">
      <c r="B187" s="19" t="s">
        <v>227</v>
      </c>
      <c r="C187" s="20" t="s">
        <v>182</v>
      </c>
      <c r="D187" s="21">
        <v>1</v>
      </c>
      <c r="E187" s="22">
        <v>89189</v>
      </c>
    </row>
    <row r="188" s="29" customFormat="1" ht="28" spans="2:5">
      <c r="B188" s="19" t="s">
        <v>227</v>
      </c>
      <c r="C188" s="20" t="s">
        <v>172</v>
      </c>
      <c r="D188" s="21">
        <v>1</v>
      </c>
      <c r="E188" s="22">
        <v>89189</v>
      </c>
    </row>
    <row r="189" s="29" customFormat="1" ht="28" spans="2:5">
      <c r="B189" s="19" t="s">
        <v>227</v>
      </c>
      <c r="C189" s="16" t="s">
        <v>183</v>
      </c>
      <c r="D189" s="23">
        <v>2</v>
      </c>
      <c r="E189" s="24">
        <v>178378</v>
      </c>
    </row>
    <row r="190" s="29" customFormat="1" ht="41" spans="2:5">
      <c r="B190" s="19" t="s">
        <v>365</v>
      </c>
      <c r="C190" s="20" t="s">
        <v>182</v>
      </c>
      <c r="D190" s="21">
        <v>1</v>
      </c>
      <c r="E190" s="22">
        <v>780000</v>
      </c>
    </row>
    <row r="191" s="29" customFormat="1" ht="28" spans="2:5">
      <c r="B191" s="19" t="s">
        <v>365</v>
      </c>
      <c r="C191" s="16" t="s">
        <v>183</v>
      </c>
      <c r="D191" s="23">
        <v>1</v>
      </c>
      <c r="E191" s="24">
        <v>780000</v>
      </c>
    </row>
    <row r="192" s="29" customFormat="1" ht="28" spans="2:5">
      <c r="B192" s="19" t="s">
        <v>238</v>
      </c>
      <c r="C192" s="20" t="s">
        <v>172</v>
      </c>
      <c r="D192" s="21">
        <v>2</v>
      </c>
      <c r="E192" s="22">
        <v>4850450</v>
      </c>
    </row>
    <row r="193" s="29" customFormat="1" ht="28" spans="2:5">
      <c r="B193" s="19" t="s">
        <v>238</v>
      </c>
      <c r="C193" s="16" t="s">
        <v>183</v>
      </c>
      <c r="D193" s="23">
        <v>2</v>
      </c>
      <c r="E193" s="24">
        <v>4850450</v>
      </c>
    </row>
    <row r="194" s="29" customFormat="1" ht="41" spans="2:5">
      <c r="B194" s="19" t="s">
        <v>239</v>
      </c>
      <c r="C194" s="20" t="s">
        <v>182</v>
      </c>
      <c r="D194" s="21">
        <v>1</v>
      </c>
      <c r="E194" s="22">
        <v>2381082</v>
      </c>
    </row>
    <row r="195" s="29" customFormat="1" ht="28.75" spans="2:5">
      <c r="B195" s="19" t="s">
        <v>239</v>
      </c>
      <c r="C195" s="16" t="s">
        <v>183</v>
      </c>
      <c r="D195" s="23">
        <v>1</v>
      </c>
      <c r="E195" s="24">
        <v>2381082</v>
      </c>
    </row>
    <row r="196" s="29" customFormat="1" spans="2:5">
      <c r="B196" s="25"/>
      <c r="C196" s="25"/>
      <c r="D196" s="25"/>
      <c r="E196" s="25"/>
    </row>
    <row r="197" s="29" customFormat="1" ht="36" spans="2:5">
      <c r="B197" s="26" t="s">
        <v>189</v>
      </c>
      <c r="C197" s="26" t="s">
        <v>189</v>
      </c>
      <c r="D197" s="26" t="s">
        <v>189</v>
      </c>
      <c r="E197" s="26" t="s">
        <v>189</v>
      </c>
    </row>
    <row r="198" s="29" customFormat="1" spans="2:5">
      <c r="B198" s="26"/>
      <c r="C198" s="26"/>
      <c r="D198" s="26"/>
      <c r="E198" s="26"/>
    </row>
    <row r="199" s="29" customFormat="1" ht="36" spans="2:5">
      <c r="B199" s="26" t="s">
        <v>190</v>
      </c>
      <c r="C199" s="26" t="s">
        <v>190</v>
      </c>
      <c r="D199" s="26" t="s">
        <v>190</v>
      </c>
      <c r="E199" s="26" t="s">
        <v>190</v>
      </c>
    </row>
    <row r="200" s="29" customFormat="1" spans="2:5">
      <c r="B200" s="26" t="s">
        <v>240</v>
      </c>
      <c r="C200" s="26" t="s">
        <v>240</v>
      </c>
      <c r="D200" s="26" t="s">
        <v>240</v>
      </c>
      <c r="E200" s="26" t="s">
        <v>240</v>
      </c>
    </row>
    <row r="201" s="29" customFormat="1" ht="124" spans="2:5">
      <c r="B201" s="11" t="s">
        <v>173</v>
      </c>
      <c r="C201" s="11" t="s">
        <v>173</v>
      </c>
      <c r="D201" s="11" t="s">
        <v>173</v>
      </c>
      <c r="E201" s="11" t="s">
        <v>173</v>
      </c>
    </row>
    <row r="202" s="29" customFormat="1" ht="156" spans="2:5">
      <c r="B202" s="12" t="s">
        <v>174</v>
      </c>
      <c r="C202" s="12" t="s">
        <v>174</v>
      </c>
      <c r="D202" s="12" t="s">
        <v>174</v>
      </c>
      <c r="E202" s="12" t="s">
        <v>174</v>
      </c>
    </row>
    <row r="203" s="29" customFormat="1" ht="68" spans="2:5">
      <c r="B203" s="13" t="s">
        <v>343</v>
      </c>
      <c r="C203" s="13" t="s">
        <v>343</v>
      </c>
      <c r="D203" s="13" t="s">
        <v>343</v>
      </c>
      <c r="E203" s="13" t="s">
        <v>343</v>
      </c>
    </row>
    <row r="204" s="29" customFormat="1" ht="22" spans="2:5">
      <c r="B204" s="14" t="s">
        <v>176</v>
      </c>
      <c r="C204" s="14" t="s">
        <v>176</v>
      </c>
      <c r="D204" s="14" t="s">
        <v>176</v>
      </c>
      <c r="E204" s="14" t="s">
        <v>176</v>
      </c>
    </row>
    <row r="205" s="29" customFormat="1" spans="2:5">
      <c r="B205" s="15" t="s">
        <v>177</v>
      </c>
      <c r="C205" s="16" t="s">
        <v>178</v>
      </c>
      <c r="D205" s="17" t="s">
        <v>179</v>
      </c>
      <c r="E205" s="18" t="s">
        <v>180</v>
      </c>
    </row>
    <row r="206" s="29" customFormat="1" ht="41" spans="2:5">
      <c r="B206" s="19" t="s">
        <v>245</v>
      </c>
      <c r="C206" s="20" t="s">
        <v>182</v>
      </c>
      <c r="D206" s="21">
        <v>4</v>
      </c>
      <c r="E206" s="22">
        <v>1848649</v>
      </c>
    </row>
    <row r="207" s="29" customFormat="1" ht="28" spans="2:5">
      <c r="B207" s="19" t="s">
        <v>245</v>
      </c>
      <c r="C207" s="16" t="s">
        <v>183</v>
      </c>
      <c r="D207" s="23">
        <v>4</v>
      </c>
      <c r="E207" s="24">
        <v>1848649</v>
      </c>
    </row>
    <row r="208" s="29" customFormat="1" ht="41" spans="2:5">
      <c r="B208" s="19" t="s">
        <v>249</v>
      </c>
      <c r="C208" s="20" t="s">
        <v>182</v>
      </c>
      <c r="D208" s="21">
        <v>4</v>
      </c>
      <c r="E208" s="22">
        <v>2201804</v>
      </c>
    </row>
    <row r="209" s="29" customFormat="1" ht="28" spans="2:5">
      <c r="B209" s="19" t="s">
        <v>249</v>
      </c>
      <c r="C209" s="16" t="s">
        <v>183</v>
      </c>
      <c r="D209" s="23">
        <v>4</v>
      </c>
      <c r="E209" s="24">
        <v>2201804</v>
      </c>
    </row>
    <row r="210" s="29" customFormat="1" ht="41" spans="2:5">
      <c r="B210" s="19" t="s">
        <v>252</v>
      </c>
      <c r="C210" s="20" t="s">
        <v>182</v>
      </c>
      <c r="D210" s="21">
        <v>2</v>
      </c>
      <c r="E210" s="22">
        <v>2630630.4</v>
      </c>
    </row>
    <row r="211" s="29" customFormat="1" ht="28" spans="2:5">
      <c r="B211" s="19" t="s">
        <v>252</v>
      </c>
      <c r="C211" s="16" t="s">
        <v>183</v>
      </c>
      <c r="D211" s="23">
        <v>2</v>
      </c>
      <c r="E211" s="24">
        <v>2630630.4</v>
      </c>
    </row>
    <row r="212" s="29" customFormat="1" ht="28" spans="2:5">
      <c r="B212" s="19" t="s">
        <v>366</v>
      </c>
      <c r="C212" s="20" t="s">
        <v>172</v>
      </c>
      <c r="D212" s="21">
        <v>2</v>
      </c>
      <c r="E212" s="22">
        <v>3774774</v>
      </c>
    </row>
    <row r="213" s="29" customFormat="1" ht="28" spans="2:5">
      <c r="B213" s="19" t="s">
        <v>366</v>
      </c>
      <c r="C213" s="16" t="s">
        <v>183</v>
      </c>
      <c r="D213" s="23">
        <v>2</v>
      </c>
      <c r="E213" s="24">
        <v>3774774</v>
      </c>
    </row>
    <row r="214" s="29" customFormat="1" ht="28" spans="2:5">
      <c r="B214" s="19" t="s">
        <v>267</v>
      </c>
      <c r="C214" s="20" t="s">
        <v>172</v>
      </c>
      <c r="D214" s="21">
        <v>2</v>
      </c>
      <c r="E214" s="22">
        <v>3596396</v>
      </c>
    </row>
    <row r="215" s="29" customFormat="1" ht="28" spans="2:5">
      <c r="B215" s="19" t="s">
        <v>267</v>
      </c>
      <c r="C215" s="16" t="s">
        <v>183</v>
      </c>
      <c r="D215" s="23">
        <v>2</v>
      </c>
      <c r="E215" s="24">
        <v>3596396</v>
      </c>
    </row>
    <row r="216" s="29" customFormat="1" ht="41" spans="2:5">
      <c r="B216" s="19" t="s">
        <v>273</v>
      </c>
      <c r="C216" s="20" t="s">
        <v>182</v>
      </c>
      <c r="D216" s="21">
        <v>8</v>
      </c>
      <c r="E216" s="22">
        <v>0</v>
      </c>
    </row>
    <row r="217" s="29" customFormat="1" ht="28" spans="2:5">
      <c r="B217" s="19" t="s">
        <v>273</v>
      </c>
      <c r="C217" s="16" t="s">
        <v>183</v>
      </c>
      <c r="D217" s="23">
        <v>8</v>
      </c>
      <c r="E217" s="24">
        <v>0</v>
      </c>
    </row>
    <row r="218" s="29" customFormat="1" ht="41" spans="2:5">
      <c r="B218" s="19" t="s">
        <v>274</v>
      </c>
      <c r="C218" s="20" t="s">
        <v>182</v>
      </c>
      <c r="D218" s="21">
        <v>1</v>
      </c>
      <c r="E218" s="22">
        <v>287387</v>
      </c>
    </row>
    <row r="219" s="29" customFormat="1" ht="28.75" spans="2:5">
      <c r="B219" s="19" t="s">
        <v>274</v>
      </c>
      <c r="C219" s="16" t="s">
        <v>183</v>
      </c>
      <c r="D219" s="23">
        <v>1</v>
      </c>
      <c r="E219" s="24">
        <v>287387</v>
      </c>
    </row>
    <row r="220" s="29" customFormat="1" spans="2:5">
      <c r="B220" s="25"/>
      <c r="C220" s="25"/>
      <c r="D220" s="25"/>
      <c r="E220" s="25"/>
    </row>
    <row r="221" s="29" customFormat="1" ht="36" spans="2:5">
      <c r="B221" s="26" t="s">
        <v>189</v>
      </c>
      <c r="C221" s="26" t="s">
        <v>189</v>
      </c>
      <c r="D221" s="26" t="s">
        <v>189</v>
      </c>
      <c r="E221" s="26" t="s">
        <v>189</v>
      </c>
    </row>
    <row r="222" s="29" customFormat="1" spans="2:5">
      <c r="B222" s="26"/>
      <c r="C222" s="26"/>
      <c r="D222" s="26"/>
      <c r="E222" s="26"/>
    </row>
    <row r="223" s="29" customFormat="1" ht="36" spans="2:5">
      <c r="B223" s="26" t="s">
        <v>190</v>
      </c>
      <c r="C223" s="26" t="s">
        <v>190</v>
      </c>
      <c r="D223" s="26" t="s">
        <v>190</v>
      </c>
      <c r="E223" s="26" t="s">
        <v>190</v>
      </c>
    </row>
    <row r="224" s="29" customFormat="1" spans="2:5">
      <c r="B224" s="26" t="s">
        <v>247</v>
      </c>
      <c r="C224" s="26" t="s">
        <v>247</v>
      </c>
      <c r="D224" s="26" t="s">
        <v>247</v>
      </c>
      <c r="E224" s="26" t="s">
        <v>247</v>
      </c>
    </row>
    <row r="225" s="29" customFormat="1" ht="124" spans="2:5">
      <c r="B225" s="11" t="s">
        <v>173</v>
      </c>
      <c r="C225" s="11" t="s">
        <v>173</v>
      </c>
      <c r="D225" s="11" t="s">
        <v>173</v>
      </c>
      <c r="E225" s="11" t="s">
        <v>173</v>
      </c>
    </row>
    <row r="226" s="29" customFormat="1" ht="156" spans="2:5">
      <c r="B226" s="12" t="s">
        <v>174</v>
      </c>
      <c r="C226" s="12" t="s">
        <v>174</v>
      </c>
      <c r="D226" s="12" t="s">
        <v>174</v>
      </c>
      <c r="E226" s="12" t="s">
        <v>174</v>
      </c>
    </row>
    <row r="227" s="29" customFormat="1" ht="68" spans="2:5">
      <c r="B227" s="13" t="s">
        <v>343</v>
      </c>
      <c r="C227" s="13" t="s">
        <v>343</v>
      </c>
      <c r="D227" s="13" t="s">
        <v>343</v>
      </c>
      <c r="E227" s="13" t="s">
        <v>343</v>
      </c>
    </row>
    <row r="228" s="29" customFormat="1" ht="22" spans="2:5">
      <c r="B228" s="14" t="s">
        <v>176</v>
      </c>
      <c r="C228" s="14" t="s">
        <v>176</v>
      </c>
      <c r="D228" s="14" t="s">
        <v>176</v>
      </c>
      <c r="E228" s="14" t="s">
        <v>176</v>
      </c>
    </row>
    <row r="229" s="29" customFormat="1" spans="2:5">
      <c r="B229" s="15" t="s">
        <v>177</v>
      </c>
      <c r="C229" s="16" t="s">
        <v>178</v>
      </c>
      <c r="D229" s="17" t="s">
        <v>179</v>
      </c>
      <c r="E229" s="18" t="s">
        <v>180</v>
      </c>
    </row>
    <row r="230" s="29" customFormat="1" ht="41" spans="2:5">
      <c r="B230" s="19" t="s">
        <v>367</v>
      </c>
      <c r="C230" s="20" t="s">
        <v>182</v>
      </c>
      <c r="D230" s="21">
        <v>2</v>
      </c>
      <c r="E230" s="22">
        <v>0</v>
      </c>
    </row>
    <row r="231" s="29" customFormat="1" ht="28" spans="2:5">
      <c r="B231" s="19" t="s">
        <v>367</v>
      </c>
      <c r="C231" s="20" t="s">
        <v>172</v>
      </c>
      <c r="D231" s="21">
        <v>20</v>
      </c>
      <c r="E231" s="22">
        <v>823064</v>
      </c>
    </row>
    <row r="232" s="29" customFormat="1" ht="28" spans="2:5">
      <c r="B232" s="19" t="s">
        <v>367</v>
      </c>
      <c r="C232" s="16" t="s">
        <v>183</v>
      </c>
      <c r="D232" s="23">
        <v>22</v>
      </c>
      <c r="E232" s="24">
        <v>823064</v>
      </c>
    </row>
    <row r="233" s="29" customFormat="1" ht="28" spans="2:5">
      <c r="B233" s="19" t="s">
        <v>368</v>
      </c>
      <c r="C233" s="20" t="s">
        <v>172</v>
      </c>
      <c r="D233" s="21">
        <v>5</v>
      </c>
      <c r="E233" s="22">
        <v>858560</v>
      </c>
    </row>
    <row r="234" s="29" customFormat="1" ht="28" spans="2:5">
      <c r="B234" s="19" t="s">
        <v>368</v>
      </c>
      <c r="C234" s="16" t="s">
        <v>183</v>
      </c>
      <c r="D234" s="23">
        <v>5</v>
      </c>
      <c r="E234" s="24">
        <v>858560</v>
      </c>
    </row>
    <row r="235" s="29" customFormat="1" ht="41" spans="2:5">
      <c r="B235" s="19" t="s">
        <v>369</v>
      </c>
      <c r="C235" s="20" t="s">
        <v>182</v>
      </c>
      <c r="D235" s="21">
        <v>2</v>
      </c>
      <c r="E235" s="22">
        <v>2028000</v>
      </c>
    </row>
    <row r="236" s="29" customFormat="1" ht="28" spans="2:5">
      <c r="B236" s="19" t="s">
        <v>369</v>
      </c>
      <c r="C236" s="16" t="s">
        <v>183</v>
      </c>
      <c r="D236" s="23">
        <v>2</v>
      </c>
      <c r="E236" s="24">
        <v>2028000</v>
      </c>
    </row>
    <row r="237" s="29" customFormat="1" ht="28" spans="2:5">
      <c r="B237" s="19" t="s">
        <v>283</v>
      </c>
      <c r="C237" s="20" t="s">
        <v>172</v>
      </c>
      <c r="D237" s="21">
        <v>4</v>
      </c>
      <c r="E237" s="22">
        <v>2767568</v>
      </c>
    </row>
    <row r="238" s="29" customFormat="1" ht="28" spans="2:5">
      <c r="B238" s="19" t="s">
        <v>283</v>
      </c>
      <c r="C238" s="16" t="s">
        <v>183</v>
      </c>
      <c r="D238" s="23">
        <v>4</v>
      </c>
      <c r="E238" s="24">
        <v>2767568</v>
      </c>
    </row>
    <row r="239" s="29" customFormat="1" ht="41" spans="2:5">
      <c r="B239" s="19" t="s">
        <v>292</v>
      </c>
      <c r="C239" s="20" t="s">
        <v>182</v>
      </c>
      <c r="D239" s="21">
        <v>4</v>
      </c>
      <c r="E239" s="22">
        <v>1756036</v>
      </c>
    </row>
    <row r="240" s="29" customFormat="1" ht="28" spans="2:5">
      <c r="B240" s="19" t="s">
        <v>292</v>
      </c>
      <c r="C240" s="16" t="s">
        <v>183</v>
      </c>
      <c r="D240" s="23">
        <v>4</v>
      </c>
      <c r="E240" s="24">
        <v>1756036</v>
      </c>
    </row>
    <row r="241" s="29" customFormat="1" ht="41" spans="2:5">
      <c r="B241" s="19" t="s">
        <v>370</v>
      </c>
      <c r="C241" s="20" t="s">
        <v>182</v>
      </c>
      <c r="D241" s="21">
        <v>1</v>
      </c>
      <c r="E241" s="22">
        <v>84500</v>
      </c>
    </row>
    <row r="242" s="29" customFormat="1" ht="28" spans="2:5">
      <c r="B242" s="19" t="s">
        <v>370</v>
      </c>
      <c r="C242" s="16" t="s">
        <v>183</v>
      </c>
      <c r="D242" s="23">
        <v>1</v>
      </c>
      <c r="E242" s="24">
        <v>84500</v>
      </c>
    </row>
    <row r="243" s="29" customFormat="1" ht="41" spans="2:5">
      <c r="B243" s="19" t="s">
        <v>299</v>
      </c>
      <c r="C243" s="20" t="s">
        <v>182</v>
      </c>
      <c r="D243" s="21">
        <v>2</v>
      </c>
      <c r="E243" s="22">
        <v>153154</v>
      </c>
    </row>
    <row r="244" s="29" customFormat="1" ht="28" spans="2:5">
      <c r="B244" s="19" t="s">
        <v>299</v>
      </c>
      <c r="C244" s="20" t="s">
        <v>172</v>
      </c>
      <c r="D244" s="21">
        <v>17</v>
      </c>
      <c r="E244" s="22">
        <v>459462</v>
      </c>
    </row>
    <row r="245" s="29" customFormat="1" ht="28.75" spans="2:5">
      <c r="B245" s="19" t="s">
        <v>299</v>
      </c>
      <c r="C245" s="16" t="s">
        <v>183</v>
      </c>
      <c r="D245" s="23">
        <v>19</v>
      </c>
      <c r="E245" s="24">
        <v>612616</v>
      </c>
    </row>
    <row r="246" s="29" customFormat="1" spans="2:5">
      <c r="B246" s="25"/>
      <c r="C246" s="25"/>
      <c r="D246" s="25"/>
      <c r="E246" s="25"/>
    </row>
    <row r="247" s="29" customFormat="1" ht="36" spans="2:5">
      <c r="B247" s="26" t="s">
        <v>189</v>
      </c>
      <c r="C247" s="26" t="s">
        <v>189</v>
      </c>
      <c r="D247" s="26" t="s">
        <v>189</v>
      </c>
      <c r="E247" s="26" t="s">
        <v>189</v>
      </c>
    </row>
    <row r="248" s="29" customFormat="1" spans="2:5">
      <c r="B248" s="26"/>
      <c r="C248" s="26"/>
      <c r="D248" s="26"/>
      <c r="E248" s="26"/>
    </row>
    <row r="249" s="29" customFormat="1" ht="36" spans="2:5">
      <c r="B249" s="26" t="s">
        <v>190</v>
      </c>
      <c r="C249" s="26" t="s">
        <v>190</v>
      </c>
      <c r="D249" s="26" t="s">
        <v>190</v>
      </c>
      <c r="E249" s="26" t="s">
        <v>190</v>
      </c>
    </row>
    <row r="250" s="29" customFormat="1" spans="2:5">
      <c r="B250" s="26" t="s">
        <v>254</v>
      </c>
      <c r="C250" s="26" t="s">
        <v>254</v>
      </c>
      <c r="D250" s="26" t="s">
        <v>254</v>
      </c>
      <c r="E250" s="26" t="s">
        <v>254</v>
      </c>
    </row>
    <row r="251" s="29" customFormat="1" ht="124" spans="2:5">
      <c r="B251" s="11" t="s">
        <v>173</v>
      </c>
      <c r="C251" s="11" t="s">
        <v>173</v>
      </c>
      <c r="D251" s="11" t="s">
        <v>173</v>
      </c>
      <c r="E251" s="11" t="s">
        <v>173</v>
      </c>
    </row>
    <row r="252" s="29" customFormat="1" ht="156" spans="2:5">
      <c r="B252" s="12" t="s">
        <v>174</v>
      </c>
      <c r="C252" s="12" t="s">
        <v>174</v>
      </c>
      <c r="D252" s="12" t="s">
        <v>174</v>
      </c>
      <c r="E252" s="12" t="s">
        <v>174</v>
      </c>
    </row>
    <row r="253" s="29" customFormat="1" ht="68" spans="2:5">
      <c r="B253" s="13" t="s">
        <v>343</v>
      </c>
      <c r="C253" s="13" t="s">
        <v>343</v>
      </c>
      <c r="D253" s="13" t="s">
        <v>343</v>
      </c>
      <c r="E253" s="13" t="s">
        <v>343</v>
      </c>
    </row>
    <row r="254" s="29" customFormat="1" ht="22" spans="2:5">
      <c r="B254" s="14" t="s">
        <v>176</v>
      </c>
      <c r="C254" s="14" t="s">
        <v>176</v>
      </c>
      <c r="D254" s="14" t="s">
        <v>176</v>
      </c>
      <c r="E254" s="14" t="s">
        <v>176</v>
      </c>
    </row>
    <row r="255" s="29" customFormat="1" spans="2:5">
      <c r="B255" s="15" t="s">
        <v>177</v>
      </c>
      <c r="C255" s="16" t="s">
        <v>178</v>
      </c>
      <c r="D255" s="17" t="s">
        <v>179</v>
      </c>
      <c r="E255" s="18" t="s">
        <v>180</v>
      </c>
    </row>
    <row r="256" s="29" customFormat="1" ht="28" spans="2:5">
      <c r="B256" s="19" t="s">
        <v>371</v>
      </c>
      <c r="C256" s="20" t="s">
        <v>172</v>
      </c>
      <c r="D256" s="21">
        <v>1</v>
      </c>
      <c r="E256" s="22">
        <v>0</v>
      </c>
    </row>
    <row r="257" s="29" customFormat="1" ht="28" spans="2:5">
      <c r="B257" s="19" t="s">
        <v>371</v>
      </c>
      <c r="C257" s="16" t="s">
        <v>183</v>
      </c>
      <c r="D257" s="23">
        <v>1</v>
      </c>
      <c r="E257" s="24">
        <v>0</v>
      </c>
    </row>
    <row r="258" s="29" customFormat="1" ht="41" spans="2:5">
      <c r="B258" s="19" t="s">
        <v>372</v>
      </c>
      <c r="C258" s="20" t="s">
        <v>182</v>
      </c>
      <c r="D258" s="21">
        <v>3</v>
      </c>
      <c r="E258" s="22">
        <v>0</v>
      </c>
    </row>
    <row r="259" s="29" customFormat="1" spans="2:5">
      <c r="B259" s="19" t="s">
        <v>372</v>
      </c>
      <c r="C259" s="20" t="s">
        <v>172</v>
      </c>
      <c r="D259" s="21">
        <v>10</v>
      </c>
      <c r="E259" s="22">
        <v>650000</v>
      </c>
    </row>
    <row r="260" s="29" customFormat="1" spans="2:5">
      <c r="B260" s="19" t="s">
        <v>372</v>
      </c>
      <c r="C260" s="16" t="s">
        <v>183</v>
      </c>
      <c r="D260" s="23">
        <v>13</v>
      </c>
      <c r="E260" s="24">
        <v>650000</v>
      </c>
    </row>
    <row r="261" s="29" customFormat="1" ht="41" spans="2:5">
      <c r="B261" s="19" t="s">
        <v>373</v>
      </c>
      <c r="C261" s="20" t="s">
        <v>182</v>
      </c>
      <c r="D261" s="21">
        <v>1</v>
      </c>
      <c r="E261" s="22">
        <v>0</v>
      </c>
    </row>
    <row r="262" s="29" customFormat="1" ht="28" spans="2:5">
      <c r="B262" s="19" t="s">
        <v>373</v>
      </c>
      <c r="C262" s="20" t="s">
        <v>172</v>
      </c>
      <c r="D262" s="21">
        <v>10</v>
      </c>
      <c r="E262" s="22">
        <v>540540</v>
      </c>
    </row>
    <row r="263" s="29" customFormat="1" ht="28" spans="2:5">
      <c r="B263" s="19" t="s">
        <v>373</v>
      </c>
      <c r="C263" s="16" t="s">
        <v>183</v>
      </c>
      <c r="D263" s="23">
        <v>11</v>
      </c>
      <c r="E263" s="24">
        <v>540540</v>
      </c>
    </row>
    <row r="264" s="29" customFormat="1" ht="41" spans="2:5">
      <c r="B264" s="19" t="s">
        <v>374</v>
      </c>
      <c r="C264" s="20" t="s">
        <v>182</v>
      </c>
      <c r="D264" s="21">
        <v>1</v>
      </c>
      <c r="E264" s="22">
        <v>0</v>
      </c>
    </row>
    <row r="265" s="29" customFormat="1" ht="28" spans="2:5">
      <c r="B265" s="19" t="s">
        <v>374</v>
      </c>
      <c r="C265" s="16" t="s">
        <v>183</v>
      </c>
      <c r="D265" s="23">
        <v>1</v>
      </c>
      <c r="E265" s="24">
        <v>0</v>
      </c>
    </row>
    <row r="266" s="29" customFormat="1" ht="41" spans="2:5">
      <c r="B266" s="19" t="s">
        <v>300</v>
      </c>
      <c r="C266" s="20" t="s">
        <v>182</v>
      </c>
      <c r="D266" s="21">
        <v>1</v>
      </c>
      <c r="E266" s="22">
        <v>0</v>
      </c>
    </row>
    <row r="267" s="29" customFormat="1" spans="2:5">
      <c r="B267" s="19" t="s">
        <v>300</v>
      </c>
      <c r="C267" s="20" t="s">
        <v>172</v>
      </c>
      <c r="D267" s="21">
        <v>1</v>
      </c>
      <c r="E267" s="22">
        <v>0</v>
      </c>
    </row>
    <row r="268" s="29" customFormat="1" spans="2:5">
      <c r="B268" s="19" t="s">
        <v>300</v>
      </c>
      <c r="C268" s="16" t="s">
        <v>183</v>
      </c>
      <c r="D268" s="23">
        <v>2</v>
      </c>
      <c r="E268" s="24">
        <v>0</v>
      </c>
    </row>
    <row r="269" s="29" customFormat="1" spans="2:5">
      <c r="B269" s="19" t="s">
        <v>301</v>
      </c>
      <c r="C269" s="20" t="s">
        <v>172</v>
      </c>
      <c r="D269" s="21">
        <v>3</v>
      </c>
      <c r="E269" s="22">
        <v>225000</v>
      </c>
    </row>
    <row r="270" s="29" customFormat="1" spans="2:5">
      <c r="B270" s="19" t="s">
        <v>301</v>
      </c>
      <c r="C270" s="16" t="s">
        <v>183</v>
      </c>
      <c r="D270" s="23">
        <v>3</v>
      </c>
      <c r="E270" s="24">
        <v>225000</v>
      </c>
    </row>
    <row r="271" s="29" customFormat="1" ht="41.75" spans="2:5">
      <c r="B271" s="20" t="s">
        <v>375</v>
      </c>
      <c r="C271" s="20" t="s">
        <v>182</v>
      </c>
      <c r="D271" s="21">
        <v>4</v>
      </c>
      <c r="E271" s="22">
        <v>90090</v>
      </c>
    </row>
    <row r="272" s="29" customFormat="1" spans="2:5">
      <c r="B272" s="25"/>
      <c r="C272" s="25"/>
      <c r="D272" s="25"/>
      <c r="E272" s="25"/>
    </row>
    <row r="273" s="29" customFormat="1" ht="36" spans="2:5">
      <c r="B273" s="26" t="s">
        <v>189</v>
      </c>
      <c r="C273" s="26" t="s">
        <v>189</v>
      </c>
      <c r="D273" s="26" t="s">
        <v>189</v>
      </c>
      <c r="E273" s="26" t="s">
        <v>189</v>
      </c>
    </row>
    <row r="274" s="29" customFormat="1" spans="2:5">
      <c r="B274" s="26"/>
      <c r="C274" s="26"/>
      <c r="D274" s="26"/>
      <c r="E274" s="26"/>
    </row>
    <row r="275" s="29" customFormat="1" ht="36" spans="2:5">
      <c r="B275" s="26" t="s">
        <v>190</v>
      </c>
      <c r="C275" s="26" t="s">
        <v>190</v>
      </c>
      <c r="D275" s="26" t="s">
        <v>190</v>
      </c>
      <c r="E275" s="26" t="s">
        <v>190</v>
      </c>
    </row>
    <row r="276" s="29" customFormat="1" spans="2:5">
      <c r="B276" s="26" t="s">
        <v>261</v>
      </c>
      <c r="C276" s="26" t="s">
        <v>261</v>
      </c>
      <c r="D276" s="26" t="s">
        <v>261</v>
      </c>
      <c r="E276" s="26" t="s">
        <v>261</v>
      </c>
    </row>
    <row r="277" s="29" customFormat="1" ht="124" spans="2:5">
      <c r="B277" s="11" t="s">
        <v>173</v>
      </c>
      <c r="C277" s="11" t="s">
        <v>173</v>
      </c>
      <c r="D277" s="11" t="s">
        <v>173</v>
      </c>
      <c r="E277" s="11" t="s">
        <v>173</v>
      </c>
    </row>
    <row r="278" s="29" customFormat="1" ht="156" spans="2:5">
      <c r="B278" s="12" t="s">
        <v>174</v>
      </c>
      <c r="C278" s="12" t="s">
        <v>174</v>
      </c>
      <c r="D278" s="12" t="s">
        <v>174</v>
      </c>
      <c r="E278" s="12" t="s">
        <v>174</v>
      </c>
    </row>
    <row r="279" s="29" customFormat="1" ht="68" spans="2:5">
      <c r="B279" s="13" t="s">
        <v>343</v>
      </c>
      <c r="C279" s="13" t="s">
        <v>343</v>
      </c>
      <c r="D279" s="13" t="s">
        <v>343</v>
      </c>
      <c r="E279" s="13" t="s">
        <v>343</v>
      </c>
    </row>
    <row r="280" s="29" customFormat="1" ht="22" spans="2:5">
      <c r="B280" s="14" t="s">
        <v>176</v>
      </c>
      <c r="C280" s="14" t="s">
        <v>176</v>
      </c>
      <c r="D280" s="14" t="s">
        <v>176</v>
      </c>
      <c r="E280" s="14" t="s">
        <v>176</v>
      </c>
    </row>
    <row r="281" s="29" customFormat="1" spans="2:5">
      <c r="B281" s="15" t="s">
        <v>177</v>
      </c>
      <c r="C281" s="16" t="s">
        <v>178</v>
      </c>
      <c r="D281" s="17" t="s">
        <v>179</v>
      </c>
      <c r="E281" s="18" t="s">
        <v>180</v>
      </c>
    </row>
    <row r="282" s="29" customFormat="1" spans="2:5">
      <c r="B282" s="19" t="s">
        <v>375</v>
      </c>
      <c r="C282" s="20" t="s">
        <v>172</v>
      </c>
      <c r="D282" s="21">
        <v>12</v>
      </c>
      <c r="E282" s="22">
        <v>540540</v>
      </c>
    </row>
    <row r="283" s="29" customFormat="1" spans="2:5">
      <c r="B283" s="19" t="s">
        <v>375</v>
      </c>
      <c r="C283" s="16" t="s">
        <v>183</v>
      </c>
      <c r="D283" s="23">
        <v>16</v>
      </c>
      <c r="E283" s="24">
        <v>630630</v>
      </c>
    </row>
    <row r="284" s="29" customFormat="1" ht="41" spans="2:5">
      <c r="B284" s="19" t="s">
        <v>302</v>
      </c>
      <c r="C284" s="20" t="s">
        <v>182</v>
      </c>
      <c r="D284" s="21">
        <v>41</v>
      </c>
      <c r="E284" s="22">
        <v>1104597</v>
      </c>
    </row>
    <row r="285" s="29" customFormat="1" spans="2:5">
      <c r="B285" s="19" t="s">
        <v>302</v>
      </c>
      <c r="C285" s="20" t="s">
        <v>172</v>
      </c>
      <c r="D285" s="21">
        <v>5</v>
      </c>
      <c r="E285" s="22">
        <v>102179</v>
      </c>
    </row>
    <row r="286" s="29" customFormat="1" spans="2:5">
      <c r="B286" s="19" t="s">
        <v>302</v>
      </c>
      <c r="C286" s="16" t="s">
        <v>183</v>
      </c>
      <c r="D286" s="23">
        <v>46</v>
      </c>
      <c r="E286" s="24">
        <v>1206776</v>
      </c>
    </row>
    <row r="287" s="29" customFormat="1" ht="41" spans="2:5">
      <c r="B287" s="19" t="s">
        <v>376</v>
      </c>
      <c r="C287" s="20" t="s">
        <v>182</v>
      </c>
      <c r="D287" s="21">
        <v>4</v>
      </c>
      <c r="E287" s="22">
        <v>78000</v>
      </c>
    </row>
    <row r="288" s="29" customFormat="1" ht="28" spans="2:5">
      <c r="B288" s="19" t="s">
        <v>376</v>
      </c>
      <c r="C288" s="16" t="s">
        <v>183</v>
      </c>
      <c r="D288" s="23">
        <v>4</v>
      </c>
      <c r="E288" s="24">
        <v>78000</v>
      </c>
    </row>
    <row r="289" s="29" customFormat="1" ht="41" spans="2:5">
      <c r="B289" s="19" t="s">
        <v>377</v>
      </c>
      <c r="C289" s="20" t="s">
        <v>182</v>
      </c>
      <c r="D289" s="21">
        <v>2</v>
      </c>
      <c r="E289" s="22">
        <v>0</v>
      </c>
    </row>
    <row r="290" s="29" customFormat="1" spans="2:5">
      <c r="B290" s="19" t="s">
        <v>377</v>
      </c>
      <c r="C290" s="16" t="s">
        <v>183</v>
      </c>
      <c r="D290" s="23">
        <v>2</v>
      </c>
      <c r="E290" s="24">
        <v>0</v>
      </c>
    </row>
    <row r="291" s="29" customFormat="1" ht="41" spans="2:5">
      <c r="B291" s="19" t="s">
        <v>378</v>
      </c>
      <c r="C291" s="20" t="s">
        <v>182</v>
      </c>
      <c r="D291" s="21">
        <v>1</v>
      </c>
      <c r="E291" s="22">
        <v>585000</v>
      </c>
    </row>
    <row r="292" s="29" customFormat="1" ht="28" spans="2:5">
      <c r="B292" s="19" t="s">
        <v>378</v>
      </c>
      <c r="C292" s="16" t="s">
        <v>183</v>
      </c>
      <c r="D292" s="23">
        <v>1</v>
      </c>
      <c r="E292" s="24">
        <v>585000</v>
      </c>
    </row>
    <row r="293" s="29" customFormat="1" ht="41" spans="2:5">
      <c r="B293" s="19" t="s">
        <v>379</v>
      </c>
      <c r="C293" s="20" t="s">
        <v>182</v>
      </c>
      <c r="D293" s="21">
        <v>1</v>
      </c>
      <c r="E293" s="22">
        <v>97500</v>
      </c>
    </row>
    <row r="294" s="29" customFormat="1" ht="17.55" spans="2:5">
      <c r="B294" s="19" t="s">
        <v>379</v>
      </c>
      <c r="C294" s="16" t="s">
        <v>183</v>
      </c>
      <c r="D294" s="23">
        <v>1</v>
      </c>
      <c r="E294" s="24">
        <v>97500</v>
      </c>
    </row>
    <row r="295" s="29" customFormat="1" spans="2:5">
      <c r="B295" s="25"/>
      <c r="C295" s="25"/>
      <c r="D295" s="25"/>
      <c r="E295" s="25"/>
    </row>
    <row r="296" s="29" customFormat="1" ht="36" spans="2:5">
      <c r="B296" s="26" t="s">
        <v>189</v>
      </c>
      <c r="C296" s="26" t="s">
        <v>189</v>
      </c>
      <c r="D296" s="26" t="s">
        <v>189</v>
      </c>
      <c r="E296" s="26" t="s">
        <v>189</v>
      </c>
    </row>
    <row r="297" s="29" customFormat="1" spans="2:5">
      <c r="B297" s="26"/>
      <c r="C297" s="26"/>
      <c r="D297" s="26"/>
      <c r="E297" s="26"/>
    </row>
    <row r="298" s="29" customFormat="1" ht="36" spans="2:5">
      <c r="B298" s="26" t="s">
        <v>190</v>
      </c>
      <c r="C298" s="26" t="s">
        <v>190</v>
      </c>
      <c r="D298" s="26" t="s">
        <v>190</v>
      </c>
      <c r="E298" s="26" t="s">
        <v>190</v>
      </c>
    </row>
    <row r="299" s="29" customFormat="1" spans="2:5">
      <c r="B299" s="26" t="s">
        <v>268</v>
      </c>
      <c r="C299" s="26" t="s">
        <v>268</v>
      </c>
      <c r="D299" s="26" t="s">
        <v>268</v>
      </c>
      <c r="E299" s="26" t="s">
        <v>268</v>
      </c>
    </row>
    <row r="300" s="29" customFormat="1" ht="124" spans="2:5">
      <c r="B300" s="11" t="s">
        <v>173</v>
      </c>
      <c r="C300" s="11" t="s">
        <v>173</v>
      </c>
      <c r="D300" s="11" t="s">
        <v>173</v>
      </c>
      <c r="E300" s="11" t="s">
        <v>173</v>
      </c>
    </row>
    <row r="301" s="29" customFormat="1" ht="156" spans="2:5">
      <c r="B301" s="12" t="s">
        <v>174</v>
      </c>
      <c r="C301" s="12" t="s">
        <v>174</v>
      </c>
      <c r="D301" s="12" t="s">
        <v>174</v>
      </c>
      <c r="E301" s="12" t="s">
        <v>174</v>
      </c>
    </row>
    <row r="302" s="29" customFormat="1" ht="68" spans="2:5">
      <c r="B302" s="13" t="s">
        <v>343</v>
      </c>
      <c r="C302" s="13" t="s">
        <v>343</v>
      </c>
      <c r="D302" s="13" t="s">
        <v>343</v>
      </c>
      <c r="E302" s="13" t="s">
        <v>343</v>
      </c>
    </row>
    <row r="303" s="29" customFormat="1" ht="22" spans="2:5">
      <c r="B303" s="14" t="s">
        <v>176</v>
      </c>
      <c r="C303" s="14" t="s">
        <v>176</v>
      </c>
      <c r="D303" s="14" t="s">
        <v>176</v>
      </c>
      <c r="E303" s="14" t="s">
        <v>176</v>
      </c>
    </row>
    <row r="304" s="29" customFormat="1" spans="2:5">
      <c r="B304" s="15" t="s">
        <v>177</v>
      </c>
      <c r="C304" s="16" t="s">
        <v>178</v>
      </c>
      <c r="D304" s="17" t="s">
        <v>179</v>
      </c>
      <c r="E304" s="18" t="s">
        <v>180</v>
      </c>
    </row>
    <row r="305" s="29" customFormat="1" ht="41" spans="2:5">
      <c r="B305" s="19" t="s">
        <v>380</v>
      </c>
      <c r="C305" s="20" t="s">
        <v>182</v>
      </c>
      <c r="D305" s="21">
        <v>2</v>
      </c>
      <c r="E305" s="22">
        <v>630000</v>
      </c>
    </row>
    <row r="306" s="29" customFormat="1" ht="28" spans="2:5">
      <c r="B306" s="19" t="s">
        <v>380</v>
      </c>
      <c r="C306" s="16" t="s">
        <v>183</v>
      </c>
      <c r="D306" s="23">
        <v>2</v>
      </c>
      <c r="E306" s="24">
        <v>630000</v>
      </c>
    </row>
    <row r="307" s="29" customFormat="1" ht="41" spans="2:5">
      <c r="B307" s="19" t="s">
        <v>381</v>
      </c>
      <c r="C307" s="20" t="s">
        <v>182</v>
      </c>
      <c r="D307" s="21">
        <v>1</v>
      </c>
      <c r="E307" s="22">
        <v>1126100</v>
      </c>
    </row>
    <row r="308" s="29" customFormat="1" ht="28" spans="2:5">
      <c r="B308" s="19" t="s">
        <v>381</v>
      </c>
      <c r="C308" s="16" t="s">
        <v>183</v>
      </c>
      <c r="D308" s="23">
        <v>1</v>
      </c>
      <c r="E308" s="24">
        <v>1126100</v>
      </c>
    </row>
    <row r="309" s="29" customFormat="1" ht="41" spans="2:5">
      <c r="B309" s="19" t="s">
        <v>382</v>
      </c>
      <c r="C309" s="20" t="s">
        <v>182</v>
      </c>
      <c r="D309" s="21">
        <v>1</v>
      </c>
      <c r="E309" s="22">
        <v>94595</v>
      </c>
    </row>
    <row r="310" s="29" customFormat="1" ht="41" spans="2:5">
      <c r="B310" s="19" t="s">
        <v>382</v>
      </c>
      <c r="C310" s="16" t="s">
        <v>183</v>
      </c>
      <c r="D310" s="23">
        <v>1</v>
      </c>
      <c r="E310" s="24">
        <v>94595</v>
      </c>
    </row>
    <row r="311" s="29" customFormat="1" ht="28" spans="2:5">
      <c r="B311" s="19" t="s">
        <v>316</v>
      </c>
      <c r="C311" s="20" t="s">
        <v>172</v>
      </c>
      <c r="D311" s="21">
        <v>1</v>
      </c>
      <c r="E311" s="22">
        <v>94595</v>
      </c>
    </row>
    <row r="312" s="29" customFormat="1" ht="28" spans="2:5">
      <c r="B312" s="19" t="s">
        <v>316</v>
      </c>
      <c r="C312" s="16" t="s">
        <v>183</v>
      </c>
      <c r="D312" s="23">
        <v>1</v>
      </c>
      <c r="E312" s="24">
        <v>94595</v>
      </c>
    </row>
    <row r="313" s="29" customFormat="1" ht="41" spans="2:5">
      <c r="B313" s="19" t="s">
        <v>383</v>
      </c>
      <c r="C313" s="20" t="s">
        <v>182</v>
      </c>
      <c r="D313" s="21">
        <v>1</v>
      </c>
      <c r="E313" s="22">
        <v>94595</v>
      </c>
    </row>
    <row r="314" s="29" customFormat="1" ht="28" spans="2:5">
      <c r="B314" s="19" t="s">
        <v>383</v>
      </c>
      <c r="C314" s="20" t="s">
        <v>172</v>
      </c>
      <c r="D314" s="21">
        <v>1</v>
      </c>
      <c r="E314" s="22">
        <v>94595</v>
      </c>
    </row>
    <row r="315" s="29" customFormat="1" ht="28" spans="2:5">
      <c r="B315" s="19" t="s">
        <v>383</v>
      </c>
      <c r="C315" s="16" t="s">
        <v>183</v>
      </c>
      <c r="D315" s="23">
        <v>2</v>
      </c>
      <c r="E315" s="24">
        <v>189190</v>
      </c>
    </row>
    <row r="316" s="29" customFormat="1" ht="28" spans="2:5">
      <c r="B316" s="19" t="s">
        <v>384</v>
      </c>
      <c r="C316" s="20" t="s">
        <v>172</v>
      </c>
      <c r="D316" s="21">
        <v>1</v>
      </c>
      <c r="E316" s="22">
        <v>94595</v>
      </c>
    </row>
    <row r="317" s="29" customFormat="1" ht="28" spans="2:5">
      <c r="B317" s="19" t="s">
        <v>384</v>
      </c>
      <c r="C317" s="16" t="s">
        <v>183</v>
      </c>
      <c r="D317" s="23">
        <v>1</v>
      </c>
      <c r="E317" s="24">
        <v>94595</v>
      </c>
    </row>
    <row r="318" s="29" customFormat="1" ht="41" spans="2:5">
      <c r="B318" s="19" t="s">
        <v>320</v>
      </c>
      <c r="C318" s="20" t="s">
        <v>182</v>
      </c>
      <c r="D318" s="21">
        <v>8</v>
      </c>
      <c r="E318" s="22">
        <v>0</v>
      </c>
    </row>
    <row r="319" s="29" customFormat="1" ht="28" spans="2:5">
      <c r="B319" s="19" t="s">
        <v>320</v>
      </c>
      <c r="C319" s="20" t="s">
        <v>172</v>
      </c>
      <c r="D319" s="21">
        <v>12</v>
      </c>
      <c r="E319" s="22">
        <v>0</v>
      </c>
    </row>
    <row r="320" s="29" customFormat="1" ht="28.75" spans="2:5">
      <c r="B320" s="19" t="s">
        <v>320</v>
      </c>
      <c r="C320" s="16" t="s">
        <v>183</v>
      </c>
      <c r="D320" s="23">
        <v>20</v>
      </c>
      <c r="E320" s="24">
        <v>0</v>
      </c>
    </row>
    <row r="321" s="29" customFormat="1" spans="2:5">
      <c r="B321" s="25"/>
      <c r="C321" s="25"/>
      <c r="D321" s="25"/>
      <c r="E321" s="25"/>
    </row>
    <row r="322" s="29" customFormat="1" ht="36" spans="2:5">
      <c r="B322" s="26" t="s">
        <v>189</v>
      </c>
      <c r="C322" s="26" t="s">
        <v>189</v>
      </c>
      <c r="D322" s="26" t="s">
        <v>189</v>
      </c>
      <c r="E322" s="26" t="s">
        <v>189</v>
      </c>
    </row>
    <row r="323" s="29" customFormat="1" spans="2:5">
      <c r="B323" s="26"/>
      <c r="C323" s="26"/>
      <c r="D323" s="26"/>
      <c r="E323" s="26"/>
    </row>
    <row r="324" s="29" customFormat="1" ht="36" spans="2:5">
      <c r="B324" s="26" t="s">
        <v>190</v>
      </c>
      <c r="C324" s="26" t="s">
        <v>190</v>
      </c>
      <c r="D324" s="26" t="s">
        <v>190</v>
      </c>
      <c r="E324" s="26" t="s">
        <v>190</v>
      </c>
    </row>
    <row r="325" s="29" customFormat="1" spans="2:5">
      <c r="B325" s="26" t="s">
        <v>275</v>
      </c>
      <c r="C325" s="26" t="s">
        <v>275</v>
      </c>
      <c r="D325" s="26" t="s">
        <v>275</v>
      </c>
      <c r="E325" s="26" t="s">
        <v>275</v>
      </c>
    </row>
    <row r="326" s="29" customFormat="1" ht="124" spans="2:5">
      <c r="B326" s="11" t="s">
        <v>173</v>
      </c>
      <c r="C326" s="11" t="s">
        <v>173</v>
      </c>
      <c r="D326" s="11" t="s">
        <v>173</v>
      </c>
      <c r="E326" s="11" t="s">
        <v>173</v>
      </c>
    </row>
    <row r="327" s="29" customFormat="1" ht="156" spans="2:5">
      <c r="B327" s="12" t="s">
        <v>174</v>
      </c>
      <c r="C327" s="12" t="s">
        <v>174</v>
      </c>
      <c r="D327" s="12" t="s">
        <v>174</v>
      </c>
      <c r="E327" s="12" t="s">
        <v>174</v>
      </c>
    </row>
    <row r="328" s="29" customFormat="1" ht="68" spans="2:5">
      <c r="B328" s="13" t="s">
        <v>343</v>
      </c>
      <c r="C328" s="13" t="s">
        <v>343</v>
      </c>
      <c r="D328" s="13" t="s">
        <v>343</v>
      </c>
      <c r="E328" s="13" t="s">
        <v>343</v>
      </c>
    </row>
    <row r="329" s="29" customFormat="1" ht="22" spans="2:5">
      <c r="B329" s="14" t="s">
        <v>176</v>
      </c>
      <c r="C329" s="14" t="s">
        <v>176</v>
      </c>
      <c r="D329" s="14" t="s">
        <v>176</v>
      </c>
      <c r="E329" s="14" t="s">
        <v>176</v>
      </c>
    </row>
    <row r="330" s="29" customFormat="1" spans="2:5">
      <c r="B330" s="15" t="s">
        <v>177</v>
      </c>
      <c r="C330" s="16" t="s">
        <v>178</v>
      </c>
      <c r="D330" s="17" t="s">
        <v>179</v>
      </c>
      <c r="E330" s="18" t="s">
        <v>180</v>
      </c>
    </row>
    <row r="331" s="29" customFormat="1" ht="41" spans="2:5">
      <c r="B331" s="19" t="s">
        <v>321</v>
      </c>
      <c r="C331" s="20" t="s">
        <v>182</v>
      </c>
      <c r="D331" s="21">
        <v>2</v>
      </c>
      <c r="E331" s="22">
        <v>0</v>
      </c>
    </row>
    <row r="332" s="29" customFormat="1" ht="28" spans="2:5">
      <c r="B332" s="19" t="s">
        <v>321</v>
      </c>
      <c r="C332" s="20" t="s">
        <v>172</v>
      </c>
      <c r="D332" s="21">
        <v>20</v>
      </c>
      <c r="E332" s="22">
        <v>0</v>
      </c>
    </row>
    <row r="333" s="29" customFormat="1" ht="28" spans="2:5">
      <c r="B333" s="19" t="s">
        <v>321</v>
      </c>
      <c r="C333" s="16" t="s">
        <v>183</v>
      </c>
      <c r="D333" s="23">
        <v>22</v>
      </c>
      <c r="E333" s="24">
        <v>0</v>
      </c>
    </row>
    <row r="334" s="29" customFormat="1" ht="41" spans="2:5">
      <c r="B334" s="19" t="s">
        <v>322</v>
      </c>
      <c r="C334" s="20" t="s">
        <v>182</v>
      </c>
      <c r="D334" s="21">
        <v>20</v>
      </c>
      <c r="E334" s="22">
        <v>0</v>
      </c>
    </row>
    <row r="335" s="29" customFormat="1" ht="28" spans="2:5">
      <c r="B335" s="19" t="s">
        <v>322</v>
      </c>
      <c r="C335" s="20" t="s">
        <v>172</v>
      </c>
      <c r="D335" s="21">
        <v>1</v>
      </c>
      <c r="E335" s="22">
        <v>96000</v>
      </c>
    </row>
    <row r="336" s="29" customFormat="1" ht="28" spans="2:5">
      <c r="B336" s="19" t="s">
        <v>322</v>
      </c>
      <c r="C336" s="16" t="s">
        <v>183</v>
      </c>
      <c r="D336" s="23">
        <v>21</v>
      </c>
      <c r="E336" s="24">
        <v>96000</v>
      </c>
    </row>
    <row r="337" s="29" customFormat="1" ht="41" spans="2:5">
      <c r="B337" s="19" t="s">
        <v>323</v>
      </c>
      <c r="C337" s="20" t="s">
        <v>182</v>
      </c>
      <c r="D337" s="21">
        <v>2</v>
      </c>
      <c r="E337" s="22">
        <v>0</v>
      </c>
    </row>
    <row r="338" s="29" customFormat="1" ht="28" spans="2:5">
      <c r="B338" s="19" t="s">
        <v>323</v>
      </c>
      <c r="C338" s="20" t="s">
        <v>172</v>
      </c>
      <c r="D338" s="21">
        <v>8</v>
      </c>
      <c r="E338" s="22">
        <v>384000</v>
      </c>
    </row>
    <row r="339" s="29" customFormat="1" ht="28" spans="2:5">
      <c r="B339" s="19" t="s">
        <v>323</v>
      </c>
      <c r="C339" s="16" t="s">
        <v>183</v>
      </c>
      <c r="D339" s="23">
        <v>10</v>
      </c>
      <c r="E339" s="24">
        <v>384000</v>
      </c>
    </row>
    <row r="340" s="29" customFormat="1" ht="41" spans="2:5">
      <c r="B340" s="19" t="s">
        <v>326</v>
      </c>
      <c r="C340" s="20" t="s">
        <v>182</v>
      </c>
      <c r="D340" s="21">
        <v>4</v>
      </c>
      <c r="E340" s="22">
        <v>400392</v>
      </c>
    </row>
    <row r="341" s="29" customFormat="1" ht="28" spans="2:5">
      <c r="B341" s="19" t="s">
        <v>326</v>
      </c>
      <c r="C341" s="20" t="s">
        <v>172</v>
      </c>
      <c r="D341" s="21">
        <v>8</v>
      </c>
      <c r="E341" s="22">
        <v>800784</v>
      </c>
    </row>
    <row r="342" s="29" customFormat="1" ht="28" spans="2:5">
      <c r="B342" s="19" t="s">
        <v>326</v>
      </c>
      <c r="C342" s="16" t="s">
        <v>183</v>
      </c>
      <c r="D342" s="23">
        <v>12</v>
      </c>
      <c r="E342" s="24">
        <v>1201176</v>
      </c>
    </row>
    <row r="343" s="29" customFormat="1" spans="2:5">
      <c r="B343" s="19" t="s">
        <v>327</v>
      </c>
      <c r="C343" s="20" t="s">
        <v>172</v>
      </c>
      <c r="D343" s="21">
        <v>6</v>
      </c>
      <c r="E343" s="22">
        <v>450452</v>
      </c>
    </row>
    <row r="344" s="29" customFormat="1" spans="2:5">
      <c r="B344" s="19" t="s">
        <v>327</v>
      </c>
      <c r="C344" s="16" t="s">
        <v>183</v>
      </c>
      <c r="D344" s="23">
        <v>6</v>
      </c>
      <c r="E344" s="24">
        <v>450452</v>
      </c>
    </row>
    <row r="345" s="29" customFormat="1" ht="41.75" spans="2:5">
      <c r="B345" s="20" t="s">
        <v>385</v>
      </c>
      <c r="C345" s="20" t="s">
        <v>182</v>
      </c>
      <c r="D345" s="21">
        <v>8</v>
      </c>
      <c r="E345" s="22">
        <v>0</v>
      </c>
    </row>
    <row r="346" s="29" customFormat="1" spans="2:5">
      <c r="B346" s="25"/>
      <c r="C346" s="25"/>
      <c r="D346" s="25"/>
      <c r="E346" s="25"/>
    </row>
    <row r="347" s="29" customFormat="1" ht="36" spans="2:5">
      <c r="B347" s="26" t="s">
        <v>189</v>
      </c>
      <c r="C347" s="26" t="s">
        <v>189</v>
      </c>
      <c r="D347" s="26" t="s">
        <v>189</v>
      </c>
      <c r="E347" s="26" t="s">
        <v>189</v>
      </c>
    </row>
    <row r="348" s="29" customFormat="1" spans="2:5">
      <c r="B348" s="26"/>
      <c r="C348" s="26"/>
      <c r="D348" s="26"/>
      <c r="E348" s="26"/>
    </row>
    <row r="349" s="29" customFormat="1" ht="36" spans="2:5">
      <c r="B349" s="26" t="s">
        <v>190</v>
      </c>
      <c r="C349" s="26" t="s">
        <v>190</v>
      </c>
      <c r="D349" s="26" t="s">
        <v>190</v>
      </c>
      <c r="E349" s="26" t="s">
        <v>190</v>
      </c>
    </row>
    <row r="350" s="29" customFormat="1" spans="2:5">
      <c r="B350" s="26" t="s">
        <v>282</v>
      </c>
      <c r="C350" s="26" t="s">
        <v>282</v>
      </c>
      <c r="D350" s="26" t="s">
        <v>282</v>
      </c>
      <c r="E350" s="26" t="s">
        <v>282</v>
      </c>
    </row>
    <row r="351" s="29" customFormat="1" ht="124" spans="2:5">
      <c r="B351" s="11" t="s">
        <v>173</v>
      </c>
      <c r="C351" s="11" t="s">
        <v>173</v>
      </c>
      <c r="D351" s="11" t="s">
        <v>173</v>
      </c>
      <c r="E351" s="11" t="s">
        <v>173</v>
      </c>
    </row>
    <row r="352" s="29" customFormat="1" ht="156" spans="2:5">
      <c r="B352" s="12" t="s">
        <v>174</v>
      </c>
      <c r="C352" s="12" t="s">
        <v>174</v>
      </c>
      <c r="D352" s="12" t="s">
        <v>174</v>
      </c>
      <c r="E352" s="12" t="s">
        <v>174</v>
      </c>
    </row>
    <row r="353" s="29" customFormat="1" ht="68" spans="2:5">
      <c r="B353" s="13" t="s">
        <v>343</v>
      </c>
      <c r="C353" s="13" t="s">
        <v>343</v>
      </c>
      <c r="D353" s="13" t="s">
        <v>343</v>
      </c>
      <c r="E353" s="13" t="s">
        <v>343</v>
      </c>
    </row>
    <row r="354" s="29" customFormat="1" ht="22" spans="2:5">
      <c r="B354" s="14" t="s">
        <v>176</v>
      </c>
      <c r="C354" s="14" t="s">
        <v>176</v>
      </c>
      <c r="D354" s="14" t="s">
        <v>176</v>
      </c>
      <c r="E354" s="14" t="s">
        <v>176</v>
      </c>
    </row>
    <row r="355" s="29" customFormat="1" spans="2:5">
      <c r="B355" s="15" t="s">
        <v>177</v>
      </c>
      <c r="C355" s="16" t="s">
        <v>178</v>
      </c>
      <c r="D355" s="17" t="s">
        <v>179</v>
      </c>
      <c r="E355" s="18" t="s">
        <v>180</v>
      </c>
    </row>
    <row r="356" s="29" customFormat="1" ht="28" spans="2:5">
      <c r="B356" s="19" t="s">
        <v>385</v>
      </c>
      <c r="C356" s="20" t="s">
        <v>172</v>
      </c>
      <c r="D356" s="21">
        <v>4</v>
      </c>
      <c r="E356" s="22">
        <v>0</v>
      </c>
    </row>
    <row r="357" s="29" customFormat="1" ht="28" spans="2:5">
      <c r="B357" s="19" t="s">
        <v>385</v>
      </c>
      <c r="C357" s="16" t="s">
        <v>183</v>
      </c>
      <c r="D357" s="23">
        <v>12</v>
      </c>
      <c r="E357" s="24">
        <v>0</v>
      </c>
    </row>
    <row r="358" s="29" customFormat="1" ht="28" spans="2:5">
      <c r="B358" s="19" t="s">
        <v>386</v>
      </c>
      <c r="C358" s="20" t="s">
        <v>172</v>
      </c>
      <c r="D358" s="21">
        <v>7</v>
      </c>
      <c r="E358" s="22">
        <v>353382</v>
      </c>
    </row>
    <row r="359" s="29" customFormat="1" ht="28" spans="2:5">
      <c r="B359" s="19" t="s">
        <v>386</v>
      </c>
      <c r="C359" s="16" t="s">
        <v>183</v>
      </c>
      <c r="D359" s="23">
        <v>7</v>
      </c>
      <c r="E359" s="24">
        <v>353382</v>
      </c>
    </row>
    <row r="360" s="29" customFormat="1" ht="28" spans="2:5">
      <c r="B360" s="19" t="s">
        <v>334</v>
      </c>
      <c r="C360" s="20" t="s">
        <v>172</v>
      </c>
      <c r="D360" s="21">
        <v>4</v>
      </c>
      <c r="E360" s="22">
        <v>881952</v>
      </c>
    </row>
    <row r="361" s="29" customFormat="1" ht="28" spans="2:5">
      <c r="B361" s="19" t="s">
        <v>334</v>
      </c>
      <c r="C361" s="16" t="s">
        <v>183</v>
      </c>
      <c r="D361" s="23">
        <v>4</v>
      </c>
      <c r="E361" s="24">
        <v>881952</v>
      </c>
    </row>
    <row r="362" s="29" customFormat="1" ht="41" spans="2:5">
      <c r="B362" s="19" t="s">
        <v>387</v>
      </c>
      <c r="C362" s="20" t="s">
        <v>182</v>
      </c>
      <c r="D362" s="21">
        <v>1</v>
      </c>
      <c r="E362" s="22">
        <v>68018</v>
      </c>
    </row>
    <row r="363" s="29" customFormat="1" ht="28" spans="2:5">
      <c r="B363" s="19" t="s">
        <v>387</v>
      </c>
      <c r="C363" s="16" t="s">
        <v>183</v>
      </c>
      <c r="D363" s="23">
        <v>1</v>
      </c>
      <c r="E363" s="24">
        <v>68018</v>
      </c>
    </row>
    <row r="364" s="29" customFormat="1" ht="41" spans="2:5">
      <c r="B364" s="19" t="s">
        <v>336</v>
      </c>
      <c r="C364" s="20" t="s">
        <v>182</v>
      </c>
      <c r="D364" s="21">
        <v>1</v>
      </c>
      <c r="E364" s="22">
        <v>15001</v>
      </c>
    </row>
    <row r="365" s="29" customFormat="1" spans="2:5">
      <c r="B365" s="19" t="s">
        <v>336</v>
      </c>
      <c r="C365" s="16" t="s">
        <v>183</v>
      </c>
      <c r="D365" s="23">
        <v>1</v>
      </c>
      <c r="E365" s="24">
        <v>15001</v>
      </c>
    </row>
    <row r="366" s="29" customFormat="1" ht="41" spans="2:5">
      <c r="B366" s="19" t="s">
        <v>388</v>
      </c>
      <c r="C366" s="20" t="s">
        <v>182</v>
      </c>
      <c r="D366" s="21">
        <v>1</v>
      </c>
      <c r="E366" s="22">
        <v>162500</v>
      </c>
    </row>
    <row r="367" s="29" customFormat="1" ht="28" spans="2:5">
      <c r="B367" s="19" t="s">
        <v>388</v>
      </c>
      <c r="C367" s="16" t="s">
        <v>183</v>
      </c>
      <c r="D367" s="23">
        <v>1</v>
      </c>
      <c r="E367" s="24">
        <v>162500</v>
      </c>
    </row>
    <row r="368" s="29" customFormat="1" ht="28" spans="2:5">
      <c r="B368" s="19" t="s">
        <v>389</v>
      </c>
      <c r="C368" s="20" t="s">
        <v>172</v>
      </c>
      <c r="D368" s="21">
        <v>1</v>
      </c>
      <c r="E368" s="22">
        <v>13514</v>
      </c>
    </row>
    <row r="369" s="29" customFormat="1" ht="28" spans="2:5">
      <c r="B369" s="19" t="s">
        <v>389</v>
      </c>
      <c r="C369" s="16" t="s">
        <v>183</v>
      </c>
      <c r="D369" s="23">
        <v>1</v>
      </c>
      <c r="E369" s="24">
        <v>13514</v>
      </c>
    </row>
    <row r="370" s="29" customFormat="1" ht="28" spans="2:5">
      <c r="B370" s="19" t="s">
        <v>390</v>
      </c>
      <c r="C370" s="20" t="s">
        <v>172</v>
      </c>
      <c r="D370" s="21">
        <v>1</v>
      </c>
      <c r="E370" s="22">
        <v>90000</v>
      </c>
    </row>
    <row r="371" s="29" customFormat="1" ht="28" spans="2:5">
      <c r="B371" s="19" t="s">
        <v>390</v>
      </c>
      <c r="C371" s="16" t="s">
        <v>183</v>
      </c>
      <c r="D371" s="23">
        <v>1</v>
      </c>
      <c r="E371" s="24">
        <v>90000</v>
      </c>
    </row>
    <row r="372" s="29" customFormat="1" ht="28" spans="2:5">
      <c r="B372" s="19" t="s">
        <v>391</v>
      </c>
      <c r="C372" s="20" t="s">
        <v>172</v>
      </c>
      <c r="D372" s="21">
        <v>2</v>
      </c>
      <c r="E372" s="22">
        <v>1357658</v>
      </c>
    </row>
    <row r="373" s="29" customFormat="1" ht="28.75" spans="2:5">
      <c r="B373" s="19" t="s">
        <v>391</v>
      </c>
      <c r="C373" s="16" t="s">
        <v>183</v>
      </c>
      <c r="D373" s="23">
        <v>2</v>
      </c>
      <c r="E373" s="24">
        <v>1357658</v>
      </c>
    </row>
    <row r="374" s="29" customFormat="1" spans="2:5">
      <c r="B374" s="25"/>
      <c r="C374" s="25"/>
      <c r="D374" s="25"/>
      <c r="E374" s="25"/>
    </row>
    <row r="375" s="29" customFormat="1" ht="36" spans="2:5">
      <c r="B375" s="26" t="s">
        <v>189</v>
      </c>
      <c r="C375" s="26" t="s">
        <v>189</v>
      </c>
      <c r="D375" s="26" t="s">
        <v>189</v>
      </c>
      <c r="E375" s="26" t="s">
        <v>189</v>
      </c>
    </row>
    <row r="376" s="29" customFormat="1" spans="2:5">
      <c r="B376" s="26"/>
      <c r="C376" s="26"/>
      <c r="D376" s="26"/>
      <c r="E376" s="26"/>
    </row>
    <row r="377" s="29" customFormat="1" ht="36" spans="2:5">
      <c r="B377" s="26" t="s">
        <v>190</v>
      </c>
      <c r="C377" s="26" t="s">
        <v>190</v>
      </c>
      <c r="D377" s="26" t="s">
        <v>190</v>
      </c>
      <c r="E377" s="26" t="s">
        <v>190</v>
      </c>
    </row>
    <row r="378" s="29" customFormat="1" spans="2:5">
      <c r="B378" s="26" t="s">
        <v>289</v>
      </c>
      <c r="C378" s="26" t="s">
        <v>289</v>
      </c>
      <c r="D378" s="26" t="s">
        <v>289</v>
      </c>
      <c r="E378" s="26" t="s">
        <v>289</v>
      </c>
    </row>
    <row r="379" s="29" customFormat="1" ht="124" spans="2:5">
      <c r="B379" s="11" t="s">
        <v>173</v>
      </c>
      <c r="C379" s="11" t="s">
        <v>173</v>
      </c>
      <c r="D379" s="11" t="s">
        <v>173</v>
      </c>
      <c r="E379" s="11" t="s">
        <v>173</v>
      </c>
    </row>
    <row r="380" s="29" customFormat="1" ht="156" spans="2:5">
      <c r="B380" s="12" t="s">
        <v>174</v>
      </c>
      <c r="C380" s="12" t="s">
        <v>174</v>
      </c>
      <c r="D380" s="12" t="s">
        <v>174</v>
      </c>
      <c r="E380" s="12" t="s">
        <v>174</v>
      </c>
    </row>
    <row r="381" s="29" customFormat="1" ht="68" spans="2:5">
      <c r="B381" s="13" t="s">
        <v>343</v>
      </c>
      <c r="C381" s="13" t="s">
        <v>343</v>
      </c>
      <c r="D381" s="13" t="s">
        <v>343</v>
      </c>
      <c r="E381" s="13" t="s">
        <v>343</v>
      </c>
    </row>
    <row r="382" s="29" customFormat="1" ht="22" spans="2:5">
      <c r="B382" s="14" t="s">
        <v>176</v>
      </c>
      <c r="C382" s="14" t="s">
        <v>176</v>
      </c>
      <c r="D382" s="14" t="s">
        <v>176</v>
      </c>
      <c r="E382" s="14" t="s">
        <v>176</v>
      </c>
    </row>
    <row r="383" s="29" customFormat="1" spans="2:5">
      <c r="B383" s="15" t="s">
        <v>177</v>
      </c>
      <c r="C383" s="16" t="s">
        <v>178</v>
      </c>
      <c r="D383" s="17" t="s">
        <v>179</v>
      </c>
      <c r="E383" s="18" t="s">
        <v>180</v>
      </c>
    </row>
    <row r="384" s="29" customFormat="1" ht="41" spans="2:5">
      <c r="B384" s="19" t="s">
        <v>392</v>
      </c>
      <c r="C384" s="20" t="s">
        <v>182</v>
      </c>
      <c r="D384" s="21">
        <v>1</v>
      </c>
      <c r="E384" s="22">
        <v>104000</v>
      </c>
    </row>
    <row r="385" s="29" customFormat="1" spans="2:5">
      <c r="B385" s="19" t="s">
        <v>392</v>
      </c>
      <c r="C385" s="16" t="s">
        <v>183</v>
      </c>
      <c r="D385" s="23">
        <v>1</v>
      </c>
      <c r="E385" s="24">
        <v>104000</v>
      </c>
    </row>
    <row r="386" s="29" customFormat="1" ht="17.55" spans="2:5">
      <c r="B386" s="28" t="s">
        <v>341</v>
      </c>
      <c r="C386" s="28" t="s">
        <v>341</v>
      </c>
      <c r="D386" s="23">
        <v>484</v>
      </c>
      <c r="E386" s="24">
        <v>61036512.4</v>
      </c>
    </row>
    <row r="387" s="29" customFormat="1" spans="2:5">
      <c r="B387" s="25"/>
      <c r="C387" s="25"/>
      <c r="D387" s="25"/>
      <c r="E387" s="25"/>
    </row>
    <row r="388" s="29" customFormat="1" ht="36" spans="2:5">
      <c r="B388" s="26" t="s">
        <v>189</v>
      </c>
      <c r="C388" s="26" t="s">
        <v>189</v>
      </c>
      <c r="D388" s="26" t="s">
        <v>189</v>
      </c>
      <c r="E388" s="26" t="s">
        <v>189</v>
      </c>
    </row>
    <row r="389" s="29" customFormat="1" spans="2:5">
      <c r="B389" s="26"/>
      <c r="C389" s="26"/>
      <c r="D389" s="26"/>
      <c r="E389" s="26"/>
    </row>
    <row r="390" s="29" customFormat="1" ht="36" spans="2:5">
      <c r="B390" s="26" t="s">
        <v>190</v>
      </c>
      <c r="C390" s="26" t="s">
        <v>190</v>
      </c>
      <c r="D390" s="26" t="s">
        <v>190</v>
      </c>
      <c r="E390" s="26" t="s">
        <v>190</v>
      </c>
    </row>
    <row r="391" s="29" customFormat="1" spans="2:5">
      <c r="B391" s="26" t="s">
        <v>296</v>
      </c>
      <c r="C391" s="26" t="s">
        <v>296</v>
      </c>
      <c r="D391" s="26" t="s">
        <v>296</v>
      </c>
      <c r="E391" s="26" t="s">
        <v>296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5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393</v>
      </c>
      <c r="C3" s="13" t="s">
        <v>393</v>
      </c>
      <c r="D3" s="13" t="s">
        <v>393</v>
      </c>
      <c r="E3" s="13" t="s">
        <v>393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394</v>
      </c>
      <c r="C6" s="20" t="s">
        <v>182</v>
      </c>
      <c r="D6" s="21">
        <v>1</v>
      </c>
      <c r="E6" s="22">
        <v>178378.378378</v>
      </c>
      <c r="F6" s="30"/>
      <c r="G6" s="30"/>
    </row>
    <row r="7" s="29" customFormat="1" spans="1:7">
      <c r="A7" s="30" t="s">
        <v>172</v>
      </c>
      <c r="B7" s="19" t="s">
        <v>394</v>
      </c>
      <c r="C7" s="16" t="s">
        <v>183</v>
      </c>
      <c r="D7" s="23">
        <v>1</v>
      </c>
      <c r="E7" s="24">
        <v>178378.378378</v>
      </c>
      <c r="F7" s="30"/>
      <c r="G7" s="30"/>
    </row>
    <row r="8" s="29" customFormat="1" ht="41" spans="1:7">
      <c r="A8" s="30" t="s">
        <v>172</v>
      </c>
      <c r="B8" s="19" t="s">
        <v>395</v>
      </c>
      <c r="C8" s="20" t="s">
        <v>182</v>
      </c>
      <c r="D8" s="21">
        <v>1</v>
      </c>
      <c r="E8" s="22">
        <v>321621.621622</v>
      </c>
      <c r="F8" s="30"/>
      <c r="G8" s="30"/>
    </row>
    <row r="9" s="29" customFormat="1" spans="1:7">
      <c r="A9" s="30" t="s">
        <v>172</v>
      </c>
      <c r="B9" s="19" t="s">
        <v>395</v>
      </c>
      <c r="C9" s="16" t="s">
        <v>183</v>
      </c>
      <c r="D9" s="23">
        <v>1</v>
      </c>
      <c r="E9" s="24">
        <v>321621.621622</v>
      </c>
      <c r="F9" s="30"/>
      <c r="G9" s="30"/>
    </row>
    <row r="10" s="29" customFormat="1" ht="41" spans="1:7">
      <c r="A10" s="30" t="s">
        <v>172</v>
      </c>
      <c r="B10" s="19" t="s">
        <v>396</v>
      </c>
      <c r="C10" s="20" t="s">
        <v>182</v>
      </c>
      <c r="D10" s="21">
        <v>1</v>
      </c>
      <c r="E10" s="22">
        <v>313513.513514</v>
      </c>
      <c r="F10" s="30"/>
      <c r="G10" s="30"/>
    </row>
    <row r="11" s="29" customFormat="1" spans="1:7">
      <c r="A11" s="30" t="s">
        <v>172</v>
      </c>
      <c r="B11" s="19" t="s">
        <v>396</v>
      </c>
      <c r="C11" s="16" t="s">
        <v>183</v>
      </c>
      <c r="D11" s="23">
        <v>1</v>
      </c>
      <c r="E11" s="24">
        <v>313513.513514</v>
      </c>
      <c r="F11" s="30"/>
      <c r="G11" s="30"/>
    </row>
    <row r="12" s="29" customFormat="1" ht="41" spans="1:7">
      <c r="A12" s="30" t="s">
        <v>172</v>
      </c>
      <c r="B12" s="19" t="s">
        <v>397</v>
      </c>
      <c r="C12" s="20" t="s">
        <v>182</v>
      </c>
      <c r="D12" s="21">
        <v>1</v>
      </c>
      <c r="E12" s="22">
        <v>1134234.234234</v>
      </c>
      <c r="F12" s="30"/>
      <c r="G12" s="30"/>
    </row>
    <row r="13" s="29" customFormat="1" ht="28" spans="1:7">
      <c r="A13" s="30" t="s">
        <v>172</v>
      </c>
      <c r="B13" s="19" t="s">
        <v>397</v>
      </c>
      <c r="C13" s="16" t="s">
        <v>183</v>
      </c>
      <c r="D13" s="23">
        <v>1</v>
      </c>
      <c r="E13" s="24">
        <v>1134234.234234</v>
      </c>
      <c r="F13" s="30"/>
      <c r="G13" s="30"/>
    </row>
    <row r="14" s="29" customFormat="1" ht="41" spans="1:7">
      <c r="A14" s="30" t="s">
        <v>172</v>
      </c>
      <c r="B14" s="19" t="s">
        <v>398</v>
      </c>
      <c r="C14" s="20" t="s">
        <v>182</v>
      </c>
      <c r="D14" s="21">
        <v>3</v>
      </c>
      <c r="E14" s="22">
        <v>3812838</v>
      </c>
      <c r="F14" s="30"/>
      <c r="G14" s="30"/>
    </row>
    <row r="15" s="29" customFormat="1" ht="28" spans="1:7">
      <c r="A15" s="30" t="s">
        <v>172</v>
      </c>
      <c r="B15" s="19" t="s">
        <v>398</v>
      </c>
      <c r="C15" s="16" t="s">
        <v>183</v>
      </c>
      <c r="D15" s="23">
        <v>3</v>
      </c>
      <c r="E15" s="24">
        <v>3812838</v>
      </c>
      <c r="F15" s="30"/>
      <c r="G15" s="30"/>
    </row>
    <row r="16" s="29" customFormat="1" ht="41" spans="1:7">
      <c r="A16" s="30" t="s">
        <v>172</v>
      </c>
      <c r="B16" s="19" t="s">
        <v>399</v>
      </c>
      <c r="C16" s="20" t="s">
        <v>182</v>
      </c>
      <c r="D16" s="21">
        <v>1</v>
      </c>
      <c r="E16" s="22">
        <v>333333.333333</v>
      </c>
      <c r="F16" s="30"/>
      <c r="G16" s="30"/>
    </row>
    <row r="17" s="29" customFormat="1" ht="28.75" spans="1:7">
      <c r="A17" s="30" t="s">
        <v>172</v>
      </c>
      <c r="B17" s="19" t="s">
        <v>399</v>
      </c>
      <c r="C17" s="16" t="s">
        <v>183</v>
      </c>
      <c r="D17" s="23">
        <v>1</v>
      </c>
      <c r="E17" s="24">
        <v>333333.333333</v>
      </c>
      <c r="F17" s="30"/>
      <c r="G17" s="30"/>
    </row>
    <row r="18" s="29" customFormat="1" spans="1:7">
      <c r="A18" s="30" t="s">
        <v>172</v>
      </c>
      <c r="B18" s="25"/>
      <c r="C18" s="25"/>
      <c r="D18" s="25"/>
      <c r="E18" s="25"/>
      <c r="F18" s="30"/>
      <c r="G18" s="30"/>
    </row>
    <row r="19" s="29" customFormat="1" ht="36" spans="1:7">
      <c r="A19" s="30" t="s">
        <v>172</v>
      </c>
      <c r="B19" s="26" t="s">
        <v>189</v>
      </c>
      <c r="C19" s="26" t="s">
        <v>189</v>
      </c>
      <c r="D19" s="26" t="s">
        <v>189</v>
      </c>
      <c r="E19" s="26" t="s">
        <v>189</v>
      </c>
      <c r="F19" s="30"/>
      <c r="G19" s="30"/>
    </row>
    <row r="20" s="29" customFormat="1" spans="1:7">
      <c r="A20" s="30" t="s">
        <v>172</v>
      </c>
      <c r="B20" s="26"/>
      <c r="C20" s="26"/>
      <c r="D20" s="26"/>
      <c r="E20" s="26"/>
      <c r="F20" s="30"/>
      <c r="G20" s="30"/>
    </row>
    <row r="21" s="29" customFormat="1" ht="36" spans="1:7">
      <c r="A21" s="30" t="s">
        <v>172</v>
      </c>
      <c r="B21" s="26" t="s">
        <v>400</v>
      </c>
      <c r="C21" s="26" t="s">
        <v>400</v>
      </c>
      <c r="D21" s="26" t="s">
        <v>400</v>
      </c>
      <c r="E21" s="26" t="s">
        <v>400</v>
      </c>
      <c r="F21" s="30"/>
      <c r="G21" s="30"/>
    </row>
    <row r="22" s="29" customFormat="1" spans="1:7">
      <c r="A22" s="30" t="s">
        <v>172</v>
      </c>
      <c r="B22" s="26" t="s">
        <v>191</v>
      </c>
      <c r="C22" s="26" t="s">
        <v>191</v>
      </c>
      <c r="D22" s="26" t="s">
        <v>191</v>
      </c>
      <c r="E22" s="26" t="s">
        <v>191</v>
      </c>
      <c r="F22" s="30"/>
      <c r="G22" s="30"/>
    </row>
    <row r="23" s="29" customFormat="1" ht="124" spans="1:7">
      <c r="A23" s="30" t="s">
        <v>172</v>
      </c>
      <c r="B23" s="11" t="s">
        <v>173</v>
      </c>
      <c r="C23" s="11" t="s">
        <v>173</v>
      </c>
      <c r="D23" s="11" t="s">
        <v>173</v>
      </c>
      <c r="E23" s="11" t="s">
        <v>173</v>
      </c>
      <c r="F23" s="30"/>
      <c r="G23" s="30"/>
    </row>
    <row r="24" s="29" customFormat="1" ht="156" spans="1:7">
      <c r="A24" s="30" t="s">
        <v>172</v>
      </c>
      <c r="B24" s="12" t="s">
        <v>174</v>
      </c>
      <c r="C24" s="12" t="s">
        <v>174</v>
      </c>
      <c r="D24" s="12" t="s">
        <v>174</v>
      </c>
      <c r="E24" s="12" t="s">
        <v>174</v>
      </c>
      <c r="F24" s="30"/>
      <c r="G24" s="30"/>
    </row>
    <row r="25" s="29" customFormat="1" ht="68" spans="1:7">
      <c r="A25" s="30" t="s">
        <v>172</v>
      </c>
      <c r="B25" s="13" t="s">
        <v>393</v>
      </c>
      <c r="C25" s="13" t="s">
        <v>393</v>
      </c>
      <c r="D25" s="13" t="s">
        <v>393</v>
      </c>
      <c r="E25" s="13" t="s">
        <v>393</v>
      </c>
      <c r="F25" s="30"/>
      <c r="G25" s="30"/>
    </row>
    <row r="26" s="29" customFormat="1" ht="22" spans="1:7">
      <c r="A26" s="30" t="s">
        <v>172</v>
      </c>
      <c r="B26" s="14" t="s">
        <v>176</v>
      </c>
      <c r="C26" s="14" t="s">
        <v>176</v>
      </c>
      <c r="D26" s="14" t="s">
        <v>176</v>
      </c>
      <c r="E26" s="14" t="s">
        <v>176</v>
      </c>
      <c r="F26" s="30"/>
      <c r="G26" s="30"/>
    </row>
    <row r="27" s="29" customFormat="1" spans="1:7">
      <c r="A27" s="30" t="s">
        <v>172</v>
      </c>
      <c r="B27" s="15" t="s">
        <v>177</v>
      </c>
      <c r="C27" s="16" t="s">
        <v>178</v>
      </c>
      <c r="D27" s="17" t="s">
        <v>179</v>
      </c>
      <c r="E27" s="18" t="s">
        <v>180</v>
      </c>
      <c r="F27" s="30"/>
      <c r="G27" s="30"/>
    </row>
    <row r="28" s="29" customFormat="1" ht="41" spans="1:7">
      <c r="A28" s="30" t="s">
        <v>172</v>
      </c>
      <c r="B28" s="19" t="s">
        <v>401</v>
      </c>
      <c r="C28" s="20" t="s">
        <v>182</v>
      </c>
      <c r="D28" s="21">
        <v>10</v>
      </c>
      <c r="E28" s="22">
        <v>0</v>
      </c>
      <c r="F28" s="30"/>
      <c r="G28" s="30"/>
    </row>
    <row r="29" s="29" customFormat="1" spans="1:7">
      <c r="A29" s="30" t="s">
        <v>172</v>
      </c>
      <c r="B29" s="19" t="s">
        <v>401</v>
      </c>
      <c r="C29" s="16" t="s">
        <v>183</v>
      </c>
      <c r="D29" s="23">
        <v>10</v>
      </c>
      <c r="E29" s="24">
        <v>0</v>
      </c>
      <c r="F29" s="30"/>
      <c r="G29" s="30"/>
    </row>
    <row r="30" s="29" customFormat="1" ht="41" spans="1:7">
      <c r="A30" s="30" t="s">
        <v>172</v>
      </c>
      <c r="B30" s="19" t="s">
        <v>186</v>
      </c>
      <c r="C30" s="20" t="s">
        <v>182</v>
      </c>
      <c r="D30" s="21">
        <v>9</v>
      </c>
      <c r="E30" s="22">
        <v>0</v>
      </c>
      <c r="F30" s="30"/>
      <c r="G30" s="30"/>
    </row>
    <row r="31" s="29" customFormat="1" spans="1:7">
      <c r="A31" s="30" t="s">
        <v>172</v>
      </c>
      <c r="B31" s="19" t="s">
        <v>186</v>
      </c>
      <c r="C31" s="16" t="s">
        <v>183</v>
      </c>
      <c r="D31" s="23">
        <v>9</v>
      </c>
      <c r="E31" s="24">
        <v>0</v>
      </c>
      <c r="F31" s="30"/>
      <c r="G31" s="30"/>
    </row>
    <row r="32" s="29" customFormat="1" ht="41" spans="1:7">
      <c r="A32" s="30" t="s">
        <v>172</v>
      </c>
      <c r="B32" s="19" t="s">
        <v>402</v>
      </c>
      <c r="C32" s="20" t="s">
        <v>182</v>
      </c>
      <c r="D32" s="21">
        <v>2</v>
      </c>
      <c r="E32" s="22">
        <v>0</v>
      </c>
      <c r="F32" s="30"/>
      <c r="G32" s="30"/>
    </row>
    <row r="33" s="29" customFormat="1" spans="1:7">
      <c r="A33" s="30" t="s">
        <v>172</v>
      </c>
      <c r="B33" s="19" t="s">
        <v>402</v>
      </c>
      <c r="C33" s="16" t="s">
        <v>183</v>
      </c>
      <c r="D33" s="23">
        <v>2</v>
      </c>
      <c r="E33" s="24">
        <v>0</v>
      </c>
      <c r="F33" s="30"/>
      <c r="G33" s="30"/>
    </row>
    <row r="34" s="29" customFormat="1" ht="41" spans="1:7">
      <c r="A34" s="30" t="s">
        <v>172</v>
      </c>
      <c r="B34" s="19" t="s">
        <v>350</v>
      </c>
      <c r="C34" s="20" t="s">
        <v>182</v>
      </c>
      <c r="D34" s="21">
        <v>8</v>
      </c>
      <c r="E34" s="22">
        <v>0</v>
      </c>
      <c r="F34" s="30"/>
      <c r="G34" s="30"/>
    </row>
    <row r="35" s="29" customFormat="1" spans="1:7">
      <c r="A35" s="30" t="s">
        <v>172</v>
      </c>
      <c r="B35" s="19" t="s">
        <v>350</v>
      </c>
      <c r="C35" s="16" t="s">
        <v>183</v>
      </c>
      <c r="D35" s="23">
        <v>8</v>
      </c>
      <c r="E35" s="24">
        <v>0</v>
      </c>
      <c r="F35" s="30"/>
      <c r="G35" s="30"/>
    </row>
    <row r="36" s="29" customFormat="1" ht="41" spans="1:7">
      <c r="A36" s="30" t="s">
        <v>172</v>
      </c>
      <c r="B36" s="19" t="s">
        <v>403</v>
      </c>
      <c r="C36" s="20" t="s">
        <v>182</v>
      </c>
      <c r="D36" s="21">
        <v>2</v>
      </c>
      <c r="E36" s="22">
        <v>0</v>
      </c>
      <c r="F36" s="30"/>
      <c r="G36" s="30"/>
    </row>
    <row r="37" s="29" customFormat="1" spans="1:7">
      <c r="A37" s="30" t="s">
        <v>172</v>
      </c>
      <c r="B37" s="19" t="s">
        <v>403</v>
      </c>
      <c r="C37" s="16" t="s">
        <v>183</v>
      </c>
      <c r="D37" s="23">
        <v>2</v>
      </c>
      <c r="E37" s="24">
        <v>0</v>
      </c>
      <c r="F37" s="30"/>
      <c r="G37" s="30"/>
    </row>
    <row r="38" s="29" customFormat="1" ht="41" spans="1:7">
      <c r="A38" s="30" t="s">
        <v>172</v>
      </c>
      <c r="B38" s="19" t="s">
        <v>404</v>
      </c>
      <c r="C38" s="20" t="s">
        <v>182</v>
      </c>
      <c r="D38" s="21">
        <v>2</v>
      </c>
      <c r="E38" s="22">
        <v>0</v>
      </c>
      <c r="F38" s="30"/>
      <c r="G38" s="30"/>
    </row>
    <row r="39" s="29" customFormat="1" ht="17.55" spans="1:7">
      <c r="A39" s="30" t="s">
        <v>172</v>
      </c>
      <c r="B39" s="19" t="s">
        <v>404</v>
      </c>
      <c r="C39" s="16" t="s">
        <v>183</v>
      </c>
      <c r="D39" s="23">
        <v>2</v>
      </c>
      <c r="E39" s="24">
        <v>0</v>
      </c>
      <c r="F39" s="30"/>
      <c r="G39" s="30"/>
    </row>
    <row r="40" s="29" customFormat="1" spans="1:7">
      <c r="A40" s="30" t="s">
        <v>172</v>
      </c>
      <c r="B40" s="25"/>
      <c r="C40" s="25"/>
      <c r="D40" s="25"/>
      <c r="E40" s="25"/>
      <c r="F40" s="30"/>
      <c r="G40" s="30"/>
    </row>
    <row r="41" s="29" customFormat="1" ht="36" spans="1:7">
      <c r="A41" s="30" t="s">
        <v>172</v>
      </c>
      <c r="B41" s="26" t="s">
        <v>189</v>
      </c>
      <c r="C41" s="26" t="s">
        <v>189</v>
      </c>
      <c r="D41" s="26" t="s">
        <v>189</v>
      </c>
      <c r="E41" s="26" t="s">
        <v>189</v>
      </c>
      <c r="F41" s="30"/>
      <c r="G41" s="30"/>
    </row>
    <row r="42" s="29" customFormat="1" spans="1:7">
      <c r="A42" s="30" t="s">
        <v>172</v>
      </c>
      <c r="B42" s="26"/>
      <c r="C42" s="26"/>
      <c r="D42" s="26"/>
      <c r="E42" s="26"/>
      <c r="F42" s="30"/>
      <c r="G42" s="30"/>
    </row>
    <row r="43" s="29" customFormat="1" ht="36" spans="1:7">
      <c r="A43" s="30" t="s">
        <v>172</v>
      </c>
      <c r="B43" s="26" t="s">
        <v>400</v>
      </c>
      <c r="C43" s="26" t="s">
        <v>400</v>
      </c>
      <c r="D43" s="26" t="s">
        <v>400</v>
      </c>
      <c r="E43" s="26" t="s">
        <v>400</v>
      </c>
    </row>
    <row r="44" s="29" customFormat="1" spans="1:7">
      <c r="A44" s="30" t="s">
        <v>172</v>
      </c>
      <c r="B44" s="26" t="s">
        <v>198</v>
      </c>
      <c r="C44" s="26" t="s">
        <v>198</v>
      </c>
      <c r="D44" s="26" t="s">
        <v>198</v>
      </c>
      <c r="E44" s="26" t="s">
        <v>198</v>
      </c>
    </row>
    <row r="45" s="29" customFormat="1" ht="124" spans="1:7">
      <c r="A45" s="30" t="s">
        <v>172</v>
      </c>
      <c r="B45" s="11" t="s">
        <v>173</v>
      </c>
      <c r="C45" s="11" t="s">
        <v>173</v>
      </c>
      <c r="D45" s="11" t="s">
        <v>173</v>
      </c>
      <c r="E45" s="11" t="s">
        <v>173</v>
      </c>
    </row>
    <row r="46" s="29" customFormat="1" ht="156" spans="1:7">
      <c r="A46" s="30" t="s">
        <v>172</v>
      </c>
      <c r="B46" s="12" t="s">
        <v>174</v>
      </c>
      <c r="C46" s="12" t="s">
        <v>174</v>
      </c>
      <c r="D46" s="12" t="s">
        <v>174</v>
      </c>
      <c r="E46" s="12" t="s">
        <v>174</v>
      </c>
    </row>
    <row r="47" s="29" customFormat="1" ht="68" spans="1:7">
      <c r="A47" s="30" t="s">
        <v>172</v>
      </c>
      <c r="B47" s="13" t="s">
        <v>393</v>
      </c>
      <c r="C47" s="13" t="s">
        <v>393</v>
      </c>
      <c r="D47" s="13" t="s">
        <v>393</v>
      </c>
      <c r="E47" s="13" t="s">
        <v>393</v>
      </c>
    </row>
    <row r="48" s="29" customFormat="1" ht="22" spans="1:7">
      <c r="A48" s="30" t="s">
        <v>172</v>
      </c>
      <c r="B48" s="14" t="s">
        <v>176</v>
      </c>
      <c r="C48" s="14" t="s">
        <v>176</v>
      </c>
      <c r="D48" s="14" t="s">
        <v>176</v>
      </c>
      <c r="E48" s="14" t="s">
        <v>176</v>
      </c>
    </row>
    <row r="49" s="29" customFormat="1" spans="1:5">
      <c r="A49" s="30" t="s">
        <v>172</v>
      </c>
      <c r="B49" s="15" t="s">
        <v>177</v>
      </c>
      <c r="C49" s="16" t="s">
        <v>178</v>
      </c>
      <c r="D49" s="17" t="s">
        <v>179</v>
      </c>
      <c r="E49" s="18" t="s">
        <v>180</v>
      </c>
    </row>
    <row r="50" s="29" customFormat="1" ht="41" spans="1:5">
      <c r="A50" s="30" t="s">
        <v>172</v>
      </c>
      <c r="B50" s="19" t="s">
        <v>405</v>
      </c>
      <c r="C50" s="20" t="s">
        <v>182</v>
      </c>
      <c r="D50" s="21">
        <v>1</v>
      </c>
      <c r="E50" s="22">
        <v>0</v>
      </c>
    </row>
    <row r="51" s="29" customFormat="1" spans="1:5">
      <c r="B51" s="19" t="s">
        <v>405</v>
      </c>
      <c r="C51" s="16" t="s">
        <v>183</v>
      </c>
      <c r="D51" s="23">
        <v>1</v>
      </c>
      <c r="E51" s="24">
        <v>0</v>
      </c>
    </row>
    <row r="52" s="29" customFormat="1" ht="41" spans="1:5">
      <c r="B52" s="19" t="s">
        <v>187</v>
      </c>
      <c r="C52" s="20" t="s">
        <v>182</v>
      </c>
      <c r="D52" s="21">
        <v>1</v>
      </c>
      <c r="E52" s="22">
        <v>90090</v>
      </c>
    </row>
    <row r="53" s="29" customFormat="1" spans="1:5">
      <c r="B53" s="19" t="s">
        <v>187</v>
      </c>
      <c r="C53" s="16" t="s">
        <v>183</v>
      </c>
      <c r="D53" s="23">
        <v>1</v>
      </c>
      <c r="E53" s="24">
        <v>90090</v>
      </c>
    </row>
    <row r="54" s="29" customFormat="1" ht="41" spans="1:5">
      <c r="B54" s="19" t="s">
        <v>406</v>
      </c>
      <c r="C54" s="20" t="s">
        <v>182</v>
      </c>
      <c r="D54" s="21">
        <v>1</v>
      </c>
      <c r="E54" s="22">
        <v>206306.306306</v>
      </c>
    </row>
    <row r="55" s="29" customFormat="1" spans="1:5">
      <c r="B55" s="19" t="s">
        <v>406</v>
      </c>
      <c r="C55" s="16" t="s">
        <v>183</v>
      </c>
      <c r="D55" s="23">
        <v>1</v>
      </c>
      <c r="E55" s="24">
        <v>206306.306306</v>
      </c>
    </row>
    <row r="56" s="29" customFormat="1" ht="41" spans="1:5">
      <c r="B56" s="19" t="s">
        <v>351</v>
      </c>
      <c r="C56" s="20" t="s">
        <v>182</v>
      </c>
      <c r="D56" s="21">
        <v>1</v>
      </c>
      <c r="E56" s="22">
        <v>207770</v>
      </c>
    </row>
    <row r="57" s="29" customFormat="1" spans="1:5">
      <c r="B57" s="19" t="s">
        <v>351</v>
      </c>
      <c r="C57" s="16" t="s">
        <v>183</v>
      </c>
      <c r="D57" s="23">
        <v>1</v>
      </c>
      <c r="E57" s="24">
        <v>207770</v>
      </c>
    </row>
    <row r="58" s="29" customFormat="1" ht="41" spans="1:5">
      <c r="B58" s="19" t="s">
        <v>188</v>
      </c>
      <c r="C58" s="20" t="s">
        <v>182</v>
      </c>
      <c r="D58" s="21">
        <v>2</v>
      </c>
      <c r="E58" s="22">
        <v>172972.486486</v>
      </c>
    </row>
    <row r="59" s="29" customFormat="1" ht="28" spans="1:5">
      <c r="B59" s="19" t="s">
        <v>188</v>
      </c>
      <c r="C59" s="16" t="s">
        <v>183</v>
      </c>
      <c r="D59" s="23">
        <v>2</v>
      </c>
      <c r="E59" s="24">
        <v>172972.486486</v>
      </c>
    </row>
    <row r="60" s="29" customFormat="1" ht="41" spans="1:5">
      <c r="B60" s="19" t="s">
        <v>407</v>
      </c>
      <c r="C60" s="20" t="s">
        <v>182</v>
      </c>
      <c r="D60" s="21">
        <v>1</v>
      </c>
      <c r="E60" s="22">
        <v>79279.279279</v>
      </c>
    </row>
    <row r="61" s="29" customFormat="1" ht="28.75" spans="1:5">
      <c r="B61" s="19" t="s">
        <v>407</v>
      </c>
      <c r="C61" s="16" t="s">
        <v>183</v>
      </c>
      <c r="D61" s="23">
        <v>1</v>
      </c>
      <c r="E61" s="24">
        <v>79279.279279</v>
      </c>
    </row>
    <row r="62" s="29" customFormat="1" spans="1:5">
      <c r="B62" s="25"/>
      <c r="C62" s="25"/>
      <c r="D62" s="25"/>
      <c r="E62" s="25"/>
    </row>
    <row r="63" s="29" customFormat="1" ht="36" spans="1:5">
      <c r="B63" s="26" t="s">
        <v>189</v>
      </c>
      <c r="C63" s="26" t="s">
        <v>189</v>
      </c>
      <c r="D63" s="26" t="s">
        <v>189</v>
      </c>
      <c r="E63" s="26" t="s">
        <v>189</v>
      </c>
    </row>
    <row r="64" s="29" customFormat="1" spans="1:5">
      <c r="B64" s="26"/>
      <c r="C64" s="26"/>
      <c r="D64" s="26"/>
      <c r="E64" s="26"/>
    </row>
    <row r="65" s="29" customFormat="1" ht="36" spans="2:5">
      <c r="B65" s="26" t="s">
        <v>400</v>
      </c>
      <c r="C65" s="26" t="s">
        <v>400</v>
      </c>
      <c r="D65" s="26" t="s">
        <v>400</v>
      </c>
      <c r="E65" s="26" t="s">
        <v>400</v>
      </c>
    </row>
    <row r="66" s="29" customFormat="1" spans="2:5">
      <c r="B66" s="26" t="s">
        <v>205</v>
      </c>
      <c r="C66" s="26" t="s">
        <v>205</v>
      </c>
      <c r="D66" s="26" t="s">
        <v>205</v>
      </c>
      <c r="E66" s="26" t="s">
        <v>205</v>
      </c>
    </row>
    <row r="67" s="29" customFormat="1" ht="124" spans="2:5">
      <c r="B67" s="11" t="s">
        <v>173</v>
      </c>
      <c r="C67" s="11" t="s">
        <v>173</v>
      </c>
      <c r="D67" s="11" t="s">
        <v>173</v>
      </c>
      <c r="E67" s="11" t="s">
        <v>173</v>
      </c>
    </row>
    <row r="68" s="29" customFormat="1" ht="156" spans="2:5">
      <c r="B68" s="12" t="s">
        <v>174</v>
      </c>
      <c r="C68" s="12" t="s">
        <v>174</v>
      </c>
      <c r="D68" s="12" t="s">
        <v>174</v>
      </c>
      <c r="E68" s="12" t="s">
        <v>174</v>
      </c>
    </row>
    <row r="69" s="29" customFormat="1" ht="68" spans="2:5">
      <c r="B69" s="13" t="s">
        <v>393</v>
      </c>
      <c r="C69" s="13" t="s">
        <v>393</v>
      </c>
      <c r="D69" s="13" t="s">
        <v>393</v>
      </c>
      <c r="E69" s="13" t="s">
        <v>393</v>
      </c>
    </row>
    <row r="70" s="29" customFormat="1" ht="22" spans="2:5">
      <c r="B70" s="14" t="s">
        <v>176</v>
      </c>
      <c r="C70" s="14" t="s">
        <v>176</v>
      </c>
      <c r="D70" s="14" t="s">
        <v>176</v>
      </c>
      <c r="E70" s="14" t="s">
        <v>176</v>
      </c>
    </row>
    <row r="71" s="29" customFormat="1" spans="2:5">
      <c r="B71" s="15" t="s">
        <v>177</v>
      </c>
      <c r="C71" s="16" t="s">
        <v>178</v>
      </c>
      <c r="D71" s="17" t="s">
        <v>179</v>
      </c>
      <c r="E71" s="18" t="s">
        <v>180</v>
      </c>
    </row>
    <row r="72" s="29" customFormat="1" ht="41" spans="2:5">
      <c r="B72" s="19" t="s">
        <v>408</v>
      </c>
      <c r="C72" s="20" t="s">
        <v>182</v>
      </c>
      <c r="D72" s="21">
        <v>6</v>
      </c>
      <c r="E72" s="22">
        <v>37837.225225</v>
      </c>
    </row>
    <row r="73" s="29" customFormat="1" ht="28" spans="2:5">
      <c r="B73" s="19" t="s">
        <v>408</v>
      </c>
      <c r="C73" s="16" t="s">
        <v>183</v>
      </c>
      <c r="D73" s="23">
        <v>6</v>
      </c>
      <c r="E73" s="24">
        <v>37837.225225</v>
      </c>
    </row>
    <row r="74" s="29" customFormat="1" ht="41" spans="2:5">
      <c r="B74" s="19" t="s">
        <v>409</v>
      </c>
      <c r="C74" s="20" t="s">
        <v>182</v>
      </c>
      <c r="D74" s="21">
        <v>1</v>
      </c>
      <c r="E74" s="22">
        <v>6306</v>
      </c>
    </row>
    <row r="75" s="29" customFormat="1" ht="28" spans="2:5">
      <c r="B75" s="19" t="s">
        <v>409</v>
      </c>
      <c r="C75" s="16" t="s">
        <v>183</v>
      </c>
      <c r="D75" s="23">
        <v>1</v>
      </c>
      <c r="E75" s="24">
        <v>6306</v>
      </c>
    </row>
    <row r="76" s="29" customFormat="1" ht="41" spans="2:5">
      <c r="B76" s="19" t="s">
        <v>354</v>
      </c>
      <c r="C76" s="20" t="s">
        <v>182</v>
      </c>
      <c r="D76" s="21">
        <v>3</v>
      </c>
      <c r="E76" s="22">
        <v>13513.513514</v>
      </c>
    </row>
    <row r="77" s="29" customFormat="1" ht="28" spans="2:5">
      <c r="B77" s="19" t="s">
        <v>354</v>
      </c>
      <c r="C77" s="16" t="s">
        <v>183</v>
      </c>
      <c r="D77" s="23">
        <v>3</v>
      </c>
      <c r="E77" s="24">
        <v>13513.513514</v>
      </c>
    </row>
    <row r="78" s="29" customFormat="1" ht="41" spans="2:5">
      <c r="B78" s="19" t="s">
        <v>194</v>
      </c>
      <c r="C78" s="20" t="s">
        <v>182</v>
      </c>
      <c r="D78" s="21">
        <v>17</v>
      </c>
      <c r="E78" s="22">
        <v>43243</v>
      </c>
    </row>
    <row r="79" s="29" customFormat="1" spans="2:5">
      <c r="B79" s="19" t="s">
        <v>194</v>
      </c>
      <c r="C79" s="16" t="s">
        <v>183</v>
      </c>
      <c r="D79" s="23">
        <v>17</v>
      </c>
      <c r="E79" s="24">
        <v>43243</v>
      </c>
    </row>
    <row r="80" s="29" customFormat="1" ht="41" spans="2:5">
      <c r="B80" s="19" t="s">
        <v>195</v>
      </c>
      <c r="C80" s="20" t="s">
        <v>182</v>
      </c>
      <c r="D80" s="21">
        <v>10</v>
      </c>
      <c r="E80" s="22">
        <v>0</v>
      </c>
    </row>
    <row r="81" s="29" customFormat="1" spans="2:5">
      <c r="B81" s="19" t="s">
        <v>195</v>
      </c>
      <c r="C81" s="16" t="s">
        <v>183</v>
      </c>
      <c r="D81" s="23">
        <v>10</v>
      </c>
      <c r="E81" s="24">
        <v>0</v>
      </c>
    </row>
    <row r="82" s="29" customFormat="1" ht="41" spans="2:5">
      <c r="B82" s="19" t="s">
        <v>196</v>
      </c>
      <c r="C82" s="20" t="s">
        <v>182</v>
      </c>
      <c r="D82" s="21">
        <v>3</v>
      </c>
      <c r="E82" s="22">
        <v>56756.756757</v>
      </c>
    </row>
    <row r="83" s="29" customFormat="1" ht="17.55" spans="2:5">
      <c r="B83" s="19" t="s">
        <v>196</v>
      </c>
      <c r="C83" s="16" t="s">
        <v>183</v>
      </c>
      <c r="D83" s="23">
        <v>3</v>
      </c>
      <c r="E83" s="24">
        <v>56756.756757</v>
      </c>
    </row>
    <row r="84" s="29" customFormat="1" spans="2:5">
      <c r="B84" s="25"/>
      <c r="C84" s="25"/>
      <c r="D84" s="25"/>
      <c r="E84" s="25"/>
    </row>
    <row r="85" s="29" customFormat="1" ht="36" spans="2:5">
      <c r="B85" s="26" t="s">
        <v>189</v>
      </c>
      <c r="C85" s="26" t="s">
        <v>189</v>
      </c>
      <c r="D85" s="26" t="s">
        <v>189</v>
      </c>
      <c r="E85" s="26" t="s">
        <v>189</v>
      </c>
    </row>
    <row r="86" s="29" customFormat="1" spans="2:5">
      <c r="B86" s="26"/>
      <c r="C86" s="26"/>
      <c r="D86" s="26"/>
      <c r="E86" s="26"/>
    </row>
    <row r="87" s="29" customFormat="1" ht="36" spans="2:5">
      <c r="B87" s="26" t="s">
        <v>400</v>
      </c>
      <c r="C87" s="26" t="s">
        <v>400</v>
      </c>
      <c r="D87" s="26" t="s">
        <v>400</v>
      </c>
      <c r="E87" s="26" t="s">
        <v>400</v>
      </c>
    </row>
    <row r="88" s="29" customFormat="1" spans="2:5">
      <c r="B88" s="26" t="s">
        <v>212</v>
      </c>
      <c r="C88" s="26" t="s">
        <v>212</v>
      </c>
      <c r="D88" s="26" t="s">
        <v>212</v>
      </c>
      <c r="E88" s="26" t="s">
        <v>212</v>
      </c>
    </row>
    <row r="89" s="29" customFormat="1" ht="124" spans="2:5">
      <c r="B89" s="11" t="s">
        <v>173</v>
      </c>
      <c r="C89" s="11" t="s">
        <v>173</v>
      </c>
      <c r="D89" s="11" t="s">
        <v>173</v>
      </c>
      <c r="E89" s="11" t="s">
        <v>173</v>
      </c>
    </row>
    <row r="90" s="29" customFormat="1" ht="156" spans="2:5">
      <c r="B90" s="12" t="s">
        <v>174</v>
      </c>
      <c r="C90" s="12" t="s">
        <v>174</v>
      </c>
      <c r="D90" s="12" t="s">
        <v>174</v>
      </c>
      <c r="E90" s="12" t="s">
        <v>174</v>
      </c>
    </row>
    <row r="91" s="29" customFormat="1" ht="68" spans="2:5">
      <c r="B91" s="13" t="s">
        <v>393</v>
      </c>
      <c r="C91" s="13" t="s">
        <v>393</v>
      </c>
      <c r="D91" s="13" t="s">
        <v>393</v>
      </c>
      <c r="E91" s="13" t="s">
        <v>393</v>
      </c>
    </row>
    <row r="92" s="29" customFormat="1" ht="22" spans="2:5">
      <c r="B92" s="14" t="s">
        <v>176</v>
      </c>
      <c r="C92" s="14" t="s">
        <v>176</v>
      </c>
      <c r="D92" s="14" t="s">
        <v>176</v>
      </c>
      <c r="E92" s="14" t="s">
        <v>176</v>
      </c>
    </row>
    <row r="93" s="29" customFormat="1" spans="2:5">
      <c r="B93" s="15" t="s">
        <v>177</v>
      </c>
      <c r="C93" s="16" t="s">
        <v>178</v>
      </c>
      <c r="D93" s="17" t="s">
        <v>179</v>
      </c>
      <c r="E93" s="18" t="s">
        <v>180</v>
      </c>
    </row>
    <row r="94" s="29" customFormat="1" ht="41" spans="2:5">
      <c r="B94" s="19" t="s">
        <v>197</v>
      </c>
      <c r="C94" s="20" t="s">
        <v>182</v>
      </c>
      <c r="D94" s="21">
        <v>7</v>
      </c>
      <c r="E94" s="22">
        <v>0</v>
      </c>
    </row>
    <row r="95" s="29" customFormat="1" spans="2:5">
      <c r="B95" s="19" t="s">
        <v>197</v>
      </c>
      <c r="C95" s="16" t="s">
        <v>183</v>
      </c>
      <c r="D95" s="23">
        <v>7</v>
      </c>
      <c r="E95" s="24">
        <v>0</v>
      </c>
    </row>
    <row r="96" s="29" customFormat="1" ht="41" spans="2:5">
      <c r="B96" s="19" t="s">
        <v>410</v>
      </c>
      <c r="C96" s="20" t="s">
        <v>182</v>
      </c>
      <c r="D96" s="21">
        <v>2</v>
      </c>
      <c r="E96" s="22">
        <v>0</v>
      </c>
    </row>
    <row r="97" s="29" customFormat="1" spans="2:5">
      <c r="B97" s="19" t="s">
        <v>410</v>
      </c>
      <c r="C97" s="16" t="s">
        <v>183</v>
      </c>
      <c r="D97" s="23">
        <v>2</v>
      </c>
      <c r="E97" s="24">
        <v>0</v>
      </c>
    </row>
    <row r="98" s="29" customFormat="1" ht="41" spans="2:5">
      <c r="B98" s="19" t="s">
        <v>199</v>
      </c>
      <c r="C98" s="20" t="s">
        <v>182</v>
      </c>
      <c r="D98" s="21">
        <v>32</v>
      </c>
      <c r="E98" s="22">
        <v>0</v>
      </c>
    </row>
    <row r="99" s="29" customFormat="1" spans="2:5">
      <c r="B99" s="19" t="s">
        <v>199</v>
      </c>
      <c r="C99" s="16" t="s">
        <v>183</v>
      </c>
      <c r="D99" s="23">
        <v>32</v>
      </c>
      <c r="E99" s="24">
        <v>0</v>
      </c>
    </row>
    <row r="100" s="29" customFormat="1" ht="41" spans="2:5">
      <c r="B100" s="19" t="s">
        <v>200</v>
      </c>
      <c r="C100" s="20" t="s">
        <v>182</v>
      </c>
      <c r="D100" s="21">
        <v>5</v>
      </c>
      <c r="E100" s="22">
        <v>0</v>
      </c>
    </row>
    <row r="101" s="29" customFormat="1" spans="2:5">
      <c r="B101" s="19" t="s">
        <v>200</v>
      </c>
      <c r="C101" s="16" t="s">
        <v>183</v>
      </c>
      <c r="D101" s="23">
        <v>5</v>
      </c>
      <c r="E101" s="24">
        <v>0</v>
      </c>
    </row>
    <row r="102" s="29" customFormat="1" ht="41" spans="2:5">
      <c r="B102" s="19" t="s">
        <v>201</v>
      </c>
      <c r="C102" s="20" t="s">
        <v>182</v>
      </c>
      <c r="D102" s="21">
        <v>1</v>
      </c>
      <c r="E102" s="22">
        <v>0</v>
      </c>
    </row>
    <row r="103" s="29" customFormat="1" spans="2:5">
      <c r="B103" s="19" t="s">
        <v>201</v>
      </c>
      <c r="C103" s="16" t="s">
        <v>183</v>
      </c>
      <c r="D103" s="23">
        <v>1</v>
      </c>
      <c r="E103" s="24">
        <v>0</v>
      </c>
    </row>
    <row r="104" s="29" customFormat="1" ht="41" spans="2:5">
      <c r="B104" s="19" t="s">
        <v>411</v>
      </c>
      <c r="C104" s="20" t="s">
        <v>182</v>
      </c>
      <c r="D104" s="21">
        <v>4</v>
      </c>
      <c r="E104" s="22">
        <v>72072.072072</v>
      </c>
    </row>
    <row r="105" s="29" customFormat="1" ht="28.75" spans="2:5">
      <c r="B105" s="19" t="s">
        <v>411</v>
      </c>
      <c r="C105" s="16" t="s">
        <v>183</v>
      </c>
      <c r="D105" s="23">
        <v>4</v>
      </c>
      <c r="E105" s="24">
        <v>72072.072072</v>
      </c>
    </row>
    <row r="106" s="29" customFormat="1" spans="2:5">
      <c r="B106" s="25"/>
      <c r="C106" s="25"/>
      <c r="D106" s="25"/>
      <c r="E106" s="25"/>
    </row>
    <row r="107" s="29" customFormat="1" ht="36" spans="2:5">
      <c r="B107" s="26" t="s">
        <v>189</v>
      </c>
      <c r="C107" s="26" t="s">
        <v>189</v>
      </c>
      <c r="D107" s="26" t="s">
        <v>189</v>
      </c>
      <c r="E107" s="26" t="s">
        <v>189</v>
      </c>
    </row>
    <row r="108" s="29" customFormat="1" spans="2:5">
      <c r="B108" s="26"/>
      <c r="C108" s="26"/>
      <c r="D108" s="26"/>
      <c r="E108" s="26"/>
    </row>
    <row r="109" s="29" customFormat="1" ht="36" spans="2:5">
      <c r="B109" s="26" t="s">
        <v>400</v>
      </c>
      <c r="C109" s="26" t="s">
        <v>400</v>
      </c>
      <c r="D109" s="26" t="s">
        <v>400</v>
      </c>
      <c r="E109" s="26" t="s">
        <v>400</v>
      </c>
    </row>
    <row r="110" s="29" customFormat="1" spans="2:5">
      <c r="B110" s="26" t="s">
        <v>219</v>
      </c>
      <c r="C110" s="26" t="s">
        <v>219</v>
      </c>
      <c r="D110" s="26" t="s">
        <v>219</v>
      </c>
      <c r="E110" s="26" t="s">
        <v>219</v>
      </c>
    </row>
    <row r="111" s="29" customFormat="1" ht="124" spans="2:5">
      <c r="B111" s="11" t="s">
        <v>173</v>
      </c>
      <c r="C111" s="11" t="s">
        <v>173</v>
      </c>
      <c r="D111" s="11" t="s">
        <v>173</v>
      </c>
      <c r="E111" s="11" t="s">
        <v>173</v>
      </c>
    </row>
    <row r="112" s="29" customFormat="1" ht="156" spans="2:5">
      <c r="B112" s="12" t="s">
        <v>174</v>
      </c>
      <c r="C112" s="12" t="s">
        <v>174</v>
      </c>
      <c r="D112" s="12" t="s">
        <v>174</v>
      </c>
      <c r="E112" s="12" t="s">
        <v>174</v>
      </c>
    </row>
    <row r="113" s="29" customFormat="1" ht="68" spans="2:5">
      <c r="B113" s="13" t="s">
        <v>393</v>
      </c>
      <c r="C113" s="13" t="s">
        <v>393</v>
      </c>
      <c r="D113" s="13" t="s">
        <v>393</v>
      </c>
      <c r="E113" s="13" t="s">
        <v>393</v>
      </c>
    </row>
    <row r="114" s="29" customFormat="1" ht="22" spans="2:5">
      <c r="B114" s="14" t="s">
        <v>176</v>
      </c>
      <c r="C114" s="14" t="s">
        <v>176</v>
      </c>
      <c r="D114" s="14" t="s">
        <v>176</v>
      </c>
      <c r="E114" s="14" t="s">
        <v>176</v>
      </c>
    </row>
    <row r="115" s="29" customFormat="1" spans="2:5">
      <c r="B115" s="15" t="s">
        <v>177</v>
      </c>
      <c r="C115" s="16" t="s">
        <v>178</v>
      </c>
      <c r="D115" s="17" t="s">
        <v>179</v>
      </c>
      <c r="E115" s="18" t="s">
        <v>180</v>
      </c>
    </row>
    <row r="116" s="29" customFormat="1" ht="41" spans="2:5">
      <c r="B116" s="19" t="s">
        <v>412</v>
      </c>
      <c r="C116" s="20" t="s">
        <v>182</v>
      </c>
      <c r="D116" s="21">
        <v>8</v>
      </c>
      <c r="E116" s="22">
        <v>172972.486486</v>
      </c>
    </row>
    <row r="117" s="29" customFormat="1" ht="28" spans="2:5">
      <c r="B117" s="19" t="s">
        <v>412</v>
      </c>
      <c r="C117" s="16" t="s">
        <v>183</v>
      </c>
      <c r="D117" s="23">
        <v>8</v>
      </c>
      <c r="E117" s="24">
        <v>172972.486486</v>
      </c>
    </row>
    <row r="118" s="29" customFormat="1" ht="41" spans="2:5">
      <c r="B118" s="19" t="s">
        <v>413</v>
      </c>
      <c r="C118" s="20" t="s">
        <v>182</v>
      </c>
      <c r="D118" s="21">
        <v>4</v>
      </c>
      <c r="E118" s="22">
        <v>472572</v>
      </c>
    </row>
    <row r="119" s="29" customFormat="1" ht="28" spans="2:5">
      <c r="B119" s="19" t="s">
        <v>413</v>
      </c>
      <c r="C119" s="16" t="s">
        <v>183</v>
      </c>
      <c r="D119" s="23">
        <v>4</v>
      </c>
      <c r="E119" s="24">
        <v>472572</v>
      </c>
    </row>
    <row r="120" s="29" customFormat="1" ht="41" spans="2:5">
      <c r="B120" s="19" t="s">
        <v>414</v>
      </c>
      <c r="C120" s="20" t="s">
        <v>182</v>
      </c>
      <c r="D120" s="21">
        <v>4</v>
      </c>
      <c r="E120" s="22">
        <v>270270</v>
      </c>
    </row>
    <row r="121" s="29" customFormat="1" ht="28" spans="2:5">
      <c r="B121" s="19" t="s">
        <v>414</v>
      </c>
      <c r="C121" s="16" t="s">
        <v>183</v>
      </c>
      <c r="D121" s="23">
        <v>4</v>
      </c>
      <c r="E121" s="24">
        <v>270270</v>
      </c>
    </row>
    <row r="122" s="29" customFormat="1" ht="41" spans="2:5">
      <c r="B122" s="19" t="s">
        <v>415</v>
      </c>
      <c r="C122" s="20" t="s">
        <v>182</v>
      </c>
      <c r="D122" s="21">
        <v>1</v>
      </c>
      <c r="E122" s="22">
        <v>31621.801802</v>
      </c>
    </row>
    <row r="123" s="29" customFormat="1" ht="28" spans="2:5">
      <c r="B123" s="19" t="s">
        <v>415</v>
      </c>
      <c r="C123" s="16" t="s">
        <v>183</v>
      </c>
      <c r="D123" s="23">
        <v>1</v>
      </c>
      <c r="E123" s="24">
        <v>31621.801802</v>
      </c>
    </row>
    <row r="124" s="29" customFormat="1" ht="41" spans="2:5">
      <c r="B124" s="19" t="s">
        <v>361</v>
      </c>
      <c r="C124" s="20" t="s">
        <v>182</v>
      </c>
      <c r="D124" s="21">
        <v>1</v>
      </c>
      <c r="E124" s="22">
        <v>58558.558559</v>
      </c>
    </row>
    <row r="125" s="29" customFormat="1" ht="28" spans="2:5">
      <c r="B125" s="19" t="s">
        <v>361</v>
      </c>
      <c r="C125" s="16" t="s">
        <v>183</v>
      </c>
      <c r="D125" s="23">
        <v>1</v>
      </c>
      <c r="E125" s="24">
        <v>58558.558559</v>
      </c>
    </row>
    <row r="126" s="29" customFormat="1" ht="41" spans="2:5">
      <c r="B126" s="19" t="s">
        <v>416</v>
      </c>
      <c r="C126" s="20" t="s">
        <v>182</v>
      </c>
      <c r="D126" s="21">
        <v>1</v>
      </c>
      <c r="E126" s="22">
        <v>152432</v>
      </c>
    </row>
    <row r="127" s="29" customFormat="1" ht="28.75" spans="2:5">
      <c r="B127" s="19" t="s">
        <v>416</v>
      </c>
      <c r="C127" s="16" t="s">
        <v>183</v>
      </c>
      <c r="D127" s="23">
        <v>1</v>
      </c>
      <c r="E127" s="24">
        <v>152432</v>
      </c>
    </row>
    <row r="128" s="29" customFormat="1" spans="2:5">
      <c r="B128" s="25"/>
      <c r="C128" s="25"/>
      <c r="D128" s="25"/>
      <c r="E128" s="25"/>
    </row>
    <row r="129" s="29" customFormat="1" ht="36" spans="2:5">
      <c r="B129" s="26" t="s">
        <v>189</v>
      </c>
      <c r="C129" s="26" t="s">
        <v>189</v>
      </c>
      <c r="D129" s="26" t="s">
        <v>189</v>
      </c>
      <c r="E129" s="26" t="s">
        <v>189</v>
      </c>
    </row>
    <row r="130" s="29" customFormat="1" spans="2:5">
      <c r="B130" s="26"/>
      <c r="C130" s="26"/>
      <c r="D130" s="26"/>
      <c r="E130" s="26"/>
    </row>
    <row r="131" s="29" customFormat="1" ht="36" spans="2:5">
      <c r="B131" s="26" t="s">
        <v>400</v>
      </c>
      <c r="C131" s="26" t="s">
        <v>400</v>
      </c>
      <c r="D131" s="26" t="s">
        <v>400</v>
      </c>
      <c r="E131" s="26" t="s">
        <v>400</v>
      </c>
    </row>
    <row r="132" s="29" customFormat="1" spans="2:5">
      <c r="B132" s="26" t="s">
        <v>226</v>
      </c>
      <c r="C132" s="26" t="s">
        <v>226</v>
      </c>
      <c r="D132" s="26" t="s">
        <v>226</v>
      </c>
      <c r="E132" s="26" t="s">
        <v>226</v>
      </c>
    </row>
    <row r="133" s="29" customFormat="1" ht="124" spans="2:5">
      <c r="B133" s="11" t="s">
        <v>173</v>
      </c>
      <c r="C133" s="11" t="s">
        <v>173</v>
      </c>
      <c r="D133" s="11" t="s">
        <v>173</v>
      </c>
      <c r="E133" s="11" t="s">
        <v>173</v>
      </c>
    </row>
    <row r="134" s="29" customFormat="1" ht="156" spans="2:5">
      <c r="B134" s="12" t="s">
        <v>174</v>
      </c>
      <c r="C134" s="12" t="s">
        <v>174</v>
      </c>
      <c r="D134" s="12" t="s">
        <v>174</v>
      </c>
      <c r="E134" s="12" t="s">
        <v>174</v>
      </c>
    </row>
    <row r="135" s="29" customFormat="1" ht="68" spans="2:5">
      <c r="B135" s="13" t="s">
        <v>393</v>
      </c>
      <c r="C135" s="13" t="s">
        <v>393</v>
      </c>
      <c r="D135" s="13" t="s">
        <v>393</v>
      </c>
      <c r="E135" s="13" t="s">
        <v>393</v>
      </c>
    </row>
    <row r="136" s="29" customFormat="1" ht="22" spans="2:5">
      <c r="B136" s="14" t="s">
        <v>176</v>
      </c>
      <c r="C136" s="14" t="s">
        <v>176</v>
      </c>
      <c r="D136" s="14" t="s">
        <v>176</v>
      </c>
      <c r="E136" s="14" t="s">
        <v>176</v>
      </c>
    </row>
    <row r="137" s="29" customFormat="1" spans="2:5">
      <c r="B137" s="15" t="s">
        <v>177</v>
      </c>
      <c r="C137" s="16" t="s">
        <v>178</v>
      </c>
      <c r="D137" s="17" t="s">
        <v>179</v>
      </c>
      <c r="E137" s="18" t="s">
        <v>180</v>
      </c>
    </row>
    <row r="138" s="29" customFormat="1" ht="41" spans="2:5">
      <c r="B138" s="19" t="s">
        <v>417</v>
      </c>
      <c r="C138" s="20" t="s">
        <v>182</v>
      </c>
      <c r="D138" s="21">
        <v>1</v>
      </c>
      <c r="E138" s="22">
        <v>120045.027027</v>
      </c>
    </row>
    <row r="139" s="29" customFormat="1" ht="28" spans="2:5">
      <c r="B139" s="19" t="s">
        <v>417</v>
      </c>
      <c r="C139" s="16" t="s">
        <v>183</v>
      </c>
      <c r="D139" s="23">
        <v>1</v>
      </c>
      <c r="E139" s="24">
        <v>120045.027027</v>
      </c>
    </row>
    <row r="140" s="29" customFormat="1" ht="41" spans="2:5">
      <c r="B140" s="19" t="s">
        <v>418</v>
      </c>
      <c r="C140" s="20" t="s">
        <v>182</v>
      </c>
      <c r="D140" s="21">
        <v>1</v>
      </c>
      <c r="E140" s="22">
        <v>122972.972973</v>
      </c>
    </row>
    <row r="141" s="29" customFormat="1" ht="28" spans="2:5">
      <c r="B141" s="19" t="s">
        <v>418</v>
      </c>
      <c r="C141" s="16" t="s">
        <v>183</v>
      </c>
      <c r="D141" s="23">
        <v>1</v>
      </c>
      <c r="E141" s="24">
        <v>122972.972973</v>
      </c>
    </row>
    <row r="142" s="29" customFormat="1" ht="41" spans="2:5">
      <c r="B142" s="19" t="s">
        <v>419</v>
      </c>
      <c r="C142" s="20" t="s">
        <v>182</v>
      </c>
      <c r="D142" s="21">
        <v>1</v>
      </c>
      <c r="E142" s="22">
        <v>184821</v>
      </c>
    </row>
    <row r="143" s="29" customFormat="1" ht="28" spans="2:5">
      <c r="B143" s="19" t="s">
        <v>419</v>
      </c>
      <c r="C143" s="16" t="s">
        <v>183</v>
      </c>
      <c r="D143" s="23">
        <v>1</v>
      </c>
      <c r="E143" s="24">
        <v>184821</v>
      </c>
    </row>
    <row r="144" s="29" customFormat="1" ht="41" spans="2:5">
      <c r="B144" s="19" t="s">
        <v>211</v>
      </c>
      <c r="C144" s="20" t="s">
        <v>182</v>
      </c>
      <c r="D144" s="21">
        <v>27</v>
      </c>
      <c r="E144" s="22">
        <v>1337738.585588</v>
      </c>
    </row>
    <row r="145" s="29" customFormat="1" ht="28" spans="2:5">
      <c r="B145" s="19" t="s">
        <v>211</v>
      </c>
      <c r="C145" s="16" t="s">
        <v>183</v>
      </c>
      <c r="D145" s="23">
        <v>27</v>
      </c>
      <c r="E145" s="24">
        <v>1337738.585588</v>
      </c>
    </row>
    <row r="146" s="29" customFormat="1" ht="41" spans="2:5">
      <c r="B146" s="19" t="s">
        <v>213</v>
      </c>
      <c r="C146" s="20" t="s">
        <v>182</v>
      </c>
      <c r="D146" s="21">
        <v>26</v>
      </c>
      <c r="E146" s="22">
        <v>1323234.414416</v>
      </c>
    </row>
    <row r="147" s="29" customFormat="1" ht="28" spans="2:5">
      <c r="B147" s="19" t="s">
        <v>213</v>
      </c>
      <c r="C147" s="16" t="s">
        <v>183</v>
      </c>
      <c r="D147" s="23">
        <v>26</v>
      </c>
      <c r="E147" s="24">
        <v>1323234.414416</v>
      </c>
    </row>
    <row r="148" s="29" customFormat="1" ht="41" spans="2:5">
      <c r="B148" s="19" t="s">
        <v>214</v>
      </c>
      <c r="C148" s="20" t="s">
        <v>182</v>
      </c>
      <c r="D148" s="21">
        <v>8</v>
      </c>
      <c r="E148" s="22">
        <v>454414.36036</v>
      </c>
    </row>
    <row r="149" s="29" customFormat="1" ht="28.75" spans="2:5">
      <c r="B149" s="19" t="s">
        <v>214</v>
      </c>
      <c r="C149" s="16" t="s">
        <v>183</v>
      </c>
      <c r="D149" s="23">
        <v>8</v>
      </c>
      <c r="E149" s="24">
        <v>454414.36036</v>
      </c>
    </row>
    <row r="150" s="29" customFormat="1" spans="2:5">
      <c r="B150" s="25"/>
      <c r="C150" s="25"/>
      <c r="D150" s="25"/>
      <c r="E150" s="25"/>
    </row>
    <row r="151" s="29" customFormat="1" ht="36" spans="2:5">
      <c r="B151" s="26" t="s">
        <v>189</v>
      </c>
      <c r="C151" s="26" t="s">
        <v>189</v>
      </c>
      <c r="D151" s="26" t="s">
        <v>189</v>
      </c>
      <c r="E151" s="26" t="s">
        <v>189</v>
      </c>
    </row>
    <row r="152" s="29" customFormat="1" spans="2:5">
      <c r="B152" s="26"/>
      <c r="C152" s="26"/>
      <c r="D152" s="26"/>
      <c r="E152" s="26"/>
    </row>
    <row r="153" s="29" customFormat="1" ht="36" spans="2:5">
      <c r="B153" s="26" t="s">
        <v>400</v>
      </c>
      <c r="C153" s="26" t="s">
        <v>400</v>
      </c>
      <c r="D153" s="26" t="s">
        <v>400</v>
      </c>
      <c r="E153" s="26" t="s">
        <v>400</v>
      </c>
    </row>
    <row r="154" s="29" customFormat="1" spans="2:5">
      <c r="B154" s="26" t="s">
        <v>233</v>
      </c>
      <c r="C154" s="26" t="s">
        <v>233</v>
      </c>
      <c r="D154" s="26" t="s">
        <v>233</v>
      </c>
      <c r="E154" s="26" t="s">
        <v>233</v>
      </c>
    </row>
    <row r="155" s="29" customFormat="1" ht="124" spans="2:5">
      <c r="B155" s="11" t="s">
        <v>173</v>
      </c>
      <c r="C155" s="11" t="s">
        <v>173</v>
      </c>
      <c r="D155" s="11" t="s">
        <v>173</v>
      </c>
      <c r="E155" s="11" t="s">
        <v>173</v>
      </c>
    </row>
    <row r="156" s="29" customFormat="1" ht="156" spans="2:5">
      <c r="B156" s="12" t="s">
        <v>174</v>
      </c>
      <c r="C156" s="12" t="s">
        <v>174</v>
      </c>
      <c r="D156" s="12" t="s">
        <v>174</v>
      </c>
      <c r="E156" s="12" t="s">
        <v>174</v>
      </c>
    </row>
    <row r="157" s="29" customFormat="1" ht="68" spans="2:5">
      <c r="B157" s="13" t="s">
        <v>393</v>
      </c>
      <c r="C157" s="13" t="s">
        <v>393</v>
      </c>
      <c r="D157" s="13" t="s">
        <v>393</v>
      </c>
      <c r="E157" s="13" t="s">
        <v>393</v>
      </c>
    </row>
    <row r="158" s="29" customFormat="1" ht="22" spans="2:5">
      <c r="B158" s="14" t="s">
        <v>176</v>
      </c>
      <c r="C158" s="14" t="s">
        <v>176</v>
      </c>
      <c r="D158" s="14" t="s">
        <v>176</v>
      </c>
      <c r="E158" s="14" t="s">
        <v>176</v>
      </c>
    </row>
    <row r="159" s="29" customFormat="1" spans="2:5">
      <c r="B159" s="15" t="s">
        <v>177</v>
      </c>
      <c r="C159" s="16" t="s">
        <v>178</v>
      </c>
      <c r="D159" s="17" t="s">
        <v>179</v>
      </c>
      <c r="E159" s="18" t="s">
        <v>180</v>
      </c>
    </row>
    <row r="160" s="29" customFormat="1" ht="41" spans="2:5">
      <c r="B160" s="19" t="s">
        <v>215</v>
      </c>
      <c r="C160" s="20" t="s">
        <v>182</v>
      </c>
      <c r="D160" s="21">
        <v>8</v>
      </c>
      <c r="E160" s="22">
        <v>511170.855857</v>
      </c>
    </row>
    <row r="161" s="29" customFormat="1" ht="28" spans="2:5">
      <c r="B161" s="19" t="s">
        <v>215</v>
      </c>
      <c r="C161" s="16" t="s">
        <v>183</v>
      </c>
      <c r="D161" s="23">
        <v>8</v>
      </c>
      <c r="E161" s="24">
        <v>511170.855857</v>
      </c>
    </row>
    <row r="162" s="29" customFormat="1" ht="41" spans="2:5">
      <c r="B162" s="19" t="s">
        <v>216</v>
      </c>
      <c r="C162" s="20" t="s">
        <v>182</v>
      </c>
      <c r="D162" s="21">
        <v>2</v>
      </c>
      <c r="E162" s="22">
        <v>151621.936937</v>
      </c>
    </row>
    <row r="163" s="29" customFormat="1" ht="28" spans="2:5">
      <c r="B163" s="19" t="s">
        <v>216</v>
      </c>
      <c r="C163" s="16" t="s">
        <v>183</v>
      </c>
      <c r="D163" s="23">
        <v>2</v>
      </c>
      <c r="E163" s="24">
        <v>151621.936937</v>
      </c>
    </row>
    <row r="164" s="29" customFormat="1" ht="41" spans="2:5">
      <c r="B164" s="19" t="s">
        <v>364</v>
      </c>
      <c r="C164" s="20" t="s">
        <v>182</v>
      </c>
      <c r="D164" s="21">
        <v>5</v>
      </c>
      <c r="E164" s="22">
        <v>330810.477478</v>
      </c>
    </row>
    <row r="165" s="29" customFormat="1" ht="28" spans="2:5">
      <c r="B165" s="19" t="s">
        <v>364</v>
      </c>
      <c r="C165" s="16" t="s">
        <v>183</v>
      </c>
      <c r="D165" s="23">
        <v>5</v>
      </c>
      <c r="E165" s="24">
        <v>330810.477478</v>
      </c>
    </row>
    <row r="166" s="29" customFormat="1" ht="41" spans="2:5">
      <c r="B166" s="19" t="s">
        <v>217</v>
      </c>
      <c r="C166" s="20" t="s">
        <v>182</v>
      </c>
      <c r="D166" s="21">
        <v>8</v>
      </c>
      <c r="E166" s="22">
        <v>514999.999998</v>
      </c>
    </row>
    <row r="167" s="29" customFormat="1" ht="28" spans="2:5">
      <c r="B167" s="19" t="s">
        <v>217</v>
      </c>
      <c r="C167" s="16" t="s">
        <v>183</v>
      </c>
      <c r="D167" s="23">
        <v>8</v>
      </c>
      <c r="E167" s="24">
        <v>514999.999998</v>
      </c>
    </row>
    <row r="168" s="29" customFormat="1" ht="41" spans="2:5">
      <c r="B168" s="19" t="s">
        <v>218</v>
      </c>
      <c r="C168" s="20" t="s">
        <v>182</v>
      </c>
      <c r="D168" s="21">
        <v>28</v>
      </c>
      <c r="E168" s="22">
        <v>1820000.396396</v>
      </c>
    </row>
    <row r="169" s="29" customFormat="1" ht="28" spans="2:5">
      <c r="B169" s="19" t="s">
        <v>218</v>
      </c>
      <c r="C169" s="16" t="s">
        <v>183</v>
      </c>
      <c r="D169" s="23">
        <v>28</v>
      </c>
      <c r="E169" s="24">
        <v>1820000.396396</v>
      </c>
    </row>
    <row r="170" s="29" customFormat="1" ht="41" spans="2:5">
      <c r="B170" s="19" t="s">
        <v>220</v>
      </c>
      <c r="C170" s="20" t="s">
        <v>182</v>
      </c>
      <c r="D170" s="21">
        <v>17</v>
      </c>
      <c r="E170" s="22">
        <v>1138384.900901</v>
      </c>
    </row>
    <row r="171" s="29" customFormat="1" ht="28.75" spans="2:5">
      <c r="B171" s="19" t="s">
        <v>220</v>
      </c>
      <c r="C171" s="16" t="s">
        <v>183</v>
      </c>
      <c r="D171" s="23">
        <v>17</v>
      </c>
      <c r="E171" s="24">
        <v>1138384.900901</v>
      </c>
    </row>
    <row r="172" s="29" customFormat="1" spans="2:5">
      <c r="B172" s="25"/>
      <c r="C172" s="25"/>
      <c r="D172" s="25"/>
      <c r="E172" s="25"/>
    </row>
    <row r="173" s="29" customFormat="1" ht="36" spans="2:5">
      <c r="B173" s="26" t="s">
        <v>189</v>
      </c>
      <c r="C173" s="26" t="s">
        <v>189</v>
      </c>
      <c r="D173" s="26" t="s">
        <v>189</v>
      </c>
      <c r="E173" s="26" t="s">
        <v>189</v>
      </c>
    </row>
    <row r="174" s="29" customFormat="1" spans="2:5">
      <c r="B174" s="26"/>
      <c r="C174" s="26"/>
      <c r="D174" s="26"/>
      <c r="E174" s="26"/>
    </row>
    <row r="175" s="29" customFormat="1" ht="36" spans="2:5">
      <c r="B175" s="26" t="s">
        <v>400</v>
      </c>
      <c r="C175" s="26" t="s">
        <v>400</v>
      </c>
      <c r="D175" s="26" t="s">
        <v>400</v>
      </c>
      <c r="E175" s="26" t="s">
        <v>400</v>
      </c>
    </row>
    <row r="176" s="29" customFormat="1" spans="2:5">
      <c r="B176" s="26" t="s">
        <v>240</v>
      </c>
      <c r="C176" s="26" t="s">
        <v>240</v>
      </c>
      <c r="D176" s="26" t="s">
        <v>240</v>
      </c>
      <c r="E176" s="26" t="s">
        <v>240</v>
      </c>
    </row>
    <row r="177" s="29" customFormat="1" ht="124" spans="2:5">
      <c r="B177" s="11" t="s">
        <v>173</v>
      </c>
      <c r="C177" s="11" t="s">
        <v>173</v>
      </c>
      <c r="D177" s="11" t="s">
        <v>173</v>
      </c>
      <c r="E177" s="11" t="s">
        <v>173</v>
      </c>
    </row>
    <row r="178" s="29" customFormat="1" ht="156" spans="2:5">
      <c r="B178" s="12" t="s">
        <v>174</v>
      </c>
      <c r="C178" s="12" t="s">
        <v>174</v>
      </c>
      <c r="D178" s="12" t="s">
        <v>174</v>
      </c>
      <c r="E178" s="12" t="s">
        <v>174</v>
      </c>
    </row>
    <row r="179" s="29" customFormat="1" ht="68" spans="2:5">
      <c r="B179" s="13" t="s">
        <v>393</v>
      </c>
      <c r="C179" s="13" t="s">
        <v>393</v>
      </c>
      <c r="D179" s="13" t="s">
        <v>393</v>
      </c>
      <c r="E179" s="13" t="s">
        <v>393</v>
      </c>
    </row>
    <row r="180" s="29" customFormat="1" ht="22" spans="2:5">
      <c r="B180" s="14" t="s">
        <v>176</v>
      </c>
      <c r="C180" s="14" t="s">
        <v>176</v>
      </c>
      <c r="D180" s="14" t="s">
        <v>176</v>
      </c>
      <c r="E180" s="14" t="s">
        <v>176</v>
      </c>
    </row>
    <row r="181" s="29" customFormat="1" spans="2:5">
      <c r="B181" s="15" t="s">
        <v>177</v>
      </c>
      <c r="C181" s="16" t="s">
        <v>178</v>
      </c>
      <c r="D181" s="17" t="s">
        <v>179</v>
      </c>
      <c r="E181" s="18" t="s">
        <v>180</v>
      </c>
    </row>
    <row r="182" s="29" customFormat="1" ht="41" spans="2:5">
      <c r="B182" s="19" t="s">
        <v>221</v>
      </c>
      <c r="C182" s="20" t="s">
        <v>182</v>
      </c>
      <c r="D182" s="21">
        <v>12</v>
      </c>
      <c r="E182" s="22">
        <v>895138.540545</v>
      </c>
    </row>
    <row r="183" s="29" customFormat="1" ht="28" spans="2:5">
      <c r="B183" s="19" t="s">
        <v>221</v>
      </c>
      <c r="C183" s="16" t="s">
        <v>183</v>
      </c>
      <c r="D183" s="23">
        <v>12</v>
      </c>
      <c r="E183" s="24">
        <v>895138.540545</v>
      </c>
    </row>
    <row r="184" s="29" customFormat="1" ht="41" spans="2:5">
      <c r="B184" s="19" t="s">
        <v>420</v>
      </c>
      <c r="C184" s="20" t="s">
        <v>182</v>
      </c>
      <c r="D184" s="21">
        <v>1</v>
      </c>
      <c r="E184" s="22">
        <v>109910.117117</v>
      </c>
    </row>
    <row r="185" s="29" customFormat="1" ht="28" spans="2:5">
      <c r="B185" s="19" t="s">
        <v>420</v>
      </c>
      <c r="C185" s="16" t="s">
        <v>183</v>
      </c>
      <c r="D185" s="23">
        <v>1</v>
      </c>
      <c r="E185" s="24">
        <v>109910.117117</v>
      </c>
    </row>
    <row r="186" s="29" customFormat="1" ht="41" spans="2:5">
      <c r="B186" s="19" t="s">
        <v>222</v>
      </c>
      <c r="C186" s="20" t="s">
        <v>182</v>
      </c>
      <c r="D186" s="21">
        <v>9</v>
      </c>
      <c r="E186" s="22">
        <v>709414.18018</v>
      </c>
    </row>
    <row r="187" s="29" customFormat="1" ht="28" spans="2:5">
      <c r="B187" s="19" t="s">
        <v>222</v>
      </c>
      <c r="C187" s="16" t="s">
        <v>183</v>
      </c>
      <c r="D187" s="23">
        <v>9</v>
      </c>
      <c r="E187" s="24">
        <v>709414.18018</v>
      </c>
    </row>
    <row r="188" s="29" customFormat="1" ht="41" spans="2:5">
      <c r="B188" s="19" t="s">
        <v>223</v>
      </c>
      <c r="C188" s="20" t="s">
        <v>182</v>
      </c>
      <c r="D188" s="21">
        <v>3</v>
      </c>
      <c r="E188" s="22">
        <v>267567.567567</v>
      </c>
    </row>
    <row r="189" s="29" customFormat="1" ht="28" spans="2:5">
      <c r="B189" s="19" t="s">
        <v>223</v>
      </c>
      <c r="C189" s="16" t="s">
        <v>183</v>
      </c>
      <c r="D189" s="23">
        <v>3</v>
      </c>
      <c r="E189" s="24">
        <v>267567.567567</v>
      </c>
    </row>
    <row r="190" s="29" customFormat="1" ht="41" spans="2:5">
      <c r="B190" s="19" t="s">
        <v>224</v>
      </c>
      <c r="C190" s="20" t="s">
        <v>182</v>
      </c>
      <c r="D190" s="21">
        <v>2</v>
      </c>
      <c r="E190" s="22">
        <v>194594.297297</v>
      </c>
    </row>
    <row r="191" s="29" customFormat="1" ht="28" spans="2:5">
      <c r="B191" s="19" t="s">
        <v>224</v>
      </c>
      <c r="C191" s="16" t="s">
        <v>183</v>
      </c>
      <c r="D191" s="23">
        <v>2</v>
      </c>
      <c r="E191" s="24">
        <v>194594.297297</v>
      </c>
    </row>
    <row r="192" s="29" customFormat="1" ht="41" spans="2:5">
      <c r="B192" s="19" t="s">
        <v>227</v>
      </c>
      <c r="C192" s="20" t="s">
        <v>182</v>
      </c>
      <c r="D192" s="21">
        <v>2</v>
      </c>
      <c r="E192" s="22">
        <v>178378.378378</v>
      </c>
    </row>
    <row r="193" s="29" customFormat="1" ht="28.75" spans="2:5">
      <c r="B193" s="19" t="s">
        <v>227</v>
      </c>
      <c r="C193" s="16" t="s">
        <v>183</v>
      </c>
      <c r="D193" s="23">
        <v>2</v>
      </c>
      <c r="E193" s="24">
        <v>178378.378378</v>
      </c>
    </row>
    <row r="194" s="29" customFormat="1" spans="2:5">
      <c r="B194" s="25"/>
      <c r="C194" s="25"/>
      <c r="D194" s="25"/>
      <c r="E194" s="25"/>
    </row>
    <row r="195" s="29" customFormat="1" ht="36" spans="2:5">
      <c r="B195" s="26" t="s">
        <v>189</v>
      </c>
      <c r="C195" s="26" t="s">
        <v>189</v>
      </c>
      <c r="D195" s="26" t="s">
        <v>189</v>
      </c>
      <c r="E195" s="26" t="s">
        <v>189</v>
      </c>
    </row>
    <row r="196" s="29" customFormat="1" spans="2:5">
      <c r="B196" s="26"/>
      <c r="C196" s="26"/>
      <c r="D196" s="26"/>
      <c r="E196" s="26"/>
    </row>
    <row r="197" s="29" customFormat="1" ht="36" spans="2:5">
      <c r="B197" s="26" t="s">
        <v>400</v>
      </c>
      <c r="C197" s="26" t="s">
        <v>400</v>
      </c>
      <c r="D197" s="26" t="s">
        <v>400</v>
      </c>
      <c r="E197" s="26" t="s">
        <v>400</v>
      </c>
    </row>
    <row r="198" s="29" customFormat="1" spans="2:5">
      <c r="B198" s="26" t="s">
        <v>247</v>
      </c>
      <c r="C198" s="26" t="s">
        <v>247</v>
      </c>
      <c r="D198" s="26" t="s">
        <v>247</v>
      </c>
      <c r="E198" s="26" t="s">
        <v>247</v>
      </c>
    </row>
    <row r="199" s="29" customFormat="1" ht="124" spans="2:5">
      <c r="B199" s="11" t="s">
        <v>173</v>
      </c>
      <c r="C199" s="11" t="s">
        <v>173</v>
      </c>
      <c r="D199" s="11" t="s">
        <v>173</v>
      </c>
      <c r="E199" s="11" t="s">
        <v>173</v>
      </c>
    </row>
    <row r="200" s="29" customFormat="1" ht="156" spans="2:5">
      <c r="B200" s="12" t="s">
        <v>174</v>
      </c>
      <c r="C200" s="12" t="s">
        <v>174</v>
      </c>
      <c r="D200" s="12" t="s">
        <v>174</v>
      </c>
      <c r="E200" s="12" t="s">
        <v>174</v>
      </c>
    </row>
    <row r="201" s="29" customFormat="1" ht="68" spans="2:5">
      <c r="B201" s="13" t="s">
        <v>393</v>
      </c>
      <c r="C201" s="13" t="s">
        <v>393</v>
      </c>
      <c r="D201" s="13" t="s">
        <v>393</v>
      </c>
      <c r="E201" s="13" t="s">
        <v>393</v>
      </c>
    </row>
    <row r="202" s="29" customFormat="1" ht="22" spans="2:5">
      <c r="B202" s="14" t="s">
        <v>176</v>
      </c>
      <c r="C202" s="14" t="s">
        <v>176</v>
      </c>
      <c r="D202" s="14" t="s">
        <v>176</v>
      </c>
      <c r="E202" s="14" t="s">
        <v>176</v>
      </c>
    </row>
    <row r="203" s="29" customFormat="1" spans="2:5">
      <c r="B203" s="15" t="s">
        <v>177</v>
      </c>
      <c r="C203" s="16" t="s">
        <v>178</v>
      </c>
      <c r="D203" s="17" t="s">
        <v>179</v>
      </c>
      <c r="E203" s="18" t="s">
        <v>180</v>
      </c>
    </row>
    <row r="204" s="29" customFormat="1" ht="41" spans="2:5">
      <c r="B204" s="19" t="s">
        <v>239</v>
      </c>
      <c r="C204" s="20" t="s">
        <v>182</v>
      </c>
      <c r="D204" s="21">
        <v>4</v>
      </c>
      <c r="E204" s="22">
        <v>7760720.882883</v>
      </c>
    </row>
    <row r="205" s="29" customFormat="1" ht="28" spans="2:5">
      <c r="B205" s="19" t="s">
        <v>239</v>
      </c>
      <c r="C205" s="16" t="s">
        <v>183</v>
      </c>
      <c r="D205" s="23">
        <v>4</v>
      </c>
      <c r="E205" s="24">
        <v>7760720.882883</v>
      </c>
    </row>
    <row r="206" s="29" customFormat="1" ht="41" spans="2:5">
      <c r="B206" s="19" t="s">
        <v>270</v>
      </c>
      <c r="C206" s="20" t="s">
        <v>182</v>
      </c>
      <c r="D206" s="21">
        <v>2</v>
      </c>
      <c r="E206" s="22">
        <v>2990000.495496</v>
      </c>
    </row>
    <row r="207" s="29" customFormat="1" ht="28" spans="2:5">
      <c r="B207" s="19" t="s">
        <v>270</v>
      </c>
      <c r="C207" s="16" t="s">
        <v>183</v>
      </c>
      <c r="D207" s="23">
        <v>2</v>
      </c>
      <c r="E207" s="24">
        <v>2990000.495496</v>
      </c>
    </row>
    <row r="208" s="29" customFormat="1" ht="41" spans="2:5">
      <c r="B208" s="19" t="s">
        <v>272</v>
      </c>
      <c r="C208" s="20" t="s">
        <v>182</v>
      </c>
      <c r="D208" s="21">
        <v>27</v>
      </c>
      <c r="E208" s="22">
        <v>1088557.648648</v>
      </c>
    </row>
    <row r="209" s="29" customFormat="1" ht="28" spans="2:5">
      <c r="B209" s="19" t="s">
        <v>272</v>
      </c>
      <c r="C209" s="16" t="s">
        <v>183</v>
      </c>
      <c r="D209" s="23">
        <v>27</v>
      </c>
      <c r="E209" s="24">
        <v>1088557.648648</v>
      </c>
    </row>
    <row r="210" s="29" customFormat="1" ht="41" spans="2:5">
      <c r="B210" s="19" t="s">
        <v>421</v>
      </c>
      <c r="C210" s="20" t="s">
        <v>182</v>
      </c>
      <c r="D210" s="21">
        <v>18</v>
      </c>
      <c r="E210" s="22">
        <v>420000.153155</v>
      </c>
    </row>
    <row r="211" s="29" customFormat="1" ht="28" spans="2:5">
      <c r="B211" s="19" t="s">
        <v>421</v>
      </c>
      <c r="C211" s="16" t="s">
        <v>183</v>
      </c>
      <c r="D211" s="23">
        <v>18</v>
      </c>
      <c r="E211" s="24">
        <v>420000.153155</v>
      </c>
    </row>
    <row r="212" s="29" customFormat="1" ht="41" spans="2:5">
      <c r="B212" s="19" t="s">
        <v>273</v>
      </c>
      <c r="C212" s="20" t="s">
        <v>182</v>
      </c>
      <c r="D212" s="21">
        <v>7</v>
      </c>
      <c r="E212" s="22">
        <v>313495.495495</v>
      </c>
    </row>
    <row r="213" s="29" customFormat="1" ht="28" spans="2:5">
      <c r="B213" s="19" t="s">
        <v>273</v>
      </c>
      <c r="C213" s="16" t="s">
        <v>183</v>
      </c>
      <c r="D213" s="23">
        <v>7</v>
      </c>
      <c r="E213" s="24">
        <v>313495.495495</v>
      </c>
    </row>
    <row r="214" s="29" customFormat="1" ht="41" spans="2:5">
      <c r="B214" s="19" t="s">
        <v>274</v>
      </c>
      <c r="C214" s="20" t="s">
        <v>182</v>
      </c>
      <c r="D214" s="21">
        <v>18</v>
      </c>
      <c r="E214" s="22">
        <v>0</v>
      </c>
    </row>
    <row r="215" s="29" customFormat="1" ht="28.75" spans="2:5">
      <c r="B215" s="19" t="s">
        <v>274</v>
      </c>
      <c r="C215" s="16" t="s">
        <v>183</v>
      </c>
      <c r="D215" s="23">
        <v>18</v>
      </c>
      <c r="E215" s="24">
        <v>0</v>
      </c>
    </row>
    <row r="216" s="29" customFormat="1" spans="2:5">
      <c r="B216" s="25"/>
      <c r="C216" s="25"/>
      <c r="D216" s="25"/>
      <c r="E216" s="25"/>
    </row>
    <row r="217" s="29" customFormat="1" ht="36" spans="2:5">
      <c r="B217" s="26" t="s">
        <v>189</v>
      </c>
      <c r="C217" s="26" t="s">
        <v>189</v>
      </c>
      <c r="D217" s="26" t="s">
        <v>189</v>
      </c>
      <c r="E217" s="26" t="s">
        <v>189</v>
      </c>
    </row>
    <row r="218" s="29" customFormat="1" spans="2:5">
      <c r="B218" s="26"/>
      <c r="C218" s="26"/>
      <c r="D218" s="26"/>
      <c r="E218" s="26"/>
    </row>
    <row r="219" s="29" customFormat="1" ht="36" spans="2:5">
      <c r="B219" s="26" t="s">
        <v>400</v>
      </c>
      <c r="C219" s="26" t="s">
        <v>400</v>
      </c>
      <c r="D219" s="26" t="s">
        <v>400</v>
      </c>
      <c r="E219" s="26" t="s">
        <v>400</v>
      </c>
    </row>
    <row r="220" s="29" customFormat="1" spans="2:5">
      <c r="B220" s="26" t="s">
        <v>254</v>
      </c>
      <c r="C220" s="26" t="s">
        <v>254</v>
      </c>
      <c r="D220" s="26" t="s">
        <v>254</v>
      </c>
      <c r="E220" s="26" t="s">
        <v>254</v>
      </c>
    </row>
    <row r="221" s="29" customFormat="1" ht="124" spans="2:5">
      <c r="B221" s="11" t="s">
        <v>173</v>
      </c>
      <c r="C221" s="11" t="s">
        <v>173</v>
      </c>
      <c r="D221" s="11" t="s">
        <v>173</v>
      </c>
      <c r="E221" s="11" t="s">
        <v>173</v>
      </c>
    </row>
    <row r="222" s="29" customFormat="1" ht="156" spans="2:5">
      <c r="B222" s="12" t="s">
        <v>174</v>
      </c>
      <c r="C222" s="12" t="s">
        <v>174</v>
      </c>
      <c r="D222" s="12" t="s">
        <v>174</v>
      </c>
      <c r="E222" s="12" t="s">
        <v>174</v>
      </c>
    </row>
    <row r="223" s="29" customFormat="1" ht="68" spans="2:5">
      <c r="B223" s="13" t="s">
        <v>393</v>
      </c>
      <c r="C223" s="13" t="s">
        <v>393</v>
      </c>
      <c r="D223" s="13" t="s">
        <v>393</v>
      </c>
      <c r="E223" s="13" t="s">
        <v>393</v>
      </c>
    </row>
    <row r="224" s="29" customFormat="1" ht="22" spans="2:5">
      <c r="B224" s="14" t="s">
        <v>176</v>
      </c>
      <c r="C224" s="14" t="s">
        <v>176</v>
      </c>
      <c r="D224" s="14" t="s">
        <v>176</v>
      </c>
      <c r="E224" s="14" t="s">
        <v>176</v>
      </c>
    </row>
    <row r="225" s="29" customFormat="1" spans="2:5">
      <c r="B225" s="15" t="s">
        <v>177</v>
      </c>
      <c r="C225" s="16" t="s">
        <v>178</v>
      </c>
      <c r="D225" s="17" t="s">
        <v>179</v>
      </c>
      <c r="E225" s="18" t="s">
        <v>180</v>
      </c>
    </row>
    <row r="226" s="29" customFormat="1" ht="41" spans="2:5">
      <c r="B226" s="19" t="s">
        <v>367</v>
      </c>
      <c r="C226" s="20" t="s">
        <v>182</v>
      </c>
      <c r="D226" s="21">
        <v>3</v>
      </c>
      <c r="E226" s="22">
        <v>398198</v>
      </c>
    </row>
    <row r="227" s="29" customFormat="1" ht="28" spans="2:5">
      <c r="B227" s="19" t="s">
        <v>367</v>
      </c>
      <c r="C227" s="16" t="s">
        <v>183</v>
      </c>
      <c r="D227" s="23">
        <v>3</v>
      </c>
      <c r="E227" s="24">
        <v>398198</v>
      </c>
    </row>
    <row r="228" s="29" customFormat="1" ht="41" spans="2:5">
      <c r="B228" s="19" t="s">
        <v>422</v>
      </c>
      <c r="C228" s="20" t="s">
        <v>182</v>
      </c>
      <c r="D228" s="21">
        <v>1</v>
      </c>
      <c r="E228" s="22">
        <v>0</v>
      </c>
    </row>
    <row r="229" s="29" customFormat="1" ht="28" spans="2:5">
      <c r="B229" s="19" t="s">
        <v>422</v>
      </c>
      <c r="C229" s="16" t="s">
        <v>183</v>
      </c>
      <c r="D229" s="23">
        <v>1</v>
      </c>
      <c r="E229" s="24">
        <v>0</v>
      </c>
    </row>
    <row r="230" s="29" customFormat="1" ht="41" spans="2:5">
      <c r="B230" s="19" t="s">
        <v>423</v>
      </c>
      <c r="C230" s="20" t="s">
        <v>182</v>
      </c>
      <c r="D230" s="21">
        <v>2</v>
      </c>
      <c r="E230" s="22">
        <v>0</v>
      </c>
    </row>
    <row r="231" s="29" customFormat="1" ht="28" spans="2:5">
      <c r="B231" s="19" t="s">
        <v>423</v>
      </c>
      <c r="C231" s="16" t="s">
        <v>183</v>
      </c>
      <c r="D231" s="23">
        <v>2</v>
      </c>
      <c r="E231" s="24">
        <v>0</v>
      </c>
    </row>
    <row r="232" s="29" customFormat="1" ht="41" spans="2:5">
      <c r="B232" s="19" t="s">
        <v>424</v>
      </c>
      <c r="C232" s="20" t="s">
        <v>182</v>
      </c>
      <c r="D232" s="21">
        <v>3</v>
      </c>
      <c r="E232" s="22">
        <v>0</v>
      </c>
    </row>
    <row r="233" s="29" customFormat="1" ht="28" spans="2:5">
      <c r="B233" s="19" t="s">
        <v>424</v>
      </c>
      <c r="C233" s="16" t="s">
        <v>183</v>
      </c>
      <c r="D233" s="23">
        <v>3</v>
      </c>
      <c r="E233" s="24">
        <v>0</v>
      </c>
    </row>
    <row r="234" s="29" customFormat="1" ht="41" spans="2:5">
      <c r="B234" s="19" t="s">
        <v>425</v>
      </c>
      <c r="C234" s="20" t="s">
        <v>182</v>
      </c>
      <c r="D234" s="21">
        <v>1</v>
      </c>
      <c r="E234" s="22">
        <v>0</v>
      </c>
    </row>
    <row r="235" s="29" customFormat="1" spans="2:5">
      <c r="B235" s="19" t="s">
        <v>425</v>
      </c>
      <c r="C235" s="16" t="s">
        <v>183</v>
      </c>
      <c r="D235" s="23">
        <v>1</v>
      </c>
      <c r="E235" s="24">
        <v>0</v>
      </c>
    </row>
    <row r="236" s="29" customFormat="1" ht="41" spans="2:5">
      <c r="B236" s="19" t="s">
        <v>426</v>
      </c>
      <c r="C236" s="20" t="s">
        <v>182</v>
      </c>
      <c r="D236" s="21">
        <v>20</v>
      </c>
      <c r="E236" s="22">
        <v>0</v>
      </c>
    </row>
    <row r="237" s="29" customFormat="1" ht="17.55" spans="2:5">
      <c r="B237" s="19" t="s">
        <v>426</v>
      </c>
      <c r="C237" s="16" t="s">
        <v>183</v>
      </c>
      <c r="D237" s="23">
        <v>20</v>
      </c>
      <c r="E237" s="24">
        <v>0</v>
      </c>
    </row>
    <row r="238" s="29" customFormat="1" spans="2:5">
      <c r="B238" s="25"/>
      <c r="C238" s="25"/>
      <c r="D238" s="25"/>
      <c r="E238" s="25"/>
    </row>
    <row r="239" s="29" customFormat="1" ht="36" spans="2:5">
      <c r="B239" s="26" t="s">
        <v>189</v>
      </c>
      <c r="C239" s="26" t="s">
        <v>189</v>
      </c>
      <c r="D239" s="26" t="s">
        <v>189</v>
      </c>
      <c r="E239" s="26" t="s">
        <v>189</v>
      </c>
    </row>
    <row r="240" s="29" customFormat="1" spans="2:5">
      <c r="B240" s="26"/>
      <c r="C240" s="26"/>
      <c r="D240" s="26"/>
      <c r="E240" s="26"/>
    </row>
    <row r="241" s="29" customFormat="1" ht="36" spans="2:5">
      <c r="B241" s="26" t="s">
        <v>400</v>
      </c>
      <c r="C241" s="26" t="s">
        <v>400</v>
      </c>
      <c r="D241" s="26" t="s">
        <v>400</v>
      </c>
      <c r="E241" s="26" t="s">
        <v>400</v>
      </c>
    </row>
    <row r="242" s="29" customFormat="1" spans="2:5">
      <c r="B242" s="26" t="s">
        <v>261</v>
      </c>
      <c r="C242" s="26" t="s">
        <v>261</v>
      </c>
      <c r="D242" s="26" t="s">
        <v>261</v>
      </c>
      <c r="E242" s="26" t="s">
        <v>261</v>
      </c>
    </row>
    <row r="243" s="29" customFormat="1" ht="124" spans="2:5">
      <c r="B243" s="11" t="s">
        <v>173</v>
      </c>
      <c r="C243" s="11" t="s">
        <v>173</v>
      </c>
      <c r="D243" s="11" t="s">
        <v>173</v>
      </c>
      <c r="E243" s="11" t="s">
        <v>173</v>
      </c>
    </row>
    <row r="244" s="29" customFormat="1" ht="156" spans="2:5">
      <c r="B244" s="12" t="s">
        <v>174</v>
      </c>
      <c r="C244" s="12" t="s">
        <v>174</v>
      </c>
      <c r="D244" s="12" t="s">
        <v>174</v>
      </c>
      <c r="E244" s="12" t="s">
        <v>174</v>
      </c>
    </row>
    <row r="245" s="29" customFormat="1" ht="68" spans="2:5">
      <c r="B245" s="13" t="s">
        <v>393</v>
      </c>
      <c r="C245" s="13" t="s">
        <v>393</v>
      </c>
      <c r="D245" s="13" t="s">
        <v>393</v>
      </c>
      <c r="E245" s="13" t="s">
        <v>393</v>
      </c>
    </row>
    <row r="246" s="29" customFormat="1" ht="22" spans="2:5">
      <c r="B246" s="14" t="s">
        <v>176</v>
      </c>
      <c r="C246" s="14" t="s">
        <v>176</v>
      </c>
      <c r="D246" s="14" t="s">
        <v>176</v>
      </c>
      <c r="E246" s="14" t="s">
        <v>176</v>
      </c>
    </row>
    <row r="247" s="29" customFormat="1" spans="2:5">
      <c r="B247" s="15" t="s">
        <v>177</v>
      </c>
      <c r="C247" s="16" t="s">
        <v>178</v>
      </c>
      <c r="D247" s="17" t="s">
        <v>179</v>
      </c>
      <c r="E247" s="18" t="s">
        <v>180</v>
      </c>
    </row>
    <row r="248" s="29" customFormat="1" ht="41" spans="2:5">
      <c r="B248" s="19" t="s">
        <v>427</v>
      </c>
      <c r="C248" s="20" t="s">
        <v>182</v>
      </c>
      <c r="D248" s="21">
        <v>8</v>
      </c>
      <c r="E248" s="22">
        <v>0</v>
      </c>
    </row>
    <row r="249" s="29" customFormat="1" spans="2:5">
      <c r="B249" s="19" t="s">
        <v>427</v>
      </c>
      <c r="C249" s="16" t="s">
        <v>183</v>
      </c>
      <c r="D249" s="23">
        <v>8</v>
      </c>
      <c r="E249" s="24">
        <v>0</v>
      </c>
    </row>
    <row r="250" s="29" customFormat="1" ht="41" spans="2:5">
      <c r="B250" s="19" t="s">
        <v>428</v>
      </c>
      <c r="C250" s="20" t="s">
        <v>182</v>
      </c>
      <c r="D250" s="21">
        <v>2</v>
      </c>
      <c r="E250" s="22">
        <v>0</v>
      </c>
    </row>
    <row r="251" s="29" customFormat="1" spans="2:5">
      <c r="B251" s="19" t="s">
        <v>428</v>
      </c>
      <c r="C251" s="16" t="s">
        <v>183</v>
      </c>
      <c r="D251" s="23">
        <v>2</v>
      </c>
      <c r="E251" s="24">
        <v>0</v>
      </c>
    </row>
    <row r="252" s="29" customFormat="1" ht="41" spans="2:5">
      <c r="B252" s="19" t="s">
        <v>429</v>
      </c>
      <c r="C252" s="20" t="s">
        <v>182</v>
      </c>
      <c r="D252" s="21">
        <v>16</v>
      </c>
      <c r="E252" s="22">
        <v>0</v>
      </c>
    </row>
    <row r="253" s="29" customFormat="1" spans="2:5">
      <c r="B253" s="19" t="s">
        <v>429</v>
      </c>
      <c r="C253" s="16" t="s">
        <v>183</v>
      </c>
      <c r="D253" s="23">
        <v>16</v>
      </c>
      <c r="E253" s="24">
        <v>0</v>
      </c>
    </row>
    <row r="254" s="29" customFormat="1" ht="41" spans="2:5">
      <c r="B254" s="19" t="s">
        <v>430</v>
      </c>
      <c r="C254" s="20" t="s">
        <v>182</v>
      </c>
      <c r="D254" s="21">
        <v>2</v>
      </c>
      <c r="E254" s="22">
        <v>0</v>
      </c>
    </row>
    <row r="255" s="29" customFormat="1" spans="2:5">
      <c r="B255" s="19" t="s">
        <v>430</v>
      </c>
      <c r="C255" s="16" t="s">
        <v>183</v>
      </c>
      <c r="D255" s="23">
        <v>2</v>
      </c>
      <c r="E255" s="24">
        <v>0</v>
      </c>
    </row>
    <row r="256" s="29" customFormat="1" ht="41" spans="2:5">
      <c r="B256" s="19" t="s">
        <v>431</v>
      </c>
      <c r="C256" s="20" t="s">
        <v>182</v>
      </c>
      <c r="D256" s="21">
        <v>2</v>
      </c>
      <c r="E256" s="22">
        <v>0</v>
      </c>
    </row>
    <row r="257" s="29" customFormat="1" spans="2:5">
      <c r="B257" s="19" t="s">
        <v>431</v>
      </c>
      <c r="C257" s="16" t="s">
        <v>183</v>
      </c>
      <c r="D257" s="23">
        <v>2</v>
      </c>
      <c r="E257" s="24">
        <v>0</v>
      </c>
    </row>
    <row r="258" s="29" customFormat="1" ht="41" spans="2:5">
      <c r="B258" s="19" t="s">
        <v>432</v>
      </c>
      <c r="C258" s="20" t="s">
        <v>182</v>
      </c>
      <c r="D258" s="21">
        <v>1</v>
      </c>
      <c r="E258" s="22">
        <v>0</v>
      </c>
    </row>
    <row r="259" s="29" customFormat="1" ht="17.55" spans="2:5">
      <c r="B259" s="19" t="s">
        <v>432</v>
      </c>
      <c r="C259" s="16" t="s">
        <v>183</v>
      </c>
      <c r="D259" s="23">
        <v>1</v>
      </c>
      <c r="E259" s="24">
        <v>0</v>
      </c>
    </row>
    <row r="260" s="29" customFormat="1" spans="2:5">
      <c r="B260" s="25"/>
      <c r="C260" s="25"/>
      <c r="D260" s="25"/>
      <c r="E260" s="25"/>
    </row>
    <row r="261" s="29" customFormat="1" ht="36" spans="2:5">
      <c r="B261" s="26" t="s">
        <v>189</v>
      </c>
      <c r="C261" s="26" t="s">
        <v>189</v>
      </c>
      <c r="D261" s="26" t="s">
        <v>189</v>
      </c>
      <c r="E261" s="26" t="s">
        <v>189</v>
      </c>
    </row>
    <row r="262" s="29" customFormat="1" spans="2:5">
      <c r="B262" s="26"/>
      <c r="C262" s="26"/>
      <c r="D262" s="26"/>
      <c r="E262" s="26"/>
    </row>
    <row r="263" s="29" customFormat="1" ht="36" spans="2:5">
      <c r="B263" s="26" t="s">
        <v>400</v>
      </c>
      <c r="C263" s="26" t="s">
        <v>400</v>
      </c>
      <c r="D263" s="26" t="s">
        <v>400</v>
      </c>
      <c r="E263" s="26" t="s">
        <v>400</v>
      </c>
    </row>
    <row r="264" s="29" customFormat="1" spans="2:5">
      <c r="B264" s="26" t="s">
        <v>268</v>
      </c>
      <c r="C264" s="26" t="s">
        <v>268</v>
      </c>
      <c r="D264" s="26" t="s">
        <v>268</v>
      </c>
      <c r="E264" s="26" t="s">
        <v>268</v>
      </c>
    </row>
    <row r="265" s="29" customFormat="1" ht="124" spans="2:5">
      <c r="B265" s="11" t="s">
        <v>173</v>
      </c>
      <c r="C265" s="11" t="s">
        <v>173</v>
      </c>
      <c r="D265" s="11" t="s">
        <v>173</v>
      </c>
      <c r="E265" s="11" t="s">
        <v>173</v>
      </c>
    </row>
    <row r="266" s="29" customFormat="1" ht="156" spans="2:5">
      <c r="B266" s="12" t="s">
        <v>174</v>
      </c>
      <c r="C266" s="12" t="s">
        <v>174</v>
      </c>
      <c r="D266" s="12" t="s">
        <v>174</v>
      </c>
      <c r="E266" s="12" t="s">
        <v>174</v>
      </c>
    </row>
    <row r="267" s="29" customFormat="1" ht="68" spans="2:5">
      <c r="B267" s="13" t="s">
        <v>393</v>
      </c>
      <c r="C267" s="13" t="s">
        <v>393</v>
      </c>
      <c r="D267" s="13" t="s">
        <v>393</v>
      </c>
      <c r="E267" s="13" t="s">
        <v>393</v>
      </c>
    </row>
    <row r="268" s="29" customFormat="1" ht="22" spans="2:5">
      <c r="B268" s="14" t="s">
        <v>176</v>
      </c>
      <c r="C268" s="14" t="s">
        <v>176</v>
      </c>
      <c r="D268" s="14" t="s">
        <v>176</v>
      </c>
      <c r="E268" s="14" t="s">
        <v>176</v>
      </c>
    </row>
    <row r="269" s="29" customFormat="1" spans="2:5">
      <c r="B269" s="15" t="s">
        <v>177</v>
      </c>
      <c r="C269" s="16" t="s">
        <v>178</v>
      </c>
      <c r="D269" s="17" t="s">
        <v>179</v>
      </c>
      <c r="E269" s="18" t="s">
        <v>180</v>
      </c>
    </row>
    <row r="270" s="29" customFormat="1" ht="41" spans="2:5">
      <c r="B270" s="19" t="s">
        <v>433</v>
      </c>
      <c r="C270" s="20" t="s">
        <v>182</v>
      </c>
      <c r="D270" s="21">
        <v>2</v>
      </c>
      <c r="E270" s="22">
        <v>112612.612613</v>
      </c>
    </row>
    <row r="271" s="29" customFormat="1" spans="2:5">
      <c r="B271" s="19" t="s">
        <v>433</v>
      </c>
      <c r="C271" s="16" t="s">
        <v>183</v>
      </c>
      <c r="D271" s="23">
        <v>2</v>
      </c>
      <c r="E271" s="24">
        <v>112612.612613</v>
      </c>
    </row>
    <row r="272" s="29" customFormat="1" ht="41" spans="2:5">
      <c r="B272" s="19" t="s">
        <v>434</v>
      </c>
      <c r="C272" s="20" t="s">
        <v>182</v>
      </c>
      <c r="D272" s="21">
        <v>26</v>
      </c>
      <c r="E272" s="22">
        <v>0</v>
      </c>
    </row>
    <row r="273" s="29" customFormat="1" spans="2:5">
      <c r="B273" s="19" t="s">
        <v>434</v>
      </c>
      <c r="C273" s="16" t="s">
        <v>183</v>
      </c>
      <c r="D273" s="23">
        <v>26</v>
      </c>
      <c r="E273" s="24">
        <v>0</v>
      </c>
    </row>
    <row r="274" s="29" customFormat="1" ht="41" spans="2:5">
      <c r="B274" s="19" t="s">
        <v>435</v>
      </c>
      <c r="C274" s="20" t="s">
        <v>182</v>
      </c>
      <c r="D274" s="21">
        <v>14</v>
      </c>
      <c r="E274" s="22">
        <v>0</v>
      </c>
    </row>
    <row r="275" s="29" customFormat="1" spans="2:5">
      <c r="B275" s="19" t="s">
        <v>435</v>
      </c>
      <c r="C275" s="16" t="s">
        <v>183</v>
      </c>
      <c r="D275" s="23">
        <v>14</v>
      </c>
      <c r="E275" s="24">
        <v>0</v>
      </c>
    </row>
    <row r="276" s="29" customFormat="1" ht="41" spans="2:5">
      <c r="B276" s="19" t="s">
        <v>436</v>
      </c>
      <c r="C276" s="20" t="s">
        <v>182</v>
      </c>
      <c r="D276" s="21">
        <v>10</v>
      </c>
      <c r="E276" s="22">
        <v>0</v>
      </c>
    </row>
    <row r="277" s="29" customFormat="1" spans="2:5">
      <c r="B277" s="19" t="s">
        <v>436</v>
      </c>
      <c r="C277" s="16" t="s">
        <v>183</v>
      </c>
      <c r="D277" s="23">
        <v>10</v>
      </c>
      <c r="E277" s="24">
        <v>0</v>
      </c>
    </row>
    <row r="278" s="29" customFormat="1" ht="41" spans="2:5">
      <c r="B278" s="19" t="s">
        <v>437</v>
      </c>
      <c r="C278" s="20" t="s">
        <v>182</v>
      </c>
      <c r="D278" s="21">
        <v>2</v>
      </c>
      <c r="E278" s="22">
        <v>0</v>
      </c>
    </row>
    <row r="279" s="29" customFormat="1" spans="2:5">
      <c r="B279" s="19" t="s">
        <v>437</v>
      </c>
      <c r="C279" s="16" t="s">
        <v>183</v>
      </c>
      <c r="D279" s="23">
        <v>2</v>
      </c>
      <c r="E279" s="24">
        <v>0</v>
      </c>
    </row>
    <row r="280" s="29" customFormat="1" ht="41" spans="2:5">
      <c r="B280" s="19" t="s">
        <v>438</v>
      </c>
      <c r="C280" s="20" t="s">
        <v>182</v>
      </c>
      <c r="D280" s="21">
        <v>4</v>
      </c>
      <c r="E280" s="22">
        <v>0</v>
      </c>
    </row>
    <row r="281" s="29" customFormat="1" ht="17.55" spans="2:5">
      <c r="B281" s="19" t="s">
        <v>438</v>
      </c>
      <c r="C281" s="16" t="s">
        <v>183</v>
      </c>
      <c r="D281" s="23">
        <v>4</v>
      </c>
      <c r="E281" s="24">
        <v>0</v>
      </c>
    </row>
    <row r="282" s="29" customFormat="1" spans="2:5">
      <c r="B282" s="25"/>
      <c r="C282" s="25"/>
      <c r="D282" s="25"/>
      <c r="E282" s="25"/>
    </row>
    <row r="283" s="29" customFormat="1" ht="36" spans="2:5">
      <c r="B283" s="26" t="s">
        <v>189</v>
      </c>
      <c r="C283" s="26" t="s">
        <v>189</v>
      </c>
      <c r="D283" s="26" t="s">
        <v>189</v>
      </c>
      <c r="E283" s="26" t="s">
        <v>189</v>
      </c>
    </row>
    <row r="284" s="29" customFormat="1" spans="2:5">
      <c r="B284" s="26"/>
      <c r="C284" s="26"/>
      <c r="D284" s="26"/>
      <c r="E284" s="26"/>
    </row>
    <row r="285" s="29" customFormat="1" ht="36" spans="2:5">
      <c r="B285" s="26" t="s">
        <v>400</v>
      </c>
      <c r="C285" s="26" t="s">
        <v>400</v>
      </c>
      <c r="D285" s="26" t="s">
        <v>400</v>
      </c>
      <c r="E285" s="26" t="s">
        <v>400</v>
      </c>
    </row>
    <row r="286" s="29" customFormat="1" spans="2:5">
      <c r="B286" s="26" t="s">
        <v>275</v>
      </c>
      <c r="C286" s="26" t="s">
        <v>275</v>
      </c>
      <c r="D286" s="26" t="s">
        <v>275</v>
      </c>
      <c r="E286" s="26" t="s">
        <v>275</v>
      </c>
    </row>
    <row r="287" s="29" customFormat="1" ht="124" spans="2:5">
      <c r="B287" s="11" t="s">
        <v>173</v>
      </c>
      <c r="C287" s="11" t="s">
        <v>173</v>
      </c>
      <c r="D287" s="11" t="s">
        <v>173</v>
      </c>
      <c r="E287" s="11" t="s">
        <v>173</v>
      </c>
    </row>
    <row r="288" s="29" customFormat="1" ht="156" spans="2:5">
      <c r="B288" s="12" t="s">
        <v>174</v>
      </c>
      <c r="C288" s="12" t="s">
        <v>174</v>
      </c>
      <c r="D288" s="12" t="s">
        <v>174</v>
      </c>
      <c r="E288" s="12" t="s">
        <v>174</v>
      </c>
    </row>
    <row r="289" s="29" customFormat="1" ht="68" spans="2:5">
      <c r="B289" s="13" t="s">
        <v>393</v>
      </c>
      <c r="C289" s="13" t="s">
        <v>393</v>
      </c>
      <c r="D289" s="13" t="s">
        <v>393</v>
      </c>
      <c r="E289" s="13" t="s">
        <v>393</v>
      </c>
    </row>
    <row r="290" s="29" customFormat="1" ht="22" spans="2:5">
      <c r="B290" s="14" t="s">
        <v>176</v>
      </c>
      <c r="C290" s="14" t="s">
        <v>176</v>
      </c>
      <c r="D290" s="14" t="s">
        <v>176</v>
      </c>
      <c r="E290" s="14" t="s">
        <v>176</v>
      </c>
    </row>
    <row r="291" s="29" customFormat="1" spans="2:5">
      <c r="B291" s="15" t="s">
        <v>177</v>
      </c>
      <c r="C291" s="16" t="s">
        <v>178</v>
      </c>
      <c r="D291" s="17" t="s">
        <v>179</v>
      </c>
      <c r="E291" s="18" t="s">
        <v>180</v>
      </c>
    </row>
    <row r="292" s="29" customFormat="1" ht="41" spans="2:5">
      <c r="B292" s="19" t="s">
        <v>439</v>
      </c>
      <c r="C292" s="20" t="s">
        <v>182</v>
      </c>
      <c r="D292" s="21">
        <v>2</v>
      </c>
      <c r="E292" s="22">
        <v>0</v>
      </c>
    </row>
    <row r="293" s="29" customFormat="1" spans="2:5">
      <c r="B293" s="19" t="s">
        <v>439</v>
      </c>
      <c r="C293" s="16" t="s">
        <v>183</v>
      </c>
      <c r="D293" s="23">
        <v>2</v>
      </c>
      <c r="E293" s="24">
        <v>0</v>
      </c>
    </row>
    <row r="294" s="29" customFormat="1" ht="41" spans="2:5">
      <c r="B294" s="19" t="s">
        <v>440</v>
      </c>
      <c r="C294" s="20" t="s">
        <v>182</v>
      </c>
      <c r="D294" s="21">
        <v>84</v>
      </c>
      <c r="E294" s="22">
        <v>0</v>
      </c>
    </row>
    <row r="295" s="29" customFormat="1" spans="2:5">
      <c r="B295" s="19" t="s">
        <v>440</v>
      </c>
      <c r="C295" s="16" t="s">
        <v>183</v>
      </c>
      <c r="D295" s="23">
        <v>84</v>
      </c>
      <c r="E295" s="24">
        <v>0</v>
      </c>
    </row>
    <row r="296" s="29" customFormat="1" ht="41" spans="2:5">
      <c r="B296" s="19" t="s">
        <v>441</v>
      </c>
      <c r="C296" s="20" t="s">
        <v>182</v>
      </c>
      <c r="D296" s="21">
        <v>2</v>
      </c>
      <c r="E296" s="22">
        <v>0</v>
      </c>
    </row>
    <row r="297" s="29" customFormat="1" spans="2:5">
      <c r="B297" s="19" t="s">
        <v>441</v>
      </c>
      <c r="C297" s="16" t="s">
        <v>183</v>
      </c>
      <c r="D297" s="23">
        <v>2</v>
      </c>
      <c r="E297" s="24">
        <v>0</v>
      </c>
    </row>
    <row r="298" s="29" customFormat="1" ht="41" spans="2:5">
      <c r="B298" s="19" t="s">
        <v>442</v>
      </c>
      <c r="C298" s="20" t="s">
        <v>182</v>
      </c>
      <c r="D298" s="21">
        <v>3</v>
      </c>
      <c r="E298" s="22">
        <v>0</v>
      </c>
    </row>
    <row r="299" s="29" customFormat="1" spans="2:5">
      <c r="B299" s="19" t="s">
        <v>442</v>
      </c>
      <c r="C299" s="16" t="s">
        <v>183</v>
      </c>
      <c r="D299" s="23">
        <v>3</v>
      </c>
      <c r="E299" s="24">
        <v>0</v>
      </c>
    </row>
    <row r="300" s="29" customFormat="1" ht="41" spans="2:5">
      <c r="B300" s="19" t="s">
        <v>443</v>
      </c>
      <c r="C300" s="20" t="s">
        <v>182</v>
      </c>
      <c r="D300" s="21">
        <v>5</v>
      </c>
      <c r="E300" s="22">
        <v>0</v>
      </c>
    </row>
    <row r="301" s="29" customFormat="1" spans="2:5">
      <c r="B301" s="19" t="s">
        <v>443</v>
      </c>
      <c r="C301" s="16" t="s">
        <v>183</v>
      </c>
      <c r="D301" s="23">
        <v>5</v>
      </c>
      <c r="E301" s="24">
        <v>0</v>
      </c>
    </row>
    <row r="302" s="29" customFormat="1" ht="41" spans="2:5">
      <c r="B302" s="19" t="s">
        <v>444</v>
      </c>
      <c r="C302" s="20" t="s">
        <v>182</v>
      </c>
      <c r="D302" s="21">
        <v>3</v>
      </c>
      <c r="E302" s="22">
        <v>0</v>
      </c>
    </row>
    <row r="303" s="29" customFormat="1" ht="17.55" spans="2:5">
      <c r="B303" s="19" t="s">
        <v>444</v>
      </c>
      <c r="C303" s="16" t="s">
        <v>183</v>
      </c>
      <c r="D303" s="23">
        <v>3</v>
      </c>
      <c r="E303" s="24">
        <v>0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400</v>
      </c>
      <c r="C307" s="26" t="s">
        <v>400</v>
      </c>
      <c r="D307" s="26" t="s">
        <v>400</v>
      </c>
      <c r="E307" s="26" t="s">
        <v>400</v>
      </c>
    </row>
    <row r="308" s="29" customFormat="1" spans="2:5">
      <c r="B308" s="26" t="s">
        <v>282</v>
      </c>
      <c r="C308" s="26" t="s">
        <v>282</v>
      </c>
      <c r="D308" s="26" t="s">
        <v>282</v>
      </c>
      <c r="E308" s="26" t="s">
        <v>282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393</v>
      </c>
      <c r="C311" s="13" t="s">
        <v>393</v>
      </c>
      <c r="D311" s="13" t="s">
        <v>393</v>
      </c>
      <c r="E311" s="13" t="s">
        <v>393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41" spans="2:5">
      <c r="B314" s="19" t="s">
        <v>445</v>
      </c>
      <c r="C314" s="20" t="s">
        <v>182</v>
      </c>
      <c r="D314" s="21">
        <v>1</v>
      </c>
      <c r="E314" s="22">
        <v>0</v>
      </c>
    </row>
    <row r="315" s="29" customFormat="1" spans="2:5">
      <c r="B315" s="19" t="s">
        <v>445</v>
      </c>
      <c r="C315" s="16" t="s">
        <v>183</v>
      </c>
      <c r="D315" s="23">
        <v>1</v>
      </c>
      <c r="E315" s="24">
        <v>0</v>
      </c>
    </row>
    <row r="316" s="29" customFormat="1" ht="41" spans="2:5">
      <c r="B316" s="19" t="s">
        <v>292</v>
      </c>
      <c r="C316" s="20" t="s">
        <v>182</v>
      </c>
      <c r="D316" s="21">
        <v>2</v>
      </c>
      <c r="E316" s="22">
        <v>1405405.666667</v>
      </c>
    </row>
    <row r="317" s="29" customFormat="1" ht="28" spans="2:5">
      <c r="B317" s="19" t="s">
        <v>292</v>
      </c>
      <c r="C317" s="16" t="s">
        <v>183</v>
      </c>
      <c r="D317" s="23">
        <v>2</v>
      </c>
      <c r="E317" s="24">
        <v>1405405.666667</v>
      </c>
    </row>
    <row r="318" s="29" customFormat="1" ht="41" spans="2:5">
      <c r="B318" s="19" t="s">
        <v>446</v>
      </c>
      <c r="C318" s="20" t="s">
        <v>182</v>
      </c>
      <c r="D318" s="21">
        <v>1</v>
      </c>
      <c r="E318" s="22">
        <v>0</v>
      </c>
    </row>
    <row r="319" s="29" customFormat="1" spans="2:5">
      <c r="B319" s="19" t="s">
        <v>446</v>
      </c>
      <c r="C319" s="16" t="s">
        <v>183</v>
      </c>
      <c r="D319" s="23">
        <v>1</v>
      </c>
      <c r="E319" s="24">
        <v>0</v>
      </c>
    </row>
    <row r="320" s="29" customFormat="1" ht="41" spans="2:5">
      <c r="B320" s="19" t="s">
        <v>447</v>
      </c>
      <c r="C320" s="20" t="s">
        <v>182</v>
      </c>
      <c r="D320" s="21">
        <v>1</v>
      </c>
      <c r="E320" s="22">
        <v>0</v>
      </c>
    </row>
    <row r="321" s="29" customFormat="1" ht="41" spans="2:5">
      <c r="B321" s="19" t="s">
        <v>447</v>
      </c>
      <c r="C321" s="16" t="s">
        <v>183</v>
      </c>
      <c r="D321" s="23">
        <v>1</v>
      </c>
      <c r="E321" s="24">
        <v>0</v>
      </c>
    </row>
    <row r="322" s="29" customFormat="1" ht="41" spans="2:5">
      <c r="B322" s="19" t="s">
        <v>448</v>
      </c>
      <c r="C322" s="20" t="s">
        <v>182</v>
      </c>
      <c r="D322" s="21">
        <v>2</v>
      </c>
      <c r="E322" s="22">
        <v>266666.666667</v>
      </c>
    </row>
    <row r="323" s="29" customFormat="1" spans="2:5">
      <c r="B323" s="19" t="s">
        <v>448</v>
      </c>
      <c r="C323" s="16" t="s">
        <v>183</v>
      </c>
      <c r="D323" s="23">
        <v>2</v>
      </c>
      <c r="E323" s="24">
        <v>266666.666667</v>
      </c>
    </row>
    <row r="324" s="29" customFormat="1" ht="41" spans="2:5">
      <c r="B324" s="19" t="s">
        <v>299</v>
      </c>
      <c r="C324" s="20" t="s">
        <v>182</v>
      </c>
      <c r="D324" s="21">
        <v>35</v>
      </c>
      <c r="E324" s="22">
        <v>211891.792795</v>
      </c>
    </row>
    <row r="325" s="29" customFormat="1" ht="28.75" spans="2:5">
      <c r="B325" s="19" t="s">
        <v>299</v>
      </c>
      <c r="C325" s="16" t="s">
        <v>183</v>
      </c>
      <c r="D325" s="23">
        <v>35</v>
      </c>
      <c r="E325" s="24">
        <v>211891.792795</v>
      </c>
    </row>
    <row r="326" s="29" customFormat="1" spans="2:5">
      <c r="B326" s="25"/>
      <c r="C326" s="25"/>
      <c r="D326" s="25"/>
      <c r="E326" s="25"/>
    </row>
    <row r="327" s="29" customFormat="1" ht="36" spans="2:5">
      <c r="B327" s="26" t="s">
        <v>189</v>
      </c>
      <c r="C327" s="26" t="s">
        <v>189</v>
      </c>
      <c r="D327" s="26" t="s">
        <v>189</v>
      </c>
      <c r="E327" s="26" t="s">
        <v>189</v>
      </c>
    </row>
    <row r="328" s="29" customFormat="1" spans="2:5">
      <c r="B328" s="26"/>
      <c r="C328" s="26"/>
      <c r="D328" s="26"/>
      <c r="E328" s="26"/>
    </row>
    <row r="329" s="29" customFormat="1" ht="36" spans="2:5">
      <c r="B329" s="26" t="s">
        <v>400</v>
      </c>
      <c r="C329" s="26" t="s">
        <v>400</v>
      </c>
      <c r="D329" s="26" t="s">
        <v>400</v>
      </c>
      <c r="E329" s="26" t="s">
        <v>400</v>
      </c>
    </row>
    <row r="330" s="29" customFormat="1" spans="2:5">
      <c r="B330" s="26" t="s">
        <v>289</v>
      </c>
      <c r="C330" s="26" t="s">
        <v>289</v>
      </c>
      <c r="D330" s="26" t="s">
        <v>289</v>
      </c>
      <c r="E330" s="26" t="s">
        <v>289</v>
      </c>
    </row>
    <row r="331" s="29" customFormat="1" ht="124" spans="2:5">
      <c r="B331" s="11" t="s">
        <v>173</v>
      </c>
      <c r="C331" s="11" t="s">
        <v>173</v>
      </c>
      <c r="D331" s="11" t="s">
        <v>173</v>
      </c>
      <c r="E331" s="11" t="s">
        <v>173</v>
      </c>
    </row>
    <row r="332" s="29" customFormat="1" ht="156" spans="2:5">
      <c r="B332" s="12" t="s">
        <v>174</v>
      </c>
      <c r="C332" s="12" t="s">
        <v>174</v>
      </c>
      <c r="D332" s="12" t="s">
        <v>174</v>
      </c>
      <c r="E332" s="12" t="s">
        <v>174</v>
      </c>
    </row>
    <row r="333" s="29" customFormat="1" ht="68" spans="2:5">
      <c r="B333" s="13" t="s">
        <v>393</v>
      </c>
      <c r="C333" s="13" t="s">
        <v>393</v>
      </c>
      <c r="D333" s="13" t="s">
        <v>393</v>
      </c>
      <c r="E333" s="13" t="s">
        <v>393</v>
      </c>
    </row>
    <row r="334" s="29" customFormat="1" ht="22" spans="2:5">
      <c r="B334" s="14" t="s">
        <v>176</v>
      </c>
      <c r="C334" s="14" t="s">
        <v>176</v>
      </c>
      <c r="D334" s="14" t="s">
        <v>176</v>
      </c>
      <c r="E334" s="14" t="s">
        <v>176</v>
      </c>
    </row>
    <row r="335" s="29" customFormat="1" spans="2:5">
      <c r="B335" s="15" t="s">
        <v>177</v>
      </c>
      <c r="C335" s="16" t="s">
        <v>178</v>
      </c>
      <c r="D335" s="17" t="s">
        <v>179</v>
      </c>
      <c r="E335" s="18" t="s">
        <v>180</v>
      </c>
    </row>
    <row r="336" s="29" customFormat="1" ht="41" spans="2:5">
      <c r="B336" s="19" t="s">
        <v>371</v>
      </c>
      <c r="C336" s="20" t="s">
        <v>182</v>
      </c>
      <c r="D336" s="21">
        <v>25</v>
      </c>
      <c r="E336" s="22">
        <v>199099.099097</v>
      </c>
    </row>
    <row r="337" s="29" customFormat="1" ht="28" spans="2:5">
      <c r="B337" s="19" t="s">
        <v>371</v>
      </c>
      <c r="C337" s="16" t="s">
        <v>183</v>
      </c>
      <c r="D337" s="23">
        <v>25</v>
      </c>
      <c r="E337" s="24">
        <v>199099.099097</v>
      </c>
    </row>
    <row r="338" s="29" customFormat="1" ht="41" spans="2:5">
      <c r="B338" s="19" t="s">
        <v>372</v>
      </c>
      <c r="C338" s="20" t="s">
        <v>182</v>
      </c>
      <c r="D338" s="21">
        <v>31</v>
      </c>
      <c r="E338" s="22">
        <v>0</v>
      </c>
    </row>
    <row r="339" s="29" customFormat="1" spans="2:5">
      <c r="B339" s="19" t="s">
        <v>372</v>
      </c>
      <c r="C339" s="16" t="s">
        <v>183</v>
      </c>
      <c r="D339" s="23">
        <v>31</v>
      </c>
      <c r="E339" s="24">
        <v>0</v>
      </c>
    </row>
    <row r="340" s="29" customFormat="1" ht="41" spans="2:5">
      <c r="B340" s="19" t="s">
        <v>449</v>
      </c>
      <c r="C340" s="20" t="s">
        <v>182</v>
      </c>
      <c r="D340" s="21">
        <v>1</v>
      </c>
      <c r="E340" s="22">
        <v>0</v>
      </c>
    </row>
    <row r="341" s="29" customFormat="1" ht="28" spans="2:5">
      <c r="B341" s="19" t="s">
        <v>449</v>
      </c>
      <c r="C341" s="16" t="s">
        <v>183</v>
      </c>
      <c r="D341" s="23">
        <v>1</v>
      </c>
      <c r="E341" s="24">
        <v>0</v>
      </c>
    </row>
    <row r="342" s="29" customFormat="1" ht="41" spans="2:5">
      <c r="B342" s="19" t="s">
        <v>373</v>
      </c>
      <c r="C342" s="20" t="s">
        <v>182</v>
      </c>
      <c r="D342" s="21">
        <v>33</v>
      </c>
      <c r="E342" s="22">
        <v>0</v>
      </c>
    </row>
    <row r="343" s="29" customFormat="1" ht="28" spans="2:5">
      <c r="B343" s="19" t="s">
        <v>373</v>
      </c>
      <c r="C343" s="16" t="s">
        <v>183</v>
      </c>
      <c r="D343" s="23">
        <v>33</v>
      </c>
      <c r="E343" s="24">
        <v>0</v>
      </c>
    </row>
    <row r="344" s="29" customFormat="1" ht="41" spans="2:5">
      <c r="B344" s="19" t="s">
        <v>374</v>
      </c>
      <c r="C344" s="20" t="s">
        <v>182</v>
      </c>
      <c r="D344" s="21">
        <v>5</v>
      </c>
      <c r="E344" s="22">
        <v>0</v>
      </c>
    </row>
    <row r="345" s="29" customFormat="1" ht="28" spans="2:5">
      <c r="B345" s="19" t="s">
        <v>374</v>
      </c>
      <c r="C345" s="16" t="s">
        <v>183</v>
      </c>
      <c r="D345" s="23">
        <v>5</v>
      </c>
      <c r="E345" s="24">
        <v>0</v>
      </c>
    </row>
    <row r="346" s="29" customFormat="1" ht="41" spans="2:5">
      <c r="B346" s="19" t="s">
        <v>300</v>
      </c>
      <c r="C346" s="20" t="s">
        <v>182</v>
      </c>
      <c r="D346" s="21">
        <v>5</v>
      </c>
      <c r="E346" s="22">
        <v>0</v>
      </c>
    </row>
    <row r="347" s="29" customFormat="1" ht="17.55" spans="2:5">
      <c r="B347" s="19" t="s">
        <v>300</v>
      </c>
      <c r="C347" s="16" t="s">
        <v>183</v>
      </c>
      <c r="D347" s="23">
        <v>5</v>
      </c>
      <c r="E347" s="24">
        <v>0</v>
      </c>
    </row>
    <row r="348" s="29" customFormat="1" spans="2:5">
      <c r="B348" s="25"/>
      <c r="C348" s="25"/>
      <c r="D348" s="25"/>
      <c r="E348" s="25"/>
    </row>
    <row r="349" s="29" customFormat="1" ht="36" spans="2:5">
      <c r="B349" s="26" t="s">
        <v>189</v>
      </c>
      <c r="C349" s="26" t="s">
        <v>189</v>
      </c>
      <c r="D349" s="26" t="s">
        <v>189</v>
      </c>
      <c r="E349" s="26" t="s">
        <v>189</v>
      </c>
    </row>
    <row r="350" s="29" customFormat="1" spans="2:5">
      <c r="B350" s="26"/>
      <c r="C350" s="26"/>
      <c r="D350" s="26"/>
      <c r="E350" s="26"/>
    </row>
    <row r="351" s="29" customFormat="1" ht="36" spans="2:5">
      <c r="B351" s="26" t="s">
        <v>400</v>
      </c>
      <c r="C351" s="26" t="s">
        <v>400</v>
      </c>
      <c r="D351" s="26" t="s">
        <v>400</v>
      </c>
      <c r="E351" s="26" t="s">
        <v>400</v>
      </c>
    </row>
    <row r="352" s="29" customFormat="1" spans="2:5">
      <c r="B352" s="26" t="s">
        <v>296</v>
      </c>
      <c r="C352" s="26" t="s">
        <v>296</v>
      </c>
      <c r="D352" s="26" t="s">
        <v>296</v>
      </c>
      <c r="E352" s="26" t="s">
        <v>296</v>
      </c>
    </row>
    <row r="353" s="29" customFormat="1" ht="124" spans="2:5">
      <c r="B353" s="11" t="s">
        <v>173</v>
      </c>
      <c r="C353" s="11" t="s">
        <v>173</v>
      </c>
      <c r="D353" s="11" t="s">
        <v>173</v>
      </c>
      <c r="E353" s="11" t="s">
        <v>173</v>
      </c>
    </row>
    <row r="354" s="29" customFormat="1" ht="156" spans="2:5">
      <c r="B354" s="12" t="s">
        <v>174</v>
      </c>
      <c r="C354" s="12" t="s">
        <v>174</v>
      </c>
      <c r="D354" s="12" t="s">
        <v>174</v>
      </c>
      <c r="E354" s="12" t="s">
        <v>174</v>
      </c>
    </row>
    <row r="355" s="29" customFormat="1" ht="68" spans="2:5">
      <c r="B355" s="13" t="s">
        <v>393</v>
      </c>
      <c r="C355" s="13" t="s">
        <v>393</v>
      </c>
      <c r="D355" s="13" t="s">
        <v>393</v>
      </c>
      <c r="E355" s="13" t="s">
        <v>393</v>
      </c>
    </row>
    <row r="356" s="29" customFormat="1" ht="22" spans="2:5">
      <c r="B356" s="14" t="s">
        <v>176</v>
      </c>
      <c r="C356" s="14" t="s">
        <v>176</v>
      </c>
      <c r="D356" s="14" t="s">
        <v>176</v>
      </c>
      <c r="E356" s="14" t="s">
        <v>176</v>
      </c>
    </row>
    <row r="357" s="29" customFormat="1" spans="2:5">
      <c r="B357" s="15" t="s">
        <v>177</v>
      </c>
      <c r="C357" s="16" t="s">
        <v>178</v>
      </c>
      <c r="D357" s="17" t="s">
        <v>179</v>
      </c>
      <c r="E357" s="18" t="s">
        <v>180</v>
      </c>
    </row>
    <row r="358" s="29" customFormat="1" ht="41" spans="2:5">
      <c r="B358" s="19" t="s">
        <v>301</v>
      </c>
      <c r="C358" s="20" t="s">
        <v>182</v>
      </c>
      <c r="D358" s="21">
        <v>41</v>
      </c>
      <c r="E358" s="22">
        <v>108378.378378</v>
      </c>
    </row>
    <row r="359" s="29" customFormat="1" spans="2:5">
      <c r="B359" s="19" t="s">
        <v>301</v>
      </c>
      <c r="C359" s="16" t="s">
        <v>183</v>
      </c>
      <c r="D359" s="23">
        <v>41</v>
      </c>
      <c r="E359" s="24">
        <v>108378.378378</v>
      </c>
    </row>
    <row r="360" s="29" customFormat="1" ht="41" spans="2:5">
      <c r="B360" s="19" t="s">
        <v>375</v>
      </c>
      <c r="C360" s="20" t="s">
        <v>182</v>
      </c>
      <c r="D360" s="21">
        <v>33</v>
      </c>
      <c r="E360" s="22">
        <v>0</v>
      </c>
    </row>
    <row r="361" s="29" customFormat="1" spans="2:5">
      <c r="B361" s="19" t="s">
        <v>375</v>
      </c>
      <c r="C361" s="16" t="s">
        <v>183</v>
      </c>
      <c r="D361" s="23">
        <v>33</v>
      </c>
      <c r="E361" s="24">
        <v>0</v>
      </c>
    </row>
    <row r="362" s="29" customFormat="1" ht="41" spans="2:5">
      <c r="B362" s="19" t="s">
        <v>302</v>
      </c>
      <c r="C362" s="20" t="s">
        <v>182</v>
      </c>
      <c r="D362" s="21">
        <v>57</v>
      </c>
      <c r="E362" s="22">
        <v>703963.963962</v>
      </c>
    </row>
    <row r="363" s="29" customFormat="1" spans="2:5">
      <c r="B363" s="19" t="s">
        <v>302</v>
      </c>
      <c r="C363" s="16" t="s">
        <v>183</v>
      </c>
      <c r="D363" s="23">
        <v>57</v>
      </c>
      <c r="E363" s="24">
        <v>703963.963962</v>
      </c>
    </row>
    <row r="364" s="29" customFormat="1" ht="41" spans="2:5">
      <c r="B364" s="19" t="s">
        <v>450</v>
      </c>
      <c r="C364" s="20" t="s">
        <v>182</v>
      </c>
      <c r="D364" s="21">
        <v>1</v>
      </c>
      <c r="E364" s="22">
        <v>390000</v>
      </c>
    </row>
    <row r="365" s="29" customFormat="1" spans="2:5">
      <c r="B365" s="19" t="s">
        <v>450</v>
      </c>
      <c r="C365" s="16" t="s">
        <v>183</v>
      </c>
      <c r="D365" s="23">
        <v>1</v>
      </c>
      <c r="E365" s="24">
        <v>390000</v>
      </c>
    </row>
    <row r="366" s="29" customFormat="1" ht="41" spans="2:5">
      <c r="B366" s="19" t="s">
        <v>451</v>
      </c>
      <c r="C366" s="20" t="s">
        <v>182</v>
      </c>
      <c r="D366" s="21">
        <v>1</v>
      </c>
      <c r="E366" s="22">
        <v>516216.216216</v>
      </c>
    </row>
    <row r="367" s="29" customFormat="1" spans="2:5">
      <c r="B367" s="19" t="s">
        <v>451</v>
      </c>
      <c r="C367" s="16" t="s">
        <v>183</v>
      </c>
      <c r="D367" s="23">
        <v>1</v>
      </c>
      <c r="E367" s="24">
        <v>516216.216216</v>
      </c>
    </row>
    <row r="368" s="29" customFormat="1" ht="41" spans="2:5">
      <c r="B368" s="19" t="s">
        <v>305</v>
      </c>
      <c r="C368" s="20" t="s">
        <v>182</v>
      </c>
      <c r="D368" s="21">
        <v>2</v>
      </c>
      <c r="E368" s="22">
        <v>1563964.072072</v>
      </c>
    </row>
    <row r="369" s="29" customFormat="1" ht="28.75" spans="2:5">
      <c r="B369" s="19" t="s">
        <v>305</v>
      </c>
      <c r="C369" s="16" t="s">
        <v>183</v>
      </c>
      <c r="D369" s="23">
        <v>2</v>
      </c>
      <c r="E369" s="24">
        <v>1563964.072072</v>
      </c>
    </row>
    <row r="370" s="29" customFormat="1" spans="2:5">
      <c r="B370" s="25"/>
      <c r="C370" s="25"/>
      <c r="D370" s="25"/>
      <c r="E370" s="25"/>
    </row>
    <row r="371" s="29" customFormat="1" ht="36" spans="2:5">
      <c r="B371" s="26" t="s">
        <v>189</v>
      </c>
      <c r="C371" s="26" t="s">
        <v>189</v>
      </c>
      <c r="D371" s="26" t="s">
        <v>189</v>
      </c>
      <c r="E371" s="26" t="s">
        <v>189</v>
      </c>
    </row>
    <row r="372" s="29" customFormat="1" spans="2:5">
      <c r="B372" s="26"/>
      <c r="C372" s="26"/>
      <c r="D372" s="26"/>
      <c r="E372" s="26"/>
    </row>
    <row r="373" s="29" customFormat="1" ht="36" spans="2:5">
      <c r="B373" s="26" t="s">
        <v>400</v>
      </c>
      <c r="C373" s="26" t="s">
        <v>400</v>
      </c>
      <c r="D373" s="26" t="s">
        <v>400</v>
      </c>
      <c r="E373" s="26" t="s">
        <v>400</v>
      </c>
    </row>
    <row r="374" s="29" customFormat="1" spans="2:5">
      <c r="B374" s="26" t="s">
        <v>303</v>
      </c>
      <c r="C374" s="26" t="s">
        <v>303</v>
      </c>
      <c r="D374" s="26" t="s">
        <v>303</v>
      </c>
      <c r="E374" s="26" t="s">
        <v>303</v>
      </c>
    </row>
    <row r="375" s="29" customFormat="1" ht="124" spans="2:5">
      <c r="B375" s="11" t="s">
        <v>173</v>
      </c>
      <c r="C375" s="11" t="s">
        <v>173</v>
      </c>
      <c r="D375" s="11" t="s">
        <v>173</v>
      </c>
      <c r="E375" s="11" t="s">
        <v>173</v>
      </c>
    </row>
    <row r="376" s="29" customFormat="1" ht="156" spans="2:5">
      <c r="B376" s="12" t="s">
        <v>174</v>
      </c>
      <c r="C376" s="12" t="s">
        <v>174</v>
      </c>
      <c r="D376" s="12" t="s">
        <v>174</v>
      </c>
      <c r="E376" s="12" t="s">
        <v>174</v>
      </c>
    </row>
    <row r="377" s="29" customFormat="1" ht="68" spans="2:5">
      <c r="B377" s="13" t="s">
        <v>393</v>
      </c>
      <c r="C377" s="13" t="s">
        <v>393</v>
      </c>
      <c r="D377" s="13" t="s">
        <v>393</v>
      </c>
      <c r="E377" s="13" t="s">
        <v>393</v>
      </c>
    </row>
    <row r="378" s="29" customFormat="1" ht="22" spans="2:5">
      <c r="B378" s="14" t="s">
        <v>176</v>
      </c>
      <c r="C378" s="14" t="s">
        <v>176</v>
      </c>
      <c r="D378" s="14" t="s">
        <v>176</v>
      </c>
      <c r="E378" s="14" t="s">
        <v>176</v>
      </c>
    </row>
    <row r="379" s="29" customFormat="1" spans="2:5">
      <c r="B379" s="15" t="s">
        <v>177</v>
      </c>
      <c r="C379" s="16" t="s">
        <v>178</v>
      </c>
      <c r="D379" s="17" t="s">
        <v>179</v>
      </c>
      <c r="E379" s="18" t="s">
        <v>180</v>
      </c>
    </row>
    <row r="380" s="29" customFormat="1" ht="41" spans="2:5">
      <c r="B380" s="19" t="s">
        <v>452</v>
      </c>
      <c r="C380" s="20" t="s">
        <v>182</v>
      </c>
      <c r="D380" s="21">
        <v>1</v>
      </c>
      <c r="E380" s="22">
        <v>0</v>
      </c>
    </row>
    <row r="381" s="29" customFormat="1" ht="28" spans="2:5">
      <c r="B381" s="19" t="s">
        <v>452</v>
      </c>
      <c r="C381" s="16" t="s">
        <v>183</v>
      </c>
      <c r="D381" s="23">
        <v>1</v>
      </c>
      <c r="E381" s="24">
        <v>0</v>
      </c>
    </row>
    <row r="382" s="29" customFormat="1" ht="41" spans="2:5">
      <c r="B382" s="19" t="s">
        <v>453</v>
      </c>
      <c r="C382" s="20" t="s">
        <v>182</v>
      </c>
      <c r="D382" s="21">
        <v>2</v>
      </c>
      <c r="E382" s="22">
        <v>1061260</v>
      </c>
    </row>
    <row r="383" s="29" customFormat="1" ht="28" spans="2:5">
      <c r="B383" s="19" t="s">
        <v>453</v>
      </c>
      <c r="C383" s="16" t="s">
        <v>183</v>
      </c>
      <c r="D383" s="23">
        <v>2</v>
      </c>
      <c r="E383" s="24">
        <v>1061260</v>
      </c>
    </row>
    <row r="384" s="29" customFormat="1" ht="41" spans="2:5">
      <c r="B384" s="19" t="s">
        <v>454</v>
      </c>
      <c r="C384" s="20" t="s">
        <v>182</v>
      </c>
      <c r="D384" s="21">
        <v>1</v>
      </c>
      <c r="E384" s="22">
        <v>0</v>
      </c>
    </row>
    <row r="385" s="29" customFormat="1" ht="28" spans="2:5">
      <c r="B385" s="19" t="s">
        <v>454</v>
      </c>
      <c r="C385" s="16" t="s">
        <v>183</v>
      </c>
      <c r="D385" s="23">
        <v>1</v>
      </c>
      <c r="E385" s="24">
        <v>0</v>
      </c>
    </row>
    <row r="386" s="29" customFormat="1" ht="41" spans="2:5">
      <c r="B386" s="19" t="s">
        <v>316</v>
      </c>
      <c r="C386" s="20" t="s">
        <v>182</v>
      </c>
      <c r="D386" s="21">
        <v>3</v>
      </c>
      <c r="E386" s="22">
        <v>248648.648649</v>
      </c>
    </row>
    <row r="387" s="29" customFormat="1" ht="28" spans="2:5">
      <c r="B387" s="19" t="s">
        <v>316</v>
      </c>
      <c r="C387" s="16" t="s">
        <v>183</v>
      </c>
      <c r="D387" s="23">
        <v>3</v>
      </c>
      <c r="E387" s="24">
        <v>248648.648649</v>
      </c>
    </row>
    <row r="388" s="29" customFormat="1" ht="41" spans="2:5">
      <c r="B388" s="19" t="s">
        <v>384</v>
      </c>
      <c r="C388" s="20" t="s">
        <v>182</v>
      </c>
      <c r="D388" s="21">
        <v>5</v>
      </c>
      <c r="E388" s="22">
        <v>414414.882883</v>
      </c>
    </row>
    <row r="389" s="29" customFormat="1" ht="28" spans="2:5">
      <c r="B389" s="19" t="s">
        <v>384</v>
      </c>
      <c r="C389" s="16" t="s">
        <v>183</v>
      </c>
      <c r="D389" s="23">
        <v>5</v>
      </c>
      <c r="E389" s="24">
        <v>414414.882883</v>
      </c>
    </row>
    <row r="390" s="29" customFormat="1" ht="41" spans="2:5">
      <c r="B390" s="19" t="s">
        <v>455</v>
      </c>
      <c r="C390" s="20" t="s">
        <v>182</v>
      </c>
      <c r="D390" s="21">
        <v>18</v>
      </c>
      <c r="E390" s="22">
        <v>0</v>
      </c>
    </row>
    <row r="391" s="29" customFormat="1" ht="17.55" spans="2:5">
      <c r="B391" s="19" t="s">
        <v>455</v>
      </c>
      <c r="C391" s="16" t="s">
        <v>183</v>
      </c>
      <c r="D391" s="23">
        <v>18</v>
      </c>
      <c r="E391" s="24">
        <v>0</v>
      </c>
    </row>
    <row r="392" s="29" customFormat="1" spans="2:5">
      <c r="B392" s="25"/>
      <c r="C392" s="25"/>
      <c r="D392" s="25"/>
      <c r="E392" s="25"/>
    </row>
    <row r="393" s="29" customFormat="1" ht="36" spans="2:5">
      <c r="B393" s="26" t="s">
        <v>189</v>
      </c>
      <c r="C393" s="26" t="s">
        <v>189</v>
      </c>
      <c r="D393" s="26" t="s">
        <v>189</v>
      </c>
      <c r="E393" s="26" t="s">
        <v>189</v>
      </c>
    </row>
    <row r="394" s="29" customFormat="1" spans="2:5">
      <c r="B394" s="26"/>
      <c r="C394" s="26"/>
      <c r="D394" s="26"/>
      <c r="E394" s="26"/>
    </row>
    <row r="395" s="29" customFormat="1" ht="36" spans="2:5">
      <c r="B395" s="26" t="s">
        <v>400</v>
      </c>
      <c r="C395" s="26" t="s">
        <v>400</v>
      </c>
      <c r="D395" s="26" t="s">
        <v>400</v>
      </c>
      <c r="E395" s="26" t="s">
        <v>400</v>
      </c>
    </row>
    <row r="396" s="29" customFormat="1" spans="2:5">
      <c r="B396" s="26" t="s">
        <v>310</v>
      </c>
      <c r="C396" s="26" t="s">
        <v>310</v>
      </c>
      <c r="D396" s="26" t="s">
        <v>310</v>
      </c>
      <c r="E396" s="26" t="s">
        <v>310</v>
      </c>
    </row>
    <row r="397" s="29" customFormat="1" ht="124" spans="2:5">
      <c r="B397" s="11" t="s">
        <v>173</v>
      </c>
      <c r="C397" s="11" t="s">
        <v>173</v>
      </c>
      <c r="D397" s="11" t="s">
        <v>173</v>
      </c>
      <c r="E397" s="11" t="s">
        <v>173</v>
      </c>
    </row>
    <row r="398" s="29" customFormat="1" ht="156" spans="2:5">
      <c r="B398" s="12" t="s">
        <v>174</v>
      </c>
      <c r="C398" s="12" t="s">
        <v>174</v>
      </c>
      <c r="D398" s="12" t="s">
        <v>174</v>
      </c>
      <c r="E398" s="12" t="s">
        <v>174</v>
      </c>
    </row>
    <row r="399" s="29" customFormat="1" ht="68" spans="2:5">
      <c r="B399" s="13" t="s">
        <v>393</v>
      </c>
      <c r="C399" s="13" t="s">
        <v>393</v>
      </c>
      <c r="D399" s="13" t="s">
        <v>393</v>
      </c>
      <c r="E399" s="13" t="s">
        <v>393</v>
      </c>
    </row>
    <row r="400" s="29" customFormat="1" ht="22" spans="2:5">
      <c r="B400" s="14" t="s">
        <v>176</v>
      </c>
      <c r="C400" s="14" t="s">
        <v>176</v>
      </c>
      <c r="D400" s="14" t="s">
        <v>176</v>
      </c>
      <c r="E400" s="14" t="s">
        <v>176</v>
      </c>
    </row>
    <row r="401" s="29" customFormat="1" spans="2:5">
      <c r="B401" s="15" t="s">
        <v>177</v>
      </c>
      <c r="C401" s="16" t="s">
        <v>178</v>
      </c>
      <c r="D401" s="17" t="s">
        <v>179</v>
      </c>
      <c r="E401" s="18" t="s">
        <v>180</v>
      </c>
    </row>
    <row r="402" s="29" customFormat="1" ht="41" spans="2:5">
      <c r="B402" s="19" t="s">
        <v>456</v>
      </c>
      <c r="C402" s="20" t="s">
        <v>182</v>
      </c>
      <c r="D402" s="21">
        <v>1</v>
      </c>
      <c r="E402" s="22">
        <v>602117.117117</v>
      </c>
    </row>
    <row r="403" s="29" customFormat="1" ht="28" spans="2:5">
      <c r="B403" s="19" t="s">
        <v>456</v>
      </c>
      <c r="C403" s="16" t="s">
        <v>183</v>
      </c>
      <c r="D403" s="23">
        <v>1</v>
      </c>
      <c r="E403" s="24">
        <v>602117.117117</v>
      </c>
    </row>
    <row r="404" s="29" customFormat="1" ht="41" spans="2:5">
      <c r="B404" s="19" t="s">
        <v>457</v>
      </c>
      <c r="C404" s="20" t="s">
        <v>182</v>
      </c>
      <c r="D404" s="21">
        <v>2</v>
      </c>
      <c r="E404" s="22">
        <v>449513.513514</v>
      </c>
    </row>
    <row r="405" s="29" customFormat="1" spans="2:5">
      <c r="B405" s="19" t="s">
        <v>457</v>
      </c>
      <c r="C405" s="16" t="s">
        <v>183</v>
      </c>
      <c r="D405" s="23">
        <v>2</v>
      </c>
      <c r="E405" s="24">
        <v>449513.513514</v>
      </c>
    </row>
    <row r="406" s="29" customFormat="1" ht="41" spans="2:5">
      <c r="B406" s="19" t="s">
        <v>458</v>
      </c>
      <c r="C406" s="20" t="s">
        <v>182</v>
      </c>
      <c r="D406" s="21">
        <v>3</v>
      </c>
      <c r="E406" s="22">
        <v>0</v>
      </c>
    </row>
    <row r="407" s="29" customFormat="1" spans="2:5">
      <c r="B407" s="19" t="s">
        <v>458</v>
      </c>
      <c r="C407" s="16" t="s">
        <v>183</v>
      </c>
      <c r="D407" s="23">
        <v>3</v>
      </c>
      <c r="E407" s="24">
        <v>0</v>
      </c>
    </row>
    <row r="408" s="29" customFormat="1" ht="41" spans="2:5">
      <c r="B408" s="19" t="s">
        <v>459</v>
      </c>
      <c r="C408" s="20" t="s">
        <v>182</v>
      </c>
      <c r="D408" s="21">
        <v>3</v>
      </c>
      <c r="E408" s="22">
        <v>651351.351351</v>
      </c>
    </row>
    <row r="409" s="29" customFormat="1" spans="2:5">
      <c r="B409" s="19" t="s">
        <v>459</v>
      </c>
      <c r="C409" s="16" t="s">
        <v>183</v>
      </c>
      <c r="D409" s="23">
        <v>3</v>
      </c>
      <c r="E409" s="24">
        <v>651351.351351</v>
      </c>
    </row>
    <row r="410" s="29" customFormat="1" ht="41" spans="2:5">
      <c r="B410" s="19" t="s">
        <v>319</v>
      </c>
      <c r="C410" s="20" t="s">
        <v>182</v>
      </c>
      <c r="D410" s="21">
        <v>9</v>
      </c>
      <c r="E410" s="22">
        <v>564505</v>
      </c>
    </row>
    <row r="411" s="29" customFormat="1" spans="2:5">
      <c r="B411" s="19" t="s">
        <v>319</v>
      </c>
      <c r="C411" s="16" t="s">
        <v>183</v>
      </c>
      <c r="D411" s="23">
        <v>9</v>
      </c>
      <c r="E411" s="24">
        <v>564505</v>
      </c>
    </row>
    <row r="412" s="29" customFormat="1" ht="41" spans="2:5">
      <c r="B412" s="19" t="s">
        <v>320</v>
      </c>
      <c r="C412" s="20" t="s">
        <v>182</v>
      </c>
      <c r="D412" s="21">
        <v>24</v>
      </c>
      <c r="E412" s="22">
        <v>419279</v>
      </c>
    </row>
    <row r="413" s="29" customFormat="1" ht="28.75" spans="2:5">
      <c r="B413" s="19" t="s">
        <v>320</v>
      </c>
      <c r="C413" s="16" t="s">
        <v>183</v>
      </c>
      <c r="D413" s="23">
        <v>24</v>
      </c>
      <c r="E413" s="24">
        <v>419279</v>
      </c>
    </row>
    <row r="414" s="29" customFormat="1" spans="2:5">
      <c r="B414" s="25"/>
      <c r="C414" s="25"/>
      <c r="D414" s="25"/>
      <c r="E414" s="25"/>
    </row>
    <row r="415" s="29" customFormat="1" ht="36" spans="2:5">
      <c r="B415" s="26" t="s">
        <v>189</v>
      </c>
      <c r="C415" s="26" t="s">
        <v>189</v>
      </c>
      <c r="D415" s="26" t="s">
        <v>189</v>
      </c>
      <c r="E415" s="26" t="s">
        <v>189</v>
      </c>
    </row>
    <row r="416" s="29" customFormat="1" spans="2:5">
      <c r="B416" s="26"/>
      <c r="C416" s="26"/>
      <c r="D416" s="26"/>
      <c r="E416" s="26"/>
    </row>
    <row r="417" s="29" customFormat="1" ht="36" spans="2:5">
      <c r="B417" s="26" t="s">
        <v>400</v>
      </c>
      <c r="C417" s="26" t="s">
        <v>400</v>
      </c>
      <c r="D417" s="26" t="s">
        <v>400</v>
      </c>
      <c r="E417" s="26" t="s">
        <v>400</v>
      </c>
    </row>
    <row r="418" s="29" customFormat="1" spans="2:5">
      <c r="B418" s="26" t="s">
        <v>317</v>
      </c>
      <c r="C418" s="26" t="s">
        <v>317</v>
      </c>
      <c r="D418" s="26" t="s">
        <v>317</v>
      </c>
      <c r="E418" s="26" t="s">
        <v>317</v>
      </c>
    </row>
    <row r="419" s="29" customFormat="1" ht="124" spans="2:5">
      <c r="B419" s="11" t="s">
        <v>173</v>
      </c>
      <c r="C419" s="11" t="s">
        <v>173</v>
      </c>
      <c r="D419" s="11" t="s">
        <v>173</v>
      </c>
      <c r="E419" s="11" t="s">
        <v>173</v>
      </c>
    </row>
    <row r="420" s="29" customFormat="1" ht="156" spans="2:5">
      <c r="B420" s="12" t="s">
        <v>174</v>
      </c>
      <c r="C420" s="12" t="s">
        <v>174</v>
      </c>
      <c r="D420" s="12" t="s">
        <v>174</v>
      </c>
      <c r="E420" s="12" t="s">
        <v>174</v>
      </c>
    </row>
    <row r="421" s="29" customFormat="1" ht="68" spans="2:5">
      <c r="B421" s="13" t="s">
        <v>393</v>
      </c>
      <c r="C421" s="13" t="s">
        <v>393</v>
      </c>
      <c r="D421" s="13" t="s">
        <v>393</v>
      </c>
      <c r="E421" s="13" t="s">
        <v>393</v>
      </c>
    </row>
    <row r="422" s="29" customFormat="1" ht="22" spans="2:5">
      <c r="B422" s="14" t="s">
        <v>176</v>
      </c>
      <c r="C422" s="14" t="s">
        <v>176</v>
      </c>
      <c r="D422" s="14" t="s">
        <v>176</v>
      </c>
      <c r="E422" s="14" t="s">
        <v>176</v>
      </c>
    </row>
    <row r="423" s="29" customFormat="1" spans="2:5">
      <c r="B423" s="15" t="s">
        <v>177</v>
      </c>
      <c r="C423" s="16" t="s">
        <v>178</v>
      </c>
      <c r="D423" s="17" t="s">
        <v>179</v>
      </c>
      <c r="E423" s="18" t="s">
        <v>180</v>
      </c>
    </row>
    <row r="424" s="29" customFormat="1" ht="41" spans="2:5">
      <c r="B424" s="19" t="s">
        <v>321</v>
      </c>
      <c r="C424" s="20" t="s">
        <v>182</v>
      </c>
      <c r="D424" s="21">
        <v>4</v>
      </c>
      <c r="E424" s="22">
        <v>137162.162162</v>
      </c>
    </row>
    <row r="425" s="29" customFormat="1" ht="28" spans="2:5">
      <c r="B425" s="19" t="s">
        <v>321</v>
      </c>
      <c r="C425" s="16" t="s">
        <v>183</v>
      </c>
      <c r="D425" s="23">
        <v>4</v>
      </c>
      <c r="E425" s="24">
        <v>137162.162162</v>
      </c>
    </row>
    <row r="426" s="29" customFormat="1" ht="41" spans="2:5">
      <c r="B426" s="19" t="s">
        <v>322</v>
      </c>
      <c r="C426" s="20" t="s">
        <v>182</v>
      </c>
      <c r="D426" s="21">
        <v>8</v>
      </c>
      <c r="E426" s="22">
        <v>0</v>
      </c>
    </row>
    <row r="427" s="29" customFormat="1" ht="28" spans="2:5">
      <c r="B427" s="19" t="s">
        <v>322</v>
      </c>
      <c r="C427" s="16" t="s">
        <v>183</v>
      </c>
      <c r="D427" s="23">
        <v>8</v>
      </c>
      <c r="E427" s="24">
        <v>0</v>
      </c>
    </row>
    <row r="428" s="29" customFormat="1" ht="41" spans="2:5">
      <c r="B428" s="19" t="s">
        <v>323</v>
      </c>
      <c r="C428" s="20" t="s">
        <v>182</v>
      </c>
      <c r="D428" s="21">
        <v>20</v>
      </c>
      <c r="E428" s="22">
        <v>1180540.648649</v>
      </c>
    </row>
    <row r="429" s="29" customFormat="1" ht="28" spans="2:5">
      <c r="B429" s="19" t="s">
        <v>323</v>
      </c>
      <c r="C429" s="16" t="s">
        <v>183</v>
      </c>
      <c r="D429" s="23">
        <v>20</v>
      </c>
      <c r="E429" s="24">
        <v>1180540.648649</v>
      </c>
    </row>
    <row r="430" s="29" customFormat="1" ht="41" spans="2:5">
      <c r="B430" s="19" t="s">
        <v>325</v>
      </c>
      <c r="C430" s="20" t="s">
        <v>182</v>
      </c>
      <c r="D430" s="21">
        <v>24</v>
      </c>
      <c r="E430" s="22">
        <v>1502702.765766</v>
      </c>
    </row>
    <row r="431" s="29" customFormat="1" ht="28" spans="2:5">
      <c r="B431" s="19" t="s">
        <v>325</v>
      </c>
      <c r="C431" s="16" t="s">
        <v>183</v>
      </c>
      <c r="D431" s="23">
        <v>24</v>
      </c>
      <c r="E431" s="24">
        <v>1502702.765766</v>
      </c>
    </row>
    <row r="432" s="29" customFormat="1" ht="41" spans="2:5">
      <c r="B432" s="19" t="s">
        <v>326</v>
      </c>
      <c r="C432" s="20" t="s">
        <v>182</v>
      </c>
      <c r="D432" s="21">
        <v>36</v>
      </c>
      <c r="E432" s="22">
        <v>0</v>
      </c>
    </row>
    <row r="433" s="29" customFormat="1" ht="28" spans="2:5">
      <c r="B433" s="19" t="s">
        <v>326</v>
      </c>
      <c r="C433" s="16" t="s">
        <v>183</v>
      </c>
      <c r="D433" s="23">
        <v>36</v>
      </c>
      <c r="E433" s="24">
        <v>0</v>
      </c>
    </row>
    <row r="434" s="29" customFormat="1" ht="41" spans="2:5">
      <c r="B434" s="19" t="s">
        <v>460</v>
      </c>
      <c r="C434" s="20" t="s">
        <v>182</v>
      </c>
      <c r="D434" s="21">
        <v>2</v>
      </c>
      <c r="E434" s="22">
        <v>751351.018018</v>
      </c>
    </row>
    <row r="435" s="29" customFormat="1" ht="28.75" spans="2:5">
      <c r="B435" s="19" t="s">
        <v>460</v>
      </c>
      <c r="C435" s="16" t="s">
        <v>183</v>
      </c>
      <c r="D435" s="23">
        <v>2</v>
      </c>
      <c r="E435" s="24">
        <v>751351.018018</v>
      </c>
    </row>
    <row r="436" s="29" customFormat="1" spans="2:5">
      <c r="B436" s="25"/>
      <c r="C436" s="25"/>
      <c r="D436" s="25"/>
      <c r="E436" s="25"/>
    </row>
    <row r="437" s="29" customFormat="1" ht="36" spans="2:5">
      <c r="B437" s="26" t="s">
        <v>189</v>
      </c>
      <c r="C437" s="26" t="s">
        <v>189</v>
      </c>
      <c r="D437" s="26" t="s">
        <v>189</v>
      </c>
      <c r="E437" s="26" t="s">
        <v>189</v>
      </c>
    </row>
    <row r="438" s="29" customFormat="1" spans="2:5">
      <c r="B438" s="26"/>
      <c r="C438" s="26"/>
      <c r="D438" s="26"/>
      <c r="E438" s="26"/>
    </row>
    <row r="439" s="29" customFormat="1" ht="36" spans="2:5">
      <c r="B439" s="26" t="s">
        <v>400</v>
      </c>
      <c r="C439" s="26" t="s">
        <v>400</v>
      </c>
      <c r="D439" s="26" t="s">
        <v>400</v>
      </c>
      <c r="E439" s="26" t="s">
        <v>400</v>
      </c>
    </row>
    <row r="440" s="29" customFormat="1" spans="2:5">
      <c r="B440" s="26" t="s">
        <v>324</v>
      </c>
      <c r="C440" s="26" t="s">
        <v>324</v>
      </c>
      <c r="D440" s="26" t="s">
        <v>324</v>
      </c>
      <c r="E440" s="26" t="s">
        <v>324</v>
      </c>
    </row>
    <row r="441" s="29" customFormat="1" ht="124" spans="2:5">
      <c r="B441" s="11" t="s">
        <v>173</v>
      </c>
      <c r="C441" s="11" t="s">
        <v>173</v>
      </c>
      <c r="D441" s="11" t="s">
        <v>173</v>
      </c>
      <c r="E441" s="11" t="s">
        <v>173</v>
      </c>
    </row>
    <row r="442" s="29" customFormat="1" ht="156" spans="2:5">
      <c r="B442" s="12" t="s">
        <v>174</v>
      </c>
      <c r="C442" s="12" t="s">
        <v>174</v>
      </c>
      <c r="D442" s="12" t="s">
        <v>174</v>
      </c>
      <c r="E442" s="12" t="s">
        <v>174</v>
      </c>
    </row>
    <row r="443" s="29" customFormat="1" ht="68" spans="2:5">
      <c r="B443" s="13" t="s">
        <v>393</v>
      </c>
      <c r="C443" s="13" t="s">
        <v>393</v>
      </c>
      <c r="D443" s="13" t="s">
        <v>393</v>
      </c>
      <c r="E443" s="13" t="s">
        <v>393</v>
      </c>
    </row>
    <row r="444" s="29" customFormat="1" ht="22" spans="2:5">
      <c r="B444" s="14" t="s">
        <v>176</v>
      </c>
      <c r="C444" s="14" t="s">
        <v>176</v>
      </c>
      <c r="D444" s="14" t="s">
        <v>176</v>
      </c>
      <c r="E444" s="14" t="s">
        <v>176</v>
      </c>
    </row>
    <row r="445" s="29" customFormat="1" spans="2:5">
      <c r="B445" s="15" t="s">
        <v>177</v>
      </c>
      <c r="C445" s="16" t="s">
        <v>178</v>
      </c>
      <c r="D445" s="17" t="s">
        <v>179</v>
      </c>
      <c r="E445" s="18" t="s">
        <v>180</v>
      </c>
    </row>
    <row r="446" s="29" customFormat="1" ht="41" spans="2:5">
      <c r="B446" s="19" t="s">
        <v>461</v>
      </c>
      <c r="C446" s="20" t="s">
        <v>182</v>
      </c>
      <c r="D446" s="21">
        <v>2</v>
      </c>
      <c r="E446" s="22">
        <v>972972</v>
      </c>
    </row>
    <row r="447" s="29" customFormat="1" ht="28" spans="2:5">
      <c r="B447" s="19" t="s">
        <v>461</v>
      </c>
      <c r="C447" s="16" t="s">
        <v>183</v>
      </c>
      <c r="D447" s="23">
        <v>2</v>
      </c>
      <c r="E447" s="24">
        <v>972972</v>
      </c>
    </row>
    <row r="448" s="29" customFormat="1" ht="41" spans="2:5">
      <c r="B448" s="19" t="s">
        <v>462</v>
      </c>
      <c r="C448" s="20" t="s">
        <v>182</v>
      </c>
      <c r="D448" s="21">
        <v>1</v>
      </c>
      <c r="E448" s="22">
        <v>620720.720721</v>
      </c>
    </row>
    <row r="449" s="29" customFormat="1" ht="28" spans="2:5">
      <c r="B449" s="19" t="s">
        <v>462</v>
      </c>
      <c r="C449" s="16" t="s">
        <v>183</v>
      </c>
      <c r="D449" s="23">
        <v>1</v>
      </c>
      <c r="E449" s="24">
        <v>620720.720721</v>
      </c>
    </row>
    <row r="450" s="29" customFormat="1" ht="41" spans="2:5">
      <c r="B450" s="19" t="s">
        <v>463</v>
      </c>
      <c r="C450" s="20" t="s">
        <v>182</v>
      </c>
      <c r="D450" s="21">
        <v>1</v>
      </c>
      <c r="E450" s="22">
        <v>620720.414414</v>
      </c>
    </row>
    <row r="451" s="29" customFormat="1" ht="28" spans="2:5">
      <c r="B451" s="19" t="s">
        <v>463</v>
      </c>
      <c r="C451" s="16" t="s">
        <v>183</v>
      </c>
      <c r="D451" s="23">
        <v>1</v>
      </c>
      <c r="E451" s="24">
        <v>620720.414414</v>
      </c>
    </row>
    <row r="452" s="29" customFormat="1" ht="41" spans="2:5">
      <c r="B452" s="19" t="s">
        <v>327</v>
      </c>
      <c r="C452" s="20" t="s">
        <v>182</v>
      </c>
      <c r="D452" s="21">
        <v>6</v>
      </c>
      <c r="E452" s="22">
        <v>470811</v>
      </c>
    </row>
    <row r="453" s="29" customFormat="1" spans="2:5">
      <c r="B453" s="19" t="s">
        <v>327</v>
      </c>
      <c r="C453" s="16" t="s">
        <v>183</v>
      </c>
      <c r="D453" s="23">
        <v>6</v>
      </c>
      <c r="E453" s="24">
        <v>470811</v>
      </c>
    </row>
    <row r="454" s="29" customFormat="1" ht="41" spans="2:5">
      <c r="B454" s="19" t="s">
        <v>328</v>
      </c>
      <c r="C454" s="20" t="s">
        <v>182</v>
      </c>
      <c r="D454" s="21">
        <v>16</v>
      </c>
      <c r="E454" s="22">
        <v>0</v>
      </c>
    </row>
    <row r="455" s="29" customFormat="1" ht="28" spans="2:5">
      <c r="B455" s="19" t="s">
        <v>328</v>
      </c>
      <c r="C455" s="16" t="s">
        <v>183</v>
      </c>
      <c r="D455" s="23">
        <v>16</v>
      </c>
      <c r="E455" s="24">
        <v>0</v>
      </c>
    </row>
    <row r="456" s="29" customFormat="1" ht="41" spans="2:5">
      <c r="B456" s="19" t="s">
        <v>464</v>
      </c>
      <c r="C456" s="20" t="s">
        <v>182</v>
      </c>
      <c r="D456" s="21">
        <v>5</v>
      </c>
      <c r="E456" s="22">
        <v>183828.828829</v>
      </c>
    </row>
    <row r="457" s="29" customFormat="1" ht="28.75" spans="2:5">
      <c r="B457" s="19" t="s">
        <v>464</v>
      </c>
      <c r="C457" s="16" t="s">
        <v>183</v>
      </c>
      <c r="D457" s="23">
        <v>5</v>
      </c>
      <c r="E457" s="24">
        <v>183828.828829</v>
      </c>
    </row>
    <row r="458" s="29" customFormat="1" spans="2:5">
      <c r="B458" s="25"/>
      <c r="C458" s="25"/>
      <c r="D458" s="25"/>
      <c r="E458" s="25"/>
    </row>
    <row r="459" s="29" customFormat="1" ht="36" spans="2:5">
      <c r="B459" s="26" t="s">
        <v>189</v>
      </c>
      <c r="C459" s="26" t="s">
        <v>189</v>
      </c>
      <c r="D459" s="26" t="s">
        <v>189</v>
      </c>
      <c r="E459" s="26" t="s">
        <v>189</v>
      </c>
    </row>
    <row r="460" s="29" customFormat="1" spans="2:5">
      <c r="B460" s="26"/>
      <c r="C460" s="26"/>
      <c r="D460" s="26"/>
      <c r="E460" s="26"/>
    </row>
    <row r="461" s="29" customFormat="1" ht="36" spans="2:5">
      <c r="B461" s="26" t="s">
        <v>400</v>
      </c>
      <c r="C461" s="26" t="s">
        <v>400</v>
      </c>
      <c r="D461" s="26" t="s">
        <v>400</v>
      </c>
      <c r="E461" s="26" t="s">
        <v>400</v>
      </c>
    </row>
    <row r="462" s="29" customFormat="1" spans="2:5">
      <c r="B462" s="26" t="s">
        <v>331</v>
      </c>
      <c r="C462" s="26" t="s">
        <v>331</v>
      </c>
      <c r="D462" s="26" t="s">
        <v>331</v>
      </c>
      <c r="E462" s="26" t="s">
        <v>331</v>
      </c>
    </row>
    <row r="463" s="29" customFormat="1" ht="124" spans="2:5">
      <c r="B463" s="11" t="s">
        <v>173</v>
      </c>
      <c r="C463" s="11" t="s">
        <v>173</v>
      </c>
      <c r="D463" s="11" t="s">
        <v>173</v>
      </c>
      <c r="E463" s="11" t="s">
        <v>173</v>
      </c>
    </row>
    <row r="464" s="29" customFormat="1" ht="156" spans="2:5">
      <c r="B464" s="12" t="s">
        <v>174</v>
      </c>
      <c r="C464" s="12" t="s">
        <v>174</v>
      </c>
      <c r="D464" s="12" t="s">
        <v>174</v>
      </c>
      <c r="E464" s="12" t="s">
        <v>174</v>
      </c>
    </row>
    <row r="465" s="29" customFormat="1" ht="68" spans="2:5">
      <c r="B465" s="13" t="s">
        <v>393</v>
      </c>
      <c r="C465" s="13" t="s">
        <v>393</v>
      </c>
      <c r="D465" s="13" t="s">
        <v>393</v>
      </c>
      <c r="E465" s="13" t="s">
        <v>393</v>
      </c>
    </row>
    <row r="466" s="29" customFormat="1" ht="22" spans="2:5">
      <c r="B466" s="14" t="s">
        <v>176</v>
      </c>
      <c r="C466" s="14" t="s">
        <v>176</v>
      </c>
      <c r="D466" s="14" t="s">
        <v>176</v>
      </c>
      <c r="E466" s="14" t="s">
        <v>176</v>
      </c>
    </row>
    <row r="467" s="29" customFormat="1" spans="2:5">
      <c r="B467" s="15" t="s">
        <v>177</v>
      </c>
      <c r="C467" s="16" t="s">
        <v>178</v>
      </c>
      <c r="D467" s="17" t="s">
        <v>179</v>
      </c>
      <c r="E467" s="18" t="s">
        <v>180</v>
      </c>
    </row>
    <row r="468" s="29" customFormat="1" ht="41" spans="2:5">
      <c r="B468" s="19" t="s">
        <v>330</v>
      </c>
      <c r="C468" s="20" t="s">
        <v>182</v>
      </c>
      <c r="D468" s="21">
        <v>4</v>
      </c>
      <c r="E468" s="22">
        <v>522342</v>
      </c>
    </row>
    <row r="469" s="29" customFormat="1" ht="28" spans="2:5">
      <c r="B469" s="19" t="s">
        <v>330</v>
      </c>
      <c r="C469" s="16" t="s">
        <v>183</v>
      </c>
      <c r="D469" s="23">
        <v>4</v>
      </c>
      <c r="E469" s="24">
        <v>522342</v>
      </c>
    </row>
    <row r="470" s="29" customFormat="1" ht="41" spans="2:5">
      <c r="B470" s="19" t="s">
        <v>385</v>
      </c>
      <c r="C470" s="20" t="s">
        <v>182</v>
      </c>
      <c r="D470" s="21">
        <v>12</v>
      </c>
      <c r="E470" s="22">
        <v>0</v>
      </c>
    </row>
    <row r="471" s="29" customFormat="1" ht="28" spans="2:5">
      <c r="B471" s="19" t="s">
        <v>385</v>
      </c>
      <c r="C471" s="16" t="s">
        <v>183</v>
      </c>
      <c r="D471" s="23">
        <v>12</v>
      </c>
      <c r="E471" s="24">
        <v>0</v>
      </c>
    </row>
    <row r="472" s="29" customFormat="1" ht="41" spans="2:5">
      <c r="B472" s="19" t="s">
        <v>465</v>
      </c>
      <c r="C472" s="20" t="s">
        <v>182</v>
      </c>
      <c r="D472" s="21">
        <v>5</v>
      </c>
      <c r="E472" s="22">
        <v>175675.675676</v>
      </c>
    </row>
    <row r="473" s="29" customFormat="1" ht="28" spans="2:5">
      <c r="B473" s="19" t="s">
        <v>465</v>
      </c>
      <c r="C473" s="16" t="s">
        <v>183</v>
      </c>
      <c r="D473" s="23">
        <v>5</v>
      </c>
      <c r="E473" s="24">
        <v>175675.675676</v>
      </c>
    </row>
    <row r="474" s="29" customFormat="1" ht="41" spans="2:5">
      <c r="B474" s="19" t="s">
        <v>466</v>
      </c>
      <c r="C474" s="20" t="s">
        <v>182</v>
      </c>
      <c r="D474" s="21">
        <v>4</v>
      </c>
      <c r="E474" s="22">
        <v>0</v>
      </c>
    </row>
    <row r="475" s="29" customFormat="1" ht="28" spans="2:5">
      <c r="B475" s="19" t="s">
        <v>466</v>
      </c>
      <c r="C475" s="16" t="s">
        <v>183</v>
      </c>
      <c r="D475" s="23">
        <v>4</v>
      </c>
      <c r="E475" s="24">
        <v>0</v>
      </c>
    </row>
    <row r="476" s="29" customFormat="1" ht="41" spans="2:5">
      <c r="B476" s="19" t="s">
        <v>332</v>
      </c>
      <c r="C476" s="20" t="s">
        <v>182</v>
      </c>
      <c r="D476" s="21">
        <v>4</v>
      </c>
      <c r="E476" s="22">
        <v>0</v>
      </c>
    </row>
    <row r="477" s="29" customFormat="1" ht="28" spans="2:5">
      <c r="B477" s="19" t="s">
        <v>332</v>
      </c>
      <c r="C477" s="16" t="s">
        <v>183</v>
      </c>
      <c r="D477" s="23">
        <v>4</v>
      </c>
      <c r="E477" s="24">
        <v>0</v>
      </c>
    </row>
    <row r="478" s="29" customFormat="1" ht="41" spans="2:5">
      <c r="B478" s="19" t="s">
        <v>386</v>
      </c>
      <c r="C478" s="20" t="s">
        <v>182</v>
      </c>
      <c r="D478" s="21">
        <v>12</v>
      </c>
      <c r="E478" s="22">
        <v>428648.63964</v>
      </c>
    </row>
    <row r="479" s="29" customFormat="1" ht="28.75" spans="2:5">
      <c r="B479" s="19" t="s">
        <v>386</v>
      </c>
      <c r="C479" s="16" t="s">
        <v>183</v>
      </c>
      <c r="D479" s="23">
        <v>12</v>
      </c>
      <c r="E479" s="24">
        <v>428648.63964</v>
      </c>
    </row>
    <row r="480" s="29" customFormat="1" spans="2:5">
      <c r="B480" s="25"/>
      <c r="C480" s="25"/>
      <c r="D480" s="25"/>
      <c r="E480" s="25"/>
    </row>
    <row r="481" s="29" customFormat="1" ht="36" spans="2:5">
      <c r="B481" s="26" t="s">
        <v>189</v>
      </c>
      <c r="C481" s="26" t="s">
        <v>189</v>
      </c>
      <c r="D481" s="26" t="s">
        <v>189</v>
      </c>
      <c r="E481" s="26" t="s">
        <v>189</v>
      </c>
    </row>
    <row r="482" s="29" customFormat="1" spans="2:5">
      <c r="B482" s="26"/>
      <c r="C482" s="26"/>
      <c r="D482" s="26"/>
      <c r="E482" s="26"/>
    </row>
    <row r="483" s="29" customFormat="1" ht="36" spans="2:5">
      <c r="B483" s="26" t="s">
        <v>400</v>
      </c>
      <c r="C483" s="26" t="s">
        <v>400</v>
      </c>
      <c r="D483" s="26" t="s">
        <v>400</v>
      </c>
      <c r="E483" s="26" t="s">
        <v>400</v>
      </c>
    </row>
    <row r="484" s="29" customFormat="1" spans="2:5">
      <c r="B484" s="26" t="s">
        <v>338</v>
      </c>
      <c r="C484" s="26" t="s">
        <v>338</v>
      </c>
      <c r="D484" s="26" t="s">
        <v>338</v>
      </c>
      <c r="E484" s="26" t="s">
        <v>338</v>
      </c>
    </row>
    <row r="485" s="29" customFormat="1" ht="124" spans="2:5">
      <c r="B485" s="11" t="s">
        <v>173</v>
      </c>
      <c r="C485" s="11" t="s">
        <v>173</v>
      </c>
      <c r="D485" s="11" t="s">
        <v>173</v>
      </c>
      <c r="E485" s="11" t="s">
        <v>173</v>
      </c>
    </row>
    <row r="486" s="29" customFormat="1" ht="156" spans="2:5">
      <c r="B486" s="12" t="s">
        <v>174</v>
      </c>
      <c r="C486" s="12" t="s">
        <v>174</v>
      </c>
      <c r="D486" s="12" t="s">
        <v>174</v>
      </c>
      <c r="E486" s="12" t="s">
        <v>174</v>
      </c>
    </row>
    <row r="487" s="29" customFormat="1" ht="68" spans="2:5">
      <c r="B487" s="13" t="s">
        <v>393</v>
      </c>
      <c r="C487" s="13" t="s">
        <v>393</v>
      </c>
      <c r="D487" s="13" t="s">
        <v>393</v>
      </c>
      <c r="E487" s="13" t="s">
        <v>393</v>
      </c>
    </row>
    <row r="488" s="29" customFormat="1" ht="22" spans="2:5">
      <c r="B488" s="14" t="s">
        <v>176</v>
      </c>
      <c r="C488" s="14" t="s">
        <v>176</v>
      </c>
      <c r="D488" s="14" t="s">
        <v>176</v>
      </c>
      <c r="E488" s="14" t="s">
        <v>176</v>
      </c>
    </row>
    <row r="489" s="29" customFormat="1" spans="2:5">
      <c r="B489" s="15" t="s">
        <v>177</v>
      </c>
      <c r="C489" s="16" t="s">
        <v>178</v>
      </c>
      <c r="D489" s="17" t="s">
        <v>179</v>
      </c>
      <c r="E489" s="18" t="s">
        <v>180</v>
      </c>
    </row>
    <row r="490" s="29" customFormat="1" ht="41" spans="2:5">
      <c r="B490" s="19" t="s">
        <v>467</v>
      </c>
      <c r="C490" s="20" t="s">
        <v>182</v>
      </c>
      <c r="D490" s="21">
        <v>4</v>
      </c>
      <c r="E490" s="22">
        <v>0</v>
      </c>
    </row>
    <row r="491" s="29" customFormat="1" ht="28" spans="2:5">
      <c r="B491" s="19" t="s">
        <v>467</v>
      </c>
      <c r="C491" s="16" t="s">
        <v>183</v>
      </c>
      <c r="D491" s="23">
        <v>4</v>
      </c>
      <c r="E491" s="24">
        <v>0</v>
      </c>
    </row>
    <row r="492" s="29" customFormat="1" ht="41" spans="2:5">
      <c r="B492" s="19" t="s">
        <v>468</v>
      </c>
      <c r="C492" s="20" t="s">
        <v>182</v>
      </c>
      <c r="D492" s="21">
        <v>2</v>
      </c>
      <c r="E492" s="22">
        <v>174504.45045</v>
      </c>
    </row>
    <row r="493" s="29" customFormat="1" spans="2:5">
      <c r="B493" s="19" t="s">
        <v>468</v>
      </c>
      <c r="C493" s="16" t="s">
        <v>183</v>
      </c>
      <c r="D493" s="23">
        <v>2</v>
      </c>
      <c r="E493" s="24">
        <v>174504.45045</v>
      </c>
    </row>
    <row r="494" s="29" customFormat="1" ht="41" spans="2:5">
      <c r="B494" s="19" t="s">
        <v>334</v>
      </c>
      <c r="C494" s="20" t="s">
        <v>182</v>
      </c>
      <c r="D494" s="21">
        <v>32</v>
      </c>
      <c r="E494" s="22">
        <v>0</v>
      </c>
    </row>
    <row r="495" s="29" customFormat="1" ht="28" spans="2:5">
      <c r="B495" s="19" t="s">
        <v>334</v>
      </c>
      <c r="C495" s="16" t="s">
        <v>183</v>
      </c>
      <c r="D495" s="23">
        <v>32</v>
      </c>
      <c r="E495" s="24">
        <v>0</v>
      </c>
    </row>
    <row r="496" s="29" customFormat="1" ht="41" spans="2:5">
      <c r="B496" s="19" t="s">
        <v>469</v>
      </c>
      <c r="C496" s="20" t="s">
        <v>182</v>
      </c>
      <c r="D496" s="21">
        <v>1</v>
      </c>
      <c r="E496" s="22">
        <v>183221</v>
      </c>
    </row>
    <row r="497" s="29" customFormat="1" ht="41" spans="2:5">
      <c r="B497" s="19" t="s">
        <v>469</v>
      </c>
      <c r="C497" s="16" t="s">
        <v>183</v>
      </c>
      <c r="D497" s="23">
        <v>1</v>
      </c>
      <c r="E497" s="24">
        <v>183221</v>
      </c>
    </row>
    <row r="498" s="29" customFormat="1" ht="41" spans="2:5">
      <c r="B498" s="19" t="s">
        <v>336</v>
      </c>
      <c r="C498" s="20" t="s">
        <v>182</v>
      </c>
      <c r="D498" s="21">
        <v>10</v>
      </c>
      <c r="E498" s="22">
        <v>0</v>
      </c>
    </row>
    <row r="499" s="29" customFormat="1" spans="2:5">
      <c r="B499" s="19" t="s">
        <v>336</v>
      </c>
      <c r="C499" s="16" t="s">
        <v>183</v>
      </c>
      <c r="D499" s="23">
        <v>10</v>
      </c>
      <c r="E499" s="24">
        <v>0</v>
      </c>
    </row>
    <row r="500" s="29" customFormat="1" ht="41" spans="2:5">
      <c r="B500" s="19" t="s">
        <v>470</v>
      </c>
      <c r="C500" s="20" t="s">
        <v>182</v>
      </c>
      <c r="D500" s="21">
        <v>12</v>
      </c>
      <c r="E500" s="22">
        <v>477568.261262</v>
      </c>
    </row>
    <row r="501" s="29" customFormat="1" ht="28.75" spans="2:5">
      <c r="B501" s="19" t="s">
        <v>470</v>
      </c>
      <c r="C501" s="16" t="s">
        <v>183</v>
      </c>
      <c r="D501" s="23">
        <v>12</v>
      </c>
      <c r="E501" s="24">
        <v>477568.261262</v>
      </c>
    </row>
    <row r="502" s="29" customFormat="1" spans="2:5">
      <c r="B502" s="25"/>
      <c r="C502" s="25"/>
      <c r="D502" s="25"/>
      <c r="E502" s="25"/>
    </row>
    <row r="503" s="29" customFormat="1" ht="36" spans="2:5">
      <c r="B503" s="26" t="s">
        <v>189</v>
      </c>
      <c r="C503" s="26" t="s">
        <v>189</v>
      </c>
      <c r="D503" s="26" t="s">
        <v>189</v>
      </c>
      <c r="E503" s="26" t="s">
        <v>189</v>
      </c>
    </row>
    <row r="504" s="29" customFormat="1" spans="2:5">
      <c r="B504" s="26"/>
      <c r="C504" s="26"/>
      <c r="D504" s="26"/>
      <c r="E504" s="26"/>
    </row>
    <row r="505" s="29" customFormat="1" ht="36" spans="2:5">
      <c r="B505" s="26" t="s">
        <v>400</v>
      </c>
      <c r="C505" s="26" t="s">
        <v>400</v>
      </c>
      <c r="D505" s="26" t="s">
        <v>400</v>
      </c>
      <c r="E505" s="26" t="s">
        <v>400</v>
      </c>
    </row>
    <row r="506" s="29" customFormat="1" spans="2:5">
      <c r="B506" s="26" t="s">
        <v>342</v>
      </c>
      <c r="C506" s="26" t="s">
        <v>342</v>
      </c>
      <c r="D506" s="26" t="s">
        <v>342</v>
      </c>
      <c r="E506" s="26" t="s">
        <v>342</v>
      </c>
    </row>
    <row r="507" s="29" customFormat="1" ht="124" spans="2:5">
      <c r="B507" s="11" t="s">
        <v>173</v>
      </c>
      <c r="C507" s="11" t="s">
        <v>173</v>
      </c>
      <c r="D507" s="11" t="s">
        <v>173</v>
      </c>
      <c r="E507" s="11" t="s">
        <v>173</v>
      </c>
    </row>
    <row r="508" s="29" customFormat="1" ht="156" spans="2:5">
      <c r="B508" s="12" t="s">
        <v>174</v>
      </c>
      <c r="C508" s="12" t="s">
        <v>174</v>
      </c>
      <c r="D508" s="12" t="s">
        <v>174</v>
      </c>
      <c r="E508" s="12" t="s">
        <v>174</v>
      </c>
    </row>
    <row r="509" s="29" customFormat="1" ht="68" spans="2:5">
      <c r="B509" s="13" t="s">
        <v>393</v>
      </c>
      <c r="C509" s="13" t="s">
        <v>393</v>
      </c>
      <c r="D509" s="13" t="s">
        <v>393</v>
      </c>
      <c r="E509" s="13" t="s">
        <v>393</v>
      </c>
    </row>
    <row r="510" s="29" customFormat="1" ht="22" spans="2:5">
      <c r="B510" s="14" t="s">
        <v>176</v>
      </c>
      <c r="C510" s="14" t="s">
        <v>176</v>
      </c>
      <c r="D510" s="14" t="s">
        <v>176</v>
      </c>
      <c r="E510" s="14" t="s">
        <v>176</v>
      </c>
    </row>
    <row r="511" s="29" customFormat="1" spans="2:5">
      <c r="B511" s="15" t="s">
        <v>177</v>
      </c>
      <c r="C511" s="16" t="s">
        <v>178</v>
      </c>
      <c r="D511" s="17" t="s">
        <v>179</v>
      </c>
      <c r="E511" s="18" t="s">
        <v>180</v>
      </c>
    </row>
    <row r="512" s="29" customFormat="1" ht="41" spans="2:5">
      <c r="B512" s="19" t="s">
        <v>471</v>
      </c>
      <c r="C512" s="20" t="s">
        <v>182</v>
      </c>
      <c r="D512" s="21">
        <v>31</v>
      </c>
      <c r="E512" s="22">
        <v>0</v>
      </c>
    </row>
    <row r="513" s="29" customFormat="1" spans="2:5">
      <c r="B513" s="19" t="s">
        <v>471</v>
      </c>
      <c r="C513" s="16" t="s">
        <v>183</v>
      </c>
      <c r="D513" s="23">
        <v>31</v>
      </c>
      <c r="E513" s="24">
        <v>0</v>
      </c>
    </row>
    <row r="514" s="29" customFormat="1" ht="41" spans="2:5">
      <c r="B514" s="19" t="s">
        <v>472</v>
      </c>
      <c r="C514" s="20" t="s">
        <v>182</v>
      </c>
      <c r="D514" s="21">
        <v>1</v>
      </c>
      <c r="E514" s="22">
        <v>0</v>
      </c>
    </row>
    <row r="515" s="29" customFormat="1" ht="28" spans="2:5">
      <c r="B515" s="19" t="s">
        <v>472</v>
      </c>
      <c r="C515" s="16" t="s">
        <v>183</v>
      </c>
      <c r="D515" s="23">
        <v>1</v>
      </c>
      <c r="E515" s="24">
        <v>0</v>
      </c>
    </row>
    <row r="516" s="29" customFormat="1" ht="41" spans="2:5">
      <c r="B516" s="19" t="s">
        <v>473</v>
      </c>
      <c r="C516" s="20" t="s">
        <v>182</v>
      </c>
      <c r="D516" s="21">
        <v>1</v>
      </c>
      <c r="E516" s="22">
        <v>0</v>
      </c>
    </row>
    <row r="517" s="29" customFormat="1" ht="28" spans="2:5">
      <c r="B517" s="19" t="s">
        <v>473</v>
      </c>
      <c r="C517" s="16" t="s">
        <v>183</v>
      </c>
      <c r="D517" s="23">
        <v>1</v>
      </c>
      <c r="E517" s="24">
        <v>0</v>
      </c>
    </row>
    <row r="518" s="29" customFormat="1" ht="41" spans="2:5">
      <c r="B518" s="19" t="s">
        <v>474</v>
      </c>
      <c r="C518" s="20" t="s">
        <v>182</v>
      </c>
      <c r="D518" s="21">
        <v>4</v>
      </c>
      <c r="E518" s="22">
        <v>363963.963964</v>
      </c>
    </row>
    <row r="519" s="29" customFormat="1" ht="28" spans="2:5">
      <c r="B519" s="19" t="s">
        <v>474</v>
      </c>
      <c r="C519" s="16" t="s">
        <v>183</v>
      </c>
      <c r="D519" s="23">
        <v>4</v>
      </c>
      <c r="E519" s="24">
        <v>363963.963964</v>
      </c>
    </row>
    <row r="520" s="29" customFormat="1" ht="41" spans="2:5">
      <c r="B520" s="19" t="s">
        <v>475</v>
      </c>
      <c r="C520" s="20" t="s">
        <v>182</v>
      </c>
      <c r="D520" s="21">
        <v>2</v>
      </c>
      <c r="E520" s="22">
        <v>351000.153153</v>
      </c>
    </row>
    <row r="521" s="29" customFormat="1" ht="28" spans="2:5">
      <c r="B521" s="19" t="s">
        <v>475</v>
      </c>
      <c r="C521" s="16" t="s">
        <v>183</v>
      </c>
      <c r="D521" s="23">
        <v>2</v>
      </c>
      <c r="E521" s="24">
        <v>351000.153153</v>
      </c>
    </row>
    <row r="522" s="29" customFormat="1" ht="41" spans="2:5">
      <c r="B522" s="19" t="s">
        <v>390</v>
      </c>
      <c r="C522" s="20" t="s">
        <v>182</v>
      </c>
      <c r="D522" s="21">
        <v>1</v>
      </c>
      <c r="E522" s="22">
        <v>234910</v>
      </c>
    </row>
    <row r="523" s="29" customFormat="1" ht="28.75" spans="2:5">
      <c r="B523" s="19" t="s">
        <v>390</v>
      </c>
      <c r="C523" s="16" t="s">
        <v>183</v>
      </c>
      <c r="D523" s="23">
        <v>1</v>
      </c>
      <c r="E523" s="24">
        <v>234910</v>
      </c>
    </row>
    <row r="524" s="29" customFormat="1" spans="2:5">
      <c r="B524" s="25"/>
      <c r="C524" s="25"/>
      <c r="D524" s="25"/>
      <c r="E524" s="25"/>
    </row>
    <row r="525" s="29" customFormat="1" ht="36" spans="2:5">
      <c r="B525" s="26" t="s">
        <v>189</v>
      </c>
      <c r="C525" s="26" t="s">
        <v>189</v>
      </c>
      <c r="D525" s="26" t="s">
        <v>189</v>
      </c>
      <c r="E525" s="26" t="s">
        <v>189</v>
      </c>
    </row>
    <row r="526" s="29" customFormat="1" spans="2:5">
      <c r="B526" s="26"/>
      <c r="C526" s="26"/>
      <c r="D526" s="26"/>
      <c r="E526" s="26"/>
    </row>
    <row r="527" s="29" customFormat="1" ht="36" spans="2:5">
      <c r="B527" s="26" t="s">
        <v>400</v>
      </c>
      <c r="C527" s="26" t="s">
        <v>400</v>
      </c>
      <c r="D527" s="26" t="s">
        <v>400</v>
      </c>
      <c r="E527" s="26" t="s">
        <v>400</v>
      </c>
    </row>
    <row r="528" s="29" customFormat="1" spans="2:5">
      <c r="B528" s="26" t="s">
        <v>476</v>
      </c>
      <c r="C528" s="26" t="s">
        <v>476</v>
      </c>
      <c r="D528" s="26" t="s">
        <v>476</v>
      </c>
      <c r="E528" s="26" t="s">
        <v>476</v>
      </c>
    </row>
    <row r="529" s="29" customFormat="1" ht="124" spans="2:5">
      <c r="B529" s="11" t="s">
        <v>173</v>
      </c>
      <c r="C529" s="11" t="s">
        <v>173</v>
      </c>
      <c r="D529" s="11" t="s">
        <v>173</v>
      </c>
      <c r="E529" s="11" t="s">
        <v>173</v>
      </c>
    </row>
    <row r="530" s="29" customFormat="1" ht="156" spans="2:5">
      <c r="B530" s="12" t="s">
        <v>174</v>
      </c>
      <c r="C530" s="12" t="s">
        <v>174</v>
      </c>
      <c r="D530" s="12" t="s">
        <v>174</v>
      </c>
      <c r="E530" s="12" t="s">
        <v>174</v>
      </c>
    </row>
    <row r="531" s="29" customFormat="1" ht="68" spans="2:5">
      <c r="B531" s="13" t="s">
        <v>393</v>
      </c>
      <c r="C531" s="13" t="s">
        <v>393</v>
      </c>
      <c r="D531" s="13" t="s">
        <v>393</v>
      </c>
      <c r="E531" s="13" t="s">
        <v>393</v>
      </c>
    </row>
    <row r="532" s="29" customFormat="1" ht="22" spans="2:5">
      <c r="B532" s="14" t="s">
        <v>176</v>
      </c>
      <c r="C532" s="14" t="s">
        <v>176</v>
      </c>
      <c r="D532" s="14" t="s">
        <v>176</v>
      </c>
      <c r="E532" s="14" t="s">
        <v>176</v>
      </c>
    </row>
    <row r="533" s="29" customFormat="1" spans="2:5">
      <c r="B533" s="15" t="s">
        <v>177</v>
      </c>
      <c r="C533" s="16" t="s">
        <v>178</v>
      </c>
      <c r="D533" s="17" t="s">
        <v>179</v>
      </c>
      <c r="E533" s="18" t="s">
        <v>180</v>
      </c>
    </row>
    <row r="534" s="29" customFormat="1" ht="41" spans="2:5">
      <c r="B534" s="19" t="s">
        <v>477</v>
      </c>
      <c r="C534" s="20" t="s">
        <v>182</v>
      </c>
      <c r="D534" s="21">
        <v>1</v>
      </c>
      <c r="E534" s="22">
        <v>346554.054054</v>
      </c>
    </row>
    <row r="535" s="29" customFormat="1" ht="41" spans="2:5">
      <c r="B535" s="19" t="s">
        <v>477</v>
      </c>
      <c r="C535" s="16" t="s">
        <v>183</v>
      </c>
      <c r="D535" s="23">
        <v>1</v>
      </c>
      <c r="E535" s="24">
        <v>346554.054054</v>
      </c>
    </row>
    <row r="536" s="29" customFormat="1" ht="41" spans="2:5">
      <c r="B536" s="19" t="s">
        <v>478</v>
      </c>
      <c r="C536" s="20" t="s">
        <v>182</v>
      </c>
      <c r="D536" s="21">
        <v>1</v>
      </c>
      <c r="E536" s="22">
        <v>0</v>
      </c>
    </row>
    <row r="537" s="29" customFormat="1" spans="2:5">
      <c r="B537" s="19" t="s">
        <v>478</v>
      </c>
      <c r="C537" s="16" t="s">
        <v>183</v>
      </c>
      <c r="D537" s="23">
        <v>1</v>
      </c>
      <c r="E537" s="24">
        <v>0</v>
      </c>
    </row>
    <row r="538" s="29" customFormat="1" ht="41" spans="2:5">
      <c r="B538" s="19" t="s">
        <v>479</v>
      </c>
      <c r="C538" s="20" t="s">
        <v>182</v>
      </c>
      <c r="D538" s="21">
        <v>14</v>
      </c>
      <c r="E538" s="22">
        <v>0</v>
      </c>
    </row>
    <row r="539" s="29" customFormat="1" ht="28" spans="2:5">
      <c r="B539" s="19" t="s">
        <v>479</v>
      </c>
      <c r="C539" s="16" t="s">
        <v>183</v>
      </c>
      <c r="D539" s="23">
        <v>14</v>
      </c>
      <c r="E539" s="24">
        <v>0</v>
      </c>
    </row>
    <row r="540" s="29" customFormat="1" ht="17.55" spans="2:5">
      <c r="B540" s="28" t="s">
        <v>341</v>
      </c>
      <c r="C540" s="28" t="s">
        <v>341</v>
      </c>
      <c r="D540" s="23">
        <v>1245</v>
      </c>
      <c r="E540" s="24">
        <v>51163168.990998</v>
      </c>
    </row>
    <row r="541" s="29" customFormat="1" spans="2:5">
      <c r="B541" s="25"/>
      <c r="C541" s="25"/>
      <c r="D541" s="25"/>
      <c r="E541" s="25"/>
    </row>
    <row r="542" s="29" customFormat="1" ht="36" spans="2:5">
      <c r="B542" s="26" t="s">
        <v>189</v>
      </c>
      <c r="C542" s="26" t="s">
        <v>189</v>
      </c>
      <c r="D542" s="26" t="s">
        <v>189</v>
      </c>
      <c r="E542" s="26" t="s">
        <v>189</v>
      </c>
    </row>
    <row r="543" s="29" customFormat="1" spans="2:5">
      <c r="B543" s="26"/>
      <c r="C543" s="26"/>
      <c r="D543" s="26"/>
      <c r="E543" s="26"/>
    </row>
    <row r="544" s="29" customFormat="1" ht="36" spans="2:5">
      <c r="B544" s="26" t="s">
        <v>400</v>
      </c>
      <c r="C544" s="26" t="s">
        <v>400</v>
      </c>
      <c r="D544" s="26" t="s">
        <v>400</v>
      </c>
      <c r="E544" s="26" t="s">
        <v>400</v>
      </c>
    </row>
    <row r="545" s="29" customFormat="1" spans="2:5">
      <c r="B545" s="26" t="s">
        <v>480</v>
      </c>
      <c r="C545" s="26" t="s">
        <v>480</v>
      </c>
      <c r="D545" s="26" t="s">
        <v>480</v>
      </c>
      <c r="E545" s="26" t="s">
        <v>480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3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481</v>
      </c>
      <c r="C3" s="13" t="s">
        <v>481</v>
      </c>
      <c r="D3" s="13" t="s">
        <v>481</v>
      </c>
      <c r="E3" s="13" t="s">
        <v>481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482</v>
      </c>
      <c r="C6" s="20" t="s">
        <v>182</v>
      </c>
      <c r="D6" s="21">
        <v>1</v>
      </c>
      <c r="E6" s="22">
        <v>689189.189189</v>
      </c>
      <c r="F6" s="30"/>
      <c r="G6" s="30"/>
    </row>
    <row r="7" s="29" customFormat="1" ht="28" spans="1:7">
      <c r="A7" s="30" t="s">
        <v>172</v>
      </c>
      <c r="B7" s="19" t="s">
        <v>482</v>
      </c>
      <c r="C7" s="16" t="s">
        <v>183</v>
      </c>
      <c r="D7" s="23">
        <v>1</v>
      </c>
      <c r="E7" s="24">
        <v>689189.189189</v>
      </c>
      <c r="F7" s="30"/>
      <c r="G7" s="30"/>
    </row>
    <row r="8" s="29" customFormat="1" ht="41" spans="1:7">
      <c r="A8" s="30" t="s">
        <v>172</v>
      </c>
      <c r="B8" s="19" t="s">
        <v>483</v>
      </c>
      <c r="C8" s="20" t="s">
        <v>182</v>
      </c>
      <c r="D8" s="21">
        <v>1</v>
      </c>
      <c r="E8" s="22">
        <v>0</v>
      </c>
      <c r="F8" s="30"/>
      <c r="G8" s="30"/>
    </row>
    <row r="9" s="29" customFormat="1" spans="1:7">
      <c r="A9" s="30" t="s">
        <v>172</v>
      </c>
      <c r="B9" s="19" t="s">
        <v>483</v>
      </c>
      <c r="C9" s="16" t="s">
        <v>183</v>
      </c>
      <c r="D9" s="23">
        <v>1</v>
      </c>
      <c r="E9" s="24">
        <v>0</v>
      </c>
      <c r="F9" s="30"/>
      <c r="G9" s="30"/>
    </row>
    <row r="10" s="29" customFormat="1" ht="41" spans="1:7">
      <c r="A10" s="30" t="s">
        <v>172</v>
      </c>
      <c r="B10" s="19" t="s">
        <v>484</v>
      </c>
      <c r="C10" s="20" t="s">
        <v>182</v>
      </c>
      <c r="D10" s="21">
        <v>1</v>
      </c>
      <c r="E10" s="22">
        <v>643500</v>
      </c>
      <c r="F10" s="30"/>
      <c r="G10" s="30"/>
    </row>
    <row r="11" s="29" customFormat="1" ht="28" spans="1:7">
      <c r="A11" s="30" t="s">
        <v>172</v>
      </c>
      <c r="B11" s="19" t="s">
        <v>484</v>
      </c>
      <c r="C11" s="16" t="s">
        <v>183</v>
      </c>
      <c r="D11" s="23">
        <v>1</v>
      </c>
      <c r="E11" s="24">
        <v>643500</v>
      </c>
      <c r="F11" s="30"/>
      <c r="G11" s="30"/>
    </row>
    <row r="12" s="29" customFormat="1" ht="41" spans="1:7">
      <c r="A12" s="30" t="s">
        <v>172</v>
      </c>
      <c r="B12" s="19" t="s">
        <v>485</v>
      </c>
      <c r="C12" s="20" t="s">
        <v>182</v>
      </c>
      <c r="D12" s="21">
        <v>1</v>
      </c>
      <c r="E12" s="22">
        <v>243243.171171</v>
      </c>
      <c r="F12" s="30"/>
      <c r="G12" s="30"/>
    </row>
    <row r="13" s="29" customFormat="1" spans="1:7">
      <c r="A13" s="30" t="s">
        <v>172</v>
      </c>
      <c r="B13" s="19" t="s">
        <v>485</v>
      </c>
      <c r="C13" s="16" t="s">
        <v>183</v>
      </c>
      <c r="D13" s="23">
        <v>1</v>
      </c>
      <c r="E13" s="24">
        <v>243243.171171</v>
      </c>
      <c r="F13" s="30"/>
      <c r="G13" s="30"/>
    </row>
    <row r="14" s="29" customFormat="1" ht="41" spans="1:7">
      <c r="A14" s="30" t="s">
        <v>172</v>
      </c>
      <c r="B14" s="19" t="s">
        <v>395</v>
      </c>
      <c r="C14" s="20" t="s">
        <v>182</v>
      </c>
      <c r="D14" s="21">
        <v>1</v>
      </c>
      <c r="E14" s="22">
        <v>321621.621622</v>
      </c>
      <c r="F14" s="30"/>
      <c r="G14" s="30"/>
    </row>
    <row r="15" s="29" customFormat="1" spans="1:7">
      <c r="A15" s="30" t="s">
        <v>172</v>
      </c>
      <c r="B15" s="19" t="s">
        <v>395</v>
      </c>
      <c r="C15" s="16" t="s">
        <v>183</v>
      </c>
      <c r="D15" s="23">
        <v>1</v>
      </c>
      <c r="E15" s="24">
        <v>321621.621622</v>
      </c>
      <c r="F15" s="30"/>
      <c r="G15" s="30"/>
    </row>
    <row r="16" s="29" customFormat="1" ht="41" spans="1:7">
      <c r="A16" s="30" t="s">
        <v>172</v>
      </c>
      <c r="B16" s="19" t="s">
        <v>184</v>
      </c>
      <c r="C16" s="20" t="s">
        <v>182</v>
      </c>
      <c r="D16" s="21">
        <v>2</v>
      </c>
      <c r="E16" s="22">
        <v>2953153.576577</v>
      </c>
      <c r="F16" s="30"/>
      <c r="G16" s="30"/>
    </row>
    <row r="17" s="29" customFormat="1" ht="28.75" spans="1:7">
      <c r="A17" s="30" t="s">
        <v>172</v>
      </c>
      <c r="B17" s="19" t="s">
        <v>184</v>
      </c>
      <c r="C17" s="16" t="s">
        <v>183</v>
      </c>
      <c r="D17" s="23">
        <v>2</v>
      </c>
      <c r="E17" s="24">
        <v>2953153.576577</v>
      </c>
      <c r="F17" s="30"/>
      <c r="G17" s="30"/>
    </row>
    <row r="18" s="29" customFormat="1" spans="1:7">
      <c r="A18" s="30" t="s">
        <v>172</v>
      </c>
      <c r="B18" s="25"/>
      <c r="C18" s="25"/>
      <c r="D18" s="25"/>
      <c r="E18" s="25"/>
      <c r="F18" s="30"/>
      <c r="G18" s="30"/>
    </row>
    <row r="19" s="29" customFormat="1" ht="36" spans="1:7">
      <c r="A19" s="30" t="s">
        <v>172</v>
      </c>
      <c r="B19" s="26" t="s">
        <v>189</v>
      </c>
      <c r="C19" s="26" t="s">
        <v>189</v>
      </c>
      <c r="D19" s="26" t="s">
        <v>189</v>
      </c>
      <c r="E19" s="26" t="s">
        <v>189</v>
      </c>
      <c r="F19" s="30"/>
      <c r="G19" s="30"/>
    </row>
    <row r="20" s="29" customFormat="1" spans="1:7">
      <c r="A20" s="30" t="s">
        <v>172</v>
      </c>
      <c r="B20" s="26"/>
      <c r="C20" s="26"/>
      <c r="D20" s="26"/>
      <c r="E20" s="26"/>
      <c r="F20" s="30"/>
      <c r="G20" s="30"/>
    </row>
    <row r="21" s="29" customFormat="1" ht="36" spans="1:7">
      <c r="A21" s="30" t="s">
        <v>172</v>
      </c>
      <c r="B21" s="26" t="s">
        <v>486</v>
      </c>
      <c r="C21" s="26" t="s">
        <v>486</v>
      </c>
      <c r="D21" s="26" t="s">
        <v>486</v>
      </c>
      <c r="E21" s="26" t="s">
        <v>486</v>
      </c>
      <c r="F21" s="30"/>
      <c r="G21" s="30"/>
    </row>
    <row r="22" s="29" customFormat="1" spans="1:7">
      <c r="A22" s="30" t="s">
        <v>172</v>
      </c>
      <c r="B22" s="26" t="s">
        <v>191</v>
      </c>
      <c r="C22" s="26" t="s">
        <v>191</v>
      </c>
      <c r="D22" s="26" t="s">
        <v>191</v>
      </c>
      <c r="E22" s="26" t="s">
        <v>191</v>
      </c>
      <c r="F22" s="30"/>
      <c r="G22" s="30"/>
    </row>
    <row r="23" s="29" customFormat="1" ht="124" spans="1:7">
      <c r="A23" s="30" t="s">
        <v>172</v>
      </c>
      <c r="B23" s="11" t="s">
        <v>173</v>
      </c>
      <c r="C23" s="11" t="s">
        <v>173</v>
      </c>
      <c r="D23" s="11" t="s">
        <v>173</v>
      </c>
      <c r="E23" s="11" t="s">
        <v>173</v>
      </c>
      <c r="F23" s="30"/>
      <c r="G23" s="30"/>
    </row>
    <row r="24" s="29" customFormat="1" ht="156" spans="1:7">
      <c r="A24" s="30" t="s">
        <v>172</v>
      </c>
      <c r="B24" s="12" t="s">
        <v>174</v>
      </c>
      <c r="C24" s="12" t="s">
        <v>174</v>
      </c>
      <c r="D24" s="12" t="s">
        <v>174</v>
      </c>
      <c r="E24" s="12" t="s">
        <v>174</v>
      </c>
      <c r="F24" s="30"/>
      <c r="G24" s="30"/>
    </row>
    <row r="25" s="29" customFormat="1" ht="68" spans="1:7">
      <c r="A25" s="30" t="s">
        <v>172</v>
      </c>
      <c r="B25" s="13" t="s">
        <v>481</v>
      </c>
      <c r="C25" s="13" t="s">
        <v>481</v>
      </c>
      <c r="D25" s="13" t="s">
        <v>481</v>
      </c>
      <c r="E25" s="13" t="s">
        <v>481</v>
      </c>
      <c r="F25" s="30"/>
      <c r="G25" s="30"/>
    </row>
    <row r="26" s="29" customFormat="1" ht="22" spans="1:7">
      <c r="A26" s="30" t="s">
        <v>172</v>
      </c>
      <c r="B26" s="14" t="s">
        <v>176</v>
      </c>
      <c r="C26" s="14" t="s">
        <v>176</v>
      </c>
      <c r="D26" s="14" t="s">
        <v>176</v>
      </c>
      <c r="E26" s="14" t="s">
        <v>176</v>
      </c>
      <c r="F26" s="30"/>
      <c r="G26" s="30"/>
    </row>
    <row r="27" s="29" customFormat="1" spans="1:7">
      <c r="A27" s="30" t="s">
        <v>172</v>
      </c>
      <c r="B27" s="15" t="s">
        <v>177</v>
      </c>
      <c r="C27" s="16" t="s">
        <v>178</v>
      </c>
      <c r="D27" s="17" t="s">
        <v>179</v>
      </c>
      <c r="E27" s="18" t="s">
        <v>180</v>
      </c>
      <c r="F27" s="30"/>
      <c r="G27" s="30"/>
    </row>
    <row r="28" s="29" customFormat="1" ht="41" spans="1:7">
      <c r="A28" s="30" t="s">
        <v>172</v>
      </c>
      <c r="B28" s="19" t="s">
        <v>346</v>
      </c>
      <c r="C28" s="20" t="s">
        <v>182</v>
      </c>
      <c r="D28" s="21">
        <v>2</v>
      </c>
      <c r="E28" s="22">
        <v>2072072.072072</v>
      </c>
      <c r="F28" s="30"/>
      <c r="G28" s="30"/>
    </row>
    <row r="29" s="29" customFormat="1" ht="28" spans="1:7">
      <c r="A29" s="30" t="s">
        <v>172</v>
      </c>
      <c r="B29" s="19" t="s">
        <v>346</v>
      </c>
      <c r="C29" s="16" t="s">
        <v>183</v>
      </c>
      <c r="D29" s="23">
        <v>2</v>
      </c>
      <c r="E29" s="24">
        <v>2072072.072072</v>
      </c>
      <c r="F29" s="30"/>
      <c r="G29" s="30"/>
    </row>
    <row r="30" s="29" customFormat="1" ht="41" spans="1:7">
      <c r="A30" s="30" t="s">
        <v>172</v>
      </c>
      <c r="B30" s="19" t="s">
        <v>397</v>
      </c>
      <c r="C30" s="20" t="s">
        <v>182</v>
      </c>
      <c r="D30" s="21">
        <v>1</v>
      </c>
      <c r="E30" s="22">
        <v>1134234.675676</v>
      </c>
      <c r="F30" s="30"/>
      <c r="G30" s="30"/>
    </row>
    <row r="31" s="29" customFormat="1" ht="28" spans="1:7">
      <c r="A31" s="30" t="s">
        <v>172</v>
      </c>
      <c r="B31" s="19" t="s">
        <v>397</v>
      </c>
      <c r="C31" s="16" t="s">
        <v>183</v>
      </c>
      <c r="D31" s="23">
        <v>1</v>
      </c>
      <c r="E31" s="24">
        <v>1134234.675676</v>
      </c>
      <c r="F31" s="30"/>
      <c r="G31" s="30"/>
    </row>
    <row r="32" s="29" customFormat="1" ht="41" spans="1:7">
      <c r="A32" s="30" t="s">
        <v>172</v>
      </c>
      <c r="B32" s="19" t="s">
        <v>398</v>
      </c>
      <c r="C32" s="20" t="s">
        <v>182</v>
      </c>
      <c r="D32" s="21">
        <v>4</v>
      </c>
      <c r="E32" s="22">
        <v>5520045.207207</v>
      </c>
      <c r="F32" s="30"/>
      <c r="G32" s="30"/>
    </row>
    <row r="33" s="29" customFormat="1" ht="28" spans="1:7">
      <c r="A33" s="30" t="s">
        <v>172</v>
      </c>
      <c r="B33" s="19" t="s">
        <v>398</v>
      </c>
      <c r="C33" s="16" t="s">
        <v>183</v>
      </c>
      <c r="D33" s="23">
        <v>4</v>
      </c>
      <c r="E33" s="24">
        <v>5520045.207207</v>
      </c>
      <c r="F33" s="30"/>
      <c r="G33" s="30"/>
    </row>
    <row r="34" s="29" customFormat="1" ht="41" spans="1:7">
      <c r="A34" s="30" t="s">
        <v>172</v>
      </c>
      <c r="B34" s="19" t="s">
        <v>487</v>
      </c>
      <c r="C34" s="20" t="s">
        <v>182</v>
      </c>
      <c r="D34" s="21">
        <v>1</v>
      </c>
      <c r="E34" s="22">
        <v>262161.990991</v>
      </c>
      <c r="F34" s="30"/>
      <c r="G34" s="30"/>
    </row>
    <row r="35" s="29" customFormat="1" ht="28" spans="1:7">
      <c r="A35" s="30" t="s">
        <v>172</v>
      </c>
      <c r="B35" s="19" t="s">
        <v>487</v>
      </c>
      <c r="C35" s="16" t="s">
        <v>183</v>
      </c>
      <c r="D35" s="23">
        <v>1</v>
      </c>
      <c r="E35" s="24">
        <v>262161.990991</v>
      </c>
      <c r="F35" s="30"/>
      <c r="G35" s="30"/>
    </row>
    <row r="36" s="29" customFormat="1" ht="41" spans="1:7">
      <c r="A36" s="30" t="s">
        <v>172</v>
      </c>
      <c r="B36" s="19" t="s">
        <v>403</v>
      </c>
      <c r="C36" s="20" t="s">
        <v>182</v>
      </c>
      <c r="D36" s="21">
        <v>1</v>
      </c>
      <c r="E36" s="22">
        <v>0</v>
      </c>
      <c r="F36" s="30"/>
      <c r="G36" s="30"/>
    </row>
    <row r="37" s="29" customFormat="1" spans="1:7">
      <c r="A37" s="30" t="s">
        <v>172</v>
      </c>
      <c r="B37" s="19" t="s">
        <v>403</v>
      </c>
      <c r="C37" s="16" t="s">
        <v>183</v>
      </c>
      <c r="D37" s="23">
        <v>1</v>
      </c>
      <c r="E37" s="24">
        <v>0</v>
      </c>
      <c r="F37" s="30"/>
      <c r="G37" s="30"/>
    </row>
    <row r="38" s="29" customFormat="1" ht="41" spans="1:7">
      <c r="A38" s="30" t="s">
        <v>172</v>
      </c>
      <c r="B38" s="19" t="s">
        <v>488</v>
      </c>
      <c r="C38" s="20" t="s">
        <v>182</v>
      </c>
      <c r="D38" s="21">
        <v>1</v>
      </c>
      <c r="E38" s="22">
        <v>0</v>
      </c>
      <c r="F38" s="30"/>
      <c r="G38" s="30"/>
    </row>
    <row r="39" s="29" customFormat="1" ht="17.55" spans="1:7">
      <c r="A39" s="30" t="s">
        <v>172</v>
      </c>
      <c r="B39" s="19" t="s">
        <v>488</v>
      </c>
      <c r="C39" s="16" t="s">
        <v>183</v>
      </c>
      <c r="D39" s="23">
        <v>1</v>
      </c>
      <c r="E39" s="24">
        <v>0</v>
      </c>
      <c r="F39" s="30"/>
      <c r="G39" s="30"/>
    </row>
    <row r="40" s="29" customFormat="1" spans="1:7">
      <c r="A40" s="30" t="s">
        <v>172</v>
      </c>
      <c r="B40" s="25"/>
      <c r="C40" s="25"/>
      <c r="D40" s="25"/>
      <c r="E40" s="25"/>
      <c r="F40" s="30"/>
      <c r="G40" s="30"/>
    </row>
    <row r="41" s="29" customFormat="1" ht="36" spans="1:7">
      <c r="A41" s="30" t="s">
        <v>172</v>
      </c>
      <c r="B41" s="26" t="s">
        <v>189</v>
      </c>
      <c r="C41" s="26" t="s">
        <v>189</v>
      </c>
      <c r="D41" s="26" t="s">
        <v>189</v>
      </c>
      <c r="E41" s="26" t="s">
        <v>189</v>
      </c>
      <c r="F41" s="30"/>
      <c r="G41" s="30"/>
    </row>
    <row r="42" s="29" customFormat="1" spans="1:7">
      <c r="A42" s="30" t="s">
        <v>172</v>
      </c>
      <c r="B42" s="26"/>
      <c r="C42" s="26"/>
      <c r="D42" s="26"/>
      <c r="E42" s="26"/>
      <c r="F42" s="30"/>
      <c r="G42" s="30"/>
    </row>
    <row r="43" s="29" customFormat="1" ht="36" spans="1:7">
      <c r="A43" s="30" t="s">
        <v>172</v>
      </c>
      <c r="B43" s="26" t="s">
        <v>486</v>
      </c>
      <c r="C43" s="26" t="s">
        <v>486</v>
      </c>
      <c r="D43" s="26" t="s">
        <v>486</v>
      </c>
      <c r="E43" s="26" t="s">
        <v>486</v>
      </c>
      <c r="F43" s="30"/>
      <c r="G43" s="30"/>
    </row>
    <row r="44" s="29" customFormat="1" spans="1:7">
      <c r="A44" s="30" t="s">
        <v>172</v>
      </c>
      <c r="B44" s="26" t="s">
        <v>198</v>
      </c>
      <c r="C44" s="26" t="s">
        <v>198</v>
      </c>
      <c r="D44" s="26" t="s">
        <v>198</v>
      </c>
      <c r="E44" s="26" t="s">
        <v>198</v>
      </c>
      <c r="F44" s="30"/>
      <c r="G44" s="30"/>
    </row>
    <row r="45" s="29" customFormat="1" ht="124" spans="1:7">
      <c r="A45" s="30" t="s">
        <v>172</v>
      </c>
      <c r="B45" s="11" t="s">
        <v>173</v>
      </c>
      <c r="C45" s="11" t="s">
        <v>173</v>
      </c>
      <c r="D45" s="11" t="s">
        <v>173</v>
      </c>
      <c r="E45" s="11" t="s">
        <v>173</v>
      </c>
      <c r="F45" s="30"/>
      <c r="G45" s="30"/>
    </row>
    <row r="46" s="29" customFormat="1" ht="156" spans="1:7">
      <c r="A46" s="30" t="s">
        <v>172</v>
      </c>
      <c r="B46" s="12" t="s">
        <v>174</v>
      </c>
      <c r="C46" s="12" t="s">
        <v>174</v>
      </c>
      <c r="D46" s="12" t="s">
        <v>174</v>
      </c>
      <c r="E46" s="12" t="s">
        <v>174</v>
      </c>
      <c r="F46" s="30"/>
      <c r="G46" s="30"/>
    </row>
    <row r="47" s="29" customFormat="1" ht="68" spans="1:7">
      <c r="A47" s="30" t="s">
        <v>172</v>
      </c>
      <c r="B47" s="13" t="s">
        <v>481</v>
      </c>
      <c r="C47" s="13" t="s">
        <v>481</v>
      </c>
      <c r="D47" s="13" t="s">
        <v>481</v>
      </c>
      <c r="E47" s="13" t="s">
        <v>481</v>
      </c>
      <c r="F47" s="30"/>
      <c r="G47" s="30"/>
    </row>
    <row r="48" s="29" customFormat="1" ht="22" spans="1:7">
      <c r="A48" s="30" t="s">
        <v>172</v>
      </c>
      <c r="B48" s="14" t="s">
        <v>176</v>
      </c>
      <c r="C48" s="14" t="s">
        <v>176</v>
      </c>
      <c r="D48" s="14" t="s">
        <v>176</v>
      </c>
      <c r="E48" s="14" t="s">
        <v>176</v>
      </c>
      <c r="F48" s="30"/>
      <c r="G48" s="30"/>
    </row>
    <row r="49" s="29" customFormat="1" spans="1:7">
      <c r="A49" s="30" t="s">
        <v>172</v>
      </c>
      <c r="B49" s="15" t="s">
        <v>177</v>
      </c>
      <c r="C49" s="16" t="s">
        <v>178</v>
      </c>
      <c r="D49" s="17" t="s">
        <v>179</v>
      </c>
      <c r="E49" s="18" t="s">
        <v>180</v>
      </c>
      <c r="F49" s="30"/>
      <c r="G49" s="30"/>
    </row>
    <row r="50" s="29" customFormat="1" ht="41" spans="1:7">
      <c r="A50" s="30" t="s">
        <v>172</v>
      </c>
      <c r="B50" s="19" t="s">
        <v>187</v>
      </c>
      <c r="C50" s="20" t="s">
        <v>182</v>
      </c>
      <c r="D50" s="21">
        <v>1</v>
      </c>
      <c r="E50" s="22">
        <v>90090.09009</v>
      </c>
      <c r="F50" s="30"/>
      <c r="G50" s="30"/>
    </row>
    <row r="51" s="29" customFormat="1" spans="1:7">
      <c r="B51" s="19" t="s">
        <v>187</v>
      </c>
      <c r="C51" s="16" t="s">
        <v>183</v>
      </c>
      <c r="D51" s="23">
        <v>1</v>
      </c>
      <c r="E51" s="24">
        <v>90090.09009</v>
      </c>
    </row>
    <row r="52" s="29" customFormat="1" ht="41" spans="1:7">
      <c r="B52" s="19" t="s">
        <v>188</v>
      </c>
      <c r="C52" s="20" t="s">
        <v>182</v>
      </c>
      <c r="D52" s="21">
        <v>1</v>
      </c>
      <c r="E52" s="22">
        <v>86486.486486</v>
      </c>
    </row>
    <row r="53" s="29" customFormat="1" ht="28" spans="1:7">
      <c r="B53" s="19" t="s">
        <v>188</v>
      </c>
      <c r="C53" s="16" t="s">
        <v>183</v>
      </c>
      <c r="D53" s="23">
        <v>1</v>
      </c>
      <c r="E53" s="24">
        <v>86486.486486</v>
      </c>
    </row>
    <row r="54" s="29" customFormat="1" ht="41" spans="1:7">
      <c r="B54" s="19" t="s">
        <v>407</v>
      </c>
      <c r="C54" s="20" t="s">
        <v>182</v>
      </c>
      <c r="D54" s="21">
        <v>2</v>
      </c>
      <c r="E54" s="22">
        <v>158558.558559</v>
      </c>
    </row>
    <row r="55" s="29" customFormat="1" ht="28" spans="1:7">
      <c r="B55" s="19" t="s">
        <v>407</v>
      </c>
      <c r="C55" s="16" t="s">
        <v>183</v>
      </c>
      <c r="D55" s="23">
        <v>2</v>
      </c>
      <c r="E55" s="24">
        <v>158558.558559</v>
      </c>
    </row>
    <row r="56" s="29" customFormat="1" ht="41" spans="1:7">
      <c r="B56" s="19" t="s">
        <v>193</v>
      </c>
      <c r="C56" s="20" t="s">
        <v>182</v>
      </c>
      <c r="D56" s="21">
        <v>2</v>
      </c>
      <c r="E56" s="22">
        <v>520719.990991</v>
      </c>
    </row>
    <row r="57" s="29" customFormat="1" ht="28" spans="1:7">
      <c r="B57" s="19" t="s">
        <v>193</v>
      </c>
      <c r="C57" s="16" t="s">
        <v>183</v>
      </c>
      <c r="D57" s="23">
        <v>2</v>
      </c>
      <c r="E57" s="24">
        <v>520719.990991</v>
      </c>
    </row>
    <row r="58" s="29" customFormat="1" ht="41" spans="1:7">
      <c r="B58" s="19" t="s">
        <v>408</v>
      </c>
      <c r="C58" s="20" t="s">
        <v>182</v>
      </c>
      <c r="D58" s="21">
        <v>4</v>
      </c>
      <c r="E58" s="22">
        <v>25224.918919</v>
      </c>
    </row>
    <row r="59" s="29" customFormat="1" ht="28" spans="1:7">
      <c r="B59" s="19" t="s">
        <v>408</v>
      </c>
      <c r="C59" s="16" t="s">
        <v>183</v>
      </c>
      <c r="D59" s="23">
        <v>4</v>
      </c>
      <c r="E59" s="24">
        <v>25224.918919</v>
      </c>
    </row>
    <row r="60" s="29" customFormat="1" ht="41" spans="1:7">
      <c r="B60" s="19" t="s">
        <v>352</v>
      </c>
      <c r="C60" s="20" t="s">
        <v>182</v>
      </c>
      <c r="D60" s="21">
        <v>1</v>
      </c>
      <c r="E60" s="22">
        <v>6306</v>
      </c>
    </row>
    <row r="61" s="29" customFormat="1" ht="28.75" spans="1:7">
      <c r="B61" s="19" t="s">
        <v>352</v>
      </c>
      <c r="C61" s="16" t="s">
        <v>183</v>
      </c>
      <c r="D61" s="23">
        <v>1</v>
      </c>
      <c r="E61" s="24">
        <v>6306</v>
      </c>
    </row>
    <row r="62" s="29" customFormat="1" spans="1:7">
      <c r="B62" s="25"/>
      <c r="C62" s="25"/>
      <c r="D62" s="25"/>
      <c r="E62" s="25"/>
    </row>
    <row r="63" s="29" customFormat="1" ht="36" spans="1:7">
      <c r="B63" s="26" t="s">
        <v>189</v>
      </c>
      <c r="C63" s="26" t="s">
        <v>189</v>
      </c>
      <c r="D63" s="26" t="s">
        <v>189</v>
      </c>
      <c r="E63" s="26" t="s">
        <v>189</v>
      </c>
    </row>
    <row r="64" s="29" customFormat="1" spans="1:7">
      <c r="B64" s="26"/>
      <c r="C64" s="26"/>
      <c r="D64" s="26"/>
      <c r="E64" s="26"/>
    </row>
    <row r="65" s="29" customFormat="1" ht="36" spans="2:5">
      <c r="B65" s="26" t="s">
        <v>486</v>
      </c>
      <c r="C65" s="26" t="s">
        <v>486</v>
      </c>
      <c r="D65" s="26" t="s">
        <v>486</v>
      </c>
      <c r="E65" s="26" t="s">
        <v>486</v>
      </c>
    </row>
    <row r="66" s="29" customFormat="1" spans="2:5">
      <c r="B66" s="26" t="s">
        <v>205</v>
      </c>
      <c r="C66" s="26" t="s">
        <v>205</v>
      </c>
      <c r="D66" s="26" t="s">
        <v>205</v>
      </c>
      <c r="E66" s="26" t="s">
        <v>205</v>
      </c>
    </row>
    <row r="67" s="29" customFormat="1" ht="124" spans="2:5">
      <c r="B67" s="11" t="s">
        <v>173</v>
      </c>
      <c r="C67" s="11" t="s">
        <v>173</v>
      </c>
      <c r="D67" s="11" t="s">
        <v>173</v>
      </c>
      <c r="E67" s="11" t="s">
        <v>173</v>
      </c>
    </row>
    <row r="68" s="29" customFormat="1" ht="156" spans="2:5">
      <c r="B68" s="12" t="s">
        <v>174</v>
      </c>
      <c r="C68" s="12" t="s">
        <v>174</v>
      </c>
      <c r="D68" s="12" t="s">
        <v>174</v>
      </c>
      <c r="E68" s="12" t="s">
        <v>174</v>
      </c>
    </row>
    <row r="69" s="29" customFormat="1" ht="68" spans="2:5">
      <c r="B69" s="13" t="s">
        <v>481</v>
      </c>
      <c r="C69" s="13" t="s">
        <v>481</v>
      </c>
      <c r="D69" s="13" t="s">
        <v>481</v>
      </c>
      <c r="E69" s="13" t="s">
        <v>481</v>
      </c>
    </row>
    <row r="70" s="29" customFormat="1" ht="22" spans="2:5">
      <c r="B70" s="14" t="s">
        <v>176</v>
      </c>
      <c r="C70" s="14" t="s">
        <v>176</v>
      </c>
      <c r="D70" s="14" t="s">
        <v>176</v>
      </c>
      <c r="E70" s="14" t="s">
        <v>176</v>
      </c>
    </row>
    <row r="71" s="29" customFormat="1" spans="2:5">
      <c r="B71" s="15" t="s">
        <v>177</v>
      </c>
      <c r="C71" s="16" t="s">
        <v>178</v>
      </c>
      <c r="D71" s="17" t="s">
        <v>179</v>
      </c>
      <c r="E71" s="18" t="s">
        <v>180</v>
      </c>
    </row>
    <row r="72" s="29" customFormat="1" ht="41" spans="2:5">
      <c r="B72" s="19" t="s">
        <v>409</v>
      </c>
      <c r="C72" s="20" t="s">
        <v>182</v>
      </c>
      <c r="D72" s="21">
        <v>2</v>
      </c>
      <c r="E72" s="22">
        <v>12612.612613</v>
      </c>
    </row>
    <row r="73" s="29" customFormat="1" ht="28" spans="2:5">
      <c r="B73" s="19" t="s">
        <v>409</v>
      </c>
      <c r="C73" s="16" t="s">
        <v>183</v>
      </c>
      <c r="D73" s="23">
        <v>2</v>
      </c>
      <c r="E73" s="24">
        <v>12612.612613</v>
      </c>
    </row>
    <row r="74" s="29" customFormat="1" ht="41" spans="2:5">
      <c r="B74" s="19" t="s">
        <v>489</v>
      </c>
      <c r="C74" s="20" t="s">
        <v>182</v>
      </c>
      <c r="D74" s="21">
        <v>3</v>
      </c>
      <c r="E74" s="22">
        <v>70270.27027</v>
      </c>
    </row>
    <row r="75" s="29" customFormat="1" ht="28" spans="2:5">
      <c r="B75" s="19" t="s">
        <v>489</v>
      </c>
      <c r="C75" s="16" t="s">
        <v>183</v>
      </c>
      <c r="D75" s="23">
        <v>3</v>
      </c>
      <c r="E75" s="24">
        <v>70270.27027</v>
      </c>
    </row>
    <row r="76" s="29" customFormat="1" ht="41" spans="2:5">
      <c r="B76" s="19" t="s">
        <v>353</v>
      </c>
      <c r="C76" s="20" t="s">
        <v>182</v>
      </c>
      <c r="D76" s="21">
        <v>2</v>
      </c>
      <c r="E76" s="22">
        <v>32432.783784</v>
      </c>
    </row>
    <row r="77" s="29" customFormat="1" ht="28" spans="2:5">
      <c r="B77" s="19" t="s">
        <v>353</v>
      </c>
      <c r="C77" s="16" t="s">
        <v>183</v>
      </c>
      <c r="D77" s="23">
        <v>2</v>
      </c>
      <c r="E77" s="24">
        <v>32432.783784</v>
      </c>
    </row>
    <row r="78" s="29" customFormat="1" ht="41" spans="2:5">
      <c r="B78" s="19" t="s">
        <v>354</v>
      </c>
      <c r="C78" s="20" t="s">
        <v>182</v>
      </c>
      <c r="D78" s="21">
        <v>4</v>
      </c>
      <c r="E78" s="22">
        <v>18018.018018</v>
      </c>
    </row>
    <row r="79" s="29" customFormat="1" ht="28" spans="2:5">
      <c r="B79" s="19" t="s">
        <v>354</v>
      </c>
      <c r="C79" s="16" t="s">
        <v>183</v>
      </c>
      <c r="D79" s="23">
        <v>4</v>
      </c>
      <c r="E79" s="24">
        <v>18018.018018</v>
      </c>
    </row>
    <row r="80" s="29" customFormat="1" ht="41" spans="2:5">
      <c r="B80" s="19" t="s">
        <v>194</v>
      </c>
      <c r="C80" s="20" t="s">
        <v>182</v>
      </c>
      <c r="D80" s="21">
        <v>31</v>
      </c>
      <c r="E80" s="22">
        <v>43242.828829</v>
      </c>
    </row>
    <row r="81" s="29" customFormat="1" spans="2:5">
      <c r="B81" s="19" t="s">
        <v>194</v>
      </c>
      <c r="C81" s="16" t="s">
        <v>183</v>
      </c>
      <c r="D81" s="23">
        <v>31</v>
      </c>
      <c r="E81" s="24">
        <v>43242.828829</v>
      </c>
    </row>
    <row r="82" s="29" customFormat="1" ht="41" spans="2:5">
      <c r="B82" s="19" t="s">
        <v>195</v>
      </c>
      <c r="C82" s="20" t="s">
        <v>182</v>
      </c>
      <c r="D82" s="21">
        <v>20</v>
      </c>
      <c r="E82" s="22">
        <v>41441.441441</v>
      </c>
    </row>
    <row r="83" s="29" customFormat="1" ht="17.55" spans="2:5">
      <c r="B83" s="19" t="s">
        <v>195</v>
      </c>
      <c r="C83" s="16" t="s">
        <v>183</v>
      </c>
      <c r="D83" s="23">
        <v>20</v>
      </c>
      <c r="E83" s="24">
        <v>41441.441441</v>
      </c>
    </row>
    <row r="84" s="29" customFormat="1" spans="2:5">
      <c r="B84" s="25"/>
      <c r="C84" s="25"/>
      <c r="D84" s="25"/>
      <c r="E84" s="25"/>
    </row>
    <row r="85" s="29" customFormat="1" ht="36" spans="2:5">
      <c r="B85" s="26" t="s">
        <v>189</v>
      </c>
      <c r="C85" s="26" t="s">
        <v>189</v>
      </c>
      <c r="D85" s="26" t="s">
        <v>189</v>
      </c>
      <c r="E85" s="26" t="s">
        <v>189</v>
      </c>
    </row>
    <row r="86" s="29" customFormat="1" spans="2:5">
      <c r="B86" s="26"/>
      <c r="C86" s="26"/>
      <c r="D86" s="26"/>
      <c r="E86" s="26"/>
    </row>
    <row r="87" s="29" customFormat="1" ht="36" spans="2:5">
      <c r="B87" s="26" t="s">
        <v>486</v>
      </c>
      <c r="C87" s="26" t="s">
        <v>486</v>
      </c>
      <c r="D87" s="26" t="s">
        <v>486</v>
      </c>
      <c r="E87" s="26" t="s">
        <v>486</v>
      </c>
    </row>
    <row r="88" s="29" customFormat="1" spans="2:5">
      <c r="B88" s="26" t="s">
        <v>212</v>
      </c>
      <c r="C88" s="26" t="s">
        <v>212</v>
      </c>
      <c r="D88" s="26" t="s">
        <v>212</v>
      </c>
      <c r="E88" s="26" t="s">
        <v>212</v>
      </c>
    </row>
    <row r="89" s="29" customFormat="1" ht="124" spans="2:5">
      <c r="B89" s="11" t="s">
        <v>173</v>
      </c>
      <c r="C89" s="11" t="s">
        <v>173</v>
      </c>
      <c r="D89" s="11" t="s">
        <v>173</v>
      </c>
      <c r="E89" s="11" t="s">
        <v>173</v>
      </c>
    </row>
    <row r="90" s="29" customFormat="1" ht="156" spans="2:5">
      <c r="B90" s="12" t="s">
        <v>174</v>
      </c>
      <c r="C90" s="12" t="s">
        <v>174</v>
      </c>
      <c r="D90" s="12" t="s">
        <v>174</v>
      </c>
      <c r="E90" s="12" t="s">
        <v>174</v>
      </c>
    </row>
    <row r="91" s="29" customFormat="1" ht="68" spans="2:5">
      <c r="B91" s="13" t="s">
        <v>481</v>
      </c>
      <c r="C91" s="13" t="s">
        <v>481</v>
      </c>
      <c r="D91" s="13" t="s">
        <v>481</v>
      </c>
      <c r="E91" s="13" t="s">
        <v>481</v>
      </c>
    </row>
    <row r="92" s="29" customFormat="1" ht="22" spans="2:5">
      <c r="B92" s="14" t="s">
        <v>176</v>
      </c>
      <c r="C92" s="14" t="s">
        <v>176</v>
      </c>
      <c r="D92" s="14" t="s">
        <v>176</v>
      </c>
      <c r="E92" s="14" t="s">
        <v>176</v>
      </c>
    </row>
    <row r="93" s="29" customFormat="1" spans="2:5">
      <c r="B93" s="15" t="s">
        <v>177</v>
      </c>
      <c r="C93" s="16" t="s">
        <v>178</v>
      </c>
      <c r="D93" s="17" t="s">
        <v>179</v>
      </c>
      <c r="E93" s="18" t="s">
        <v>180</v>
      </c>
    </row>
    <row r="94" s="29" customFormat="1" ht="41" spans="2:5">
      <c r="B94" s="19" t="s">
        <v>196</v>
      </c>
      <c r="C94" s="20" t="s">
        <v>182</v>
      </c>
      <c r="D94" s="21">
        <v>3</v>
      </c>
      <c r="E94" s="22">
        <v>0</v>
      </c>
    </row>
    <row r="95" s="29" customFormat="1" spans="2:5">
      <c r="B95" s="19" t="s">
        <v>196</v>
      </c>
      <c r="C95" s="16" t="s">
        <v>183</v>
      </c>
      <c r="D95" s="23">
        <v>3</v>
      </c>
      <c r="E95" s="24">
        <v>0</v>
      </c>
    </row>
    <row r="96" s="29" customFormat="1" ht="41" spans="2:5">
      <c r="B96" s="19" t="s">
        <v>197</v>
      </c>
      <c r="C96" s="20" t="s">
        <v>182</v>
      </c>
      <c r="D96" s="21">
        <v>4</v>
      </c>
      <c r="E96" s="22">
        <v>0</v>
      </c>
    </row>
    <row r="97" s="29" customFormat="1" spans="2:5">
      <c r="B97" s="19" t="s">
        <v>197</v>
      </c>
      <c r="C97" s="16" t="s">
        <v>183</v>
      </c>
      <c r="D97" s="23">
        <v>4</v>
      </c>
      <c r="E97" s="24">
        <v>0</v>
      </c>
    </row>
    <row r="98" s="29" customFormat="1" ht="41" spans="2:5">
      <c r="B98" s="19" t="s">
        <v>199</v>
      </c>
      <c r="C98" s="20" t="s">
        <v>182</v>
      </c>
      <c r="D98" s="21">
        <v>69</v>
      </c>
      <c r="E98" s="22">
        <v>43243.243243</v>
      </c>
    </row>
    <row r="99" s="29" customFormat="1" spans="2:5">
      <c r="B99" s="19" t="s">
        <v>199</v>
      </c>
      <c r="C99" s="16" t="s">
        <v>183</v>
      </c>
      <c r="D99" s="23">
        <v>69</v>
      </c>
      <c r="E99" s="24">
        <v>43243.243243</v>
      </c>
    </row>
    <row r="100" s="29" customFormat="1" ht="41" spans="2:5">
      <c r="B100" s="19" t="s">
        <v>200</v>
      </c>
      <c r="C100" s="20" t="s">
        <v>182</v>
      </c>
      <c r="D100" s="21">
        <v>10</v>
      </c>
      <c r="E100" s="22">
        <v>0</v>
      </c>
    </row>
    <row r="101" s="29" customFormat="1" spans="2:5">
      <c r="B101" s="19" t="s">
        <v>200</v>
      </c>
      <c r="C101" s="16" t="s">
        <v>183</v>
      </c>
      <c r="D101" s="23">
        <v>10</v>
      </c>
      <c r="E101" s="24">
        <v>0</v>
      </c>
    </row>
    <row r="102" s="29" customFormat="1" ht="41" spans="2:5">
      <c r="B102" s="19" t="s">
        <v>355</v>
      </c>
      <c r="C102" s="20" t="s">
        <v>182</v>
      </c>
      <c r="D102" s="21">
        <v>1</v>
      </c>
      <c r="E102" s="22">
        <v>0</v>
      </c>
    </row>
    <row r="103" s="29" customFormat="1" spans="2:5">
      <c r="B103" s="19" t="s">
        <v>355</v>
      </c>
      <c r="C103" s="16" t="s">
        <v>183</v>
      </c>
      <c r="D103" s="23">
        <v>1</v>
      </c>
      <c r="E103" s="24">
        <v>0</v>
      </c>
    </row>
    <row r="104" s="29" customFormat="1" ht="41" spans="2:5">
      <c r="B104" s="19" t="s">
        <v>490</v>
      </c>
      <c r="C104" s="20" t="s">
        <v>182</v>
      </c>
      <c r="D104" s="21">
        <v>1</v>
      </c>
      <c r="E104" s="22">
        <v>0</v>
      </c>
    </row>
    <row r="105" s="29" customFormat="1" ht="17.55" spans="2:5">
      <c r="B105" s="19" t="s">
        <v>490</v>
      </c>
      <c r="C105" s="16" t="s">
        <v>183</v>
      </c>
      <c r="D105" s="23">
        <v>1</v>
      </c>
      <c r="E105" s="24">
        <v>0</v>
      </c>
    </row>
    <row r="106" s="29" customFormat="1" spans="2:5">
      <c r="B106" s="25"/>
      <c r="C106" s="25"/>
      <c r="D106" s="25"/>
      <c r="E106" s="25"/>
    </row>
    <row r="107" s="29" customFormat="1" ht="36" spans="2:5">
      <c r="B107" s="26" t="s">
        <v>189</v>
      </c>
      <c r="C107" s="26" t="s">
        <v>189</v>
      </c>
      <c r="D107" s="26" t="s">
        <v>189</v>
      </c>
      <c r="E107" s="26" t="s">
        <v>189</v>
      </c>
    </row>
    <row r="108" s="29" customFormat="1" spans="2:5">
      <c r="B108" s="26"/>
      <c r="C108" s="26"/>
      <c r="D108" s="26"/>
      <c r="E108" s="26"/>
    </row>
    <row r="109" s="29" customFormat="1" ht="36" spans="2:5">
      <c r="B109" s="26" t="s">
        <v>486</v>
      </c>
      <c r="C109" s="26" t="s">
        <v>486</v>
      </c>
      <c r="D109" s="26" t="s">
        <v>486</v>
      </c>
      <c r="E109" s="26" t="s">
        <v>486</v>
      </c>
    </row>
    <row r="110" s="29" customFormat="1" spans="2:5">
      <c r="B110" s="26" t="s">
        <v>219</v>
      </c>
      <c r="C110" s="26" t="s">
        <v>219</v>
      </c>
      <c r="D110" s="26" t="s">
        <v>219</v>
      </c>
      <c r="E110" s="26" t="s">
        <v>219</v>
      </c>
    </row>
    <row r="111" s="29" customFormat="1" ht="124" spans="2:5">
      <c r="B111" s="11" t="s">
        <v>173</v>
      </c>
      <c r="C111" s="11" t="s">
        <v>173</v>
      </c>
      <c r="D111" s="11" t="s">
        <v>173</v>
      </c>
      <c r="E111" s="11" t="s">
        <v>173</v>
      </c>
    </row>
    <row r="112" s="29" customFormat="1" ht="156" spans="2:5">
      <c r="B112" s="12" t="s">
        <v>174</v>
      </c>
      <c r="C112" s="12" t="s">
        <v>174</v>
      </c>
      <c r="D112" s="12" t="s">
        <v>174</v>
      </c>
      <c r="E112" s="12" t="s">
        <v>174</v>
      </c>
    </row>
    <row r="113" s="29" customFormat="1" ht="68" spans="2:5">
      <c r="B113" s="13" t="s">
        <v>481</v>
      </c>
      <c r="C113" s="13" t="s">
        <v>481</v>
      </c>
      <c r="D113" s="13" t="s">
        <v>481</v>
      </c>
      <c r="E113" s="13" t="s">
        <v>481</v>
      </c>
    </row>
    <row r="114" s="29" customFormat="1" ht="22" spans="2:5">
      <c r="B114" s="14" t="s">
        <v>176</v>
      </c>
      <c r="C114" s="14" t="s">
        <v>176</v>
      </c>
      <c r="D114" s="14" t="s">
        <v>176</v>
      </c>
      <c r="E114" s="14" t="s">
        <v>176</v>
      </c>
    </row>
    <row r="115" s="29" customFormat="1" spans="2:5">
      <c r="B115" s="15" t="s">
        <v>177</v>
      </c>
      <c r="C115" s="16" t="s">
        <v>178</v>
      </c>
      <c r="D115" s="17" t="s">
        <v>179</v>
      </c>
      <c r="E115" s="18" t="s">
        <v>180</v>
      </c>
    </row>
    <row r="116" s="29" customFormat="1" ht="41" spans="2:5">
      <c r="B116" s="19" t="s">
        <v>411</v>
      </c>
      <c r="C116" s="20" t="s">
        <v>182</v>
      </c>
      <c r="D116" s="21">
        <v>4</v>
      </c>
      <c r="E116" s="22">
        <v>72072</v>
      </c>
    </row>
    <row r="117" s="29" customFormat="1" ht="28" spans="2:5">
      <c r="B117" s="19" t="s">
        <v>411</v>
      </c>
      <c r="C117" s="16" t="s">
        <v>183</v>
      </c>
      <c r="D117" s="23">
        <v>4</v>
      </c>
      <c r="E117" s="24">
        <v>72072</v>
      </c>
    </row>
    <row r="118" s="29" customFormat="1" ht="41" spans="2:5">
      <c r="B118" s="19" t="s">
        <v>202</v>
      </c>
      <c r="C118" s="20" t="s">
        <v>182</v>
      </c>
      <c r="D118" s="21">
        <v>4</v>
      </c>
      <c r="E118" s="22">
        <v>472072.072072</v>
      </c>
    </row>
    <row r="119" s="29" customFormat="1" ht="28" spans="2:5">
      <c r="B119" s="19" t="s">
        <v>202</v>
      </c>
      <c r="C119" s="16" t="s">
        <v>183</v>
      </c>
      <c r="D119" s="23">
        <v>4</v>
      </c>
      <c r="E119" s="24">
        <v>472072.072072</v>
      </c>
    </row>
    <row r="120" s="29" customFormat="1" ht="41" spans="2:5">
      <c r="B120" s="19" t="s">
        <v>357</v>
      </c>
      <c r="C120" s="20" t="s">
        <v>182</v>
      </c>
      <c r="D120" s="21">
        <v>6</v>
      </c>
      <c r="E120" s="22">
        <v>648648.522522</v>
      </c>
    </row>
    <row r="121" s="29" customFormat="1" ht="28" spans="2:5">
      <c r="B121" s="19" t="s">
        <v>357</v>
      </c>
      <c r="C121" s="16" t="s">
        <v>183</v>
      </c>
      <c r="D121" s="23">
        <v>6</v>
      </c>
      <c r="E121" s="24">
        <v>648648.522522</v>
      </c>
    </row>
    <row r="122" s="29" customFormat="1" ht="41" spans="2:5">
      <c r="B122" s="19" t="s">
        <v>491</v>
      </c>
      <c r="C122" s="20" t="s">
        <v>182</v>
      </c>
      <c r="D122" s="21">
        <v>4</v>
      </c>
      <c r="E122" s="22">
        <v>133333.333333</v>
      </c>
    </row>
    <row r="123" s="29" customFormat="1" ht="28" spans="2:5">
      <c r="B123" s="19" t="s">
        <v>491</v>
      </c>
      <c r="C123" s="16" t="s">
        <v>183</v>
      </c>
      <c r="D123" s="23">
        <v>4</v>
      </c>
      <c r="E123" s="24">
        <v>133333.333333</v>
      </c>
    </row>
    <row r="124" s="29" customFormat="1" ht="41" spans="2:5">
      <c r="B124" s="19" t="s">
        <v>412</v>
      </c>
      <c r="C124" s="20" t="s">
        <v>182</v>
      </c>
      <c r="D124" s="21">
        <v>27</v>
      </c>
      <c r="E124" s="22">
        <v>583783.783781</v>
      </c>
    </row>
    <row r="125" s="29" customFormat="1" ht="28" spans="2:5">
      <c r="B125" s="19" t="s">
        <v>412</v>
      </c>
      <c r="C125" s="16" t="s">
        <v>183</v>
      </c>
      <c r="D125" s="23">
        <v>27</v>
      </c>
      <c r="E125" s="24">
        <v>583783.783781</v>
      </c>
    </row>
    <row r="126" s="29" customFormat="1" ht="41" spans="2:5">
      <c r="B126" s="19" t="s">
        <v>492</v>
      </c>
      <c r="C126" s="20" t="s">
        <v>182</v>
      </c>
      <c r="D126" s="21">
        <v>9</v>
      </c>
      <c r="E126" s="22">
        <v>972972.648648</v>
      </c>
    </row>
    <row r="127" s="29" customFormat="1" ht="28.75" spans="2:5">
      <c r="B127" s="19" t="s">
        <v>492</v>
      </c>
      <c r="C127" s="16" t="s">
        <v>183</v>
      </c>
      <c r="D127" s="23">
        <v>9</v>
      </c>
      <c r="E127" s="24">
        <v>972972.648648</v>
      </c>
    </row>
    <row r="128" s="29" customFormat="1" spans="2:5">
      <c r="B128" s="25"/>
      <c r="C128" s="25"/>
      <c r="D128" s="25"/>
      <c r="E128" s="25"/>
    </row>
    <row r="129" s="29" customFormat="1" ht="36" spans="2:5">
      <c r="B129" s="26" t="s">
        <v>189</v>
      </c>
      <c r="C129" s="26" t="s">
        <v>189</v>
      </c>
      <c r="D129" s="26" t="s">
        <v>189</v>
      </c>
      <c r="E129" s="26" t="s">
        <v>189</v>
      </c>
    </row>
    <row r="130" s="29" customFormat="1" spans="2:5">
      <c r="B130" s="26"/>
      <c r="C130" s="26"/>
      <c r="D130" s="26"/>
      <c r="E130" s="26"/>
    </row>
    <row r="131" s="29" customFormat="1" ht="36" spans="2:5">
      <c r="B131" s="26" t="s">
        <v>486</v>
      </c>
      <c r="C131" s="26" t="s">
        <v>486</v>
      </c>
      <c r="D131" s="26" t="s">
        <v>486</v>
      </c>
      <c r="E131" s="26" t="s">
        <v>486</v>
      </c>
    </row>
    <row r="132" s="29" customFormat="1" spans="2:5">
      <c r="B132" s="26" t="s">
        <v>226</v>
      </c>
      <c r="C132" s="26" t="s">
        <v>226</v>
      </c>
      <c r="D132" s="26" t="s">
        <v>226</v>
      </c>
      <c r="E132" s="26" t="s">
        <v>226</v>
      </c>
    </row>
    <row r="133" s="29" customFormat="1" ht="124" spans="2:5">
      <c r="B133" s="11" t="s">
        <v>173</v>
      </c>
      <c r="C133" s="11" t="s">
        <v>173</v>
      </c>
      <c r="D133" s="11" t="s">
        <v>173</v>
      </c>
      <c r="E133" s="11" t="s">
        <v>173</v>
      </c>
    </row>
    <row r="134" s="29" customFormat="1" ht="156" spans="2:5">
      <c r="B134" s="12" t="s">
        <v>174</v>
      </c>
      <c r="C134" s="12" t="s">
        <v>174</v>
      </c>
      <c r="D134" s="12" t="s">
        <v>174</v>
      </c>
      <c r="E134" s="12" t="s">
        <v>174</v>
      </c>
    </row>
    <row r="135" s="29" customFormat="1" ht="68" spans="2:5">
      <c r="B135" s="13" t="s">
        <v>481</v>
      </c>
      <c r="C135" s="13" t="s">
        <v>481</v>
      </c>
      <c r="D135" s="13" t="s">
        <v>481</v>
      </c>
      <c r="E135" s="13" t="s">
        <v>481</v>
      </c>
    </row>
    <row r="136" s="29" customFormat="1" ht="22" spans="2:5">
      <c r="B136" s="14" t="s">
        <v>176</v>
      </c>
      <c r="C136" s="14" t="s">
        <v>176</v>
      </c>
      <c r="D136" s="14" t="s">
        <v>176</v>
      </c>
      <c r="E136" s="14" t="s">
        <v>176</v>
      </c>
    </row>
    <row r="137" s="29" customFormat="1" spans="2:5">
      <c r="B137" s="15" t="s">
        <v>177</v>
      </c>
      <c r="C137" s="16" t="s">
        <v>178</v>
      </c>
      <c r="D137" s="17" t="s">
        <v>179</v>
      </c>
      <c r="E137" s="18" t="s">
        <v>180</v>
      </c>
    </row>
    <row r="138" s="29" customFormat="1" ht="41" spans="2:5">
      <c r="B138" s="19" t="s">
        <v>413</v>
      </c>
      <c r="C138" s="20" t="s">
        <v>182</v>
      </c>
      <c r="D138" s="21">
        <v>4</v>
      </c>
      <c r="E138" s="22">
        <v>497297.297297</v>
      </c>
    </row>
    <row r="139" s="29" customFormat="1" ht="28" spans="2:5">
      <c r="B139" s="19" t="s">
        <v>413</v>
      </c>
      <c r="C139" s="16" t="s">
        <v>183</v>
      </c>
      <c r="D139" s="23">
        <v>4</v>
      </c>
      <c r="E139" s="24">
        <v>497297.297297</v>
      </c>
    </row>
    <row r="140" s="29" customFormat="1" ht="41" spans="2:5">
      <c r="B140" s="19" t="s">
        <v>414</v>
      </c>
      <c r="C140" s="20" t="s">
        <v>182</v>
      </c>
      <c r="D140" s="21">
        <v>8</v>
      </c>
      <c r="E140" s="22">
        <v>540540.54054</v>
      </c>
    </row>
    <row r="141" s="29" customFormat="1" ht="28" spans="2:5">
      <c r="B141" s="19" t="s">
        <v>414</v>
      </c>
      <c r="C141" s="16" t="s">
        <v>183</v>
      </c>
      <c r="D141" s="23">
        <v>8</v>
      </c>
      <c r="E141" s="24">
        <v>540540.54054</v>
      </c>
    </row>
    <row r="142" s="29" customFormat="1" ht="41" spans="2:5">
      <c r="B142" s="19" t="s">
        <v>204</v>
      </c>
      <c r="C142" s="20" t="s">
        <v>182</v>
      </c>
      <c r="D142" s="21">
        <v>2</v>
      </c>
      <c r="E142" s="22">
        <v>80270.252253</v>
      </c>
    </row>
    <row r="143" s="29" customFormat="1" ht="28" spans="2:5">
      <c r="B143" s="19" t="s">
        <v>204</v>
      </c>
      <c r="C143" s="16" t="s">
        <v>183</v>
      </c>
      <c r="D143" s="23">
        <v>2</v>
      </c>
      <c r="E143" s="24">
        <v>80270.252253</v>
      </c>
    </row>
    <row r="144" s="29" customFormat="1" ht="41" spans="2:5">
      <c r="B144" s="19" t="s">
        <v>358</v>
      </c>
      <c r="C144" s="20" t="s">
        <v>182</v>
      </c>
      <c r="D144" s="21">
        <v>1</v>
      </c>
      <c r="E144" s="22">
        <v>38738.621622</v>
      </c>
    </row>
    <row r="145" s="29" customFormat="1" ht="28" spans="2:5">
      <c r="B145" s="19" t="s">
        <v>358</v>
      </c>
      <c r="C145" s="16" t="s">
        <v>183</v>
      </c>
      <c r="D145" s="23">
        <v>1</v>
      </c>
      <c r="E145" s="24">
        <v>38738.621622</v>
      </c>
    </row>
    <row r="146" s="29" customFormat="1" ht="41" spans="2:5">
      <c r="B146" s="19" t="s">
        <v>359</v>
      </c>
      <c r="C146" s="20" t="s">
        <v>182</v>
      </c>
      <c r="D146" s="21">
        <v>4</v>
      </c>
      <c r="E146" s="22">
        <v>145135.135135</v>
      </c>
    </row>
    <row r="147" s="29" customFormat="1" ht="28" spans="2:5">
      <c r="B147" s="19" t="s">
        <v>359</v>
      </c>
      <c r="C147" s="16" t="s">
        <v>183</v>
      </c>
      <c r="D147" s="23">
        <v>4</v>
      </c>
      <c r="E147" s="24">
        <v>145135.135135</v>
      </c>
    </row>
    <row r="148" s="29" customFormat="1" ht="41" spans="2:5">
      <c r="B148" s="19" t="s">
        <v>206</v>
      </c>
      <c r="C148" s="20" t="s">
        <v>182</v>
      </c>
      <c r="D148" s="21">
        <v>1</v>
      </c>
      <c r="E148" s="22">
        <v>45945.945946</v>
      </c>
    </row>
    <row r="149" s="29" customFormat="1" ht="28.75" spans="2:5">
      <c r="B149" s="19" t="s">
        <v>206</v>
      </c>
      <c r="C149" s="16" t="s">
        <v>183</v>
      </c>
      <c r="D149" s="23">
        <v>1</v>
      </c>
      <c r="E149" s="24">
        <v>45945.945946</v>
      </c>
    </row>
    <row r="150" s="29" customFormat="1" spans="2:5">
      <c r="B150" s="25"/>
      <c r="C150" s="25"/>
      <c r="D150" s="25"/>
      <c r="E150" s="25"/>
    </row>
    <row r="151" s="29" customFormat="1" ht="36" spans="2:5">
      <c r="B151" s="26" t="s">
        <v>189</v>
      </c>
      <c r="C151" s="26" t="s">
        <v>189</v>
      </c>
      <c r="D151" s="26" t="s">
        <v>189</v>
      </c>
      <c r="E151" s="26" t="s">
        <v>189</v>
      </c>
    </row>
    <row r="152" s="29" customFormat="1" spans="2:5">
      <c r="B152" s="26"/>
      <c r="C152" s="26"/>
      <c r="D152" s="26"/>
      <c r="E152" s="26"/>
    </row>
    <row r="153" s="29" customFormat="1" ht="36" spans="2:5">
      <c r="B153" s="26" t="s">
        <v>486</v>
      </c>
      <c r="C153" s="26" t="s">
        <v>486</v>
      </c>
      <c r="D153" s="26" t="s">
        <v>486</v>
      </c>
      <c r="E153" s="26" t="s">
        <v>486</v>
      </c>
    </row>
    <row r="154" s="29" customFormat="1" spans="2:5">
      <c r="B154" s="26" t="s">
        <v>233</v>
      </c>
      <c r="C154" s="26" t="s">
        <v>233</v>
      </c>
      <c r="D154" s="26" t="s">
        <v>233</v>
      </c>
      <c r="E154" s="26" t="s">
        <v>233</v>
      </c>
    </row>
    <row r="155" s="29" customFormat="1" ht="124" spans="2:5">
      <c r="B155" s="11" t="s">
        <v>173</v>
      </c>
      <c r="C155" s="11" t="s">
        <v>173</v>
      </c>
      <c r="D155" s="11" t="s">
        <v>173</v>
      </c>
      <c r="E155" s="11" t="s">
        <v>173</v>
      </c>
    </row>
    <row r="156" s="29" customFormat="1" ht="156" spans="2:5">
      <c r="B156" s="12" t="s">
        <v>174</v>
      </c>
      <c r="C156" s="12" t="s">
        <v>174</v>
      </c>
      <c r="D156" s="12" t="s">
        <v>174</v>
      </c>
      <c r="E156" s="12" t="s">
        <v>174</v>
      </c>
    </row>
    <row r="157" s="29" customFormat="1" ht="68" spans="2:5">
      <c r="B157" s="13" t="s">
        <v>481</v>
      </c>
      <c r="C157" s="13" t="s">
        <v>481</v>
      </c>
      <c r="D157" s="13" t="s">
        <v>481</v>
      </c>
      <c r="E157" s="13" t="s">
        <v>481</v>
      </c>
    </row>
    <row r="158" s="29" customFormat="1" ht="22" spans="2:5">
      <c r="B158" s="14" t="s">
        <v>176</v>
      </c>
      <c r="C158" s="14" t="s">
        <v>176</v>
      </c>
      <c r="D158" s="14" t="s">
        <v>176</v>
      </c>
      <c r="E158" s="14" t="s">
        <v>176</v>
      </c>
    </row>
    <row r="159" s="29" customFormat="1" spans="2:5">
      <c r="B159" s="15" t="s">
        <v>177</v>
      </c>
      <c r="C159" s="16" t="s">
        <v>178</v>
      </c>
      <c r="D159" s="17" t="s">
        <v>179</v>
      </c>
      <c r="E159" s="18" t="s">
        <v>180</v>
      </c>
    </row>
    <row r="160" s="29" customFormat="1" ht="41" spans="2:5">
      <c r="B160" s="19" t="s">
        <v>208</v>
      </c>
      <c r="C160" s="20" t="s">
        <v>182</v>
      </c>
      <c r="D160" s="21">
        <v>2</v>
      </c>
      <c r="E160" s="22">
        <v>120720.72072</v>
      </c>
    </row>
    <row r="161" s="29" customFormat="1" ht="28" spans="2:5">
      <c r="B161" s="19" t="s">
        <v>208</v>
      </c>
      <c r="C161" s="16" t="s">
        <v>183</v>
      </c>
      <c r="D161" s="23">
        <v>2</v>
      </c>
      <c r="E161" s="24">
        <v>120720.72072</v>
      </c>
    </row>
    <row r="162" s="29" customFormat="1" ht="41" spans="2:5">
      <c r="B162" s="19" t="s">
        <v>360</v>
      </c>
      <c r="C162" s="20" t="s">
        <v>182</v>
      </c>
      <c r="D162" s="21">
        <v>1</v>
      </c>
      <c r="E162" s="22">
        <v>45090.09009</v>
      </c>
    </row>
    <row r="163" s="29" customFormat="1" ht="28" spans="2:5">
      <c r="B163" s="19" t="s">
        <v>360</v>
      </c>
      <c r="C163" s="16" t="s">
        <v>183</v>
      </c>
      <c r="D163" s="23">
        <v>1</v>
      </c>
      <c r="E163" s="24">
        <v>45090.09009</v>
      </c>
    </row>
    <row r="164" s="29" customFormat="1" ht="41" spans="2:5">
      <c r="B164" s="19" t="s">
        <v>361</v>
      </c>
      <c r="C164" s="20" t="s">
        <v>182</v>
      </c>
      <c r="D164" s="21">
        <v>1</v>
      </c>
      <c r="E164" s="22">
        <v>58558.558559</v>
      </c>
    </row>
    <row r="165" s="29" customFormat="1" ht="28" spans="2:5">
      <c r="B165" s="19" t="s">
        <v>361</v>
      </c>
      <c r="C165" s="16" t="s">
        <v>183</v>
      </c>
      <c r="D165" s="23">
        <v>1</v>
      </c>
      <c r="E165" s="24">
        <v>58558.558559</v>
      </c>
    </row>
    <row r="166" s="29" customFormat="1" ht="41" spans="2:5">
      <c r="B166" s="19" t="s">
        <v>416</v>
      </c>
      <c r="C166" s="20" t="s">
        <v>182</v>
      </c>
      <c r="D166" s="21">
        <v>1</v>
      </c>
      <c r="E166" s="22">
        <v>102477.477477</v>
      </c>
    </row>
    <row r="167" s="29" customFormat="1" ht="28" spans="2:5">
      <c r="B167" s="19" t="s">
        <v>416</v>
      </c>
      <c r="C167" s="16" t="s">
        <v>183</v>
      </c>
      <c r="D167" s="23">
        <v>1</v>
      </c>
      <c r="E167" s="24">
        <v>102477.477477</v>
      </c>
    </row>
    <row r="168" s="29" customFormat="1" ht="41" spans="2:5">
      <c r="B168" s="19" t="s">
        <v>418</v>
      </c>
      <c r="C168" s="20" t="s">
        <v>182</v>
      </c>
      <c r="D168" s="21">
        <v>1</v>
      </c>
      <c r="E168" s="22">
        <v>122972.972973</v>
      </c>
    </row>
    <row r="169" s="29" customFormat="1" ht="28" spans="2:5">
      <c r="B169" s="19" t="s">
        <v>418</v>
      </c>
      <c r="C169" s="16" t="s">
        <v>183</v>
      </c>
      <c r="D169" s="23">
        <v>1</v>
      </c>
      <c r="E169" s="24">
        <v>122972.972973</v>
      </c>
    </row>
    <row r="170" s="29" customFormat="1" ht="41" spans="2:5">
      <c r="B170" s="19" t="s">
        <v>211</v>
      </c>
      <c r="C170" s="20" t="s">
        <v>182</v>
      </c>
      <c r="D170" s="21">
        <v>32</v>
      </c>
      <c r="E170" s="22">
        <v>1636983.639643</v>
      </c>
    </row>
    <row r="171" s="29" customFormat="1" ht="28.75" spans="2:5">
      <c r="B171" s="19" t="s">
        <v>211</v>
      </c>
      <c r="C171" s="16" t="s">
        <v>183</v>
      </c>
      <c r="D171" s="23">
        <v>32</v>
      </c>
      <c r="E171" s="24">
        <v>1636983.639643</v>
      </c>
    </row>
    <row r="172" s="29" customFormat="1" spans="2:5">
      <c r="B172" s="25"/>
      <c r="C172" s="25"/>
      <c r="D172" s="25"/>
      <c r="E172" s="25"/>
    </row>
    <row r="173" s="29" customFormat="1" ht="36" spans="2:5">
      <c r="B173" s="26" t="s">
        <v>189</v>
      </c>
      <c r="C173" s="26" t="s">
        <v>189</v>
      </c>
      <c r="D173" s="26" t="s">
        <v>189</v>
      </c>
      <c r="E173" s="26" t="s">
        <v>189</v>
      </c>
    </row>
    <row r="174" s="29" customFormat="1" spans="2:5">
      <c r="B174" s="26"/>
      <c r="C174" s="26"/>
      <c r="D174" s="26"/>
      <c r="E174" s="26"/>
    </row>
    <row r="175" s="29" customFormat="1" ht="36" spans="2:5">
      <c r="B175" s="26" t="s">
        <v>486</v>
      </c>
      <c r="C175" s="26" t="s">
        <v>486</v>
      </c>
      <c r="D175" s="26" t="s">
        <v>486</v>
      </c>
      <c r="E175" s="26" t="s">
        <v>486</v>
      </c>
    </row>
    <row r="176" s="29" customFormat="1" spans="2:5">
      <c r="B176" s="26" t="s">
        <v>240</v>
      </c>
      <c r="C176" s="26" t="s">
        <v>240</v>
      </c>
      <c r="D176" s="26" t="s">
        <v>240</v>
      </c>
      <c r="E176" s="26" t="s">
        <v>240</v>
      </c>
    </row>
    <row r="177" s="29" customFormat="1" ht="124" spans="2:5">
      <c r="B177" s="11" t="s">
        <v>173</v>
      </c>
      <c r="C177" s="11" t="s">
        <v>173</v>
      </c>
      <c r="D177" s="11" t="s">
        <v>173</v>
      </c>
      <c r="E177" s="11" t="s">
        <v>173</v>
      </c>
    </row>
    <row r="178" s="29" customFormat="1" ht="156" spans="2:5">
      <c r="B178" s="12" t="s">
        <v>174</v>
      </c>
      <c r="C178" s="12" t="s">
        <v>174</v>
      </c>
      <c r="D178" s="12" t="s">
        <v>174</v>
      </c>
      <c r="E178" s="12" t="s">
        <v>174</v>
      </c>
    </row>
    <row r="179" s="29" customFormat="1" ht="68" spans="2:5">
      <c r="B179" s="13" t="s">
        <v>481</v>
      </c>
      <c r="C179" s="13" t="s">
        <v>481</v>
      </c>
      <c r="D179" s="13" t="s">
        <v>481</v>
      </c>
      <c r="E179" s="13" t="s">
        <v>481</v>
      </c>
    </row>
    <row r="180" s="29" customFormat="1" ht="22" spans="2:5">
      <c r="B180" s="14" t="s">
        <v>176</v>
      </c>
      <c r="C180" s="14" t="s">
        <v>176</v>
      </c>
      <c r="D180" s="14" t="s">
        <v>176</v>
      </c>
      <c r="E180" s="14" t="s">
        <v>176</v>
      </c>
    </row>
    <row r="181" s="29" customFormat="1" spans="2:5">
      <c r="B181" s="15" t="s">
        <v>177</v>
      </c>
      <c r="C181" s="16" t="s">
        <v>178</v>
      </c>
      <c r="D181" s="17" t="s">
        <v>179</v>
      </c>
      <c r="E181" s="18" t="s">
        <v>180</v>
      </c>
    </row>
    <row r="182" s="29" customFormat="1" ht="41" spans="2:5">
      <c r="B182" s="19" t="s">
        <v>213</v>
      </c>
      <c r="C182" s="20" t="s">
        <v>182</v>
      </c>
      <c r="D182" s="21">
        <v>67</v>
      </c>
      <c r="E182" s="22">
        <v>3179716.515367</v>
      </c>
    </row>
    <row r="183" s="29" customFormat="1" ht="28" spans="2:5">
      <c r="B183" s="19" t="s">
        <v>213</v>
      </c>
      <c r="C183" s="16" t="s">
        <v>183</v>
      </c>
      <c r="D183" s="23">
        <v>67</v>
      </c>
      <c r="E183" s="24">
        <v>3179716.515367</v>
      </c>
    </row>
    <row r="184" s="29" customFormat="1" ht="41" spans="2:5">
      <c r="B184" s="19" t="s">
        <v>214</v>
      </c>
      <c r="C184" s="20" t="s">
        <v>182</v>
      </c>
      <c r="D184" s="21">
        <v>4</v>
      </c>
      <c r="E184" s="22">
        <v>234397.162162</v>
      </c>
    </row>
    <row r="185" s="29" customFormat="1" ht="28" spans="2:5">
      <c r="B185" s="19" t="s">
        <v>214</v>
      </c>
      <c r="C185" s="16" t="s">
        <v>183</v>
      </c>
      <c r="D185" s="23">
        <v>4</v>
      </c>
      <c r="E185" s="24">
        <v>234397.162162</v>
      </c>
    </row>
    <row r="186" s="29" customFormat="1" ht="41" spans="2:5">
      <c r="B186" s="19" t="s">
        <v>215</v>
      </c>
      <c r="C186" s="20" t="s">
        <v>182</v>
      </c>
      <c r="D186" s="21">
        <v>11</v>
      </c>
      <c r="E186" s="22">
        <v>658648.297298</v>
      </c>
    </row>
    <row r="187" s="29" customFormat="1" ht="28" spans="2:5">
      <c r="B187" s="19" t="s">
        <v>215</v>
      </c>
      <c r="C187" s="16" t="s">
        <v>183</v>
      </c>
      <c r="D187" s="23">
        <v>11</v>
      </c>
      <c r="E187" s="24">
        <v>658648.297298</v>
      </c>
    </row>
    <row r="188" s="29" customFormat="1" ht="41" spans="2:5">
      <c r="B188" s="19" t="s">
        <v>216</v>
      </c>
      <c r="C188" s="20" t="s">
        <v>182</v>
      </c>
      <c r="D188" s="21">
        <v>2</v>
      </c>
      <c r="E188" s="22">
        <v>183783.783784</v>
      </c>
    </row>
    <row r="189" s="29" customFormat="1" ht="28" spans="2:5">
      <c r="B189" s="19" t="s">
        <v>216</v>
      </c>
      <c r="C189" s="16" t="s">
        <v>183</v>
      </c>
      <c r="D189" s="23">
        <v>2</v>
      </c>
      <c r="E189" s="24">
        <v>183783.783784</v>
      </c>
    </row>
    <row r="190" s="29" customFormat="1" ht="41" spans="2:5">
      <c r="B190" s="19" t="s">
        <v>364</v>
      </c>
      <c r="C190" s="20" t="s">
        <v>182</v>
      </c>
      <c r="D190" s="21">
        <v>8</v>
      </c>
      <c r="E190" s="22">
        <v>477207.135136</v>
      </c>
    </row>
    <row r="191" s="29" customFormat="1" ht="28" spans="2:5">
      <c r="B191" s="19" t="s">
        <v>364</v>
      </c>
      <c r="C191" s="16" t="s">
        <v>183</v>
      </c>
      <c r="D191" s="23">
        <v>8</v>
      </c>
      <c r="E191" s="24">
        <v>477207.135136</v>
      </c>
    </row>
    <row r="192" s="29" customFormat="1" ht="41" spans="2:5">
      <c r="B192" s="19" t="s">
        <v>217</v>
      </c>
      <c r="C192" s="20" t="s">
        <v>182</v>
      </c>
      <c r="D192" s="21">
        <v>18</v>
      </c>
      <c r="E192" s="22">
        <v>1137387.387384</v>
      </c>
    </row>
    <row r="193" s="29" customFormat="1" ht="28.75" spans="2:5">
      <c r="B193" s="19" t="s">
        <v>217</v>
      </c>
      <c r="C193" s="16" t="s">
        <v>183</v>
      </c>
      <c r="D193" s="23">
        <v>18</v>
      </c>
      <c r="E193" s="24">
        <v>1137387.387384</v>
      </c>
    </row>
    <row r="194" s="29" customFormat="1" spans="2:5">
      <c r="B194" s="25"/>
      <c r="C194" s="25"/>
      <c r="D194" s="25"/>
      <c r="E194" s="25"/>
    </row>
    <row r="195" s="29" customFormat="1" ht="36" spans="2:5">
      <c r="B195" s="26" t="s">
        <v>189</v>
      </c>
      <c r="C195" s="26" t="s">
        <v>189</v>
      </c>
      <c r="D195" s="26" t="s">
        <v>189</v>
      </c>
      <c r="E195" s="26" t="s">
        <v>189</v>
      </c>
    </row>
    <row r="196" s="29" customFormat="1" spans="2:5">
      <c r="B196" s="26"/>
      <c r="C196" s="26"/>
      <c r="D196" s="26"/>
      <c r="E196" s="26"/>
    </row>
    <row r="197" s="29" customFormat="1" ht="36" spans="2:5">
      <c r="B197" s="26" t="s">
        <v>486</v>
      </c>
      <c r="C197" s="26" t="s">
        <v>486</v>
      </c>
      <c r="D197" s="26" t="s">
        <v>486</v>
      </c>
      <c r="E197" s="26" t="s">
        <v>486</v>
      </c>
    </row>
    <row r="198" s="29" customFormat="1" spans="2:5">
      <c r="B198" s="26" t="s">
        <v>247</v>
      </c>
      <c r="C198" s="26" t="s">
        <v>247</v>
      </c>
      <c r="D198" s="26" t="s">
        <v>247</v>
      </c>
      <c r="E198" s="26" t="s">
        <v>247</v>
      </c>
    </row>
    <row r="199" s="29" customFormat="1" ht="124" spans="2:5">
      <c r="B199" s="11" t="s">
        <v>173</v>
      </c>
      <c r="C199" s="11" t="s">
        <v>173</v>
      </c>
      <c r="D199" s="11" t="s">
        <v>173</v>
      </c>
      <c r="E199" s="11" t="s">
        <v>173</v>
      </c>
    </row>
    <row r="200" s="29" customFormat="1" ht="156" spans="2:5">
      <c r="B200" s="12" t="s">
        <v>174</v>
      </c>
      <c r="C200" s="12" t="s">
        <v>174</v>
      </c>
      <c r="D200" s="12" t="s">
        <v>174</v>
      </c>
      <c r="E200" s="12" t="s">
        <v>174</v>
      </c>
    </row>
    <row r="201" s="29" customFormat="1" ht="68" spans="2:5">
      <c r="B201" s="13" t="s">
        <v>481</v>
      </c>
      <c r="C201" s="13" t="s">
        <v>481</v>
      </c>
      <c r="D201" s="13" t="s">
        <v>481</v>
      </c>
      <c r="E201" s="13" t="s">
        <v>481</v>
      </c>
    </row>
    <row r="202" s="29" customFormat="1" ht="22" spans="2:5">
      <c r="B202" s="14" t="s">
        <v>176</v>
      </c>
      <c r="C202" s="14" t="s">
        <v>176</v>
      </c>
      <c r="D202" s="14" t="s">
        <v>176</v>
      </c>
      <c r="E202" s="14" t="s">
        <v>176</v>
      </c>
    </row>
    <row r="203" s="29" customFormat="1" spans="2:5">
      <c r="B203" s="15" t="s">
        <v>177</v>
      </c>
      <c r="C203" s="16" t="s">
        <v>178</v>
      </c>
      <c r="D203" s="17" t="s">
        <v>179</v>
      </c>
      <c r="E203" s="18" t="s">
        <v>180</v>
      </c>
    </row>
    <row r="204" s="29" customFormat="1" ht="41" spans="2:5">
      <c r="B204" s="19" t="s">
        <v>218</v>
      </c>
      <c r="C204" s="20" t="s">
        <v>182</v>
      </c>
      <c r="D204" s="21">
        <v>38</v>
      </c>
      <c r="E204" s="22">
        <v>2385600.054813</v>
      </c>
    </row>
    <row r="205" s="29" customFormat="1" ht="28" spans="2:5">
      <c r="B205" s="19" t="s">
        <v>218</v>
      </c>
      <c r="C205" s="16" t="s">
        <v>183</v>
      </c>
      <c r="D205" s="23">
        <v>38</v>
      </c>
      <c r="E205" s="24">
        <v>2385600.054813</v>
      </c>
    </row>
    <row r="206" s="29" customFormat="1" ht="41" spans="2:5">
      <c r="B206" s="19" t="s">
        <v>220</v>
      </c>
      <c r="C206" s="20" t="s">
        <v>182</v>
      </c>
      <c r="D206" s="21">
        <v>28</v>
      </c>
      <c r="E206" s="22">
        <v>1776923.297157</v>
      </c>
    </row>
    <row r="207" s="29" customFormat="1" ht="28" spans="2:5">
      <c r="B207" s="19" t="s">
        <v>220</v>
      </c>
      <c r="C207" s="16" t="s">
        <v>183</v>
      </c>
      <c r="D207" s="23">
        <v>28</v>
      </c>
      <c r="E207" s="24">
        <v>1776923.297157</v>
      </c>
    </row>
    <row r="208" s="29" customFormat="1" ht="41" spans="2:5">
      <c r="B208" s="19" t="s">
        <v>221</v>
      </c>
      <c r="C208" s="20" t="s">
        <v>182</v>
      </c>
      <c r="D208" s="21">
        <v>25</v>
      </c>
      <c r="E208" s="22">
        <v>1794157.801811</v>
      </c>
    </row>
    <row r="209" s="29" customFormat="1" ht="28" spans="2:5">
      <c r="B209" s="19" t="s">
        <v>221</v>
      </c>
      <c r="C209" s="16" t="s">
        <v>183</v>
      </c>
      <c r="D209" s="23">
        <v>25</v>
      </c>
      <c r="E209" s="24">
        <v>1794157.801811</v>
      </c>
    </row>
    <row r="210" s="29" customFormat="1" ht="41" spans="2:5">
      <c r="B210" s="19" t="s">
        <v>420</v>
      </c>
      <c r="C210" s="20" t="s">
        <v>182</v>
      </c>
      <c r="D210" s="21">
        <v>1</v>
      </c>
      <c r="E210" s="22">
        <v>76126.126126</v>
      </c>
    </row>
    <row r="211" s="29" customFormat="1" ht="28" spans="2:5">
      <c r="B211" s="19" t="s">
        <v>420</v>
      </c>
      <c r="C211" s="16" t="s">
        <v>183</v>
      </c>
      <c r="D211" s="23">
        <v>1</v>
      </c>
      <c r="E211" s="24">
        <v>76126.126126</v>
      </c>
    </row>
    <row r="212" s="29" customFormat="1" ht="41" spans="2:5">
      <c r="B212" s="19" t="s">
        <v>222</v>
      </c>
      <c r="C212" s="20" t="s">
        <v>182</v>
      </c>
      <c r="D212" s="21">
        <v>7</v>
      </c>
      <c r="E212" s="22">
        <v>560059.927928</v>
      </c>
    </row>
    <row r="213" s="29" customFormat="1" ht="28" spans="2:5">
      <c r="B213" s="19" t="s">
        <v>222</v>
      </c>
      <c r="C213" s="16" t="s">
        <v>183</v>
      </c>
      <c r="D213" s="23">
        <v>7</v>
      </c>
      <c r="E213" s="24">
        <v>560059.927928</v>
      </c>
    </row>
    <row r="214" s="29" customFormat="1" ht="41" spans="2:5">
      <c r="B214" s="19" t="s">
        <v>223</v>
      </c>
      <c r="C214" s="20" t="s">
        <v>182</v>
      </c>
      <c r="D214" s="21">
        <v>3</v>
      </c>
      <c r="E214" s="22">
        <v>267567.189189</v>
      </c>
    </row>
    <row r="215" s="29" customFormat="1" ht="28.75" spans="2:5">
      <c r="B215" s="19" t="s">
        <v>223</v>
      </c>
      <c r="C215" s="16" t="s">
        <v>183</v>
      </c>
      <c r="D215" s="23">
        <v>3</v>
      </c>
      <c r="E215" s="24">
        <v>267567.189189</v>
      </c>
    </row>
    <row r="216" s="29" customFormat="1" spans="2:5">
      <c r="B216" s="25"/>
      <c r="C216" s="25"/>
      <c r="D216" s="25"/>
      <c r="E216" s="25"/>
    </row>
    <row r="217" s="29" customFormat="1" ht="36" spans="2:5">
      <c r="B217" s="26" t="s">
        <v>189</v>
      </c>
      <c r="C217" s="26" t="s">
        <v>189</v>
      </c>
      <c r="D217" s="26" t="s">
        <v>189</v>
      </c>
      <c r="E217" s="26" t="s">
        <v>189</v>
      </c>
    </row>
    <row r="218" s="29" customFormat="1" spans="2:5">
      <c r="B218" s="26"/>
      <c r="C218" s="26"/>
      <c r="D218" s="26"/>
      <c r="E218" s="26"/>
    </row>
    <row r="219" s="29" customFormat="1" ht="36" spans="2:5">
      <c r="B219" s="26" t="s">
        <v>486</v>
      </c>
      <c r="C219" s="26" t="s">
        <v>486</v>
      </c>
      <c r="D219" s="26" t="s">
        <v>486</v>
      </c>
      <c r="E219" s="26" t="s">
        <v>486</v>
      </c>
    </row>
    <row r="220" s="29" customFormat="1" spans="2:5">
      <c r="B220" s="26" t="s">
        <v>254</v>
      </c>
      <c r="C220" s="26" t="s">
        <v>254</v>
      </c>
      <c r="D220" s="26" t="s">
        <v>254</v>
      </c>
      <c r="E220" s="26" t="s">
        <v>254</v>
      </c>
    </row>
    <row r="221" s="29" customFormat="1" ht="124" spans="2:5">
      <c r="B221" s="11" t="s">
        <v>173</v>
      </c>
      <c r="C221" s="11" t="s">
        <v>173</v>
      </c>
      <c r="D221" s="11" t="s">
        <v>173</v>
      </c>
      <c r="E221" s="11" t="s">
        <v>173</v>
      </c>
    </row>
    <row r="222" s="29" customFormat="1" ht="156" spans="2:5">
      <c r="B222" s="12" t="s">
        <v>174</v>
      </c>
      <c r="C222" s="12" t="s">
        <v>174</v>
      </c>
      <c r="D222" s="12" t="s">
        <v>174</v>
      </c>
      <c r="E222" s="12" t="s">
        <v>174</v>
      </c>
    </row>
    <row r="223" s="29" customFormat="1" ht="68" spans="2:5">
      <c r="B223" s="13" t="s">
        <v>481</v>
      </c>
      <c r="C223" s="13" t="s">
        <v>481</v>
      </c>
      <c r="D223" s="13" t="s">
        <v>481</v>
      </c>
      <c r="E223" s="13" t="s">
        <v>481</v>
      </c>
    </row>
    <row r="224" s="29" customFormat="1" ht="22" spans="2:5">
      <c r="B224" s="14" t="s">
        <v>176</v>
      </c>
      <c r="C224" s="14" t="s">
        <v>176</v>
      </c>
      <c r="D224" s="14" t="s">
        <v>176</v>
      </c>
      <c r="E224" s="14" t="s">
        <v>176</v>
      </c>
    </row>
    <row r="225" s="29" customFormat="1" spans="2:5">
      <c r="B225" s="15" t="s">
        <v>177</v>
      </c>
      <c r="C225" s="16" t="s">
        <v>178</v>
      </c>
      <c r="D225" s="17" t="s">
        <v>179</v>
      </c>
      <c r="E225" s="18" t="s">
        <v>180</v>
      </c>
    </row>
    <row r="226" s="29" customFormat="1" ht="41" spans="2:5">
      <c r="B226" s="19" t="s">
        <v>224</v>
      </c>
      <c r="C226" s="20" t="s">
        <v>182</v>
      </c>
      <c r="D226" s="21">
        <v>2</v>
      </c>
      <c r="E226" s="22">
        <v>194594.297297</v>
      </c>
    </row>
    <row r="227" s="29" customFormat="1" ht="28" spans="2:5">
      <c r="B227" s="19" t="s">
        <v>224</v>
      </c>
      <c r="C227" s="16" t="s">
        <v>183</v>
      </c>
      <c r="D227" s="23">
        <v>2</v>
      </c>
      <c r="E227" s="24">
        <v>194594.297297</v>
      </c>
    </row>
    <row r="228" s="29" customFormat="1" ht="41" spans="2:5">
      <c r="B228" s="19" t="s">
        <v>225</v>
      </c>
      <c r="C228" s="20" t="s">
        <v>182</v>
      </c>
      <c r="D228" s="21">
        <v>2</v>
      </c>
      <c r="E228" s="22">
        <v>187387.270271</v>
      </c>
    </row>
    <row r="229" s="29" customFormat="1" ht="28" spans="2:5">
      <c r="B229" s="19" t="s">
        <v>225</v>
      </c>
      <c r="C229" s="16" t="s">
        <v>183</v>
      </c>
      <c r="D229" s="23">
        <v>2</v>
      </c>
      <c r="E229" s="24">
        <v>187387.270271</v>
      </c>
    </row>
    <row r="230" s="29" customFormat="1" ht="41" spans="2:5">
      <c r="B230" s="19" t="s">
        <v>227</v>
      </c>
      <c r="C230" s="20" t="s">
        <v>182</v>
      </c>
      <c r="D230" s="21">
        <v>2</v>
      </c>
      <c r="E230" s="22">
        <v>178378.189189</v>
      </c>
    </row>
    <row r="231" s="29" customFormat="1" ht="28" spans="2:5">
      <c r="B231" s="19" t="s">
        <v>227</v>
      </c>
      <c r="C231" s="16" t="s">
        <v>183</v>
      </c>
      <c r="D231" s="23">
        <v>2</v>
      </c>
      <c r="E231" s="24">
        <v>178378.189189</v>
      </c>
    </row>
    <row r="232" s="29" customFormat="1" ht="41" spans="2:5">
      <c r="B232" s="19" t="s">
        <v>493</v>
      </c>
      <c r="C232" s="20" t="s">
        <v>182</v>
      </c>
      <c r="D232" s="21">
        <v>2</v>
      </c>
      <c r="E232" s="22">
        <v>1270720.387387</v>
      </c>
    </row>
    <row r="233" s="29" customFormat="1" ht="28" spans="2:5">
      <c r="B233" s="19" t="s">
        <v>493</v>
      </c>
      <c r="C233" s="16" t="s">
        <v>183</v>
      </c>
      <c r="D233" s="23">
        <v>2</v>
      </c>
      <c r="E233" s="24">
        <v>1270720.387387</v>
      </c>
    </row>
    <row r="234" s="29" customFormat="1" ht="41" spans="2:5">
      <c r="B234" s="19" t="s">
        <v>257</v>
      </c>
      <c r="C234" s="20" t="s">
        <v>182</v>
      </c>
      <c r="D234" s="21">
        <v>1</v>
      </c>
      <c r="E234" s="22">
        <v>684685</v>
      </c>
    </row>
    <row r="235" s="29" customFormat="1" ht="28" spans="2:5">
      <c r="B235" s="19" t="s">
        <v>257</v>
      </c>
      <c r="C235" s="16" t="s">
        <v>183</v>
      </c>
      <c r="D235" s="23">
        <v>1</v>
      </c>
      <c r="E235" s="24">
        <v>684685</v>
      </c>
    </row>
    <row r="236" s="29" customFormat="1" ht="41" spans="2:5">
      <c r="B236" s="19" t="s">
        <v>494</v>
      </c>
      <c r="C236" s="20" t="s">
        <v>182</v>
      </c>
      <c r="D236" s="21">
        <v>5</v>
      </c>
      <c r="E236" s="22">
        <v>0</v>
      </c>
    </row>
    <row r="237" s="29" customFormat="1" ht="17.55" spans="2:5">
      <c r="B237" s="19" t="s">
        <v>494</v>
      </c>
      <c r="C237" s="16" t="s">
        <v>183</v>
      </c>
      <c r="D237" s="23">
        <v>5</v>
      </c>
      <c r="E237" s="24">
        <v>0</v>
      </c>
    </row>
    <row r="238" s="29" customFormat="1" spans="2:5">
      <c r="B238" s="25"/>
      <c r="C238" s="25"/>
      <c r="D238" s="25"/>
      <c r="E238" s="25"/>
    </row>
    <row r="239" s="29" customFormat="1" ht="36" spans="2:5">
      <c r="B239" s="26" t="s">
        <v>189</v>
      </c>
      <c r="C239" s="26" t="s">
        <v>189</v>
      </c>
      <c r="D239" s="26" t="s">
        <v>189</v>
      </c>
      <c r="E239" s="26" t="s">
        <v>189</v>
      </c>
    </row>
    <row r="240" s="29" customFormat="1" spans="2:5">
      <c r="B240" s="26"/>
      <c r="C240" s="26"/>
      <c r="D240" s="26"/>
      <c r="E240" s="26"/>
    </row>
    <row r="241" s="29" customFormat="1" ht="36" spans="2:5">
      <c r="B241" s="26" t="s">
        <v>486</v>
      </c>
      <c r="C241" s="26" t="s">
        <v>486</v>
      </c>
      <c r="D241" s="26" t="s">
        <v>486</v>
      </c>
      <c r="E241" s="26" t="s">
        <v>486</v>
      </c>
    </row>
    <row r="242" s="29" customFormat="1" spans="2:5">
      <c r="B242" s="26" t="s">
        <v>261</v>
      </c>
      <c r="C242" s="26" t="s">
        <v>261</v>
      </c>
      <c r="D242" s="26" t="s">
        <v>261</v>
      </c>
      <c r="E242" s="26" t="s">
        <v>261</v>
      </c>
    </row>
    <row r="243" s="29" customFormat="1" ht="124" spans="2:5">
      <c r="B243" s="11" t="s">
        <v>173</v>
      </c>
      <c r="C243" s="11" t="s">
        <v>173</v>
      </c>
      <c r="D243" s="11" t="s">
        <v>173</v>
      </c>
      <c r="E243" s="11" t="s">
        <v>173</v>
      </c>
    </row>
    <row r="244" s="29" customFormat="1" ht="156" spans="2:5">
      <c r="B244" s="12" t="s">
        <v>174</v>
      </c>
      <c r="C244" s="12" t="s">
        <v>174</v>
      </c>
      <c r="D244" s="12" t="s">
        <v>174</v>
      </c>
      <c r="E244" s="12" t="s">
        <v>174</v>
      </c>
    </row>
    <row r="245" s="29" customFormat="1" ht="68" spans="2:5">
      <c r="B245" s="13" t="s">
        <v>481</v>
      </c>
      <c r="C245" s="13" t="s">
        <v>481</v>
      </c>
      <c r="D245" s="13" t="s">
        <v>481</v>
      </c>
      <c r="E245" s="13" t="s">
        <v>481</v>
      </c>
    </row>
    <row r="246" s="29" customFormat="1" ht="22" spans="2:5">
      <c r="B246" s="14" t="s">
        <v>176</v>
      </c>
      <c r="C246" s="14" t="s">
        <v>176</v>
      </c>
      <c r="D246" s="14" t="s">
        <v>176</v>
      </c>
      <c r="E246" s="14" t="s">
        <v>176</v>
      </c>
    </row>
    <row r="247" s="29" customFormat="1" spans="2:5">
      <c r="B247" s="15" t="s">
        <v>177</v>
      </c>
      <c r="C247" s="16" t="s">
        <v>178</v>
      </c>
      <c r="D247" s="17" t="s">
        <v>179</v>
      </c>
      <c r="E247" s="18" t="s">
        <v>180</v>
      </c>
    </row>
    <row r="248" s="29" customFormat="1" ht="41" spans="2:5">
      <c r="B248" s="19" t="s">
        <v>272</v>
      </c>
      <c r="C248" s="20" t="s">
        <v>182</v>
      </c>
      <c r="D248" s="21">
        <v>71</v>
      </c>
      <c r="E248" s="22">
        <v>1800601.006604</v>
      </c>
    </row>
    <row r="249" s="29" customFormat="1" ht="28" spans="2:5">
      <c r="B249" s="19" t="s">
        <v>272</v>
      </c>
      <c r="C249" s="16" t="s">
        <v>183</v>
      </c>
      <c r="D249" s="23">
        <v>71</v>
      </c>
      <c r="E249" s="24">
        <v>1800601.006604</v>
      </c>
    </row>
    <row r="250" s="29" customFormat="1" ht="41" spans="2:5">
      <c r="B250" s="19" t="s">
        <v>421</v>
      </c>
      <c r="C250" s="20" t="s">
        <v>182</v>
      </c>
      <c r="D250" s="21">
        <v>19</v>
      </c>
      <c r="E250" s="22">
        <v>607332.810812</v>
      </c>
    </row>
    <row r="251" s="29" customFormat="1" ht="28" spans="2:5">
      <c r="B251" s="19" t="s">
        <v>421</v>
      </c>
      <c r="C251" s="16" t="s">
        <v>183</v>
      </c>
      <c r="D251" s="23">
        <v>19</v>
      </c>
      <c r="E251" s="24">
        <v>607332.810812</v>
      </c>
    </row>
    <row r="252" s="29" customFormat="1" ht="41" spans="2:5">
      <c r="B252" s="19" t="s">
        <v>273</v>
      </c>
      <c r="C252" s="20" t="s">
        <v>182</v>
      </c>
      <c r="D252" s="21">
        <v>110</v>
      </c>
      <c r="E252" s="22">
        <v>890936.936937</v>
      </c>
    </row>
    <row r="253" s="29" customFormat="1" ht="28" spans="2:5">
      <c r="B253" s="19" t="s">
        <v>273</v>
      </c>
      <c r="C253" s="16" t="s">
        <v>183</v>
      </c>
      <c r="D253" s="23">
        <v>110</v>
      </c>
      <c r="E253" s="24">
        <v>890936.936937</v>
      </c>
    </row>
    <row r="254" s="29" customFormat="1" ht="41" spans="2:5">
      <c r="B254" s="19" t="s">
        <v>274</v>
      </c>
      <c r="C254" s="20" t="s">
        <v>182</v>
      </c>
      <c r="D254" s="21">
        <v>22</v>
      </c>
      <c r="E254" s="22">
        <v>0</v>
      </c>
    </row>
    <row r="255" s="29" customFormat="1" ht="28" spans="2:5">
      <c r="B255" s="19" t="s">
        <v>274</v>
      </c>
      <c r="C255" s="16" t="s">
        <v>183</v>
      </c>
      <c r="D255" s="23">
        <v>22</v>
      </c>
      <c r="E255" s="24">
        <v>0</v>
      </c>
    </row>
    <row r="256" s="29" customFormat="1" ht="41" spans="2:5">
      <c r="B256" s="19" t="s">
        <v>367</v>
      </c>
      <c r="C256" s="20" t="s">
        <v>182</v>
      </c>
      <c r="D256" s="21">
        <v>7</v>
      </c>
      <c r="E256" s="22">
        <v>0</v>
      </c>
    </row>
    <row r="257" s="29" customFormat="1" ht="28" spans="2:5">
      <c r="B257" s="19" t="s">
        <v>367</v>
      </c>
      <c r="C257" s="16" t="s">
        <v>183</v>
      </c>
      <c r="D257" s="23">
        <v>7</v>
      </c>
      <c r="E257" s="24">
        <v>0</v>
      </c>
    </row>
    <row r="258" s="29" customFormat="1" ht="41" spans="2:5">
      <c r="B258" s="19" t="s">
        <v>368</v>
      </c>
      <c r="C258" s="20" t="s">
        <v>182</v>
      </c>
      <c r="D258" s="21">
        <v>10</v>
      </c>
      <c r="E258" s="22">
        <v>321873.873874</v>
      </c>
    </row>
    <row r="259" s="29" customFormat="1" ht="28.75" spans="2:5">
      <c r="B259" s="19" t="s">
        <v>368</v>
      </c>
      <c r="C259" s="16" t="s">
        <v>183</v>
      </c>
      <c r="D259" s="23">
        <v>10</v>
      </c>
      <c r="E259" s="24">
        <v>321873.873874</v>
      </c>
    </row>
    <row r="260" s="29" customFormat="1" spans="2:5">
      <c r="B260" s="25"/>
      <c r="C260" s="25"/>
      <c r="D260" s="25"/>
      <c r="E260" s="25"/>
    </row>
    <row r="261" s="29" customFormat="1" ht="36" spans="2:5">
      <c r="B261" s="26" t="s">
        <v>189</v>
      </c>
      <c r="C261" s="26" t="s">
        <v>189</v>
      </c>
      <c r="D261" s="26" t="s">
        <v>189</v>
      </c>
      <c r="E261" s="26" t="s">
        <v>189</v>
      </c>
    </row>
    <row r="262" s="29" customFormat="1" spans="2:5">
      <c r="B262" s="26"/>
      <c r="C262" s="26"/>
      <c r="D262" s="26"/>
      <c r="E262" s="26"/>
    </row>
    <row r="263" s="29" customFormat="1" ht="36" spans="2:5">
      <c r="B263" s="26" t="s">
        <v>486</v>
      </c>
      <c r="C263" s="26" t="s">
        <v>486</v>
      </c>
      <c r="D263" s="26" t="s">
        <v>486</v>
      </c>
      <c r="E263" s="26" t="s">
        <v>486</v>
      </c>
    </row>
    <row r="264" s="29" customFormat="1" spans="2:5">
      <c r="B264" s="26" t="s">
        <v>268</v>
      </c>
      <c r="C264" s="26" t="s">
        <v>268</v>
      </c>
      <c r="D264" s="26" t="s">
        <v>268</v>
      </c>
      <c r="E264" s="26" t="s">
        <v>268</v>
      </c>
    </row>
    <row r="265" s="29" customFormat="1" ht="124" spans="2:5">
      <c r="B265" s="11" t="s">
        <v>173</v>
      </c>
      <c r="C265" s="11" t="s">
        <v>173</v>
      </c>
      <c r="D265" s="11" t="s">
        <v>173</v>
      </c>
      <c r="E265" s="11" t="s">
        <v>173</v>
      </c>
    </row>
    <row r="266" s="29" customFormat="1" ht="156" spans="2:5">
      <c r="B266" s="12" t="s">
        <v>174</v>
      </c>
      <c r="C266" s="12" t="s">
        <v>174</v>
      </c>
      <c r="D266" s="12" t="s">
        <v>174</v>
      </c>
      <c r="E266" s="12" t="s">
        <v>174</v>
      </c>
    </row>
    <row r="267" s="29" customFormat="1" ht="68" spans="2:5">
      <c r="B267" s="13" t="s">
        <v>481</v>
      </c>
      <c r="C267" s="13" t="s">
        <v>481</v>
      </c>
      <c r="D267" s="13" t="s">
        <v>481</v>
      </c>
      <c r="E267" s="13" t="s">
        <v>481</v>
      </c>
    </row>
    <row r="268" s="29" customFormat="1" ht="22" spans="2:5">
      <c r="B268" s="14" t="s">
        <v>176</v>
      </c>
      <c r="C268" s="14" t="s">
        <v>176</v>
      </c>
      <c r="D268" s="14" t="s">
        <v>176</v>
      </c>
      <c r="E268" s="14" t="s">
        <v>176</v>
      </c>
    </row>
    <row r="269" s="29" customFormat="1" spans="2:5">
      <c r="B269" s="15" t="s">
        <v>177</v>
      </c>
      <c r="C269" s="16" t="s">
        <v>178</v>
      </c>
      <c r="D269" s="17" t="s">
        <v>179</v>
      </c>
      <c r="E269" s="18" t="s">
        <v>180</v>
      </c>
    </row>
    <row r="270" s="29" customFormat="1" ht="41" spans="2:5">
      <c r="B270" s="19" t="s">
        <v>422</v>
      </c>
      <c r="C270" s="20" t="s">
        <v>182</v>
      </c>
      <c r="D270" s="21">
        <v>15</v>
      </c>
      <c r="E270" s="22">
        <v>0</v>
      </c>
    </row>
    <row r="271" s="29" customFormat="1" ht="28" spans="2:5">
      <c r="B271" s="19" t="s">
        <v>422</v>
      </c>
      <c r="C271" s="16" t="s">
        <v>183</v>
      </c>
      <c r="D271" s="23">
        <v>15</v>
      </c>
      <c r="E271" s="24">
        <v>0</v>
      </c>
    </row>
    <row r="272" s="29" customFormat="1" ht="41" spans="2:5">
      <c r="B272" s="19" t="s">
        <v>495</v>
      </c>
      <c r="C272" s="20" t="s">
        <v>182</v>
      </c>
      <c r="D272" s="21">
        <v>6</v>
      </c>
      <c r="E272" s="22">
        <v>299783.783783</v>
      </c>
    </row>
    <row r="273" s="29" customFormat="1" ht="28" spans="2:5">
      <c r="B273" s="19" t="s">
        <v>495</v>
      </c>
      <c r="C273" s="16" t="s">
        <v>183</v>
      </c>
      <c r="D273" s="23">
        <v>6</v>
      </c>
      <c r="E273" s="24">
        <v>299783.783783</v>
      </c>
    </row>
    <row r="274" s="29" customFormat="1" ht="41" spans="2:5">
      <c r="B274" s="19" t="s">
        <v>423</v>
      </c>
      <c r="C274" s="20" t="s">
        <v>182</v>
      </c>
      <c r="D274" s="21">
        <v>4</v>
      </c>
      <c r="E274" s="22">
        <v>0</v>
      </c>
    </row>
    <row r="275" s="29" customFormat="1" ht="28" spans="2:5">
      <c r="B275" s="19" t="s">
        <v>423</v>
      </c>
      <c r="C275" s="16" t="s">
        <v>183</v>
      </c>
      <c r="D275" s="23">
        <v>4</v>
      </c>
      <c r="E275" s="24">
        <v>0</v>
      </c>
    </row>
    <row r="276" s="29" customFormat="1" ht="41" spans="2:5">
      <c r="B276" s="19" t="s">
        <v>496</v>
      </c>
      <c r="C276" s="20" t="s">
        <v>182</v>
      </c>
      <c r="D276" s="21">
        <v>1</v>
      </c>
      <c r="E276" s="22">
        <v>581080.837838</v>
      </c>
    </row>
    <row r="277" s="29" customFormat="1" spans="2:5">
      <c r="B277" s="19" t="s">
        <v>496</v>
      </c>
      <c r="C277" s="16" t="s">
        <v>183</v>
      </c>
      <c r="D277" s="23">
        <v>1</v>
      </c>
      <c r="E277" s="24">
        <v>581080.837838</v>
      </c>
    </row>
    <row r="278" s="29" customFormat="1" ht="41" spans="2:5">
      <c r="B278" s="19" t="s">
        <v>497</v>
      </c>
      <c r="C278" s="20" t="s">
        <v>182</v>
      </c>
      <c r="D278" s="21">
        <v>1</v>
      </c>
      <c r="E278" s="22">
        <v>360750</v>
      </c>
    </row>
    <row r="279" s="29" customFormat="1" ht="28" spans="2:5">
      <c r="B279" s="19" t="s">
        <v>497</v>
      </c>
      <c r="C279" s="16" t="s">
        <v>183</v>
      </c>
      <c r="D279" s="23">
        <v>1</v>
      </c>
      <c r="E279" s="24">
        <v>360750</v>
      </c>
    </row>
    <row r="280" s="29" customFormat="1" ht="41" spans="2:5">
      <c r="B280" s="19" t="s">
        <v>424</v>
      </c>
      <c r="C280" s="20" t="s">
        <v>182</v>
      </c>
      <c r="D280" s="21">
        <v>70</v>
      </c>
      <c r="E280" s="22">
        <v>0</v>
      </c>
    </row>
    <row r="281" s="29" customFormat="1" ht="28.75" spans="2:5">
      <c r="B281" s="19" t="s">
        <v>424</v>
      </c>
      <c r="C281" s="16" t="s">
        <v>183</v>
      </c>
      <c r="D281" s="23">
        <v>70</v>
      </c>
      <c r="E281" s="24">
        <v>0</v>
      </c>
    </row>
    <row r="282" s="29" customFormat="1" spans="2:5">
      <c r="B282" s="25"/>
      <c r="C282" s="25"/>
      <c r="D282" s="25"/>
      <c r="E282" s="25"/>
    </row>
    <row r="283" s="29" customFormat="1" ht="36" spans="2:5">
      <c r="B283" s="26" t="s">
        <v>189</v>
      </c>
      <c r="C283" s="26" t="s">
        <v>189</v>
      </c>
      <c r="D283" s="26" t="s">
        <v>189</v>
      </c>
      <c r="E283" s="26" t="s">
        <v>189</v>
      </c>
    </row>
    <row r="284" s="29" customFormat="1" spans="2:5">
      <c r="B284" s="26"/>
      <c r="C284" s="26"/>
      <c r="D284" s="26"/>
      <c r="E284" s="26"/>
    </row>
    <row r="285" s="29" customFormat="1" ht="36" spans="2:5">
      <c r="B285" s="26" t="s">
        <v>486</v>
      </c>
      <c r="C285" s="26" t="s">
        <v>486</v>
      </c>
      <c r="D285" s="26" t="s">
        <v>486</v>
      </c>
      <c r="E285" s="26" t="s">
        <v>486</v>
      </c>
    </row>
    <row r="286" s="29" customFormat="1" spans="2:5">
      <c r="B286" s="26" t="s">
        <v>275</v>
      </c>
      <c r="C286" s="26" t="s">
        <v>275</v>
      </c>
      <c r="D286" s="26" t="s">
        <v>275</v>
      </c>
      <c r="E286" s="26" t="s">
        <v>275</v>
      </c>
    </row>
    <row r="287" s="29" customFormat="1" ht="124" spans="2:5">
      <c r="B287" s="11" t="s">
        <v>173</v>
      </c>
      <c r="C287" s="11" t="s">
        <v>173</v>
      </c>
      <c r="D287" s="11" t="s">
        <v>173</v>
      </c>
      <c r="E287" s="11" t="s">
        <v>173</v>
      </c>
    </row>
    <row r="288" s="29" customFormat="1" ht="156" spans="2:5">
      <c r="B288" s="12" t="s">
        <v>174</v>
      </c>
      <c r="C288" s="12" t="s">
        <v>174</v>
      </c>
      <c r="D288" s="12" t="s">
        <v>174</v>
      </c>
      <c r="E288" s="12" t="s">
        <v>174</v>
      </c>
    </row>
    <row r="289" s="29" customFormat="1" ht="68" spans="2:5">
      <c r="B289" s="13" t="s">
        <v>481</v>
      </c>
      <c r="C289" s="13" t="s">
        <v>481</v>
      </c>
      <c r="D289" s="13" t="s">
        <v>481</v>
      </c>
      <c r="E289" s="13" t="s">
        <v>481</v>
      </c>
    </row>
    <row r="290" s="29" customFormat="1" ht="22" spans="2:5">
      <c r="B290" s="14" t="s">
        <v>176</v>
      </c>
      <c r="C290" s="14" t="s">
        <v>176</v>
      </c>
      <c r="D290" s="14" t="s">
        <v>176</v>
      </c>
      <c r="E290" s="14" t="s">
        <v>176</v>
      </c>
    </row>
    <row r="291" s="29" customFormat="1" spans="2:5">
      <c r="B291" s="15" t="s">
        <v>177</v>
      </c>
      <c r="C291" s="16" t="s">
        <v>178</v>
      </c>
      <c r="D291" s="17" t="s">
        <v>179</v>
      </c>
      <c r="E291" s="18" t="s">
        <v>180</v>
      </c>
    </row>
    <row r="292" s="29" customFormat="1" ht="41" spans="2:5">
      <c r="B292" s="19" t="s">
        <v>426</v>
      </c>
      <c r="C292" s="20" t="s">
        <v>182</v>
      </c>
      <c r="D292" s="21">
        <v>45</v>
      </c>
      <c r="E292" s="22">
        <v>112612.306306</v>
      </c>
    </row>
    <row r="293" s="29" customFormat="1" spans="2:5">
      <c r="B293" s="19" t="s">
        <v>426</v>
      </c>
      <c r="C293" s="16" t="s">
        <v>183</v>
      </c>
      <c r="D293" s="23">
        <v>45</v>
      </c>
      <c r="E293" s="24">
        <v>112612.306306</v>
      </c>
    </row>
    <row r="294" s="29" customFormat="1" ht="41" spans="2:5">
      <c r="B294" s="19" t="s">
        <v>498</v>
      </c>
      <c r="C294" s="20" t="s">
        <v>182</v>
      </c>
      <c r="D294" s="21">
        <v>6</v>
      </c>
      <c r="E294" s="22">
        <v>0</v>
      </c>
    </row>
    <row r="295" s="29" customFormat="1" spans="2:5">
      <c r="B295" s="19" t="s">
        <v>498</v>
      </c>
      <c r="C295" s="16" t="s">
        <v>183</v>
      </c>
      <c r="D295" s="23">
        <v>6</v>
      </c>
      <c r="E295" s="24">
        <v>0</v>
      </c>
    </row>
    <row r="296" s="29" customFormat="1" ht="41" spans="2:5">
      <c r="B296" s="19" t="s">
        <v>427</v>
      </c>
      <c r="C296" s="20" t="s">
        <v>182</v>
      </c>
      <c r="D296" s="21">
        <v>13</v>
      </c>
      <c r="E296" s="22">
        <v>0</v>
      </c>
    </row>
    <row r="297" s="29" customFormat="1" spans="2:5">
      <c r="B297" s="19" t="s">
        <v>427</v>
      </c>
      <c r="C297" s="16" t="s">
        <v>183</v>
      </c>
      <c r="D297" s="23">
        <v>13</v>
      </c>
      <c r="E297" s="24">
        <v>0</v>
      </c>
    </row>
    <row r="298" s="29" customFormat="1" ht="41" spans="2:5">
      <c r="B298" s="19" t="s">
        <v>428</v>
      </c>
      <c r="C298" s="20" t="s">
        <v>182</v>
      </c>
      <c r="D298" s="21">
        <v>8</v>
      </c>
      <c r="E298" s="22">
        <v>0</v>
      </c>
    </row>
    <row r="299" s="29" customFormat="1" spans="2:5">
      <c r="B299" s="19" t="s">
        <v>428</v>
      </c>
      <c r="C299" s="16" t="s">
        <v>183</v>
      </c>
      <c r="D299" s="23">
        <v>8</v>
      </c>
      <c r="E299" s="24">
        <v>0</v>
      </c>
    </row>
    <row r="300" s="29" customFormat="1" ht="41" spans="2:5">
      <c r="B300" s="19" t="s">
        <v>429</v>
      </c>
      <c r="C300" s="20" t="s">
        <v>182</v>
      </c>
      <c r="D300" s="21">
        <v>82</v>
      </c>
      <c r="E300" s="22">
        <v>168716.225225</v>
      </c>
    </row>
    <row r="301" s="29" customFormat="1" spans="2:5">
      <c r="B301" s="19" t="s">
        <v>429</v>
      </c>
      <c r="C301" s="16" t="s">
        <v>183</v>
      </c>
      <c r="D301" s="23">
        <v>82</v>
      </c>
      <c r="E301" s="24">
        <v>168716.225225</v>
      </c>
    </row>
    <row r="302" s="29" customFormat="1" ht="41" spans="2:5">
      <c r="B302" s="19" t="s">
        <v>430</v>
      </c>
      <c r="C302" s="20" t="s">
        <v>182</v>
      </c>
      <c r="D302" s="21">
        <v>3</v>
      </c>
      <c r="E302" s="22">
        <v>0</v>
      </c>
    </row>
    <row r="303" s="29" customFormat="1" ht="17.55" spans="2:5">
      <c r="B303" s="19" t="s">
        <v>430</v>
      </c>
      <c r="C303" s="16" t="s">
        <v>183</v>
      </c>
      <c r="D303" s="23">
        <v>3</v>
      </c>
      <c r="E303" s="24">
        <v>0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486</v>
      </c>
      <c r="C307" s="26" t="s">
        <v>486</v>
      </c>
      <c r="D307" s="26" t="s">
        <v>486</v>
      </c>
      <c r="E307" s="26" t="s">
        <v>486</v>
      </c>
    </row>
    <row r="308" s="29" customFormat="1" spans="2:5">
      <c r="B308" s="26" t="s">
        <v>282</v>
      </c>
      <c r="C308" s="26" t="s">
        <v>282</v>
      </c>
      <c r="D308" s="26" t="s">
        <v>282</v>
      </c>
      <c r="E308" s="26" t="s">
        <v>282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481</v>
      </c>
      <c r="C311" s="13" t="s">
        <v>481</v>
      </c>
      <c r="D311" s="13" t="s">
        <v>481</v>
      </c>
      <c r="E311" s="13" t="s">
        <v>481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41" spans="2:5">
      <c r="B314" s="19" t="s">
        <v>431</v>
      </c>
      <c r="C314" s="20" t="s">
        <v>182</v>
      </c>
      <c r="D314" s="21">
        <v>27</v>
      </c>
      <c r="E314" s="22">
        <v>0</v>
      </c>
    </row>
    <row r="315" s="29" customFormat="1" spans="2:5">
      <c r="B315" s="19" t="s">
        <v>431</v>
      </c>
      <c r="C315" s="16" t="s">
        <v>183</v>
      </c>
      <c r="D315" s="23">
        <v>27</v>
      </c>
      <c r="E315" s="24">
        <v>0</v>
      </c>
    </row>
    <row r="316" s="29" customFormat="1" ht="41" spans="2:5">
      <c r="B316" s="19" t="s">
        <v>432</v>
      </c>
      <c r="C316" s="20" t="s">
        <v>182</v>
      </c>
      <c r="D316" s="21">
        <v>2</v>
      </c>
      <c r="E316" s="22">
        <v>0</v>
      </c>
    </row>
    <row r="317" s="29" customFormat="1" spans="2:5">
      <c r="B317" s="19" t="s">
        <v>432</v>
      </c>
      <c r="C317" s="16" t="s">
        <v>183</v>
      </c>
      <c r="D317" s="23">
        <v>2</v>
      </c>
      <c r="E317" s="24">
        <v>0</v>
      </c>
    </row>
    <row r="318" s="29" customFormat="1" ht="41" spans="2:5">
      <c r="B318" s="19" t="s">
        <v>433</v>
      </c>
      <c r="C318" s="20" t="s">
        <v>182</v>
      </c>
      <c r="D318" s="21">
        <v>3</v>
      </c>
      <c r="E318" s="22">
        <v>0</v>
      </c>
    </row>
    <row r="319" s="29" customFormat="1" spans="2:5">
      <c r="B319" s="19" t="s">
        <v>433</v>
      </c>
      <c r="C319" s="16" t="s">
        <v>183</v>
      </c>
      <c r="D319" s="23">
        <v>3</v>
      </c>
      <c r="E319" s="24">
        <v>0</v>
      </c>
    </row>
    <row r="320" s="29" customFormat="1" ht="41" spans="2:5">
      <c r="B320" s="19" t="s">
        <v>434</v>
      </c>
      <c r="C320" s="20" t="s">
        <v>182</v>
      </c>
      <c r="D320" s="21">
        <v>79</v>
      </c>
      <c r="E320" s="22">
        <v>0</v>
      </c>
    </row>
    <row r="321" s="29" customFormat="1" spans="2:5">
      <c r="B321" s="19" t="s">
        <v>434</v>
      </c>
      <c r="C321" s="16" t="s">
        <v>183</v>
      </c>
      <c r="D321" s="23">
        <v>79</v>
      </c>
      <c r="E321" s="24">
        <v>0</v>
      </c>
    </row>
    <row r="322" s="29" customFormat="1" ht="41" spans="2:5">
      <c r="B322" s="19" t="s">
        <v>435</v>
      </c>
      <c r="C322" s="20" t="s">
        <v>182</v>
      </c>
      <c r="D322" s="21">
        <v>12</v>
      </c>
      <c r="E322" s="22">
        <v>0</v>
      </c>
    </row>
    <row r="323" s="29" customFormat="1" spans="2:5">
      <c r="B323" s="19" t="s">
        <v>435</v>
      </c>
      <c r="C323" s="16" t="s">
        <v>183</v>
      </c>
      <c r="D323" s="23">
        <v>12</v>
      </c>
      <c r="E323" s="24">
        <v>0</v>
      </c>
    </row>
    <row r="324" s="29" customFormat="1" ht="41" spans="2:5">
      <c r="B324" s="19" t="s">
        <v>436</v>
      </c>
      <c r="C324" s="20" t="s">
        <v>182</v>
      </c>
      <c r="D324" s="21">
        <v>18</v>
      </c>
      <c r="E324" s="22">
        <v>0</v>
      </c>
    </row>
    <row r="325" s="29" customFormat="1" ht="17.55" spans="2:5">
      <c r="B325" s="19" t="s">
        <v>436</v>
      </c>
      <c r="C325" s="16" t="s">
        <v>183</v>
      </c>
      <c r="D325" s="23">
        <v>18</v>
      </c>
      <c r="E325" s="24">
        <v>0</v>
      </c>
    </row>
    <row r="326" s="29" customFormat="1" spans="2:5">
      <c r="B326" s="25"/>
      <c r="C326" s="25"/>
      <c r="D326" s="25"/>
      <c r="E326" s="25"/>
    </row>
    <row r="327" s="29" customFormat="1" ht="36" spans="2:5">
      <c r="B327" s="26" t="s">
        <v>189</v>
      </c>
      <c r="C327" s="26" t="s">
        <v>189</v>
      </c>
      <c r="D327" s="26" t="s">
        <v>189</v>
      </c>
      <c r="E327" s="26" t="s">
        <v>189</v>
      </c>
    </row>
    <row r="328" s="29" customFormat="1" spans="2:5">
      <c r="B328" s="26"/>
      <c r="C328" s="26"/>
      <c r="D328" s="26"/>
      <c r="E328" s="26"/>
    </row>
    <row r="329" s="29" customFormat="1" ht="36" spans="2:5">
      <c r="B329" s="26" t="s">
        <v>486</v>
      </c>
      <c r="C329" s="26" t="s">
        <v>486</v>
      </c>
      <c r="D329" s="26" t="s">
        <v>486</v>
      </c>
      <c r="E329" s="26" t="s">
        <v>486</v>
      </c>
    </row>
    <row r="330" s="29" customFormat="1" spans="2:5">
      <c r="B330" s="26" t="s">
        <v>289</v>
      </c>
      <c r="C330" s="26" t="s">
        <v>289</v>
      </c>
      <c r="D330" s="26" t="s">
        <v>289</v>
      </c>
      <c r="E330" s="26" t="s">
        <v>289</v>
      </c>
    </row>
    <row r="331" s="29" customFormat="1" ht="124" spans="2:5">
      <c r="B331" s="11" t="s">
        <v>173</v>
      </c>
      <c r="C331" s="11" t="s">
        <v>173</v>
      </c>
      <c r="D331" s="11" t="s">
        <v>173</v>
      </c>
      <c r="E331" s="11" t="s">
        <v>173</v>
      </c>
    </row>
    <row r="332" s="29" customFormat="1" ht="156" spans="2:5">
      <c r="B332" s="12" t="s">
        <v>174</v>
      </c>
      <c r="C332" s="12" t="s">
        <v>174</v>
      </c>
      <c r="D332" s="12" t="s">
        <v>174</v>
      </c>
      <c r="E332" s="12" t="s">
        <v>174</v>
      </c>
    </row>
    <row r="333" s="29" customFormat="1" ht="68" spans="2:5">
      <c r="B333" s="13" t="s">
        <v>481</v>
      </c>
      <c r="C333" s="13" t="s">
        <v>481</v>
      </c>
      <c r="D333" s="13" t="s">
        <v>481</v>
      </c>
      <c r="E333" s="13" t="s">
        <v>481</v>
      </c>
    </row>
    <row r="334" s="29" customFormat="1" ht="22" spans="2:5">
      <c r="B334" s="14" t="s">
        <v>176</v>
      </c>
      <c r="C334" s="14" t="s">
        <v>176</v>
      </c>
      <c r="D334" s="14" t="s">
        <v>176</v>
      </c>
      <c r="E334" s="14" t="s">
        <v>176</v>
      </c>
    </row>
    <row r="335" s="29" customFormat="1" spans="2:5">
      <c r="B335" s="15" t="s">
        <v>177</v>
      </c>
      <c r="C335" s="16" t="s">
        <v>178</v>
      </c>
      <c r="D335" s="17" t="s">
        <v>179</v>
      </c>
      <c r="E335" s="18" t="s">
        <v>180</v>
      </c>
    </row>
    <row r="336" s="29" customFormat="1" ht="41" spans="2:5">
      <c r="B336" s="19" t="s">
        <v>437</v>
      </c>
      <c r="C336" s="20" t="s">
        <v>182</v>
      </c>
      <c r="D336" s="21">
        <v>5</v>
      </c>
      <c r="E336" s="22">
        <v>0</v>
      </c>
    </row>
    <row r="337" s="29" customFormat="1" spans="2:5">
      <c r="B337" s="19" t="s">
        <v>437</v>
      </c>
      <c r="C337" s="16" t="s">
        <v>183</v>
      </c>
      <c r="D337" s="23">
        <v>5</v>
      </c>
      <c r="E337" s="24">
        <v>0</v>
      </c>
    </row>
    <row r="338" s="29" customFormat="1" ht="41" spans="2:5">
      <c r="B338" s="19" t="s">
        <v>438</v>
      </c>
      <c r="C338" s="20" t="s">
        <v>182</v>
      </c>
      <c r="D338" s="21">
        <v>1</v>
      </c>
      <c r="E338" s="22">
        <v>0</v>
      </c>
    </row>
    <row r="339" s="29" customFormat="1" spans="2:5">
      <c r="B339" s="19" t="s">
        <v>438</v>
      </c>
      <c r="C339" s="16" t="s">
        <v>183</v>
      </c>
      <c r="D339" s="23">
        <v>1</v>
      </c>
      <c r="E339" s="24">
        <v>0</v>
      </c>
    </row>
    <row r="340" s="29" customFormat="1" ht="41" spans="2:5">
      <c r="B340" s="19" t="s">
        <v>439</v>
      </c>
      <c r="C340" s="20" t="s">
        <v>182</v>
      </c>
      <c r="D340" s="21">
        <v>1</v>
      </c>
      <c r="E340" s="22">
        <v>0</v>
      </c>
    </row>
    <row r="341" s="29" customFormat="1" spans="2:5">
      <c r="B341" s="19" t="s">
        <v>439</v>
      </c>
      <c r="C341" s="16" t="s">
        <v>183</v>
      </c>
      <c r="D341" s="23">
        <v>1</v>
      </c>
      <c r="E341" s="24">
        <v>0</v>
      </c>
    </row>
    <row r="342" s="29" customFormat="1" ht="41" spans="2:5">
      <c r="B342" s="19" t="s">
        <v>440</v>
      </c>
      <c r="C342" s="20" t="s">
        <v>182</v>
      </c>
      <c r="D342" s="21">
        <v>210</v>
      </c>
      <c r="E342" s="22">
        <v>112612.612613</v>
      </c>
    </row>
    <row r="343" s="29" customFormat="1" spans="2:5">
      <c r="B343" s="19" t="s">
        <v>440</v>
      </c>
      <c r="C343" s="16" t="s">
        <v>183</v>
      </c>
      <c r="D343" s="23">
        <v>210</v>
      </c>
      <c r="E343" s="24">
        <v>112612.612613</v>
      </c>
    </row>
    <row r="344" s="29" customFormat="1" ht="41" spans="2:5">
      <c r="B344" s="19" t="s">
        <v>441</v>
      </c>
      <c r="C344" s="20" t="s">
        <v>182</v>
      </c>
      <c r="D344" s="21">
        <v>4</v>
      </c>
      <c r="E344" s="22">
        <v>0</v>
      </c>
    </row>
    <row r="345" s="29" customFormat="1" spans="2:5">
      <c r="B345" s="19" t="s">
        <v>441</v>
      </c>
      <c r="C345" s="16" t="s">
        <v>183</v>
      </c>
      <c r="D345" s="23">
        <v>4</v>
      </c>
      <c r="E345" s="24">
        <v>0</v>
      </c>
    </row>
    <row r="346" s="29" customFormat="1" ht="41" spans="2:5">
      <c r="B346" s="19" t="s">
        <v>442</v>
      </c>
      <c r="C346" s="20" t="s">
        <v>182</v>
      </c>
      <c r="D346" s="21">
        <v>6</v>
      </c>
      <c r="E346" s="22">
        <v>0</v>
      </c>
    </row>
    <row r="347" s="29" customFormat="1" ht="17.55" spans="2:5">
      <c r="B347" s="19" t="s">
        <v>442</v>
      </c>
      <c r="C347" s="16" t="s">
        <v>183</v>
      </c>
      <c r="D347" s="23">
        <v>6</v>
      </c>
      <c r="E347" s="24">
        <v>0</v>
      </c>
    </row>
    <row r="348" s="29" customFormat="1" spans="2:5">
      <c r="B348" s="25"/>
      <c r="C348" s="25"/>
      <c r="D348" s="25"/>
      <c r="E348" s="25"/>
    </row>
    <row r="349" s="29" customFormat="1" ht="36" spans="2:5">
      <c r="B349" s="26" t="s">
        <v>189</v>
      </c>
      <c r="C349" s="26" t="s">
        <v>189</v>
      </c>
      <c r="D349" s="26" t="s">
        <v>189</v>
      </c>
      <c r="E349" s="26" t="s">
        <v>189</v>
      </c>
    </row>
    <row r="350" s="29" customFormat="1" spans="2:5">
      <c r="B350" s="26"/>
      <c r="C350" s="26"/>
      <c r="D350" s="26"/>
      <c r="E350" s="26"/>
    </row>
    <row r="351" s="29" customFormat="1" ht="36" spans="2:5">
      <c r="B351" s="26" t="s">
        <v>486</v>
      </c>
      <c r="C351" s="26" t="s">
        <v>486</v>
      </c>
      <c r="D351" s="26" t="s">
        <v>486</v>
      </c>
      <c r="E351" s="26" t="s">
        <v>486</v>
      </c>
    </row>
    <row r="352" s="29" customFormat="1" spans="2:5">
      <c r="B352" s="26" t="s">
        <v>296</v>
      </c>
      <c r="C352" s="26" t="s">
        <v>296</v>
      </c>
      <c r="D352" s="26" t="s">
        <v>296</v>
      </c>
      <c r="E352" s="26" t="s">
        <v>296</v>
      </c>
    </row>
    <row r="353" s="29" customFormat="1" ht="124" spans="2:5">
      <c r="B353" s="11" t="s">
        <v>173</v>
      </c>
      <c r="C353" s="11" t="s">
        <v>173</v>
      </c>
      <c r="D353" s="11" t="s">
        <v>173</v>
      </c>
      <c r="E353" s="11" t="s">
        <v>173</v>
      </c>
    </row>
    <row r="354" s="29" customFormat="1" ht="156" spans="2:5">
      <c r="B354" s="12" t="s">
        <v>174</v>
      </c>
      <c r="C354" s="12" t="s">
        <v>174</v>
      </c>
      <c r="D354" s="12" t="s">
        <v>174</v>
      </c>
      <c r="E354" s="12" t="s">
        <v>174</v>
      </c>
    </row>
    <row r="355" s="29" customFormat="1" ht="68" spans="2:5">
      <c r="B355" s="13" t="s">
        <v>481</v>
      </c>
      <c r="C355" s="13" t="s">
        <v>481</v>
      </c>
      <c r="D355" s="13" t="s">
        <v>481</v>
      </c>
      <c r="E355" s="13" t="s">
        <v>481</v>
      </c>
    </row>
    <row r="356" s="29" customFormat="1" ht="22" spans="2:5">
      <c r="B356" s="14" t="s">
        <v>176</v>
      </c>
      <c r="C356" s="14" t="s">
        <v>176</v>
      </c>
      <c r="D356" s="14" t="s">
        <v>176</v>
      </c>
      <c r="E356" s="14" t="s">
        <v>176</v>
      </c>
    </row>
    <row r="357" s="29" customFormat="1" spans="2:5">
      <c r="B357" s="15" t="s">
        <v>177</v>
      </c>
      <c r="C357" s="16" t="s">
        <v>178</v>
      </c>
      <c r="D357" s="17" t="s">
        <v>179</v>
      </c>
      <c r="E357" s="18" t="s">
        <v>180</v>
      </c>
    </row>
    <row r="358" s="29" customFormat="1" ht="41" spans="2:5">
      <c r="B358" s="19" t="s">
        <v>443</v>
      </c>
      <c r="C358" s="20" t="s">
        <v>182</v>
      </c>
      <c r="D358" s="21">
        <v>2</v>
      </c>
      <c r="E358" s="22">
        <v>0</v>
      </c>
    </row>
    <row r="359" s="29" customFormat="1" spans="2:5">
      <c r="B359" s="19" t="s">
        <v>443</v>
      </c>
      <c r="C359" s="16" t="s">
        <v>183</v>
      </c>
      <c r="D359" s="23">
        <v>2</v>
      </c>
      <c r="E359" s="24">
        <v>0</v>
      </c>
    </row>
    <row r="360" s="29" customFormat="1" ht="41" spans="2:5">
      <c r="B360" s="19" t="s">
        <v>444</v>
      </c>
      <c r="C360" s="20" t="s">
        <v>182</v>
      </c>
      <c r="D360" s="21">
        <v>8</v>
      </c>
      <c r="E360" s="22">
        <v>0</v>
      </c>
    </row>
    <row r="361" s="29" customFormat="1" spans="2:5">
      <c r="B361" s="19" t="s">
        <v>444</v>
      </c>
      <c r="C361" s="16" t="s">
        <v>183</v>
      </c>
      <c r="D361" s="23">
        <v>8</v>
      </c>
      <c r="E361" s="24">
        <v>0</v>
      </c>
    </row>
    <row r="362" s="29" customFormat="1" ht="41" spans="2:5">
      <c r="B362" s="19" t="s">
        <v>499</v>
      </c>
      <c r="C362" s="20" t="s">
        <v>182</v>
      </c>
      <c r="D362" s="21">
        <v>1</v>
      </c>
      <c r="E362" s="22">
        <v>0</v>
      </c>
    </row>
    <row r="363" s="29" customFormat="1" spans="2:5">
      <c r="B363" s="19" t="s">
        <v>499</v>
      </c>
      <c r="C363" s="16" t="s">
        <v>183</v>
      </c>
      <c r="D363" s="23">
        <v>1</v>
      </c>
      <c r="E363" s="24">
        <v>0</v>
      </c>
    </row>
    <row r="364" s="29" customFormat="1" ht="41" spans="2:5">
      <c r="B364" s="19" t="s">
        <v>445</v>
      </c>
      <c r="C364" s="20" t="s">
        <v>182</v>
      </c>
      <c r="D364" s="21">
        <v>1</v>
      </c>
      <c r="E364" s="22">
        <v>0</v>
      </c>
    </row>
    <row r="365" s="29" customFormat="1" spans="2:5">
      <c r="B365" s="19" t="s">
        <v>445</v>
      </c>
      <c r="C365" s="16" t="s">
        <v>183</v>
      </c>
      <c r="D365" s="23">
        <v>1</v>
      </c>
      <c r="E365" s="24">
        <v>0</v>
      </c>
    </row>
    <row r="366" s="29" customFormat="1" ht="41" spans="2:5">
      <c r="B366" s="19" t="s">
        <v>500</v>
      </c>
      <c r="C366" s="20" t="s">
        <v>182</v>
      </c>
      <c r="D366" s="21">
        <v>2</v>
      </c>
      <c r="E366" s="22">
        <v>0</v>
      </c>
    </row>
    <row r="367" s="29" customFormat="1" spans="2:5">
      <c r="B367" s="19" t="s">
        <v>500</v>
      </c>
      <c r="C367" s="16" t="s">
        <v>183</v>
      </c>
      <c r="D367" s="23">
        <v>2</v>
      </c>
      <c r="E367" s="24">
        <v>0</v>
      </c>
    </row>
    <row r="368" s="29" customFormat="1" ht="41" spans="2:5">
      <c r="B368" s="19" t="s">
        <v>501</v>
      </c>
      <c r="C368" s="20" t="s">
        <v>182</v>
      </c>
      <c r="D368" s="21">
        <v>4</v>
      </c>
      <c r="E368" s="22">
        <v>742500</v>
      </c>
    </row>
    <row r="369" s="29" customFormat="1" ht="17.55" spans="2:5">
      <c r="B369" s="19" t="s">
        <v>501</v>
      </c>
      <c r="C369" s="16" t="s">
        <v>183</v>
      </c>
      <c r="D369" s="23">
        <v>4</v>
      </c>
      <c r="E369" s="24">
        <v>742500</v>
      </c>
    </row>
    <row r="370" s="29" customFormat="1" spans="2:5">
      <c r="B370" s="25"/>
      <c r="C370" s="25"/>
      <c r="D370" s="25"/>
      <c r="E370" s="25"/>
    </row>
    <row r="371" s="29" customFormat="1" ht="36" spans="2:5">
      <c r="B371" s="26" t="s">
        <v>189</v>
      </c>
      <c r="C371" s="26" t="s">
        <v>189</v>
      </c>
      <c r="D371" s="26" t="s">
        <v>189</v>
      </c>
      <c r="E371" s="26" t="s">
        <v>189</v>
      </c>
    </row>
    <row r="372" s="29" customFormat="1" spans="2:5">
      <c r="B372" s="26"/>
      <c r="C372" s="26"/>
      <c r="D372" s="26"/>
      <c r="E372" s="26"/>
    </row>
    <row r="373" s="29" customFormat="1" ht="36" spans="2:5">
      <c r="B373" s="26" t="s">
        <v>486</v>
      </c>
      <c r="C373" s="26" t="s">
        <v>486</v>
      </c>
      <c r="D373" s="26" t="s">
        <v>486</v>
      </c>
      <c r="E373" s="26" t="s">
        <v>486</v>
      </c>
    </row>
    <row r="374" s="29" customFormat="1" spans="2:5">
      <c r="B374" s="26" t="s">
        <v>303</v>
      </c>
      <c r="C374" s="26" t="s">
        <v>303</v>
      </c>
      <c r="D374" s="26" t="s">
        <v>303</v>
      </c>
      <c r="E374" s="26" t="s">
        <v>303</v>
      </c>
    </row>
    <row r="375" s="29" customFormat="1" ht="124" spans="2:5">
      <c r="B375" s="11" t="s">
        <v>173</v>
      </c>
      <c r="C375" s="11" t="s">
        <v>173</v>
      </c>
      <c r="D375" s="11" t="s">
        <v>173</v>
      </c>
      <c r="E375" s="11" t="s">
        <v>173</v>
      </c>
    </row>
    <row r="376" s="29" customFormat="1" ht="156" spans="2:5">
      <c r="B376" s="12" t="s">
        <v>174</v>
      </c>
      <c r="C376" s="12" t="s">
        <v>174</v>
      </c>
      <c r="D376" s="12" t="s">
        <v>174</v>
      </c>
      <c r="E376" s="12" t="s">
        <v>174</v>
      </c>
    </row>
    <row r="377" s="29" customFormat="1" ht="68" spans="2:5">
      <c r="B377" s="13" t="s">
        <v>481</v>
      </c>
      <c r="C377" s="13" t="s">
        <v>481</v>
      </c>
      <c r="D377" s="13" t="s">
        <v>481</v>
      </c>
      <c r="E377" s="13" t="s">
        <v>481</v>
      </c>
    </row>
    <row r="378" s="29" customFormat="1" ht="22" spans="2:5">
      <c r="B378" s="14" t="s">
        <v>176</v>
      </c>
      <c r="C378" s="14" t="s">
        <v>176</v>
      </c>
      <c r="D378" s="14" t="s">
        <v>176</v>
      </c>
      <c r="E378" s="14" t="s">
        <v>176</v>
      </c>
    </row>
    <row r="379" s="29" customFormat="1" spans="2:5">
      <c r="B379" s="15" t="s">
        <v>177</v>
      </c>
      <c r="C379" s="16" t="s">
        <v>178</v>
      </c>
      <c r="D379" s="17" t="s">
        <v>179</v>
      </c>
      <c r="E379" s="18" t="s">
        <v>180</v>
      </c>
    </row>
    <row r="380" s="29" customFormat="1" ht="41" spans="2:5">
      <c r="B380" s="19" t="s">
        <v>502</v>
      </c>
      <c r="C380" s="20" t="s">
        <v>182</v>
      </c>
      <c r="D380" s="21">
        <v>12</v>
      </c>
      <c r="E380" s="22">
        <v>1135135.17117</v>
      </c>
    </row>
    <row r="381" s="29" customFormat="1" ht="28" spans="2:5">
      <c r="B381" s="19" t="s">
        <v>502</v>
      </c>
      <c r="C381" s="16" t="s">
        <v>183</v>
      </c>
      <c r="D381" s="23">
        <v>12</v>
      </c>
      <c r="E381" s="24">
        <v>1135135.17117</v>
      </c>
    </row>
    <row r="382" s="29" customFormat="1" ht="41" spans="2:5">
      <c r="B382" s="19" t="s">
        <v>503</v>
      </c>
      <c r="C382" s="20" t="s">
        <v>182</v>
      </c>
      <c r="D382" s="21">
        <v>1</v>
      </c>
      <c r="E382" s="22">
        <v>22522.522523</v>
      </c>
    </row>
    <row r="383" s="29" customFormat="1" ht="28" spans="2:5">
      <c r="B383" s="19" t="s">
        <v>503</v>
      </c>
      <c r="C383" s="16" t="s">
        <v>183</v>
      </c>
      <c r="D383" s="23">
        <v>1</v>
      </c>
      <c r="E383" s="24">
        <v>22522.522523</v>
      </c>
    </row>
    <row r="384" s="29" customFormat="1" ht="41" spans="2:5">
      <c r="B384" s="19" t="s">
        <v>280</v>
      </c>
      <c r="C384" s="20" t="s">
        <v>182</v>
      </c>
      <c r="D384" s="21">
        <v>1</v>
      </c>
      <c r="E384" s="22">
        <v>692612.612613</v>
      </c>
    </row>
    <row r="385" s="29" customFormat="1" ht="28" spans="2:5">
      <c r="B385" s="19" t="s">
        <v>280</v>
      </c>
      <c r="C385" s="16" t="s">
        <v>183</v>
      </c>
      <c r="D385" s="23">
        <v>1</v>
      </c>
      <c r="E385" s="24">
        <v>692612.612613</v>
      </c>
    </row>
    <row r="386" s="29" customFormat="1" ht="41" spans="2:5">
      <c r="B386" s="19" t="s">
        <v>504</v>
      </c>
      <c r="C386" s="20" t="s">
        <v>182</v>
      </c>
      <c r="D386" s="21">
        <v>1</v>
      </c>
      <c r="E386" s="22">
        <v>1531531.531532</v>
      </c>
    </row>
    <row r="387" s="29" customFormat="1" ht="28" spans="2:5">
      <c r="B387" s="19" t="s">
        <v>504</v>
      </c>
      <c r="C387" s="16" t="s">
        <v>183</v>
      </c>
      <c r="D387" s="23">
        <v>1</v>
      </c>
      <c r="E387" s="24">
        <v>1531531.531532</v>
      </c>
    </row>
    <row r="388" s="29" customFormat="1" ht="41" spans="2:5">
      <c r="B388" s="19" t="s">
        <v>292</v>
      </c>
      <c r="C388" s="20" t="s">
        <v>182</v>
      </c>
      <c r="D388" s="21">
        <v>5</v>
      </c>
      <c r="E388" s="22">
        <v>3506018</v>
      </c>
    </row>
    <row r="389" s="29" customFormat="1" ht="28" spans="2:5">
      <c r="B389" s="19" t="s">
        <v>292</v>
      </c>
      <c r="C389" s="16" t="s">
        <v>183</v>
      </c>
      <c r="D389" s="23">
        <v>5</v>
      </c>
      <c r="E389" s="24">
        <v>3506018</v>
      </c>
    </row>
    <row r="390" s="29" customFormat="1" ht="41" spans="2:5">
      <c r="B390" s="19" t="s">
        <v>505</v>
      </c>
      <c r="C390" s="20" t="s">
        <v>182</v>
      </c>
      <c r="D390" s="21">
        <v>3</v>
      </c>
      <c r="E390" s="22">
        <v>0</v>
      </c>
    </row>
    <row r="391" s="29" customFormat="1" ht="17.55" spans="2:5">
      <c r="B391" s="19" t="s">
        <v>505</v>
      </c>
      <c r="C391" s="16" t="s">
        <v>183</v>
      </c>
      <c r="D391" s="23">
        <v>3</v>
      </c>
      <c r="E391" s="24">
        <v>0</v>
      </c>
    </row>
    <row r="392" s="29" customFormat="1" spans="2:5">
      <c r="B392" s="25"/>
      <c r="C392" s="25"/>
      <c r="D392" s="25"/>
      <c r="E392" s="25"/>
    </row>
    <row r="393" s="29" customFormat="1" ht="36" spans="2:5">
      <c r="B393" s="26" t="s">
        <v>189</v>
      </c>
      <c r="C393" s="26" t="s">
        <v>189</v>
      </c>
      <c r="D393" s="26" t="s">
        <v>189</v>
      </c>
      <c r="E393" s="26" t="s">
        <v>189</v>
      </c>
    </row>
    <row r="394" s="29" customFormat="1" spans="2:5">
      <c r="B394" s="26"/>
      <c r="C394" s="26"/>
      <c r="D394" s="26"/>
      <c r="E394" s="26"/>
    </row>
    <row r="395" s="29" customFormat="1" ht="36" spans="2:5">
      <c r="B395" s="26" t="s">
        <v>486</v>
      </c>
      <c r="C395" s="26" t="s">
        <v>486</v>
      </c>
      <c r="D395" s="26" t="s">
        <v>486</v>
      </c>
      <c r="E395" s="26" t="s">
        <v>486</v>
      </c>
    </row>
    <row r="396" s="29" customFormat="1" spans="2:5">
      <c r="B396" s="26" t="s">
        <v>310</v>
      </c>
      <c r="C396" s="26" t="s">
        <v>310</v>
      </c>
      <c r="D396" s="26" t="s">
        <v>310</v>
      </c>
      <c r="E396" s="26" t="s">
        <v>310</v>
      </c>
    </row>
    <row r="397" s="29" customFormat="1" ht="124" spans="2:5">
      <c r="B397" s="11" t="s">
        <v>173</v>
      </c>
      <c r="C397" s="11" t="s">
        <v>173</v>
      </c>
      <c r="D397" s="11" t="s">
        <v>173</v>
      </c>
      <c r="E397" s="11" t="s">
        <v>173</v>
      </c>
    </row>
    <row r="398" s="29" customFormat="1" ht="156" spans="2:5">
      <c r="B398" s="12" t="s">
        <v>174</v>
      </c>
      <c r="C398" s="12" t="s">
        <v>174</v>
      </c>
      <c r="D398" s="12" t="s">
        <v>174</v>
      </c>
      <c r="E398" s="12" t="s">
        <v>174</v>
      </c>
    </row>
    <row r="399" s="29" customFormat="1" ht="68" spans="2:5">
      <c r="B399" s="13" t="s">
        <v>481</v>
      </c>
      <c r="C399" s="13" t="s">
        <v>481</v>
      </c>
      <c r="D399" s="13" t="s">
        <v>481</v>
      </c>
      <c r="E399" s="13" t="s">
        <v>481</v>
      </c>
    </row>
    <row r="400" s="29" customFormat="1" ht="22" spans="2:5">
      <c r="B400" s="14" t="s">
        <v>176</v>
      </c>
      <c r="C400" s="14" t="s">
        <v>176</v>
      </c>
      <c r="D400" s="14" t="s">
        <v>176</v>
      </c>
      <c r="E400" s="14" t="s">
        <v>176</v>
      </c>
    </row>
    <row r="401" s="29" customFormat="1" spans="2:5">
      <c r="B401" s="15" t="s">
        <v>177</v>
      </c>
      <c r="C401" s="16" t="s">
        <v>178</v>
      </c>
      <c r="D401" s="17" t="s">
        <v>179</v>
      </c>
      <c r="E401" s="18" t="s">
        <v>180</v>
      </c>
    </row>
    <row r="402" s="29" customFormat="1" ht="41" spans="2:5">
      <c r="B402" s="19" t="s">
        <v>448</v>
      </c>
      <c r="C402" s="20" t="s">
        <v>182</v>
      </c>
      <c r="D402" s="21">
        <v>2</v>
      </c>
      <c r="E402" s="22">
        <v>266666.666667</v>
      </c>
    </row>
    <row r="403" s="29" customFormat="1" spans="2:5">
      <c r="B403" s="19" t="s">
        <v>448</v>
      </c>
      <c r="C403" s="16" t="s">
        <v>183</v>
      </c>
      <c r="D403" s="23">
        <v>2</v>
      </c>
      <c r="E403" s="24">
        <v>266666.666667</v>
      </c>
    </row>
    <row r="404" s="29" customFormat="1" ht="41" spans="2:5">
      <c r="B404" s="19" t="s">
        <v>299</v>
      </c>
      <c r="C404" s="20" t="s">
        <v>182</v>
      </c>
      <c r="D404" s="21">
        <v>59</v>
      </c>
      <c r="E404" s="22">
        <v>75675.675676</v>
      </c>
    </row>
    <row r="405" s="29" customFormat="1" ht="28" spans="2:5">
      <c r="B405" s="19" t="s">
        <v>299</v>
      </c>
      <c r="C405" s="16" t="s">
        <v>183</v>
      </c>
      <c r="D405" s="23">
        <v>59</v>
      </c>
      <c r="E405" s="24">
        <v>75675.675676</v>
      </c>
    </row>
    <row r="406" s="29" customFormat="1" ht="41" spans="2:5">
      <c r="B406" s="19" t="s">
        <v>371</v>
      </c>
      <c r="C406" s="20" t="s">
        <v>182</v>
      </c>
      <c r="D406" s="21">
        <v>4</v>
      </c>
      <c r="E406" s="22">
        <v>0</v>
      </c>
    </row>
    <row r="407" s="29" customFormat="1" ht="28" spans="2:5">
      <c r="B407" s="19" t="s">
        <v>371</v>
      </c>
      <c r="C407" s="16" t="s">
        <v>183</v>
      </c>
      <c r="D407" s="23">
        <v>4</v>
      </c>
      <c r="E407" s="24">
        <v>0</v>
      </c>
    </row>
    <row r="408" s="29" customFormat="1" ht="41" spans="2:5">
      <c r="B408" s="19" t="s">
        <v>372</v>
      </c>
      <c r="C408" s="20" t="s">
        <v>182</v>
      </c>
      <c r="D408" s="21">
        <v>3</v>
      </c>
      <c r="E408" s="22">
        <v>0</v>
      </c>
    </row>
    <row r="409" s="29" customFormat="1" spans="2:5">
      <c r="B409" s="19" t="s">
        <v>372</v>
      </c>
      <c r="C409" s="16" t="s">
        <v>183</v>
      </c>
      <c r="D409" s="23">
        <v>3</v>
      </c>
      <c r="E409" s="24">
        <v>0</v>
      </c>
    </row>
    <row r="410" s="29" customFormat="1" ht="41" spans="2:5">
      <c r="B410" s="19" t="s">
        <v>449</v>
      </c>
      <c r="C410" s="20" t="s">
        <v>182</v>
      </c>
      <c r="D410" s="21">
        <v>22</v>
      </c>
      <c r="E410" s="22">
        <v>1070270.270278</v>
      </c>
    </row>
    <row r="411" s="29" customFormat="1" ht="28" spans="2:5">
      <c r="B411" s="19" t="s">
        <v>449</v>
      </c>
      <c r="C411" s="16" t="s">
        <v>183</v>
      </c>
      <c r="D411" s="23">
        <v>22</v>
      </c>
      <c r="E411" s="24">
        <v>1070270.270278</v>
      </c>
    </row>
    <row r="412" s="29" customFormat="1" ht="41" spans="2:5">
      <c r="B412" s="19" t="s">
        <v>373</v>
      </c>
      <c r="C412" s="20" t="s">
        <v>182</v>
      </c>
      <c r="D412" s="21">
        <v>73</v>
      </c>
      <c r="E412" s="22">
        <v>0</v>
      </c>
    </row>
    <row r="413" s="29" customFormat="1" ht="28.75" spans="2:5">
      <c r="B413" s="19" t="s">
        <v>373</v>
      </c>
      <c r="C413" s="16" t="s">
        <v>183</v>
      </c>
      <c r="D413" s="23">
        <v>73</v>
      </c>
      <c r="E413" s="24">
        <v>0</v>
      </c>
    </row>
    <row r="414" s="29" customFormat="1" spans="2:5">
      <c r="B414" s="25"/>
      <c r="C414" s="25"/>
      <c r="D414" s="25"/>
      <c r="E414" s="25"/>
    </row>
    <row r="415" s="29" customFormat="1" ht="36" spans="2:5">
      <c r="B415" s="26" t="s">
        <v>189</v>
      </c>
      <c r="C415" s="26" t="s">
        <v>189</v>
      </c>
      <c r="D415" s="26" t="s">
        <v>189</v>
      </c>
      <c r="E415" s="26" t="s">
        <v>189</v>
      </c>
    </row>
    <row r="416" s="29" customFormat="1" spans="2:5">
      <c r="B416" s="26"/>
      <c r="C416" s="26"/>
      <c r="D416" s="26"/>
      <c r="E416" s="26"/>
    </row>
    <row r="417" s="29" customFormat="1" ht="36" spans="2:5">
      <c r="B417" s="26" t="s">
        <v>486</v>
      </c>
      <c r="C417" s="26" t="s">
        <v>486</v>
      </c>
      <c r="D417" s="26" t="s">
        <v>486</v>
      </c>
      <c r="E417" s="26" t="s">
        <v>486</v>
      </c>
    </row>
    <row r="418" s="29" customFormat="1" spans="2:5">
      <c r="B418" s="26" t="s">
        <v>317</v>
      </c>
      <c r="C418" s="26" t="s">
        <v>317</v>
      </c>
      <c r="D418" s="26" t="s">
        <v>317</v>
      </c>
      <c r="E418" s="26" t="s">
        <v>317</v>
      </c>
    </row>
    <row r="419" s="29" customFormat="1" ht="124" spans="2:5">
      <c r="B419" s="11" t="s">
        <v>173</v>
      </c>
      <c r="C419" s="11" t="s">
        <v>173</v>
      </c>
      <c r="D419" s="11" t="s">
        <v>173</v>
      </c>
      <c r="E419" s="11" t="s">
        <v>173</v>
      </c>
    </row>
    <row r="420" s="29" customFormat="1" ht="156" spans="2:5">
      <c r="B420" s="12" t="s">
        <v>174</v>
      </c>
      <c r="C420" s="12" t="s">
        <v>174</v>
      </c>
      <c r="D420" s="12" t="s">
        <v>174</v>
      </c>
      <c r="E420" s="12" t="s">
        <v>174</v>
      </c>
    </row>
    <row r="421" s="29" customFormat="1" ht="68" spans="2:5">
      <c r="B421" s="13" t="s">
        <v>481</v>
      </c>
      <c r="C421" s="13" t="s">
        <v>481</v>
      </c>
      <c r="D421" s="13" t="s">
        <v>481</v>
      </c>
      <c r="E421" s="13" t="s">
        <v>481</v>
      </c>
    </row>
    <row r="422" s="29" customFormat="1" ht="22" spans="2:5">
      <c r="B422" s="14" t="s">
        <v>176</v>
      </c>
      <c r="C422" s="14" t="s">
        <v>176</v>
      </c>
      <c r="D422" s="14" t="s">
        <v>176</v>
      </c>
      <c r="E422" s="14" t="s">
        <v>176</v>
      </c>
    </row>
    <row r="423" s="29" customFormat="1" spans="2:5">
      <c r="B423" s="15" t="s">
        <v>177</v>
      </c>
      <c r="C423" s="16" t="s">
        <v>178</v>
      </c>
      <c r="D423" s="17" t="s">
        <v>179</v>
      </c>
      <c r="E423" s="18" t="s">
        <v>180</v>
      </c>
    </row>
    <row r="424" s="29" customFormat="1" ht="41" spans="2:5">
      <c r="B424" s="19" t="s">
        <v>374</v>
      </c>
      <c r="C424" s="20" t="s">
        <v>182</v>
      </c>
      <c r="D424" s="21">
        <v>3</v>
      </c>
      <c r="E424" s="22">
        <v>0</v>
      </c>
    </row>
    <row r="425" s="29" customFormat="1" ht="28" spans="2:5">
      <c r="B425" s="19" t="s">
        <v>374</v>
      </c>
      <c r="C425" s="16" t="s">
        <v>183</v>
      </c>
      <c r="D425" s="23">
        <v>3</v>
      </c>
      <c r="E425" s="24">
        <v>0</v>
      </c>
    </row>
    <row r="426" s="29" customFormat="1" ht="41" spans="2:5">
      <c r="B426" s="19" t="s">
        <v>300</v>
      </c>
      <c r="C426" s="20" t="s">
        <v>182</v>
      </c>
      <c r="D426" s="21">
        <v>3</v>
      </c>
      <c r="E426" s="22">
        <v>0</v>
      </c>
    </row>
    <row r="427" s="29" customFormat="1" spans="2:5">
      <c r="B427" s="19" t="s">
        <v>300</v>
      </c>
      <c r="C427" s="16" t="s">
        <v>183</v>
      </c>
      <c r="D427" s="23">
        <v>3</v>
      </c>
      <c r="E427" s="24">
        <v>0</v>
      </c>
    </row>
    <row r="428" s="29" customFormat="1" ht="41" spans="2:5">
      <c r="B428" s="19" t="s">
        <v>301</v>
      </c>
      <c r="C428" s="20" t="s">
        <v>182</v>
      </c>
      <c r="D428" s="21">
        <v>116</v>
      </c>
      <c r="E428" s="22">
        <v>0</v>
      </c>
    </row>
    <row r="429" s="29" customFormat="1" spans="2:5">
      <c r="B429" s="19" t="s">
        <v>301</v>
      </c>
      <c r="C429" s="16" t="s">
        <v>183</v>
      </c>
      <c r="D429" s="23">
        <v>116</v>
      </c>
      <c r="E429" s="24">
        <v>0</v>
      </c>
    </row>
    <row r="430" s="29" customFormat="1" ht="41" spans="2:5">
      <c r="B430" s="19" t="s">
        <v>375</v>
      </c>
      <c r="C430" s="20" t="s">
        <v>182</v>
      </c>
      <c r="D430" s="21">
        <v>73</v>
      </c>
      <c r="E430" s="22">
        <v>0</v>
      </c>
    </row>
    <row r="431" s="29" customFormat="1" spans="2:5">
      <c r="B431" s="19" t="s">
        <v>375</v>
      </c>
      <c r="C431" s="16" t="s">
        <v>183</v>
      </c>
      <c r="D431" s="23">
        <v>73</v>
      </c>
      <c r="E431" s="24">
        <v>0</v>
      </c>
    </row>
    <row r="432" s="29" customFormat="1" ht="41" spans="2:5">
      <c r="B432" s="19" t="s">
        <v>302</v>
      </c>
      <c r="C432" s="20" t="s">
        <v>182</v>
      </c>
      <c r="D432" s="21">
        <v>118</v>
      </c>
      <c r="E432" s="22">
        <v>2433352.860719</v>
      </c>
    </row>
    <row r="433" s="29" customFormat="1" spans="2:5">
      <c r="B433" s="19" t="s">
        <v>302</v>
      </c>
      <c r="C433" s="16" t="s">
        <v>183</v>
      </c>
      <c r="D433" s="23">
        <v>118</v>
      </c>
      <c r="E433" s="24">
        <v>2433352.860719</v>
      </c>
    </row>
    <row r="434" s="29" customFormat="1" ht="41" spans="2:5">
      <c r="B434" s="19" t="s">
        <v>506</v>
      </c>
      <c r="C434" s="20" t="s">
        <v>182</v>
      </c>
      <c r="D434" s="21">
        <v>2</v>
      </c>
      <c r="E434" s="22">
        <v>0</v>
      </c>
    </row>
    <row r="435" s="29" customFormat="1" ht="17.55" spans="2:5">
      <c r="B435" s="19" t="s">
        <v>506</v>
      </c>
      <c r="C435" s="16" t="s">
        <v>183</v>
      </c>
      <c r="D435" s="23">
        <v>2</v>
      </c>
      <c r="E435" s="24">
        <v>0</v>
      </c>
    </row>
    <row r="436" s="29" customFormat="1" spans="2:5">
      <c r="B436" s="25"/>
      <c r="C436" s="25"/>
      <c r="D436" s="25"/>
      <c r="E436" s="25"/>
    </row>
    <row r="437" s="29" customFormat="1" ht="36" spans="2:5">
      <c r="B437" s="26" t="s">
        <v>189</v>
      </c>
      <c r="C437" s="26" t="s">
        <v>189</v>
      </c>
      <c r="D437" s="26" t="s">
        <v>189</v>
      </c>
      <c r="E437" s="26" t="s">
        <v>189</v>
      </c>
    </row>
    <row r="438" s="29" customFormat="1" spans="2:5">
      <c r="B438" s="26"/>
      <c r="C438" s="26"/>
      <c r="D438" s="26"/>
      <c r="E438" s="26"/>
    </row>
    <row r="439" s="29" customFormat="1" ht="36" spans="2:5">
      <c r="B439" s="26" t="s">
        <v>486</v>
      </c>
      <c r="C439" s="26" t="s">
        <v>486</v>
      </c>
      <c r="D439" s="26" t="s">
        <v>486</v>
      </c>
      <c r="E439" s="26" t="s">
        <v>486</v>
      </c>
    </row>
    <row r="440" s="29" customFormat="1" spans="2:5">
      <c r="B440" s="26" t="s">
        <v>324</v>
      </c>
      <c r="C440" s="26" t="s">
        <v>324</v>
      </c>
      <c r="D440" s="26" t="s">
        <v>324</v>
      </c>
      <c r="E440" s="26" t="s">
        <v>324</v>
      </c>
    </row>
    <row r="441" s="29" customFormat="1" ht="124" spans="2:5">
      <c r="B441" s="11" t="s">
        <v>173</v>
      </c>
      <c r="C441" s="11" t="s">
        <v>173</v>
      </c>
      <c r="D441" s="11" t="s">
        <v>173</v>
      </c>
      <c r="E441" s="11" t="s">
        <v>173</v>
      </c>
    </row>
    <row r="442" s="29" customFormat="1" ht="156" spans="2:5">
      <c r="B442" s="12" t="s">
        <v>174</v>
      </c>
      <c r="C442" s="12" t="s">
        <v>174</v>
      </c>
      <c r="D442" s="12" t="s">
        <v>174</v>
      </c>
      <c r="E442" s="12" t="s">
        <v>174</v>
      </c>
    </row>
    <row r="443" s="29" customFormat="1" ht="68" spans="2:5">
      <c r="B443" s="13" t="s">
        <v>481</v>
      </c>
      <c r="C443" s="13" t="s">
        <v>481</v>
      </c>
      <c r="D443" s="13" t="s">
        <v>481</v>
      </c>
      <c r="E443" s="13" t="s">
        <v>481</v>
      </c>
    </row>
    <row r="444" s="29" customFormat="1" ht="22" spans="2:5">
      <c r="B444" s="14" t="s">
        <v>176</v>
      </c>
      <c r="C444" s="14" t="s">
        <v>176</v>
      </c>
      <c r="D444" s="14" t="s">
        <v>176</v>
      </c>
      <c r="E444" s="14" t="s">
        <v>176</v>
      </c>
    </row>
    <row r="445" s="29" customFormat="1" spans="2:5">
      <c r="B445" s="15" t="s">
        <v>177</v>
      </c>
      <c r="C445" s="16" t="s">
        <v>178</v>
      </c>
      <c r="D445" s="17" t="s">
        <v>179</v>
      </c>
      <c r="E445" s="18" t="s">
        <v>180</v>
      </c>
    </row>
    <row r="446" s="29" customFormat="1" ht="41" spans="2:5">
      <c r="B446" s="19" t="s">
        <v>507</v>
      </c>
      <c r="C446" s="20" t="s">
        <v>182</v>
      </c>
      <c r="D446" s="21">
        <v>6</v>
      </c>
      <c r="E446" s="22">
        <v>162162.162162</v>
      </c>
    </row>
    <row r="447" s="29" customFormat="1" spans="2:5">
      <c r="B447" s="19" t="s">
        <v>507</v>
      </c>
      <c r="C447" s="16" t="s">
        <v>183</v>
      </c>
      <c r="D447" s="23">
        <v>6</v>
      </c>
      <c r="E447" s="24">
        <v>162162.162162</v>
      </c>
    </row>
    <row r="448" s="29" customFormat="1" ht="41" spans="2:5">
      <c r="B448" s="19" t="s">
        <v>508</v>
      </c>
      <c r="C448" s="20" t="s">
        <v>182</v>
      </c>
      <c r="D448" s="21">
        <v>1</v>
      </c>
      <c r="E448" s="22">
        <v>617500</v>
      </c>
    </row>
    <row r="449" s="29" customFormat="1" ht="28" spans="2:5">
      <c r="B449" s="19" t="s">
        <v>508</v>
      </c>
      <c r="C449" s="16" t="s">
        <v>183</v>
      </c>
      <c r="D449" s="23">
        <v>1</v>
      </c>
      <c r="E449" s="24">
        <v>617500</v>
      </c>
    </row>
    <row r="450" s="29" customFormat="1" ht="41" spans="2:5">
      <c r="B450" s="19" t="s">
        <v>509</v>
      </c>
      <c r="C450" s="20" t="s">
        <v>182</v>
      </c>
      <c r="D450" s="21">
        <v>1</v>
      </c>
      <c r="E450" s="22">
        <v>1804504.072072</v>
      </c>
    </row>
    <row r="451" s="29" customFormat="1" spans="2:5">
      <c r="B451" s="19" t="s">
        <v>509</v>
      </c>
      <c r="C451" s="16" t="s">
        <v>183</v>
      </c>
      <c r="D451" s="23">
        <v>1</v>
      </c>
      <c r="E451" s="24">
        <v>1804504.072072</v>
      </c>
    </row>
    <row r="452" s="29" customFormat="1" ht="41" spans="2:5">
      <c r="B452" s="19" t="s">
        <v>510</v>
      </c>
      <c r="C452" s="20" t="s">
        <v>182</v>
      </c>
      <c r="D452" s="21">
        <v>1</v>
      </c>
      <c r="E452" s="22">
        <v>249765.765766</v>
      </c>
    </row>
    <row r="453" s="29" customFormat="1" spans="2:5">
      <c r="B453" s="19" t="s">
        <v>510</v>
      </c>
      <c r="C453" s="16" t="s">
        <v>183</v>
      </c>
      <c r="D453" s="23">
        <v>1</v>
      </c>
      <c r="E453" s="24">
        <v>249765.765766</v>
      </c>
    </row>
    <row r="454" s="29" customFormat="1" ht="41" spans="2:5">
      <c r="B454" s="19" t="s">
        <v>511</v>
      </c>
      <c r="C454" s="20" t="s">
        <v>182</v>
      </c>
      <c r="D454" s="21">
        <v>1</v>
      </c>
      <c r="E454" s="22">
        <v>801554.054054</v>
      </c>
    </row>
    <row r="455" s="29" customFormat="1" ht="28" spans="2:5">
      <c r="B455" s="19" t="s">
        <v>511</v>
      </c>
      <c r="C455" s="16" t="s">
        <v>183</v>
      </c>
      <c r="D455" s="23">
        <v>1</v>
      </c>
      <c r="E455" s="24">
        <v>801554.054054</v>
      </c>
    </row>
    <row r="456" s="29" customFormat="1" ht="41" spans="2:5">
      <c r="B456" s="19" t="s">
        <v>512</v>
      </c>
      <c r="C456" s="20" t="s">
        <v>182</v>
      </c>
      <c r="D456" s="21">
        <v>4</v>
      </c>
      <c r="E456" s="22">
        <v>769765.765766</v>
      </c>
    </row>
    <row r="457" s="29" customFormat="1" ht="28.75" spans="2:5">
      <c r="B457" s="19" t="s">
        <v>512</v>
      </c>
      <c r="C457" s="16" t="s">
        <v>183</v>
      </c>
      <c r="D457" s="23">
        <v>4</v>
      </c>
      <c r="E457" s="24">
        <v>769765.765766</v>
      </c>
    </row>
    <row r="458" s="29" customFormat="1" spans="2:5">
      <c r="B458" s="25"/>
      <c r="C458" s="25"/>
      <c r="D458" s="25"/>
      <c r="E458" s="25"/>
    </row>
    <row r="459" s="29" customFormat="1" ht="36" spans="2:5">
      <c r="B459" s="26" t="s">
        <v>189</v>
      </c>
      <c r="C459" s="26" t="s">
        <v>189</v>
      </c>
      <c r="D459" s="26" t="s">
        <v>189</v>
      </c>
      <c r="E459" s="26" t="s">
        <v>189</v>
      </c>
    </row>
    <row r="460" s="29" customFormat="1" spans="2:5">
      <c r="B460" s="26"/>
      <c r="C460" s="26"/>
      <c r="D460" s="26"/>
      <c r="E460" s="26"/>
    </row>
    <row r="461" s="29" customFormat="1" ht="36" spans="2:5">
      <c r="B461" s="26" t="s">
        <v>486</v>
      </c>
      <c r="C461" s="26" t="s">
        <v>486</v>
      </c>
      <c r="D461" s="26" t="s">
        <v>486</v>
      </c>
      <c r="E461" s="26" t="s">
        <v>486</v>
      </c>
    </row>
    <row r="462" s="29" customFormat="1" spans="2:5">
      <c r="B462" s="26" t="s">
        <v>331</v>
      </c>
      <c r="C462" s="26" t="s">
        <v>331</v>
      </c>
      <c r="D462" s="26" t="s">
        <v>331</v>
      </c>
      <c r="E462" s="26" t="s">
        <v>331</v>
      </c>
    </row>
    <row r="463" s="29" customFormat="1" ht="124" spans="2:5">
      <c r="B463" s="11" t="s">
        <v>173</v>
      </c>
      <c r="C463" s="11" t="s">
        <v>173</v>
      </c>
      <c r="D463" s="11" t="s">
        <v>173</v>
      </c>
      <c r="E463" s="11" t="s">
        <v>173</v>
      </c>
    </row>
    <row r="464" s="29" customFormat="1" ht="156" spans="2:5">
      <c r="B464" s="12" t="s">
        <v>174</v>
      </c>
      <c r="C464" s="12" t="s">
        <v>174</v>
      </c>
      <c r="D464" s="12" t="s">
        <v>174</v>
      </c>
      <c r="E464" s="12" t="s">
        <v>174</v>
      </c>
    </row>
    <row r="465" s="29" customFormat="1" ht="68" spans="2:5">
      <c r="B465" s="13" t="s">
        <v>481</v>
      </c>
      <c r="C465" s="13" t="s">
        <v>481</v>
      </c>
      <c r="D465" s="13" t="s">
        <v>481</v>
      </c>
      <c r="E465" s="13" t="s">
        <v>481</v>
      </c>
    </row>
    <row r="466" s="29" customFormat="1" ht="22" spans="2:5">
      <c r="B466" s="14" t="s">
        <v>176</v>
      </c>
      <c r="C466" s="14" t="s">
        <v>176</v>
      </c>
      <c r="D466" s="14" t="s">
        <v>176</v>
      </c>
      <c r="E466" s="14" t="s">
        <v>176</v>
      </c>
    </row>
    <row r="467" s="29" customFormat="1" spans="2:5">
      <c r="B467" s="15" t="s">
        <v>177</v>
      </c>
      <c r="C467" s="16" t="s">
        <v>178</v>
      </c>
      <c r="D467" s="17" t="s">
        <v>179</v>
      </c>
      <c r="E467" s="18" t="s">
        <v>180</v>
      </c>
    </row>
    <row r="468" s="29" customFormat="1" ht="41" spans="2:5">
      <c r="B468" s="19" t="s">
        <v>454</v>
      </c>
      <c r="C468" s="20" t="s">
        <v>182</v>
      </c>
      <c r="D468" s="21">
        <v>2</v>
      </c>
      <c r="E468" s="22">
        <v>0</v>
      </c>
    </row>
    <row r="469" s="29" customFormat="1" ht="28" spans="2:5">
      <c r="B469" s="19" t="s">
        <v>454</v>
      </c>
      <c r="C469" s="16" t="s">
        <v>183</v>
      </c>
      <c r="D469" s="23">
        <v>2</v>
      </c>
      <c r="E469" s="24">
        <v>0</v>
      </c>
    </row>
    <row r="470" s="29" customFormat="1" ht="41" spans="2:5">
      <c r="B470" s="19" t="s">
        <v>513</v>
      </c>
      <c r="C470" s="20" t="s">
        <v>182</v>
      </c>
      <c r="D470" s="21">
        <v>20</v>
      </c>
      <c r="E470" s="22">
        <v>0</v>
      </c>
    </row>
    <row r="471" s="29" customFormat="1" spans="2:5">
      <c r="B471" s="19" t="s">
        <v>513</v>
      </c>
      <c r="C471" s="16" t="s">
        <v>183</v>
      </c>
      <c r="D471" s="23">
        <v>20</v>
      </c>
      <c r="E471" s="24">
        <v>0</v>
      </c>
    </row>
    <row r="472" s="29" customFormat="1" ht="41" spans="2:5">
      <c r="B472" s="19" t="s">
        <v>514</v>
      </c>
      <c r="C472" s="20" t="s">
        <v>182</v>
      </c>
      <c r="D472" s="21">
        <v>24</v>
      </c>
      <c r="E472" s="22">
        <v>1016216.216208</v>
      </c>
    </row>
    <row r="473" s="29" customFormat="1" ht="28" spans="2:5">
      <c r="B473" s="19" t="s">
        <v>514</v>
      </c>
      <c r="C473" s="16" t="s">
        <v>183</v>
      </c>
      <c r="D473" s="23">
        <v>24</v>
      </c>
      <c r="E473" s="24">
        <v>1016216.216208</v>
      </c>
    </row>
    <row r="474" s="29" customFormat="1" ht="41" spans="2:5">
      <c r="B474" s="19" t="s">
        <v>515</v>
      </c>
      <c r="C474" s="20" t="s">
        <v>182</v>
      </c>
      <c r="D474" s="21">
        <v>10</v>
      </c>
      <c r="E474" s="22">
        <v>0</v>
      </c>
    </row>
    <row r="475" s="29" customFormat="1" spans="2:5">
      <c r="B475" s="19" t="s">
        <v>515</v>
      </c>
      <c r="C475" s="16" t="s">
        <v>183</v>
      </c>
      <c r="D475" s="23">
        <v>10</v>
      </c>
      <c r="E475" s="24">
        <v>0</v>
      </c>
    </row>
    <row r="476" s="29" customFormat="1" ht="41" spans="2:5">
      <c r="B476" s="19" t="s">
        <v>516</v>
      </c>
      <c r="C476" s="20" t="s">
        <v>182</v>
      </c>
      <c r="D476" s="21">
        <v>2</v>
      </c>
      <c r="E476" s="22">
        <v>0</v>
      </c>
    </row>
    <row r="477" s="29" customFormat="1" spans="2:5">
      <c r="B477" s="19" t="s">
        <v>516</v>
      </c>
      <c r="C477" s="16" t="s">
        <v>183</v>
      </c>
      <c r="D477" s="23">
        <v>2</v>
      </c>
      <c r="E477" s="24">
        <v>0</v>
      </c>
    </row>
    <row r="478" s="29" customFormat="1" ht="41" spans="2:5">
      <c r="B478" s="19" t="s">
        <v>517</v>
      </c>
      <c r="C478" s="20" t="s">
        <v>182</v>
      </c>
      <c r="D478" s="21">
        <v>1</v>
      </c>
      <c r="E478" s="22">
        <v>617500</v>
      </c>
    </row>
    <row r="479" s="29" customFormat="1" ht="28.75" spans="2:5">
      <c r="B479" s="19" t="s">
        <v>517</v>
      </c>
      <c r="C479" s="16" t="s">
        <v>183</v>
      </c>
      <c r="D479" s="23">
        <v>1</v>
      </c>
      <c r="E479" s="24">
        <v>617500</v>
      </c>
    </row>
    <row r="480" s="29" customFormat="1" spans="2:5">
      <c r="B480" s="25"/>
      <c r="C480" s="25"/>
      <c r="D480" s="25"/>
      <c r="E480" s="25"/>
    </row>
    <row r="481" s="29" customFormat="1" ht="36" spans="2:5">
      <c r="B481" s="26" t="s">
        <v>189</v>
      </c>
      <c r="C481" s="26" t="s">
        <v>189</v>
      </c>
      <c r="D481" s="26" t="s">
        <v>189</v>
      </c>
      <c r="E481" s="26" t="s">
        <v>189</v>
      </c>
    </row>
    <row r="482" s="29" customFormat="1" spans="2:5">
      <c r="B482" s="26"/>
      <c r="C482" s="26"/>
      <c r="D482" s="26"/>
      <c r="E482" s="26"/>
    </row>
    <row r="483" s="29" customFormat="1" ht="36" spans="2:5">
      <c r="B483" s="26" t="s">
        <v>486</v>
      </c>
      <c r="C483" s="26" t="s">
        <v>486</v>
      </c>
      <c r="D483" s="26" t="s">
        <v>486</v>
      </c>
      <c r="E483" s="26" t="s">
        <v>486</v>
      </c>
    </row>
    <row r="484" s="29" customFormat="1" spans="2:5">
      <c r="B484" s="26" t="s">
        <v>338</v>
      </c>
      <c r="C484" s="26" t="s">
        <v>338</v>
      </c>
      <c r="D484" s="26" t="s">
        <v>338</v>
      </c>
      <c r="E484" s="26" t="s">
        <v>338</v>
      </c>
    </row>
    <row r="485" s="29" customFormat="1" ht="124" spans="2:5">
      <c r="B485" s="11" t="s">
        <v>173</v>
      </c>
      <c r="C485" s="11" t="s">
        <v>173</v>
      </c>
      <c r="D485" s="11" t="s">
        <v>173</v>
      </c>
      <c r="E485" s="11" t="s">
        <v>173</v>
      </c>
    </row>
    <row r="486" s="29" customFormat="1" ht="156" spans="2:5">
      <c r="B486" s="12" t="s">
        <v>174</v>
      </c>
      <c r="C486" s="12" t="s">
        <v>174</v>
      </c>
      <c r="D486" s="12" t="s">
        <v>174</v>
      </c>
      <c r="E486" s="12" t="s">
        <v>174</v>
      </c>
    </row>
    <row r="487" s="29" customFormat="1" ht="68" spans="2:5">
      <c r="B487" s="13" t="s">
        <v>481</v>
      </c>
      <c r="C487" s="13" t="s">
        <v>481</v>
      </c>
      <c r="D487" s="13" t="s">
        <v>481</v>
      </c>
      <c r="E487" s="13" t="s">
        <v>481</v>
      </c>
    </row>
    <row r="488" s="29" customFormat="1" ht="22" spans="2:5">
      <c r="B488" s="14" t="s">
        <v>176</v>
      </c>
      <c r="C488" s="14" t="s">
        <v>176</v>
      </c>
      <c r="D488" s="14" t="s">
        <v>176</v>
      </c>
      <c r="E488" s="14" t="s">
        <v>176</v>
      </c>
    </row>
    <row r="489" s="29" customFormat="1" spans="2:5">
      <c r="B489" s="15" t="s">
        <v>177</v>
      </c>
      <c r="C489" s="16" t="s">
        <v>178</v>
      </c>
      <c r="D489" s="17" t="s">
        <v>179</v>
      </c>
      <c r="E489" s="18" t="s">
        <v>180</v>
      </c>
    </row>
    <row r="490" s="29" customFormat="1" ht="41" spans="2:5">
      <c r="B490" s="19" t="s">
        <v>316</v>
      </c>
      <c r="C490" s="20" t="s">
        <v>182</v>
      </c>
      <c r="D490" s="21">
        <v>13</v>
      </c>
      <c r="E490" s="22">
        <v>1077477.531532</v>
      </c>
    </row>
    <row r="491" s="29" customFormat="1" ht="28" spans="2:5">
      <c r="B491" s="19" t="s">
        <v>316</v>
      </c>
      <c r="C491" s="16" t="s">
        <v>183</v>
      </c>
      <c r="D491" s="23">
        <v>13</v>
      </c>
      <c r="E491" s="24">
        <v>1077477.531532</v>
      </c>
    </row>
    <row r="492" s="29" customFormat="1" ht="41" spans="2:5">
      <c r="B492" s="19" t="s">
        <v>383</v>
      </c>
      <c r="C492" s="20" t="s">
        <v>182</v>
      </c>
      <c r="D492" s="21">
        <v>12</v>
      </c>
      <c r="E492" s="22">
        <v>350905.644907</v>
      </c>
    </row>
    <row r="493" s="29" customFormat="1" ht="28" spans="2:5">
      <c r="B493" s="19" t="s">
        <v>383</v>
      </c>
      <c r="C493" s="16" t="s">
        <v>183</v>
      </c>
      <c r="D493" s="23">
        <v>12</v>
      </c>
      <c r="E493" s="24">
        <v>350905.644907</v>
      </c>
    </row>
    <row r="494" s="29" customFormat="1" ht="41" spans="2:5">
      <c r="B494" s="19" t="s">
        <v>384</v>
      </c>
      <c r="C494" s="20" t="s">
        <v>182</v>
      </c>
      <c r="D494" s="21">
        <v>2</v>
      </c>
      <c r="E494" s="22">
        <v>165765.765766</v>
      </c>
    </row>
    <row r="495" s="29" customFormat="1" ht="28" spans="2:5">
      <c r="B495" s="19" t="s">
        <v>384</v>
      </c>
      <c r="C495" s="16" t="s">
        <v>183</v>
      </c>
      <c r="D495" s="23">
        <v>2</v>
      </c>
      <c r="E495" s="24">
        <v>165765.765766</v>
      </c>
    </row>
    <row r="496" s="29" customFormat="1" ht="41" spans="2:5">
      <c r="B496" s="19" t="s">
        <v>518</v>
      </c>
      <c r="C496" s="20" t="s">
        <v>182</v>
      </c>
      <c r="D496" s="21">
        <v>10</v>
      </c>
      <c r="E496" s="22">
        <v>318783.783787</v>
      </c>
    </row>
    <row r="497" s="29" customFormat="1" ht="28" spans="2:5">
      <c r="B497" s="19" t="s">
        <v>518</v>
      </c>
      <c r="C497" s="16" t="s">
        <v>183</v>
      </c>
      <c r="D497" s="23">
        <v>10</v>
      </c>
      <c r="E497" s="24">
        <v>318783.783787</v>
      </c>
    </row>
    <row r="498" s="29" customFormat="1" ht="41" spans="2:5">
      <c r="B498" s="19" t="s">
        <v>455</v>
      </c>
      <c r="C498" s="20" t="s">
        <v>182</v>
      </c>
      <c r="D498" s="21">
        <v>117</v>
      </c>
      <c r="E498" s="22">
        <v>0</v>
      </c>
    </row>
    <row r="499" s="29" customFormat="1" spans="2:5">
      <c r="B499" s="19" t="s">
        <v>455</v>
      </c>
      <c r="C499" s="16" t="s">
        <v>183</v>
      </c>
      <c r="D499" s="23">
        <v>117</v>
      </c>
      <c r="E499" s="24">
        <v>0</v>
      </c>
    </row>
    <row r="500" s="29" customFormat="1" ht="41" spans="2:5">
      <c r="B500" s="19" t="s">
        <v>519</v>
      </c>
      <c r="C500" s="20" t="s">
        <v>182</v>
      </c>
      <c r="D500" s="21">
        <v>2</v>
      </c>
      <c r="E500" s="22">
        <v>1950000</v>
      </c>
    </row>
    <row r="501" s="29" customFormat="1" ht="28.75" spans="2:5">
      <c r="B501" s="19" t="s">
        <v>519</v>
      </c>
      <c r="C501" s="16" t="s">
        <v>183</v>
      </c>
      <c r="D501" s="23">
        <v>2</v>
      </c>
      <c r="E501" s="24">
        <v>1950000</v>
      </c>
    </row>
    <row r="502" s="29" customFormat="1" spans="2:5">
      <c r="B502" s="25"/>
      <c r="C502" s="25"/>
      <c r="D502" s="25"/>
      <c r="E502" s="25"/>
    </row>
    <row r="503" s="29" customFormat="1" ht="36" spans="2:5">
      <c r="B503" s="26" t="s">
        <v>189</v>
      </c>
      <c r="C503" s="26" t="s">
        <v>189</v>
      </c>
      <c r="D503" s="26" t="s">
        <v>189</v>
      </c>
      <c r="E503" s="26" t="s">
        <v>189</v>
      </c>
    </row>
    <row r="504" s="29" customFormat="1" spans="2:5">
      <c r="B504" s="26"/>
      <c r="C504" s="26"/>
      <c r="D504" s="26"/>
      <c r="E504" s="26"/>
    </row>
    <row r="505" s="29" customFormat="1" ht="36" spans="2:5">
      <c r="B505" s="26" t="s">
        <v>486</v>
      </c>
      <c r="C505" s="26" t="s">
        <v>486</v>
      </c>
      <c r="D505" s="26" t="s">
        <v>486</v>
      </c>
      <c r="E505" s="26" t="s">
        <v>486</v>
      </c>
    </row>
    <row r="506" s="29" customFormat="1" spans="2:5">
      <c r="B506" s="26" t="s">
        <v>342</v>
      </c>
      <c r="C506" s="26" t="s">
        <v>342</v>
      </c>
      <c r="D506" s="26" t="s">
        <v>342</v>
      </c>
      <c r="E506" s="26" t="s">
        <v>342</v>
      </c>
    </row>
    <row r="507" s="29" customFormat="1" ht="124" spans="2:5">
      <c r="B507" s="11" t="s">
        <v>173</v>
      </c>
      <c r="C507" s="11" t="s">
        <v>173</v>
      </c>
      <c r="D507" s="11" t="s">
        <v>173</v>
      </c>
      <c r="E507" s="11" t="s">
        <v>173</v>
      </c>
    </row>
    <row r="508" s="29" customFormat="1" ht="156" spans="2:5">
      <c r="B508" s="12" t="s">
        <v>174</v>
      </c>
      <c r="C508" s="12" t="s">
        <v>174</v>
      </c>
      <c r="D508" s="12" t="s">
        <v>174</v>
      </c>
      <c r="E508" s="12" t="s">
        <v>174</v>
      </c>
    </row>
    <row r="509" s="29" customFormat="1" ht="68" spans="2:5">
      <c r="B509" s="13" t="s">
        <v>481</v>
      </c>
      <c r="C509" s="13" t="s">
        <v>481</v>
      </c>
      <c r="D509" s="13" t="s">
        <v>481</v>
      </c>
      <c r="E509" s="13" t="s">
        <v>481</v>
      </c>
    </row>
    <row r="510" s="29" customFormat="1" ht="22" spans="2:5">
      <c r="B510" s="14" t="s">
        <v>176</v>
      </c>
      <c r="C510" s="14" t="s">
        <v>176</v>
      </c>
      <c r="D510" s="14" t="s">
        <v>176</v>
      </c>
      <c r="E510" s="14" t="s">
        <v>176</v>
      </c>
    </row>
    <row r="511" s="29" customFormat="1" spans="2:5">
      <c r="B511" s="15" t="s">
        <v>177</v>
      </c>
      <c r="C511" s="16" t="s">
        <v>178</v>
      </c>
      <c r="D511" s="17" t="s">
        <v>179</v>
      </c>
      <c r="E511" s="18" t="s">
        <v>180</v>
      </c>
    </row>
    <row r="512" s="29" customFormat="1" ht="41" spans="2:5">
      <c r="B512" s="19" t="s">
        <v>458</v>
      </c>
      <c r="C512" s="20" t="s">
        <v>182</v>
      </c>
      <c r="D512" s="21">
        <v>1</v>
      </c>
      <c r="E512" s="22">
        <v>0</v>
      </c>
    </row>
    <row r="513" s="29" customFormat="1" spans="2:5">
      <c r="B513" s="19" t="s">
        <v>458</v>
      </c>
      <c r="C513" s="16" t="s">
        <v>183</v>
      </c>
      <c r="D513" s="23">
        <v>1</v>
      </c>
      <c r="E513" s="24">
        <v>0</v>
      </c>
    </row>
    <row r="514" s="29" customFormat="1" ht="41" spans="2:5">
      <c r="B514" s="19" t="s">
        <v>459</v>
      </c>
      <c r="C514" s="20" t="s">
        <v>182</v>
      </c>
      <c r="D514" s="21">
        <v>4</v>
      </c>
      <c r="E514" s="22">
        <v>0</v>
      </c>
    </row>
    <row r="515" s="29" customFormat="1" spans="2:5">
      <c r="B515" s="19" t="s">
        <v>459</v>
      </c>
      <c r="C515" s="16" t="s">
        <v>183</v>
      </c>
      <c r="D515" s="23">
        <v>4</v>
      </c>
      <c r="E515" s="24">
        <v>0</v>
      </c>
    </row>
    <row r="516" s="29" customFormat="1" ht="41" spans="2:5">
      <c r="B516" s="19" t="s">
        <v>319</v>
      </c>
      <c r="C516" s="20" t="s">
        <v>182</v>
      </c>
      <c r="D516" s="21">
        <v>3</v>
      </c>
      <c r="E516" s="22">
        <v>0</v>
      </c>
    </row>
    <row r="517" s="29" customFormat="1" spans="2:5">
      <c r="B517" s="19" t="s">
        <v>319</v>
      </c>
      <c r="C517" s="16" t="s">
        <v>183</v>
      </c>
      <c r="D517" s="23">
        <v>3</v>
      </c>
      <c r="E517" s="24">
        <v>0</v>
      </c>
    </row>
    <row r="518" s="29" customFormat="1" ht="41" spans="2:5">
      <c r="B518" s="19" t="s">
        <v>320</v>
      </c>
      <c r="C518" s="20" t="s">
        <v>182</v>
      </c>
      <c r="D518" s="21">
        <v>20</v>
      </c>
      <c r="E518" s="22">
        <v>0</v>
      </c>
    </row>
    <row r="519" s="29" customFormat="1" ht="28" spans="2:5">
      <c r="B519" s="19" t="s">
        <v>320</v>
      </c>
      <c r="C519" s="16" t="s">
        <v>183</v>
      </c>
      <c r="D519" s="23">
        <v>20</v>
      </c>
      <c r="E519" s="24">
        <v>0</v>
      </c>
    </row>
    <row r="520" s="29" customFormat="1" ht="41" spans="2:5">
      <c r="B520" s="19" t="s">
        <v>321</v>
      </c>
      <c r="C520" s="20" t="s">
        <v>182</v>
      </c>
      <c r="D520" s="21">
        <v>7</v>
      </c>
      <c r="E520" s="22">
        <v>0</v>
      </c>
    </row>
    <row r="521" s="29" customFormat="1" ht="28" spans="2:5">
      <c r="B521" s="19" t="s">
        <v>321</v>
      </c>
      <c r="C521" s="16" t="s">
        <v>183</v>
      </c>
      <c r="D521" s="23">
        <v>7</v>
      </c>
      <c r="E521" s="24">
        <v>0</v>
      </c>
    </row>
    <row r="522" s="29" customFormat="1" ht="41" spans="2:5">
      <c r="B522" s="19" t="s">
        <v>322</v>
      </c>
      <c r="C522" s="20" t="s">
        <v>182</v>
      </c>
      <c r="D522" s="21">
        <v>54</v>
      </c>
      <c r="E522" s="22">
        <v>302702.702702</v>
      </c>
    </row>
    <row r="523" s="29" customFormat="1" ht="28.75" spans="2:5">
      <c r="B523" s="19" t="s">
        <v>322</v>
      </c>
      <c r="C523" s="16" t="s">
        <v>183</v>
      </c>
      <c r="D523" s="23">
        <v>54</v>
      </c>
      <c r="E523" s="24">
        <v>302702.702702</v>
      </c>
    </row>
    <row r="524" s="29" customFormat="1" spans="2:5">
      <c r="B524" s="25"/>
      <c r="C524" s="25"/>
      <c r="D524" s="25"/>
      <c r="E524" s="25"/>
    </row>
    <row r="525" s="29" customFormat="1" ht="36" spans="2:5">
      <c r="B525" s="26" t="s">
        <v>189</v>
      </c>
      <c r="C525" s="26" t="s">
        <v>189</v>
      </c>
      <c r="D525" s="26" t="s">
        <v>189</v>
      </c>
      <c r="E525" s="26" t="s">
        <v>189</v>
      </c>
    </row>
    <row r="526" s="29" customFormat="1" spans="2:5">
      <c r="B526" s="26"/>
      <c r="C526" s="26"/>
      <c r="D526" s="26"/>
      <c r="E526" s="26"/>
    </row>
    <row r="527" s="29" customFormat="1" ht="36" spans="2:5">
      <c r="B527" s="26" t="s">
        <v>486</v>
      </c>
      <c r="C527" s="26" t="s">
        <v>486</v>
      </c>
      <c r="D527" s="26" t="s">
        <v>486</v>
      </c>
      <c r="E527" s="26" t="s">
        <v>486</v>
      </c>
    </row>
    <row r="528" s="29" customFormat="1" spans="2:5">
      <c r="B528" s="26" t="s">
        <v>476</v>
      </c>
      <c r="C528" s="26" t="s">
        <v>476</v>
      </c>
      <c r="D528" s="26" t="s">
        <v>476</v>
      </c>
      <c r="E528" s="26" t="s">
        <v>476</v>
      </c>
    </row>
    <row r="529" s="29" customFormat="1" ht="124" spans="2:5">
      <c r="B529" s="11" t="s">
        <v>173</v>
      </c>
      <c r="C529" s="11" t="s">
        <v>173</v>
      </c>
      <c r="D529" s="11" t="s">
        <v>173</v>
      </c>
      <c r="E529" s="11" t="s">
        <v>173</v>
      </c>
    </row>
    <row r="530" s="29" customFormat="1" ht="156" spans="2:5">
      <c r="B530" s="12" t="s">
        <v>174</v>
      </c>
      <c r="C530" s="12" t="s">
        <v>174</v>
      </c>
      <c r="D530" s="12" t="s">
        <v>174</v>
      </c>
      <c r="E530" s="12" t="s">
        <v>174</v>
      </c>
    </row>
    <row r="531" s="29" customFormat="1" ht="68" spans="2:5">
      <c r="B531" s="13" t="s">
        <v>481</v>
      </c>
      <c r="C531" s="13" t="s">
        <v>481</v>
      </c>
      <c r="D531" s="13" t="s">
        <v>481</v>
      </c>
      <c r="E531" s="13" t="s">
        <v>481</v>
      </c>
    </row>
    <row r="532" s="29" customFormat="1" ht="22" spans="2:5">
      <c r="B532" s="14" t="s">
        <v>176</v>
      </c>
      <c r="C532" s="14" t="s">
        <v>176</v>
      </c>
      <c r="D532" s="14" t="s">
        <v>176</v>
      </c>
      <c r="E532" s="14" t="s">
        <v>176</v>
      </c>
    </row>
    <row r="533" s="29" customFormat="1" spans="2:5">
      <c r="B533" s="15" t="s">
        <v>177</v>
      </c>
      <c r="C533" s="16" t="s">
        <v>178</v>
      </c>
      <c r="D533" s="17" t="s">
        <v>179</v>
      </c>
      <c r="E533" s="18" t="s">
        <v>180</v>
      </c>
    </row>
    <row r="534" s="29" customFormat="1" ht="41" spans="2:5">
      <c r="B534" s="19" t="s">
        <v>323</v>
      </c>
      <c r="C534" s="20" t="s">
        <v>182</v>
      </c>
      <c r="D534" s="21">
        <v>28</v>
      </c>
      <c r="E534" s="22">
        <v>0</v>
      </c>
    </row>
    <row r="535" s="29" customFormat="1" ht="28" spans="2:5">
      <c r="B535" s="19" t="s">
        <v>323</v>
      </c>
      <c r="C535" s="16" t="s">
        <v>183</v>
      </c>
      <c r="D535" s="23">
        <v>28</v>
      </c>
      <c r="E535" s="24">
        <v>0</v>
      </c>
    </row>
    <row r="536" s="29" customFormat="1" ht="41" spans="2:5">
      <c r="B536" s="19" t="s">
        <v>325</v>
      </c>
      <c r="C536" s="20" t="s">
        <v>182</v>
      </c>
      <c r="D536" s="21">
        <v>14</v>
      </c>
      <c r="E536" s="22">
        <v>605270.565127</v>
      </c>
    </row>
    <row r="537" s="29" customFormat="1" ht="28" spans="2:5">
      <c r="B537" s="19" t="s">
        <v>325</v>
      </c>
      <c r="C537" s="16" t="s">
        <v>183</v>
      </c>
      <c r="D537" s="23">
        <v>14</v>
      </c>
      <c r="E537" s="24">
        <v>605270.565127</v>
      </c>
    </row>
    <row r="538" s="29" customFormat="1" ht="41" spans="2:5">
      <c r="B538" s="19" t="s">
        <v>326</v>
      </c>
      <c r="C538" s="20" t="s">
        <v>182</v>
      </c>
      <c r="D538" s="21">
        <v>13</v>
      </c>
      <c r="E538" s="22">
        <v>88288.288288</v>
      </c>
    </row>
    <row r="539" s="29" customFormat="1" ht="28" spans="2:5">
      <c r="B539" s="19" t="s">
        <v>326</v>
      </c>
      <c r="C539" s="16" t="s">
        <v>183</v>
      </c>
      <c r="D539" s="23">
        <v>13</v>
      </c>
      <c r="E539" s="24">
        <v>88288.288288</v>
      </c>
    </row>
    <row r="540" s="29" customFormat="1" ht="41" spans="2:5">
      <c r="B540" s="19" t="s">
        <v>520</v>
      </c>
      <c r="C540" s="20" t="s">
        <v>182</v>
      </c>
      <c r="D540" s="21">
        <v>2</v>
      </c>
      <c r="E540" s="22">
        <v>1320720.720721</v>
      </c>
    </row>
    <row r="541" s="29" customFormat="1" ht="28" spans="2:5">
      <c r="B541" s="19" t="s">
        <v>520</v>
      </c>
      <c r="C541" s="16" t="s">
        <v>183</v>
      </c>
      <c r="D541" s="23">
        <v>2</v>
      </c>
      <c r="E541" s="24">
        <v>1320720.720721</v>
      </c>
    </row>
    <row r="542" s="29" customFormat="1" ht="41" spans="2:5">
      <c r="B542" s="19" t="s">
        <v>521</v>
      </c>
      <c r="C542" s="20" t="s">
        <v>182</v>
      </c>
      <c r="D542" s="21">
        <v>8</v>
      </c>
      <c r="E542" s="22">
        <v>0</v>
      </c>
    </row>
    <row r="543" s="29" customFormat="1" ht="28" spans="2:5">
      <c r="B543" s="19" t="s">
        <v>521</v>
      </c>
      <c r="C543" s="16" t="s">
        <v>183</v>
      </c>
      <c r="D543" s="23">
        <v>8</v>
      </c>
      <c r="E543" s="24">
        <v>0</v>
      </c>
    </row>
    <row r="544" s="29" customFormat="1" ht="41" spans="2:5">
      <c r="B544" s="19" t="s">
        <v>328</v>
      </c>
      <c r="C544" s="20" t="s">
        <v>182</v>
      </c>
      <c r="D544" s="21">
        <v>24</v>
      </c>
      <c r="E544" s="22">
        <v>0</v>
      </c>
    </row>
    <row r="545" s="29" customFormat="1" ht="28.75" spans="2:5">
      <c r="B545" s="19" t="s">
        <v>328</v>
      </c>
      <c r="C545" s="16" t="s">
        <v>183</v>
      </c>
      <c r="D545" s="23">
        <v>24</v>
      </c>
      <c r="E545" s="24">
        <v>0</v>
      </c>
    </row>
    <row r="546" s="29" customFormat="1" spans="2:5">
      <c r="B546" s="25"/>
      <c r="C546" s="25"/>
      <c r="D546" s="25"/>
      <c r="E546" s="25"/>
    </row>
    <row r="547" s="29" customFormat="1" ht="36" spans="2:5">
      <c r="B547" s="26" t="s">
        <v>189</v>
      </c>
      <c r="C547" s="26" t="s">
        <v>189</v>
      </c>
      <c r="D547" s="26" t="s">
        <v>189</v>
      </c>
      <c r="E547" s="26" t="s">
        <v>189</v>
      </c>
    </row>
    <row r="548" s="29" customFormat="1" spans="2:5">
      <c r="B548" s="26"/>
      <c r="C548" s="26"/>
      <c r="D548" s="26"/>
      <c r="E548" s="26"/>
    </row>
    <row r="549" s="29" customFormat="1" ht="36" spans="2:5">
      <c r="B549" s="26" t="s">
        <v>486</v>
      </c>
      <c r="C549" s="26" t="s">
        <v>486</v>
      </c>
      <c r="D549" s="26" t="s">
        <v>486</v>
      </c>
      <c r="E549" s="26" t="s">
        <v>486</v>
      </c>
    </row>
    <row r="550" s="29" customFormat="1" spans="2:5">
      <c r="B550" s="26" t="s">
        <v>480</v>
      </c>
      <c r="C550" s="26" t="s">
        <v>480</v>
      </c>
      <c r="D550" s="26" t="s">
        <v>480</v>
      </c>
      <c r="E550" s="26" t="s">
        <v>480</v>
      </c>
    </row>
    <row r="551" s="29" customFormat="1" ht="124" spans="2:5">
      <c r="B551" s="11" t="s">
        <v>173</v>
      </c>
      <c r="C551" s="11" t="s">
        <v>173</v>
      </c>
      <c r="D551" s="11" t="s">
        <v>173</v>
      </c>
      <c r="E551" s="11" t="s">
        <v>173</v>
      </c>
    </row>
    <row r="552" s="29" customFormat="1" ht="156" spans="2:5">
      <c r="B552" s="12" t="s">
        <v>174</v>
      </c>
      <c r="C552" s="12" t="s">
        <v>174</v>
      </c>
      <c r="D552" s="12" t="s">
        <v>174</v>
      </c>
      <c r="E552" s="12" t="s">
        <v>174</v>
      </c>
    </row>
    <row r="553" s="29" customFormat="1" ht="68" spans="2:5">
      <c r="B553" s="13" t="s">
        <v>481</v>
      </c>
      <c r="C553" s="13" t="s">
        <v>481</v>
      </c>
      <c r="D553" s="13" t="s">
        <v>481</v>
      </c>
      <c r="E553" s="13" t="s">
        <v>481</v>
      </c>
    </row>
    <row r="554" s="29" customFormat="1" ht="22" spans="2:5">
      <c r="B554" s="14" t="s">
        <v>176</v>
      </c>
      <c r="C554" s="14" t="s">
        <v>176</v>
      </c>
      <c r="D554" s="14" t="s">
        <v>176</v>
      </c>
      <c r="E554" s="14" t="s">
        <v>176</v>
      </c>
    </row>
    <row r="555" s="29" customFormat="1" spans="2:5">
      <c r="B555" s="15" t="s">
        <v>177</v>
      </c>
      <c r="C555" s="16" t="s">
        <v>178</v>
      </c>
      <c r="D555" s="17" t="s">
        <v>179</v>
      </c>
      <c r="E555" s="18" t="s">
        <v>180</v>
      </c>
    </row>
    <row r="556" s="29" customFormat="1" ht="41" spans="2:5">
      <c r="B556" s="19" t="s">
        <v>464</v>
      </c>
      <c r="C556" s="20" t="s">
        <v>182</v>
      </c>
      <c r="D556" s="21">
        <v>4</v>
      </c>
      <c r="E556" s="22">
        <v>0</v>
      </c>
    </row>
    <row r="557" s="29" customFormat="1" ht="28" spans="2:5">
      <c r="B557" s="19" t="s">
        <v>464</v>
      </c>
      <c r="C557" s="16" t="s">
        <v>183</v>
      </c>
      <c r="D557" s="23">
        <v>4</v>
      </c>
      <c r="E557" s="24">
        <v>0</v>
      </c>
    </row>
    <row r="558" s="29" customFormat="1" ht="41" spans="2:5">
      <c r="B558" s="19" t="s">
        <v>466</v>
      </c>
      <c r="C558" s="20" t="s">
        <v>182</v>
      </c>
      <c r="D558" s="21">
        <v>12</v>
      </c>
      <c r="E558" s="22">
        <v>0</v>
      </c>
    </row>
    <row r="559" s="29" customFormat="1" ht="28" spans="2:5">
      <c r="B559" s="19" t="s">
        <v>466</v>
      </c>
      <c r="C559" s="16" t="s">
        <v>183</v>
      </c>
      <c r="D559" s="23">
        <v>12</v>
      </c>
      <c r="E559" s="24">
        <v>0</v>
      </c>
    </row>
    <row r="560" s="29" customFormat="1" ht="41" spans="2:5">
      <c r="B560" s="19" t="s">
        <v>332</v>
      </c>
      <c r="C560" s="20" t="s">
        <v>182</v>
      </c>
      <c r="D560" s="21">
        <v>8</v>
      </c>
      <c r="E560" s="22">
        <v>0</v>
      </c>
    </row>
    <row r="561" s="29" customFormat="1" ht="28" spans="2:5">
      <c r="B561" s="19" t="s">
        <v>332</v>
      </c>
      <c r="C561" s="16" t="s">
        <v>183</v>
      </c>
      <c r="D561" s="23">
        <v>8</v>
      </c>
      <c r="E561" s="24">
        <v>0</v>
      </c>
    </row>
    <row r="562" s="29" customFormat="1" ht="41" spans="2:5">
      <c r="B562" s="19" t="s">
        <v>467</v>
      </c>
      <c r="C562" s="20" t="s">
        <v>182</v>
      </c>
      <c r="D562" s="21">
        <v>8</v>
      </c>
      <c r="E562" s="22">
        <v>0</v>
      </c>
    </row>
    <row r="563" s="29" customFormat="1" ht="28" spans="2:5">
      <c r="B563" s="19" t="s">
        <v>467</v>
      </c>
      <c r="C563" s="16" t="s">
        <v>183</v>
      </c>
      <c r="D563" s="23">
        <v>8</v>
      </c>
      <c r="E563" s="24">
        <v>0</v>
      </c>
    </row>
    <row r="564" s="29" customFormat="1" ht="41" spans="2:5">
      <c r="B564" s="19" t="s">
        <v>522</v>
      </c>
      <c r="C564" s="20" t="s">
        <v>182</v>
      </c>
      <c r="D564" s="21">
        <v>13</v>
      </c>
      <c r="E564" s="22">
        <v>192793</v>
      </c>
    </row>
    <row r="565" s="29" customFormat="1" spans="2:5">
      <c r="B565" s="19" t="s">
        <v>522</v>
      </c>
      <c r="C565" s="16" t="s">
        <v>183</v>
      </c>
      <c r="D565" s="23">
        <v>13</v>
      </c>
      <c r="E565" s="24">
        <v>192793</v>
      </c>
    </row>
    <row r="566" s="29" customFormat="1" ht="41" spans="2:5">
      <c r="B566" s="19" t="s">
        <v>333</v>
      </c>
      <c r="C566" s="20" t="s">
        <v>182</v>
      </c>
      <c r="D566" s="21">
        <v>24</v>
      </c>
      <c r="E566" s="22">
        <v>0</v>
      </c>
    </row>
    <row r="567" s="29" customFormat="1" ht="28.75" spans="2:5">
      <c r="B567" s="19" t="s">
        <v>333</v>
      </c>
      <c r="C567" s="16" t="s">
        <v>183</v>
      </c>
      <c r="D567" s="23">
        <v>24</v>
      </c>
      <c r="E567" s="24">
        <v>0</v>
      </c>
    </row>
    <row r="568" s="29" customFormat="1" spans="2:5">
      <c r="B568" s="25"/>
      <c r="C568" s="25"/>
      <c r="D568" s="25"/>
      <c r="E568" s="25"/>
    </row>
    <row r="569" s="29" customFormat="1" ht="36" spans="2:5">
      <c r="B569" s="26" t="s">
        <v>189</v>
      </c>
      <c r="C569" s="26" t="s">
        <v>189</v>
      </c>
      <c r="D569" s="26" t="s">
        <v>189</v>
      </c>
      <c r="E569" s="26" t="s">
        <v>189</v>
      </c>
    </row>
    <row r="570" s="29" customFormat="1" spans="2:5">
      <c r="B570" s="26"/>
      <c r="C570" s="26"/>
      <c r="D570" s="26"/>
      <c r="E570" s="26"/>
    </row>
    <row r="571" s="29" customFormat="1" ht="36" spans="2:5">
      <c r="B571" s="26" t="s">
        <v>486</v>
      </c>
      <c r="C571" s="26" t="s">
        <v>486</v>
      </c>
      <c r="D571" s="26" t="s">
        <v>486</v>
      </c>
      <c r="E571" s="26" t="s">
        <v>486</v>
      </c>
    </row>
    <row r="572" s="29" customFormat="1" spans="2:5">
      <c r="B572" s="26" t="s">
        <v>523</v>
      </c>
      <c r="C572" s="26" t="s">
        <v>523</v>
      </c>
      <c r="D572" s="26" t="s">
        <v>523</v>
      </c>
      <c r="E572" s="26" t="s">
        <v>523</v>
      </c>
    </row>
    <row r="573" s="29" customFormat="1" ht="124" spans="2:5">
      <c r="B573" s="11" t="s">
        <v>173</v>
      </c>
      <c r="C573" s="11" t="s">
        <v>173</v>
      </c>
      <c r="D573" s="11" t="s">
        <v>173</v>
      </c>
      <c r="E573" s="11" t="s">
        <v>173</v>
      </c>
    </row>
    <row r="574" s="29" customFormat="1" ht="156" spans="2:5">
      <c r="B574" s="12" t="s">
        <v>174</v>
      </c>
      <c r="C574" s="12" t="s">
        <v>174</v>
      </c>
      <c r="D574" s="12" t="s">
        <v>174</v>
      </c>
      <c r="E574" s="12" t="s">
        <v>174</v>
      </c>
    </row>
    <row r="575" s="29" customFormat="1" ht="68" spans="2:5">
      <c r="B575" s="13" t="s">
        <v>481</v>
      </c>
      <c r="C575" s="13" t="s">
        <v>481</v>
      </c>
      <c r="D575" s="13" t="s">
        <v>481</v>
      </c>
      <c r="E575" s="13" t="s">
        <v>481</v>
      </c>
    </row>
    <row r="576" s="29" customFormat="1" ht="22" spans="2:5">
      <c r="B576" s="14" t="s">
        <v>176</v>
      </c>
      <c r="C576" s="14" t="s">
        <v>176</v>
      </c>
      <c r="D576" s="14" t="s">
        <v>176</v>
      </c>
      <c r="E576" s="14" t="s">
        <v>176</v>
      </c>
    </row>
    <row r="577" s="29" customFormat="1" spans="2:5">
      <c r="B577" s="15" t="s">
        <v>177</v>
      </c>
      <c r="C577" s="16" t="s">
        <v>178</v>
      </c>
      <c r="D577" s="17" t="s">
        <v>179</v>
      </c>
      <c r="E577" s="18" t="s">
        <v>180</v>
      </c>
    </row>
    <row r="578" s="29" customFormat="1" ht="41" spans="2:5">
      <c r="B578" s="19" t="s">
        <v>334</v>
      </c>
      <c r="C578" s="20" t="s">
        <v>182</v>
      </c>
      <c r="D578" s="21">
        <v>20</v>
      </c>
      <c r="E578" s="22">
        <v>0</v>
      </c>
    </row>
    <row r="579" s="29" customFormat="1" ht="28" spans="2:5">
      <c r="B579" s="19" t="s">
        <v>334</v>
      </c>
      <c r="C579" s="16" t="s">
        <v>183</v>
      </c>
      <c r="D579" s="23">
        <v>20</v>
      </c>
      <c r="E579" s="24">
        <v>0</v>
      </c>
    </row>
    <row r="580" s="29" customFormat="1" ht="41" spans="2:5">
      <c r="B580" s="19" t="s">
        <v>524</v>
      </c>
      <c r="C580" s="20" t="s">
        <v>182</v>
      </c>
      <c r="D580" s="21">
        <v>2</v>
      </c>
      <c r="E580" s="22">
        <v>0</v>
      </c>
    </row>
    <row r="581" s="29" customFormat="1" spans="2:5">
      <c r="B581" s="19" t="s">
        <v>524</v>
      </c>
      <c r="C581" s="16" t="s">
        <v>183</v>
      </c>
      <c r="D581" s="23">
        <v>2</v>
      </c>
      <c r="E581" s="24">
        <v>0</v>
      </c>
    </row>
    <row r="582" s="29" customFormat="1" ht="41" spans="2:5">
      <c r="B582" s="19" t="s">
        <v>525</v>
      </c>
      <c r="C582" s="20" t="s">
        <v>182</v>
      </c>
      <c r="D582" s="21">
        <v>1</v>
      </c>
      <c r="E582" s="22">
        <v>0</v>
      </c>
    </row>
    <row r="583" s="29" customFormat="1" spans="2:5">
      <c r="B583" s="19" t="s">
        <v>525</v>
      </c>
      <c r="C583" s="16" t="s">
        <v>183</v>
      </c>
      <c r="D583" s="23">
        <v>1</v>
      </c>
      <c r="E583" s="24">
        <v>0</v>
      </c>
    </row>
    <row r="584" s="29" customFormat="1" ht="41" spans="2:5">
      <c r="B584" s="19" t="s">
        <v>526</v>
      </c>
      <c r="C584" s="20" t="s">
        <v>182</v>
      </c>
      <c r="D584" s="21">
        <v>4</v>
      </c>
      <c r="E584" s="22">
        <v>899100</v>
      </c>
    </row>
    <row r="585" s="29" customFormat="1" spans="2:5">
      <c r="B585" s="19" t="s">
        <v>526</v>
      </c>
      <c r="C585" s="16" t="s">
        <v>183</v>
      </c>
      <c r="D585" s="23">
        <v>4</v>
      </c>
      <c r="E585" s="24">
        <v>899100</v>
      </c>
    </row>
    <row r="586" s="29" customFormat="1" ht="41" spans="2:5">
      <c r="B586" s="19" t="s">
        <v>527</v>
      </c>
      <c r="C586" s="20" t="s">
        <v>182</v>
      </c>
      <c r="D586" s="21">
        <v>1</v>
      </c>
      <c r="E586" s="22">
        <v>292207</v>
      </c>
    </row>
    <row r="587" s="29" customFormat="1" spans="2:5">
      <c r="B587" s="19" t="s">
        <v>527</v>
      </c>
      <c r="C587" s="16" t="s">
        <v>183</v>
      </c>
      <c r="D587" s="23">
        <v>1</v>
      </c>
      <c r="E587" s="24">
        <v>292207</v>
      </c>
    </row>
    <row r="588" s="29" customFormat="1" ht="41" spans="2:5">
      <c r="B588" s="19" t="s">
        <v>528</v>
      </c>
      <c r="C588" s="20" t="s">
        <v>182</v>
      </c>
      <c r="D588" s="21">
        <v>1</v>
      </c>
      <c r="E588" s="22">
        <v>2232825</v>
      </c>
    </row>
    <row r="589" s="29" customFormat="1" ht="28.75" spans="2:5">
      <c r="B589" s="19" t="s">
        <v>528</v>
      </c>
      <c r="C589" s="16" t="s">
        <v>183</v>
      </c>
      <c r="D589" s="23">
        <v>1</v>
      </c>
      <c r="E589" s="24">
        <v>2232825</v>
      </c>
    </row>
    <row r="590" s="29" customFormat="1" spans="2:5">
      <c r="B590" s="25"/>
      <c r="C590" s="25"/>
      <c r="D590" s="25"/>
      <c r="E590" s="25"/>
    </row>
    <row r="591" s="29" customFormat="1" ht="36" spans="2:5">
      <c r="B591" s="26" t="s">
        <v>189</v>
      </c>
      <c r="C591" s="26" t="s">
        <v>189</v>
      </c>
      <c r="D591" s="26" t="s">
        <v>189</v>
      </c>
      <c r="E591" s="26" t="s">
        <v>189</v>
      </c>
    </row>
    <row r="592" s="29" customFormat="1" spans="2:5">
      <c r="B592" s="26"/>
      <c r="C592" s="26"/>
      <c r="D592" s="26"/>
      <c r="E592" s="26"/>
    </row>
    <row r="593" s="29" customFormat="1" ht="36" spans="2:5">
      <c r="B593" s="26" t="s">
        <v>486</v>
      </c>
      <c r="C593" s="26" t="s">
        <v>486</v>
      </c>
      <c r="D593" s="26" t="s">
        <v>486</v>
      </c>
      <c r="E593" s="26" t="s">
        <v>486</v>
      </c>
    </row>
    <row r="594" s="29" customFormat="1" spans="2:5">
      <c r="B594" s="26" t="s">
        <v>529</v>
      </c>
      <c r="C594" s="26" t="s">
        <v>529</v>
      </c>
      <c r="D594" s="26" t="s">
        <v>529</v>
      </c>
      <c r="E594" s="26" t="s">
        <v>529</v>
      </c>
    </row>
    <row r="595" s="29" customFormat="1" ht="124" spans="2:5">
      <c r="B595" s="11" t="s">
        <v>173</v>
      </c>
      <c r="C595" s="11" t="s">
        <v>173</v>
      </c>
      <c r="D595" s="11" t="s">
        <v>173</v>
      </c>
      <c r="E595" s="11" t="s">
        <v>173</v>
      </c>
    </row>
    <row r="596" s="29" customFormat="1" ht="156" spans="2:5">
      <c r="B596" s="12" t="s">
        <v>174</v>
      </c>
      <c r="C596" s="12" t="s">
        <v>174</v>
      </c>
      <c r="D596" s="12" t="s">
        <v>174</v>
      </c>
      <c r="E596" s="12" t="s">
        <v>174</v>
      </c>
    </row>
    <row r="597" s="29" customFormat="1" ht="68" spans="2:5">
      <c r="B597" s="13" t="s">
        <v>481</v>
      </c>
      <c r="C597" s="13" t="s">
        <v>481</v>
      </c>
      <c r="D597" s="13" t="s">
        <v>481</v>
      </c>
      <c r="E597" s="13" t="s">
        <v>481</v>
      </c>
    </row>
    <row r="598" s="29" customFormat="1" ht="22" spans="2:5">
      <c r="B598" s="14" t="s">
        <v>176</v>
      </c>
      <c r="C598" s="14" t="s">
        <v>176</v>
      </c>
      <c r="D598" s="14" t="s">
        <v>176</v>
      </c>
      <c r="E598" s="14" t="s">
        <v>176</v>
      </c>
    </row>
    <row r="599" s="29" customFormat="1" spans="2:5">
      <c r="B599" s="15" t="s">
        <v>177</v>
      </c>
      <c r="C599" s="16" t="s">
        <v>178</v>
      </c>
      <c r="D599" s="17" t="s">
        <v>179</v>
      </c>
      <c r="E599" s="18" t="s">
        <v>180</v>
      </c>
    </row>
    <row r="600" s="29" customFormat="1" ht="41" spans="2:5">
      <c r="B600" s="19" t="s">
        <v>530</v>
      </c>
      <c r="C600" s="20" t="s">
        <v>182</v>
      </c>
      <c r="D600" s="21">
        <v>1</v>
      </c>
      <c r="E600" s="22">
        <v>0</v>
      </c>
    </row>
    <row r="601" s="29" customFormat="1" spans="2:5">
      <c r="B601" s="19" t="s">
        <v>530</v>
      </c>
      <c r="C601" s="16" t="s">
        <v>183</v>
      </c>
      <c r="D601" s="23">
        <v>1</v>
      </c>
      <c r="E601" s="24">
        <v>0</v>
      </c>
    </row>
    <row r="602" s="29" customFormat="1" ht="41" spans="2:5">
      <c r="B602" s="19" t="s">
        <v>336</v>
      </c>
      <c r="C602" s="20" t="s">
        <v>182</v>
      </c>
      <c r="D602" s="21">
        <v>6</v>
      </c>
      <c r="E602" s="22">
        <v>0</v>
      </c>
    </row>
    <row r="603" s="29" customFormat="1" spans="2:5">
      <c r="B603" s="19" t="s">
        <v>336</v>
      </c>
      <c r="C603" s="16" t="s">
        <v>183</v>
      </c>
      <c r="D603" s="23">
        <v>6</v>
      </c>
      <c r="E603" s="24">
        <v>0</v>
      </c>
    </row>
    <row r="604" s="29" customFormat="1" ht="41" spans="2:5">
      <c r="B604" s="19" t="s">
        <v>470</v>
      </c>
      <c r="C604" s="20" t="s">
        <v>182</v>
      </c>
      <c r="D604" s="21">
        <v>5</v>
      </c>
      <c r="E604" s="22">
        <v>102702.702703</v>
      </c>
    </row>
    <row r="605" s="29" customFormat="1" ht="28" spans="2:5">
      <c r="B605" s="19" t="s">
        <v>470</v>
      </c>
      <c r="C605" s="16" t="s">
        <v>183</v>
      </c>
      <c r="D605" s="23">
        <v>5</v>
      </c>
      <c r="E605" s="24">
        <v>102702.702703</v>
      </c>
    </row>
    <row r="606" s="29" customFormat="1" ht="41" spans="2:5">
      <c r="B606" s="19" t="s">
        <v>471</v>
      </c>
      <c r="C606" s="20" t="s">
        <v>182</v>
      </c>
      <c r="D606" s="21">
        <v>1</v>
      </c>
      <c r="E606" s="22">
        <v>0</v>
      </c>
    </row>
    <row r="607" s="29" customFormat="1" spans="2:5">
      <c r="B607" s="19" t="s">
        <v>471</v>
      </c>
      <c r="C607" s="16" t="s">
        <v>183</v>
      </c>
      <c r="D607" s="23">
        <v>1</v>
      </c>
      <c r="E607" s="24">
        <v>0</v>
      </c>
    </row>
    <row r="608" s="29" customFormat="1" ht="41" spans="2:5">
      <c r="B608" s="19" t="s">
        <v>531</v>
      </c>
      <c r="C608" s="20" t="s">
        <v>182</v>
      </c>
      <c r="D608" s="21">
        <v>7</v>
      </c>
      <c r="E608" s="22">
        <v>0</v>
      </c>
    </row>
    <row r="609" s="29" customFormat="1" spans="2:5">
      <c r="B609" s="19" t="s">
        <v>531</v>
      </c>
      <c r="C609" s="16" t="s">
        <v>183</v>
      </c>
      <c r="D609" s="23">
        <v>7</v>
      </c>
      <c r="E609" s="24">
        <v>0</v>
      </c>
    </row>
    <row r="610" s="29" customFormat="1" ht="41" spans="2:5">
      <c r="B610" s="19" t="s">
        <v>532</v>
      </c>
      <c r="C610" s="20" t="s">
        <v>182</v>
      </c>
      <c r="D610" s="21">
        <v>1</v>
      </c>
      <c r="E610" s="22">
        <v>0</v>
      </c>
    </row>
    <row r="611" s="29" customFormat="1" ht="28.75" spans="2:5">
      <c r="B611" s="19" t="s">
        <v>532</v>
      </c>
      <c r="C611" s="16" t="s">
        <v>183</v>
      </c>
      <c r="D611" s="23">
        <v>1</v>
      </c>
      <c r="E611" s="24">
        <v>0</v>
      </c>
    </row>
    <row r="612" s="29" customFormat="1" spans="2:5">
      <c r="B612" s="25"/>
      <c r="C612" s="25"/>
      <c r="D612" s="25"/>
      <c r="E612" s="25"/>
    </row>
    <row r="613" s="29" customFormat="1" ht="36" spans="2:5">
      <c r="B613" s="26" t="s">
        <v>189</v>
      </c>
      <c r="C613" s="26" t="s">
        <v>189</v>
      </c>
      <c r="D613" s="26" t="s">
        <v>189</v>
      </c>
      <c r="E613" s="26" t="s">
        <v>189</v>
      </c>
    </row>
    <row r="614" s="29" customFormat="1" spans="2:5">
      <c r="B614" s="26"/>
      <c r="C614" s="26"/>
      <c r="D614" s="26"/>
      <c r="E614" s="26"/>
    </row>
    <row r="615" s="29" customFormat="1" ht="36" spans="2:5">
      <c r="B615" s="26" t="s">
        <v>486</v>
      </c>
      <c r="C615" s="26" t="s">
        <v>486</v>
      </c>
      <c r="D615" s="26" t="s">
        <v>486</v>
      </c>
      <c r="E615" s="26" t="s">
        <v>486</v>
      </c>
    </row>
    <row r="616" s="29" customFormat="1" spans="2:5">
      <c r="B616" s="26" t="s">
        <v>533</v>
      </c>
      <c r="C616" s="26" t="s">
        <v>533</v>
      </c>
      <c r="D616" s="26" t="s">
        <v>533</v>
      </c>
      <c r="E616" s="26" t="s">
        <v>533</v>
      </c>
    </row>
    <row r="617" s="29" customFormat="1" ht="124" spans="2:5">
      <c r="B617" s="11" t="s">
        <v>173</v>
      </c>
      <c r="C617" s="11" t="s">
        <v>173</v>
      </c>
      <c r="D617" s="11" t="s">
        <v>173</v>
      </c>
      <c r="E617" s="11" t="s">
        <v>173</v>
      </c>
    </row>
    <row r="618" s="29" customFormat="1" ht="156" spans="2:5">
      <c r="B618" s="12" t="s">
        <v>174</v>
      </c>
      <c r="C618" s="12" t="s">
        <v>174</v>
      </c>
      <c r="D618" s="12" t="s">
        <v>174</v>
      </c>
      <c r="E618" s="12" t="s">
        <v>174</v>
      </c>
    </row>
    <row r="619" s="29" customFormat="1" ht="68" spans="2:5">
      <c r="B619" s="13" t="s">
        <v>481</v>
      </c>
      <c r="C619" s="13" t="s">
        <v>481</v>
      </c>
      <c r="D619" s="13" t="s">
        <v>481</v>
      </c>
      <c r="E619" s="13" t="s">
        <v>481</v>
      </c>
    </row>
    <row r="620" s="29" customFormat="1" ht="22" spans="2:5">
      <c r="B620" s="14" t="s">
        <v>176</v>
      </c>
      <c r="C620" s="14" t="s">
        <v>176</v>
      </c>
      <c r="D620" s="14" t="s">
        <v>176</v>
      </c>
      <c r="E620" s="14" t="s">
        <v>176</v>
      </c>
    </row>
    <row r="621" s="29" customFormat="1" spans="2:5">
      <c r="B621" s="15" t="s">
        <v>177</v>
      </c>
      <c r="C621" s="16" t="s">
        <v>178</v>
      </c>
      <c r="D621" s="17" t="s">
        <v>179</v>
      </c>
      <c r="E621" s="18" t="s">
        <v>180</v>
      </c>
    </row>
    <row r="622" s="29" customFormat="1" ht="41" spans="2:5">
      <c r="B622" s="19" t="s">
        <v>534</v>
      </c>
      <c r="C622" s="20" t="s">
        <v>182</v>
      </c>
      <c r="D622" s="21">
        <v>1</v>
      </c>
      <c r="E622" s="22">
        <v>0</v>
      </c>
    </row>
    <row r="623" s="29" customFormat="1" spans="2:5">
      <c r="B623" s="19" t="s">
        <v>534</v>
      </c>
      <c r="C623" s="16" t="s">
        <v>183</v>
      </c>
      <c r="D623" s="23">
        <v>1</v>
      </c>
      <c r="E623" s="24">
        <v>0</v>
      </c>
    </row>
    <row r="624" s="29" customFormat="1" ht="41" spans="2:5">
      <c r="B624" s="19" t="s">
        <v>535</v>
      </c>
      <c r="C624" s="20" t="s">
        <v>182</v>
      </c>
      <c r="D624" s="21">
        <v>1</v>
      </c>
      <c r="E624" s="22">
        <v>0</v>
      </c>
    </row>
    <row r="625" s="29" customFormat="1" ht="28" spans="2:5">
      <c r="B625" s="19" t="s">
        <v>535</v>
      </c>
      <c r="C625" s="16" t="s">
        <v>183</v>
      </c>
      <c r="D625" s="23">
        <v>1</v>
      </c>
      <c r="E625" s="24">
        <v>0</v>
      </c>
    </row>
    <row r="626" s="29" customFormat="1" ht="41" spans="2:5">
      <c r="B626" s="19" t="s">
        <v>536</v>
      </c>
      <c r="C626" s="20" t="s">
        <v>182</v>
      </c>
      <c r="D626" s="21">
        <v>1</v>
      </c>
      <c r="E626" s="22">
        <v>395531.531532</v>
      </c>
    </row>
    <row r="627" s="29" customFormat="1" ht="28" spans="2:5">
      <c r="B627" s="19" t="s">
        <v>536</v>
      </c>
      <c r="C627" s="16" t="s">
        <v>183</v>
      </c>
      <c r="D627" s="23">
        <v>1</v>
      </c>
      <c r="E627" s="24">
        <v>395531.531532</v>
      </c>
    </row>
    <row r="628" s="29" customFormat="1" ht="41" spans="2:5">
      <c r="B628" s="19" t="s">
        <v>537</v>
      </c>
      <c r="C628" s="20" t="s">
        <v>182</v>
      </c>
      <c r="D628" s="21">
        <v>1</v>
      </c>
      <c r="E628" s="22">
        <v>0</v>
      </c>
    </row>
    <row r="629" s="29" customFormat="1" spans="2:5">
      <c r="B629" s="19" t="s">
        <v>537</v>
      </c>
      <c r="C629" s="16" t="s">
        <v>183</v>
      </c>
      <c r="D629" s="23">
        <v>1</v>
      </c>
      <c r="E629" s="24">
        <v>0</v>
      </c>
    </row>
    <row r="630" s="29" customFormat="1" ht="41" spans="2:5">
      <c r="B630" s="19" t="s">
        <v>538</v>
      </c>
      <c r="C630" s="20" t="s">
        <v>182</v>
      </c>
      <c r="D630" s="21">
        <v>1200</v>
      </c>
      <c r="E630" s="22">
        <v>0</v>
      </c>
    </row>
    <row r="631" s="29" customFormat="1" ht="28" spans="2:5">
      <c r="B631" s="19" t="s">
        <v>538</v>
      </c>
      <c r="C631" s="16" t="s">
        <v>183</v>
      </c>
      <c r="D631" s="23">
        <v>1200</v>
      </c>
      <c r="E631" s="24">
        <v>0</v>
      </c>
    </row>
    <row r="632" s="29" customFormat="1" ht="41" spans="2:5">
      <c r="B632" s="19" t="s">
        <v>539</v>
      </c>
      <c r="C632" s="20" t="s">
        <v>182</v>
      </c>
      <c r="D632" s="21">
        <v>4</v>
      </c>
      <c r="E632" s="22">
        <v>0</v>
      </c>
    </row>
    <row r="633" s="29" customFormat="1" ht="28.75" spans="2:5">
      <c r="B633" s="19" t="s">
        <v>539</v>
      </c>
      <c r="C633" s="16" t="s">
        <v>183</v>
      </c>
      <c r="D633" s="23">
        <v>4</v>
      </c>
      <c r="E633" s="24">
        <v>0</v>
      </c>
    </row>
    <row r="634" s="29" customFormat="1" spans="2:5">
      <c r="B634" s="25"/>
      <c r="C634" s="25"/>
      <c r="D634" s="25"/>
      <c r="E634" s="25"/>
    </row>
    <row r="635" s="29" customFormat="1" ht="36" spans="2:5">
      <c r="B635" s="26" t="s">
        <v>189</v>
      </c>
      <c r="C635" s="26" t="s">
        <v>189</v>
      </c>
      <c r="D635" s="26" t="s">
        <v>189</v>
      </c>
      <c r="E635" s="26" t="s">
        <v>189</v>
      </c>
    </row>
    <row r="636" s="29" customFormat="1" spans="2:5">
      <c r="B636" s="26"/>
      <c r="C636" s="26"/>
      <c r="D636" s="26"/>
      <c r="E636" s="26"/>
    </row>
    <row r="637" s="29" customFormat="1" ht="36" spans="2:5">
      <c r="B637" s="26" t="s">
        <v>486</v>
      </c>
      <c r="C637" s="26" t="s">
        <v>486</v>
      </c>
      <c r="D637" s="26" t="s">
        <v>486</v>
      </c>
      <c r="E637" s="26" t="s">
        <v>486</v>
      </c>
    </row>
    <row r="638" s="29" customFormat="1" spans="2:5">
      <c r="B638" s="26" t="s">
        <v>540</v>
      </c>
      <c r="C638" s="26" t="s">
        <v>540</v>
      </c>
      <c r="D638" s="26" t="s">
        <v>540</v>
      </c>
      <c r="E638" s="26" t="s">
        <v>540</v>
      </c>
    </row>
    <row r="639" s="29" customFormat="1" ht="124" spans="2:5">
      <c r="B639" s="11" t="s">
        <v>173</v>
      </c>
      <c r="C639" s="11" t="s">
        <v>173</v>
      </c>
      <c r="D639" s="11" t="s">
        <v>173</v>
      </c>
      <c r="E639" s="11" t="s">
        <v>173</v>
      </c>
    </row>
    <row r="640" s="29" customFormat="1" ht="156" spans="2:5">
      <c r="B640" s="12" t="s">
        <v>174</v>
      </c>
      <c r="C640" s="12" t="s">
        <v>174</v>
      </c>
      <c r="D640" s="12" t="s">
        <v>174</v>
      </c>
      <c r="E640" s="12" t="s">
        <v>174</v>
      </c>
    </row>
    <row r="641" s="29" customFormat="1" ht="68" spans="2:5">
      <c r="B641" s="13" t="s">
        <v>481</v>
      </c>
      <c r="C641" s="13" t="s">
        <v>481</v>
      </c>
      <c r="D641" s="13" t="s">
        <v>481</v>
      </c>
      <c r="E641" s="13" t="s">
        <v>481</v>
      </c>
    </row>
    <row r="642" s="29" customFormat="1" ht="22" spans="2:5">
      <c r="B642" s="14" t="s">
        <v>176</v>
      </c>
      <c r="C642" s="14" t="s">
        <v>176</v>
      </c>
      <c r="D642" s="14" t="s">
        <v>176</v>
      </c>
      <c r="E642" s="14" t="s">
        <v>176</v>
      </c>
    </row>
    <row r="643" s="29" customFormat="1" spans="2:5">
      <c r="B643" s="15" t="s">
        <v>177</v>
      </c>
      <c r="C643" s="16" t="s">
        <v>178</v>
      </c>
      <c r="D643" s="17" t="s">
        <v>179</v>
      </c>
      <c r="E643" s="18" t="s">
        <v>180</v>
      </c>
    </row>
    <row r="644" s="29" customFormat="1" ht="41" spans="2:5">
      <c r="B644" s="19" t="s">
        <v>541</v>
      </c>
      <c r="C644" s="20" t="s">
        <v>182</v>
      </c>
      <c r="D644" s="21">
        <v>1</v>
      </c>
      <c r="E644" s="22">
        <v>877500</v>
      </c>
    </row>
    <row r="645" s="29" customFormat="1" ht="28" spans="2:5">
      <c r="B645" s="19" t="s">
        <v>541</v>
      </c>
      <c r="C645" s="16" t="s">
        <v>183</v>
      </c>
      <c r="D645" s="23">
        <v>1</v>
      </c>
      <c r="E645" s="24">
        <v>877500</v>
      </c>
    </row>
    <row r="646" s="29" customFormat="1" ht="41" spans="2:5">
      <c r="B646" s="19" t="s">
        <v>542</v>
      </c>
      <c r="C646" s="20" t="s">
        <v>182</v>
      </c>
      <c r="D646" s="21">
        <v>1</v>
      </c>
      <c r="E646" s="22">
        <v>877500</v>
      </c>
    </row>
    <row r="647" s="29" customFormat="1" ht="28" spans="2:5">
      <c r="B647" s="19" t="s">
        <v>542</v>
      </c>
      <c r="C647" s="16" t="s">
        <v>183</v>
      </c>
      <c r="D647" s="23">
        <v>1</v>
      </c>
      <c r="E647" s="24">
        <v>877500</v>
      </c>
    </row>
    <row r="648" s="29" customFormat="1" ht="41" spans="2:5">
      <c r="B648" s="19" t="s">
        <v>543</v>
      </c>
      <c r="C648" s="20" t="s">
        <v>182</v>
      </c>
      <c r="D648" s="21">
        <v>1</v>
      </c>
      <c r="E648" s="22">
        <v>265200.027027</v>
      </c>
    </row>
    <row r="649" s="29" customFormat="1" ht="28" spans="2:5">
      <c r="B649" s="19" t="s">
        <v>543</v>
      </c>
      <c r="C649" s="16" t="s">
        <v>183</v>
      </c>
      <c r="D649" s="23">
        <v>1</v>
      </c>
      <c r="E649" s="24">
        <v>265200.027027</v>
      </c>
    </row>
    <row r="650" s="29" customFormat="1" ht="41" spans="2:5">
      <c r="B650" s="19" t="s">
        <v>544</v>
      </c>
      <c r="C650" s="20" t="s">
        <v>182</v>
      </c>
      <c r="D650" s="21">
        <v>1</v>
      </c>
      <c r="E650" s="22">
        <v>2153153.153153</v>
      </c>
    </row>
    <row r="651" s="29" customFormat="1" ht="28" spans="2:5">
      <c r="B651" s="19" t="s">
        <v>544</v>
      </c>
      <c r="C651" s="16" t="s">
        <v>183</v>
      </c>
      <c r="D651" s="23">
        <v>1</v>
      </c>
      <c r="E651" s="24">
        <v>2153153.153153</v>
      </c>
    </row>
    <row r="652" s="29" customFormat="1" ht="41" spans="2:5">
      <c r="B652" s="19" t="s">
        <v>545</v>
      </c>
      <c r="C652" s="20" t="s">
        <v>182</v>
      </c>
      <c r="D652" s="21">
        <v>1</v>
      </c>
      <c r="E652" s="22">
        <v>103603.603604</v>
      </c>
    </row>
    <row r="653" s="29" customFormat="1" ht="41" spans="2:5">
      <c r="B653" s="19" t="s">
        <v>545</v>
      </c>
      <c r="C653" s="16" t="s">
        <v>183</v>
      </c>
      <c r="D653" s="23">
        <v>1</v>
      </c>
      <c r="E653" s="24">
        <v>103603.603604</v>
      </c>
    </row>
    <row r="654" s="29" customFormat="1" ht="41" spans="2:5">
      <c r="B654" s="19" t="s">
        <v>546</v>
      </c>
      <c r="C654" s="20" t="s">
        <v>182</v>
      </c>
      <c r="D654" s="21">
        <v>1</v>
      </c>
      <c r="E654" s="22">
        <v>0</v>
      </c>
    </row>
    <row r="655" s="29" customFormat="1" ht="28.75" spans="2:5">
      <c r="B655" s="19" t="s">
        <v>546</v>
      </c>
      <c r="C655" s="16" t="s">
        <v>183</v>
      </c>
      <c r="D655" s="23">
        <v>1</v>
      </c>
      <c r="E655" s="24">
        <v>0</v>
      </c>
    </row>
    <row r="656" s="29" customFormat="1" spans="2:5">
      <c r="B656" s="25"/>
      <c r="C656" s="25"/>
      <c r="D656" s="25"/>
      <c r="E656" s="25"/>
    </row>
    <row r="657" s="29" customFormat="1" ht="36" spans="2:5">
      <c r="B657" s="26" t="s">
        <v>189</v>
      </c>
      <c r="C657" s="26" t="s">
        <v>189</v>
      </c>
      <c r="D657" s="26" t="s">
        <v>189</v>
      </c>
      <c r="E657" s="26" t="s">
        <v>189</v>
      </c>
    </row>
    <row r="658" s="29" customFormat="1" spans="2:5">
      <c r="B658" s="26"/>
      <c r="C658" s="26"/>
      <c r="D658" s="26"/>
      <c r="E658" s="26"/>
    </row>
    <row r="659" s="29" customFormat="1" ht="36" spans="2:5">
      <c r="B659" s="26" t="s">
        <v>486</v>
      </c>
      <c r="C659" s="26" t="s">
        <v>486</v>
      </c>
      <c r="D659" s="26" t="s">
        <v>486</v>
      </c>
      <c r="E659" s="26" t="s">
        <v>486</v>
      </c>
    </row>
    <row r="660" s="29" customFormat="1" spans="2:5">
      <c r="B660" s="26" t="s">
        <v>547</v>
      </c>
      <c r="C660" s="26" t="s">
        <v>547</v>
      </c>
      <c r="D660" s="26" t="s">
        <v>547</v>
      </c>
      <c r="E660" s="26" t="s">
        <v>547</v>
      </c>
    </row>
    <row r="661" s="29" customFormat="1" ht="124" spans="2:5">
      <c r="B661" s="11" t="s">
        <v>173</v>
      </c>
      <c r="C661" s="11" t="s">
        <v>173</v>
      </c>
      <c r="D661" s="11" t="s">
        <v>173</v>
      </c>
      <c r="E661" s="11" t="s">
        <v>173</v>
      </c>
    </row>
    <row r="662" s="29" customFormat="1" ht="156" spans="2:5">
      <c r="B662" s="12" t="s">
        <v>174</v>
      </c>
      <c r="C662" s="12" t="s">
        <v>174</v>
      </c>
      <c r="D662" s="12" t="s">
        <v>174</v>
      </c>
      <c r="E662" s="12" t="s">
        <v>174</v>
      </c>
    </row>
    <row r="663" s="29" customFormat="1" ht="68" spans="2:5">
      <c r="B663" s="13" t="s">
        <v>481</v>
      </c>
      <c r="C663" s="13" t="s">
        <v>481</v>
      </c>
      <c r="D663" s="13" t="s">
        <v>481</v>
      </c>
      <c r="E663" s="13" t="s">
        <v>481</v>
      </c>
    </row>
    <row r="664" s="29" customFormat="1" ht="22" spans="2:5">
      <c r="B664" s="14" t="s">
        <v>176</v>
      </c>
      <c r="C664" s="14" t="s">
        <v>176</v>
      </c>
      <c r="D664" s="14" t="s">
        <v>176</v>
      </c>
      <c r="E664" s="14" t="s">
        <v>176</v>
      </c>
    </row>
    <row r="665" s="29" customFormat="1" spans="2:5">
      <c r="B665" s="15" t="s">
        <v>177</v>
      </c>
      <c r="C665" s="16" t="s">
        <v>178</v>
      </c>
      <c r="D665" s="17" t="s">
        <v>179</v>
      </c>
      <c r="E665" s="18" t="s">
        <v>180</v>
      </c>
    </row>
    <row r="666" s="29" customFormat="1" ht="41" spans="2:5">
      <c r="B666" s="19" t="s">
        <v>548</v>
      </c>
      <c r="C666" s="20" t="s">
        <v>182</v>
      </c>
      <c r="D666" s="21">
        <v>1</v>
      </c>
      <c r="E666" s="22">
        <v>263249.54955</v>
      </c>
    </row>
    <row r="667" s="29" customFormat="1" ht="41" spans="2:5">
      <c r="B667" s="19" t="s">
        <v>548</v>
      </c>
      <c r="C667" s="16" t="s">
        <v>183</v>
      </c>
      <c r="D667" s="23">
        <v>1</v>
      </c>
      <c r="E667" s="24">
        <v>263249.54955</v>
      </c>
    </row>
    <row r="668" s="29" customFormat="1" ht="41" spans="2:5">
      <c r="B668" s="19" t="s">
        <v>549</v>
      </c>
      <c r="C668" s="20" t="s">
        <v>182</v>
      </c>
      <c r="D668" s="21">
        <v>1</v>
      </c>
      <c r="E668" s="22">
        <v>168752.252252</v>
      </c>
    </row>
    <row r="669" s="29" customFormat="1" ht="41" spans="2:5">
      <c r="B669" s="19" t="s">
        <v>549</v>
      </c>
      <c r="C669" s="16" t="s">
        <v>183</v>
      </c>
      <c r="D669" s="23">
        <v>1</v>
      </c>
      <c r="E669" s="24">
        <v>168752.252252</v>
      </c>
    </row>
    <row r="670" s="29" customFormat="1" ht="41" spans="2:5">
      <c r="B670" s="19" t="s">
        <v>550</v>
      </c>
      <c r="C670" s="20" t="s">
        <v>182</v>
      </c>
      <c r="D670" s="21">
        <v>1</v>
      </c>
      <c r="E670" s="22">
        <v>1198198.198198</v>
      </c>
    </row>
    <row r="671" s="29" customFormat="1" ht="28" spans="2:5">
      <c r="B671" s="19" t="s">
        <v>550</v>
      </c>
      <c r="C671" s="16" t="s">
        <v>183</v>
      </c>
      <c r="D671" s="23">
        <v>1</v>
      </c>
      <c r="E671" s="24">
        <v>1198198.198198</v>
      </c>
    </row>
    <row r="672" s="29" customFormat="1" ht="41" spans="2:5">
      <c r="B672" s="19" t="s">
        <v>551</v>
      </c>
      <c r="C672" s="20" t="s">
        <v>182</v>
      </c>
      <c r="D672" s="21">
        <v>1</v>
      </c>
      <c r="E672" s="22">
        <v>975000</v>
      </c>
    </row>
    <row r="673" s="29" customFormat="1" ht="41" spans="2:5">
      <c r="B673" s="19" t="s">
        <v>551</v>
      </c>
      <c r="C673" s="16" t="s">
        <v>183</v>
      </c>
      <c r="D673" s="23">
        <v>1</v>
      </c>
      <c r="E673" s="24">
        <v>975000</v>
      </c>
    </row>
    <row r="674" s="29" customFormat="1" ht="41" spans="2:5">
      <c r="B674" s="19" t="s">
        <v>552</v>
      </c>
      <c r="C674" s="20" t="s">
        <v>182</v>
      </c>
      <c r="D674" s="21">
        <v>1</v>
      </c>
      <c r="E674" s="22">
        <v>261261.261261</v>
      </c>
    </row>
    <row r="675" s="29" customFormat="1" ht="28" spans="2:5">
      <c r="B675" s="19" t="s">
        <v>552</v>
      </c>
      <c r="C675" s="16" t="s">
        <v>183</v>
      </c>
      <c r="D675" s="23">
        <v>1</v>
      </c>
      <c r="E675" s="24">
        <v>261261.261261</v>
      </c>
    </row>
    <row r="676" s="29" customFormat="1" ht="41" spans="2:5">
      <c r="B676" s="19" t="s">
        <v>553</v>
      </c>
      <c r="C676" s="20" t="s">
        <v>182</v>
      </c>
      <c r="D676" s="21">
        <v>1</v>
      </c>
      <c r="E676" s="22">
        <v>975000</v>
      </c>
    </row>
    <row r="677" s="29" customFormat="1" ht="28.75" spans="2:5">
      <c r="B677" s="19" t="s">
        <v>553</v>
      </c>
      <c r="C677" s="16" t="s">
        <v>183</v>
      </c>
      <c r="D677" s="23">
        <v>1</v>
      </c>
      <c r="E677" s="24">
        <v>975000</v>
      </c>
    </row>
    <row r="678" s="29" customFormat="1" spans="2:5">
      <c r="B678" s="25"/>
      <c r="C678" s="25"/>
      <c r="D678" s="25"/>
      <c r="E678" s="25"/>
    </row>
    <row r="679" s="29" customFormat="1" ht="36" spans="2:5">
      <c r="B679" s="26" t="s">
        <v>189</v>
      </c>
      <c r="C679" s="26" t="s">
        <v>189</v>
      </c>
      <c r="D679" s="26" t="s">
        <v>189</v>
      </c>
      <c r="E679" s="26" t="s">
        <v>189</v>
      </c>
    </row>
    <row r="680" s="29" customFormat="1" spans="2:5">
      <c r="B680" s="26"/>
      <c r="C680" s="26"/>
      <c r="D680" s="26"/>
      <c r="E680" s="26"/>
    </row>
    <row r="681" s="29" customFormat="1" ht="36" spans="2:5">
      <c r="B681" s="26" t="s">
        <v>486</v>
      </c>
      <c r="C681" s="26" t="s">
        <v>486</v>
      </c>
      <c r="D681" s="26" t="s">
        <v>486</v>
      </c>
      <c r="E681" s="26" t="s">
        <v>486</v>
      </c>
    </row>
    <row r="682" s="29" customFormat="1" spans="2:5">
      <c r="B682" s="26" t="s">
        <v>554</v>
      </c>
      <c r="C682" s="26" t="s">
        <v>554</v>
      </c>
      <c r="D682" s="26" t="s">
        <v>554</v>
      </c>
      <c r="E682" s="26" t="s">
        <v>554</v>
      </c>
    </row>
    <row r="683" s="29" customFormat="1" ht="124" spans="2:5">
      <c r="B683" s="11" t="s">
        <v>173</v>
      </c>
      <c r="C683" s="11" t="s">
        <v>173</v>
      </c>
      <c r="D683" s="11" t="s">
        <v>173</v>
      </c>
      <c r="E683" s="11" t="s">
        <v>173</v>
      </c>
    </row>
    <row r="684" s="29" customFormat="1" ht="156" spans="2:5">
      <c r="B684" s="12" t="s">
        <v>174</v>
      </c>
      <c r="C684" s="12" t="s">
        <v>174</v>
      </c>
      <c r="D684" s="12" t="s">
        <v>174</v>
      </c>
      <c r="E684" s="12" t="s">
        <v>174</v>
      </c>
    </row>
    <row r="685" s="29" customFormat="1" ht="68" spans="2:5">
      <c r="B685" s="13" t="s">
        <v>481</v>
      </c>
      <c r="C685" s="13" t="s">
        <v>481</v>
      </c>
      <c r="D685" s="13" t="s">
        <v>481</v>
      </c>
      <c r="E685" s="13" t="s">
        <v>481</v>
      </c>
    </row>
    <row r="686" s="29" customFormat="1" ht="22" spans="2:5">
      <c r="B686" s="14" t="s">
        <v>176</v>
      </c>
      <c r="C686" s="14" t="s">
        <v>176</v>
      </c>
      <c r="D686" s="14" t="s">
        <v>176</v>
      </c>
      <c r="E686" s="14" t="s">
        <v>176</v>
      </c>
    </row>
    <row r="687" s="29" customFormat="1" spans="2:5">
      <c r="B687" s="15" t="s">
        <v>177</v>
      </c>
      <c r="C687" s="16" t="s">
        <v>178</v>
      </c>
      <c r="D687" s="17" t="s">
        <v>179</v>
      </c>
      <c r="E687" s="18" t="s">
        <v>180</v>
      </c>
    </row>
    <row r="688" s="29" customFormat="1" ht="41" spans="2:5">
      <c r="B688" s="19" t="s">
        <v>555</v>
      </c>
      <c r="C688" s="20" t="s">
        <v>182</v>
      </c>
      <c r="D688" s="21">
        <v>1</v>
      </c>
      <c r="E688" s="22">
        <v>3759459.459459</v>
      </c>
    </row>
    <row r="689" s="29" customFormat="1" ht="28" spans="2:5">
      <c r="B689" s="19" t="s">
        <v>555</v>
      </c>
      <c r="C689" s="16" t="s">
        <v>183</v>
      </c>
      <c r="D689" s="23">
        <v>1</v>
      </c>
      <c r="E689" s="24">
        <v>3759459.459459</v>
      </c>
    </row>
    <row r="690" s="29" customFormat="1" ht="41" spans="2:5">
      <c r="B690" s="19" t="s">
        <v>556</v>
      </c>
      <c r="C690" s="20" t="s">
        <v>182</v>
      </c>
      <c r="D690" s="21">
        <v>4</v>
      </c>
      <c r="E690" s="22">
        <v>810562.162162</v>
      </c>
    </row>
    <row r="691" s="29" customFormat="1" ht="28" spans="2:5">
      <c r="B691" s="19" t="s">
        <v>556</v>
      </c>
      <c r="C691" s="16" t="s">
        <v>183</v>
      </c>
      <c r="D691" s="23">
        <v>4</v>
      </c>
      <c r="E691" s="24">
        <v>810562.162162</v>
      </c>
    </row>
    <row r="692" s="29" customFormat="1" ht="41" spans="2:5">
      <c r="B692" s="19" t="s">
        <v>557</v>
      </c>
      <c r="C692" s="20" t="s">
        <v>182</v>
      </c>
      <c r="D692" s="21">
        <v>1</v>
      </c>
      <c r="E692" s="22">
        <v>1149549.54955</v>
      </c>
    </row>
    <row r="693" s="29" customFormat="1" ht="41" spans="2:5">
      <c r="B693" s="19" t="s">
        <v>557</v>
      </c>
      <c r="C693" s="16" t="s">
        <v>183</v>
      </c>
      <c r="D693" s="23">
        <v>1</v>
      </c>
      <c r="E693" s="24">
        <v>1149549.54955</v>
      </c>
    </row>
    <row r="694" s="29" customFormat="1" ht="41" spans="2:5">
      <c r="B694" s="19" t="s">
        <v>558</v>
      </c>
      <c r="C694" s="20" t="s">
        <v>182</v>
      </c>
      <c r="D694" s="21">
        <v>1</v>
      </c>
      <c r="E694" s="22">
        <v>314765.765766</v>
      </c>
    </row>
    <row r="695" s="29" customFormat="1" ht="28" spans="2:5">
      <c r="B695" s="19" t="s">
        <v>558</v>
      </c>
      <c r="C695" s="16" t="s">
        <v>183</v>
      </c>
      <c r="D695" s="23">
        <v>1</v>
      </c>
      <c r="E695" s="24">
        <v>314765.765766</v>
      </c>
    </row>
    <row r="696" s="29" customFormat="1" ht="41" spans="2:5">
      <c r="B696" s="19" t="s">
        <v>559</v>
      </c>
      <c r="C696" s="20" t="s">
        <v>182</v>
      </c>
      <c r="D696" s="21">
        <v>1</v>
      </c>
      <c r="E696" s="22">
        <v>1316249.54955</v>
      </c>
    </row>
    <row r="697" s="29" customFormat="1" ht="28" spans="2:5">
      <c r="B697" s="19" t="s">
        <v>559</v>
      </c>
      <c r="C697" s="16" t="s">
        <v>183</v>
      </c>
      <c r="D697" s="23">
        <v>1</v>
      </c>
      <c r="E697" s="24">
        <v>1316249.54955</v>
      </c>
    </row>
    <row r="698" s="29" customFormat="1" ht="41" spans="2:5">
      <c r="B698" s="19" t="s">
        <v>560</v>
      </c>
      <c r="C698" s="20" t="s">
        <v>182</v>
      </c>
      <c r="D698" s="21">
        <v>4</v>
      </c>
      <c r="E698" s="22">
        <v>1484054.054054</v>
      </c>
    </row>
    <row r="699" s="29" customFormat="1" ht="28.75" spans="2:5">
      <c r="B699" s="19" t="s">
        <v>560</v>
      </c>
      <c r="C699" s="16" t="s">
        <v>183</v>
      </c>
      <c r="D699" s="23">
        <v>4</v>
      </c>
      <c r="E699" s="24">
        <v>1484054.054054</v>
      </c>
    </row>
    <row r="700" s="29" customFormat="1" spans="2:5">
      <c r="B700" s="25"/>
      <c r="C700" s="25"/>
      <c r="D700" s="25"/>
      <c r="E700" s="25"/>
    </row>
    <row r="701" s="29" customFormat="1" ht="36" spans="2:5">
      <c r="B701" s="26" t="s">
        <v>189</v>
      </c>
      <c r="C701" s="26" t="s">
        <v>189</v>
      </c>
      <c r="D701" s="26" t="s">
        <v>189</v>
      </c>
      <c r="E701" s="26" t="s">
        <v>189</v>
      </c>
    </row>
    <row r="702" s="29" customFormat="1" spans="2:5">
      <c r="B702" s="26"/>
      <c r="C702" s="26"/>
      <c r="D702" s="26"/>
      <c r="E702" s="26"/>
    </row>
    <row r="703" s="29" customFormat="1" ht="36" spans="2:5">
      <c r="B703" s="26" t="s">
        <v>486</v>
      </c>
      <c r="C703" s="26" t="s">
        <v>486</v>
      </c>
      <c r="D703" s="26" t="s">
        <v>486</v>
      </c>
      <c r="E703" s="26" t="s">
        <v>486</v>
      </c>
    </row>
    <row r="704" s="29" customFormat="1" spans="2:5">
      <c r="B704" s="26" t="s">
        <v>561</v>
      </c>
      <c r="C704" s="26" t="s">
        <v>561</v>
      </c>
      <c r="D704" s="26" t="s">
        <v>561</v>
      </c>
      <c r="E704" s="26" t="s">
        <v>561</v>
      </c>
    </row>
    <row r="705" s="29" customFormat="1" ht="124" spans="2:5">
      <c r="B705" s="11" t="s">
        <v>173</v>
      </c>
      <c r="C705" s="11" t="s">
        <v>173</v>
      </c>
      <c r="D705" s="11" t="s">
        <v>173</v>
      </c>
      <c r="E705" s="11" t="s">
        <v>173</v>
      </c>
    </row>
    <row r="706" s="29" customFormat="1" ht="156" spans="2:5">
      <c r="B706" s="12" t="s">
        <v>174</v>
      </c>
      <c r="C706" s="12" t="s">
        <v>174</v>
      </c>
      <c r="D706" s="12" t="s">
        <v>174</v>
      </c>
      <c r="E706" s="12" t="s">
        <v>174</v>
      </c>
    </row>
    <row r="707" s="29" customFormat="1" ht="68" spans="2:5">
      <c r="B707" s="13" t="s">
        <v>481</v>
      </c>
      <c r="C707" s="13" t="s">
        <v>481</v>
      </c>
      <c r="D707" s="13" t="s">
        <v>481</v>
      </c>
      <c r="E707" s="13" t="s">
        <v>481</v>
      </c>
    </row>
    <row r="708" s="29" customFormat="1" ht="22" spans="2:5">
      <c r="B708" s="14" t="s">
        <v>176</v>
      </c>
      <c r="C708" s="14" t="s">
        <v>176</v>
      </c>
      <c r="D708" s="14" t="s">
        <v>176</v>
      </c>
      <c r="E708" s="14" t="s">
        <v>176</v>
      </c>
    </row>
    <row r="709" s="29" customFormat="1" spans="2:5">
      <c r="B709" s="15" t="s">
        <v>177</v>
      </c>
      <c r="C709" s="16" t="s">
        <v>178</v>
      </c>
      <c r="D709" s="17" t="s">
        <v>179</v>
      </c>
      <c r="E709" s="18" t="s">
        <v>180</v>
      </c>
    </row>
    <row r="710" s="29" customFormat="1" ht="41" spans="2:5">
      <c r="B710" s="19" t="s">
        <v>562</v>
      </c>
      <c r="C710" s="20" t="s">
        <v>182</v>
      </c>
      <c r="D710" s="21">
        <v>2</v>
      </c>
      <c r="E710" s="22">
        <v>474239.63964</v>
      </c>
    </row>
    <row r="711" s="29" customFormat="1" ht="28" spans="2:5">
      <c r="B711" s="19" t="s">
        <v>562</v>
      </c>
      <c r="C711" s="16" t="s">
        <v>183</v>
      </c>
      <c r="D711" s="23">
        <v>2</v>
      </c>
      <c r="E711" s="24">
        <v>474239.63964</v>
      </c>
    </row>
    <row r="712" s="29" customFormat="1" ht="41" spans="2:5">
      <c r="B712" s="19" t="s">
        <v>563</v>
      </c>
      <c r="C712" s="20" t="s">
        <v>182</v>
      </c>
      <c r="D712" s="21">
        <v>1</v>
      </c>
      <c r="E712" s="22">
        <v>639054.054054</v>
      </c>
    </row>
    <row r="713" s="29" customFormat="1" ht="28" spans="2:5">
      <c r="B713" s="19" t="s">
        <v>563</v>
      </c>
      <c r="C713" s="16" t="s">
        <v>183</v>
      </c>
      <c r="D713" s="23">
        <v>1</v>
      </c>
      <c r="E713" s="24">
        <v>639054.054054</v>
      </c>
    </row>
    <row r="714" s="29" customFormat="1" ht="41" spans="2:5">
      <c r="B714" s="19" t="s">
        <v>564</v>
      </c>
      <c r="C714" s="20" t="s">
        <v>182</v>
      </c>
      <c r="D714" s="21">
        <v>1</v>
      </c>
      <c r="E714" s="22">
        <v>0</v>
      </c>
    </row>
    <row r="715" s="29" customFormat="1" spans="2:5">
      <c r="B715" s="19" t="s">
        <v>564</v>
      </c>
      <c r="C715" s="16" t="s">
        <v>183</v>
      </c>
      <c r="D715" s="23">
        <v>1</v>
      </c>
      <c r="E715" s="24">
        <v>0</v>
      </c>
    </row>
    <row r="716" s="29" customFormat="1" ht="41" spans="2:5">
      <c r="B716" s="19" t="s">
        <v>565</v>
      </c>
      <c r="C716" s="20" t="s">
        <v>182</v>
      </c>
      <c r="D716" s="21">
        <v>8</v>
      </c>
      <c r="E716" s="22">
        <v>0</v>
      </c>
    </row>
    <row r="717" s="29" customFormat="1" spans="2:5">
      <c r="B717" s="19" t="s">
        <v>565</v>
      </c>
      <c r="C717" s="16" t="s">
        <v>183</v>
      </c>
      <c r="D717" s="23">
        <v>8</v>
      </c>
      <c r="E717" s="24">
        <v>0</v>
      </c>
    </row>
    <row r="718" s="29" customFormat="1" ht="17.55" spans="2:5">
      <c r="B718" s="28" t="s">
        <v>341</v>
      </c>
      <c r="C718" s="28" t="s">
        <v>341</v>
      </c>
      <c r="D718" s="23">
        <v>3666</v>
      </c>
      <c r="E718" s="24">
        <v>87685802.440201</v>
      </c>
    </row>
    <row r="719" s="29" customFormat="1" spans="2:5">
      <c r="B719" s="25"/>
      <c r="C719" s="25"/>
      <c r="D719" s="25"/>
      <c r="E719" s="25"/>
    </row>
    <row r="720" s="29" customFormat="1" ht="36" spans="2:5">
      <c r="B720" s="26" t="s">
        <v>189</v>
      </c>
      <c r="C720" s="26" t="s">
        <v>189</v>
      </c>
      <c r="D720" s="26" t="s">
        <v>189</v>
      </c>
      <c r="E720" s="26" t="s">
        <v>189</v>
      </c>
    </row>
    <row r="721" s="29" customFormat="1" spans="2:5">
      <c r="B721" s="26"/>
      <c r="C721" s="26"/>
      <c r="D721" s="26"/>
      <c r="E721" s="26"/>
    </row>
    <row r="722" s="29" customFormat="1" ht="36" spans="2:5">
      <c r="B722" s="26" t="s">
        <v>486</v>
      </c>
      <c r="C722" s="26" t="s">
        <v>486</v>
      </c>
      <c r="D722" s="26" t="s">
        <v>486</v>
      </c>
      <c r="E722" s="26" t="s">
        <v>486</v>
      </c>
    </row>
    <row r="723" s="29" customFormat="1" spans="2:5">
      <c r="B723" s="26" t="s">
        <v>566</v>
      </c>
      <c r="C723" s="26" t="s">
        <v>566</v>
      </c>
      <c r="D723" s="26" t="s">
        <v>566</v>
      </c>
      <c r="E723" s="26" t="s">
        <v>566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7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567</v>
      </c>
      <c r="C3" s="13" t="s">
        <v>567</v>
      </c>
      <c r="D3" s="13" t="s">
        <v>567</v>
      </c>
      <c r="E3" s="13" t="s">
        <v>567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568</v>
      </c>
      <c r="C6" s="20" t="s">
        <v>182</v>
      </c>
      <c r="D6" s="21">
        <v>1</v>
      </c>
      <c r="E6" s="22">
        <v>975000</v>
      </c>
      <c r="F6" s="30"/>
      <c r="G6" s="30"/>
    </row>
    <row r="7" s="29" customFormat="1" ht="28" spans="1:7">
      <c r="A7" s="30" t="s">
        <v>172</v>
      </c>
      <c r="B7" s="19" t="s">
        <v>568</v>
      </c>
      <c r="C7" s="16" t="s">
        <v>183</v>
      </c>
      <c r="D7" s="23">
        <v>1</v>
      </c>
      <c r="E7" s="24">
        <v>975000</v>
      </c>
      <c r="F7" s="30"/>
      <c r="G7" s="30"/>
    </row>
    <row r="8" s="29" customFormat="1" ht="41" spans="1:7">
      <c r="A8" s="30" t="s">
        <v>172</v>
      </c>
      <c r="B8" s="19" t="s">
        <v>569</v>
      </c>
      <c r="C8" s="20" t="s">
        <v>182</v>
      </c>
      <c r="D8" s="21">
        <v>1</v>
      </c>
      <c r="E8" s="22">
        <v>585000</v>
      </c>
      <c r="F8" s="30"/>
      <c r="G8" s="30"/>
    </row>
    <row r="9" s="29" customFormat="1" ht="28" spans="1:7">
      <c r="A9" s="30" t="s">
        <v>172</v>
      </c>
      <c r="B9" s="19" t="s">
        <v>569</v>
      </c>
      <c r="C9" s="16" t="s">
        <v>183</v>
      </c>
      <c r="D9" s="23">
        <v>1</v>
      </c>
      <c r="E9" s="24">
        <v>585000</v>
      </c>
      <c r="F9" s="30"/>
      <c r="G9" s="30"/>
    </row>
    <row r="10" s="29" customFormat="1" ht="41" spans="1:7">
      <c r="A10" s="30" t="s">
        <v>172</v>
      </c>
      <c r="B10" s="19" t="s">
        <v>570</v>
      </c>
      <c r="C10" s="20" t="s">
        <v>182</v>
      </c>
      <c r="D10" s="21">
        <v>1</v>
      </c>
      <c r="E10" s="22">
        <v>4504.504505</v>
      </c>
      <c r="F10" s="30"/>
      <c r="G10" s="30"/>
    </row>
    <row r="11" s="29" customFormat="1" ht="28" spans="1:7">
      <c r="A11" s="30" t="s">
        <v>172</v>
      </c>
      <c r="B11" s="19" t="s">
        <v>570</v>
      </c>
      <c r="C11" s="16" t="s">
        <v>183</v>
      </c>
      <c r="D11" s="23">
        <v>1</v>
      </c>
      <c r="E11" s="24">
        <v>4504.504505</v>
      </c>
      <c r="F11" s="30"/>
      <c r="G11" s="30"/>
    </row>
    <row r="12" s="29" customFormat="1" ht="41" spans="1:7">
      <c r="A12" s="30" t="s">
        <v>172</v>
      </c>
      <c r="B12" s="19" t="s">
        <v>571</v>
      </c>
      <c r="C12" s="20" t="s">
        <v>182</v>
      </c>
      <c r="D12" s="21">
        <v>1</v>
      </c>
      <c r="E12" s="22">
        <v>630630.630631</v>
      </c>
      <c r="F12" s="30"/>
      <c r="G12" s="30"/>
    </row>
    <row r="13" s="29" customFormat="1" ht="28" spans="1:7">
      <c r="A13" s="30" t="s">
        <v>172</v>
      </c>
      <c r="B13" s="19" t="s">
        <v>571</v>
      </c>
      <c r="C13" s="16" t="s">
        <v>183</v>
      </c>
      <c r="D13" s="23">
        <v>1</v>
      </c>
      <c r="E13" s="24">
        <v>630630.630631</v>
      </c>
      <c r="F13" s="30"/>
      <c r="G13" s="30"/>
    </row>
    <row r="14" s="29" customFormat="1" ht="41" spans="1:7">
      <c r="A14" s="30" t="s">
        <v>172</v>
      </c>
      <c r="B14" s="19" t="s">
        <v>572</v>
      </c>
      <c r="C14" s="20" t="s">
        <v>182</v>
      </c>
      <c r="D14" s="21">
        <v>1</v>
      </c>
      <c r="E14" s="22">
        <v>210810.810811</v>
      </c>
      <c r="F14" s="30"/>
      <c r="G14" s="30"/>
    </row>
    <row r="15" s="29" customFormat="1" ht="28" spans="1:7">
      <c r="A15" s="30" t="s">
        <v>172</v>
      </c>
      <c r="B15" s="19" t="s">
        <v>572</v>
      </c>
      <c r="C15" s="16" t="s">
        <v>183</v>
      </c>
      <c r="D15" s="23">
        <v>1</v>
      </c>
      <c r="E15" s="24">
        <v>210810.810811</v>
      </c>
      <c r="F15" s="30"/>
      <c r="G15" s="30"/>
    </row>
    <row r="16" s="29" customFormat="1" ht="41" spans="1:7">
      <c r="A16" s="30" t="s">
        <v>172</v>
      </c>
      <c r="B16" s="19" t="s">
        <v>485</v>
      </c>
      <c r="C16" s="20" t="s">
        <v>182</v>
      </c>
      <c r="D16" s="21">
        <v>2</v>
      </c>
      <c r="E16" s="22">
        <v>486486.486486</v>
      </c>
      <c r="F16" s="30"/>
      <c r="G16" s="30"/>
    </row>
    <row r="17" s="29" customFormat="1" ht="17.55" spans="1:7">
      <c r="A17" s="30" t="s">
        <v>172</v>
      </c>
      <c r="B17" s="19" t="s">
        <v>485</v>
      </c>
      <c r="C17" s="16" t="s">
        <v>183</v>
      </c>
      <c r="D17" s="23">
        <v>2</v>
      </c>
      <c r="E17" s="24">
        <v>486486.486486</v>
      </c>
      <c r="F17" s="30"/>
      <c r="G17" s="30"/>
    </row>
    <row r="18" s="29" customFormat="1" spans="1:7">
      <c r="A18" s="30" t="s">
        <v>172</v>
      </c>
      <c r="B18" s="25"/>
      <c r="C18" s="25"/>
      <c r="D18" s="25"/>
      <c r="E18" s="25"/>
      <c r="F18" s="30"/>
      <c r="G18" s="30"/>
    </row>
    <row r="19" s="29" customFormat="1" ht="36" spans="1:7">
      <c r="A19" s="30" t="s">
        <v>172</v>
      </c>
      <c r="B19" s="26" t="s">
        <v>189</v>
      </c>
      <c r="C19" s="26" t="s">
        <v>189</v>
      </c>
      <c r="D19" s="26" t="s">
        <v>189</v>
      </c>
      <c r="E19" s="26" t="s">
        <v>189</v>
      </c>
      <c r="F19" s="30"/>
      <c r="G19" s="30"/>
    </row>
    <row r="20" s="29" customFormat="1" spans="1:7">
      <c r="A20" s="30" t="s">
        <v>172</v>
      </c>
      <c r="B20" s="26"/>
      <c r="C20" s="26"/>
      <c r="D20" s="26"/>
      <c r="E20" s="26"/>
      <c r="F20" s="30"/>
      <c r="G20" s="30"/>
    </row>
    <row r="21" s="29" customFormat="1" ht="36" spans="1:7">
      <c r="A21" s="30" t="s">
        <v>172</v>
      </c>
      <c r="B21" s="26" t="s">
        <v>573</v>
      </c>
      <c r="C21" s="26" t="s">
        <v>573</v>
      </c>
      <c r="D21" s="26" t="s">
        <v>573</v>
      </c>
      <c r="E21" s="26" t="s">
        <v>573</v>
      </c>
      <c r="F21" s="30"/>
      <c r="G21" s="30"/>
    </row>
    <row r="22" s="29" customFormat="1" spans="1:7">
      <c r="A22" s="30" t="s">
        <v>172</v>
      </c>
      <c r="B22" s="26" t="s">
        <v>191</v>
      </c>
      <c r="C22" s="26" t="s">
        <v>191</v>
      </c>
      <c r="D22" s="26" t="s">
        <v>191</v>
      </c>
      <c r="E22" s="26" t="s">
        <v>191</v>
      </c>
      <c r="F22" s="30"/>
      <c r="G22" s="30"/>
    </row>
    <row r="23" s="29" customFormat="1" ht="124" spans="1:7">
      <c r="A23" s="30" t="s">
        <v>172</v>
      </c>
      <c r="B23" s="11" t="s">
        <v>173</v>
      </c>
      <c r="C23" s="11" t="s">
        <v>173</v>
      </c>
      <c r="D23" s="11" t="s">
        <v>173</v>
      </c>
      <c r="E23" s="11" t="s">
        <v>173</v>
      </c>
      <c r="F23" s="30"/>
      <c r="G23" s="30"/>
    </row>
    <row r="24" s="29" customFormat="1" ht="156" spans="1:7">
      <c r="A24" s="30" t="s">
        <v>172</v>
      </c>
      <c r="B24" s="12" t="s">
        <v>174</v>
      </c>
      <c r="C24" s="12" t="s">
        <v>174</v>
      </c>
      <c r="D24" s="12" t="s">
        <v>174</v>
      </c>
      <c r="E24" s="12" t="s">
        <v>174</v>
      </c>
      <c r="F24" s="30"/>
      <c r="G24" s="30"/>
    </row>
    <row r="25" s="29" customFormat="1" ht="68" spans="1:7">
      <c r="A25" s="30" t="s">
        <v>172</v>
      </c>
      <c r="B25" s="13" t="s">
        <v>567</v>
      </c>
      <c r="C25" s="13" t="s">
        <v>567</v>
      </c>
      <c r="D25" s="13" t="s">
        <v>567</v>
      </c>
      <c r="E25" s="13" t="s">
        <v>567</v>
      </c>
      <c r="F25" s="30"/>
      <c r="G25" s="30"/>
    </row>
    <row r="26" s="29" customFormat="1" ht="22" spans="1:7">
      <c r="A26" s="30" t="s">
        <v>172</v>
      </c>
      <c r="B26" s="14" t="s">
        <v>176</v>
      </c>
      <c r="C26" s="14" t="s">
        <v>176</v>
      </c>
      <c r="D26" s="14" t="s">
        <v>176</v>
      </c>
      <c r="E26" s="14" t="s">
        <v>176</v>
      </c>
      <c r="F26" s="30"/>
      <c r="G26" s="30"/>
    </row>
    <row r="27" s="29" customFormat="1" spans="1:7">
      <c r="A27" s="30" t="s">
        <v>172</v>
      </c>
      <c r="B27" s="15" t="s">
        <v>177</v>
      </c>
      <c r="C27" s="16" t="s">
        <v>178</v>
      </c>
      <c r="D27" s="17" t="s">
        <v>179</v>
      </c>
      <c r="E27" s="18" t="s">
        <v>180</v>
      </c>
      <c r="F27" s="30"/>
      <c r="G27" s="30"/>
    </row>
    <row r="28" s="29" customFormat="1" ht="41" spans="1:7">
      <c r="A28" s="30" t="s">
        <v>172</v>
      </c>
      <c r="B28" s="19" t="s">
        <v>395</v>
      </c>
      <c r="C28" s="20" t="s">
        <v>182</v>
      </c>
      <c r="D28" s="21">
        <v>1</v>
      </c>
      <c r="E28" s="22">
        <v>321621.621622</v>
      </c>
      <c r="F28" s="30"/>
      <c r="G28" s="30"/>
    </row>
    <row r="29" s="29" customFormat="1" spans="1:7">
      <c r="A29" s="30" t="s">
        <v>172</v>
      </c>
      <c r="B29" s="19" t="s">
        <v>395</v>
      </c>
      <c r="C29" s="16" t="s">
        <v>183</v>
      </c>
      <c r="D29" s="23">
        <v>1</v>
      </c>
      <c r="E29" s="24">
        <v>321621.621622</v>
      </c>
      <c r="F29" s="30"/>
      <c r="G29" s="30"/>
    </row>
    <row r="30" s="29" customFormat="1" ht="41" spans="1:7">
      <c r="A30" s="30" t="s">
        <v>172</v>
      </c>
      <c r="B30" s="19" t="s">
        <v>574</v>
      </c>
      <c r="C30" s="20" t="s">
        <v>182</v>
      </c>
      <c r="D30" s="21">
        <v>1</v>
      </c>
      <c r="E30" s="22">
        <v>398197.990991</v>
      </c>
      <c r="F30" s="30"/>
      <c r="G30" s="30"/>
    </row>
    <row r="31" s="29" customFormat="1" ht="28" spans="1:7">
      <c r="A31" s="30" t="s">
        <v>172</v>
      </c>
      <c r="B31" s="19" t="s">
        <v>574</v>
      </c>
      <c r="C31" s="16" t="s">
        <v>183</v>
      </c>
      <c r="D31" s="23">
        <v>1</v>
      </c>
      <c r="E31" s="24">
        <v>398197.990991</v>
      </c>
      <c r="F31" s="30"/>
      <c r="G31" s="30"/>
    </row>
    <row r="32" s="29" customFormat="1" ht="41" spans="1:7">
      <c r="A32" s="30" t="s">
        <v>172</v>
      </c>
      <c r="B32" s="19" t="s">
        <v>575</v>
      </c>
      <c r="C32" s="20" t="s">
        <v>182</v>
      </c>
      <c r="D32" s="21">
        <v>2</v>
      </c>
      <c r="E32" s="22">
        <v>2072071.612613</v>
      </c>
      <c r="F32" s="30"/>
      <c r="G32" s="30"/>
    </row>
    <row r="33" s="29" customFormat="1" ht="28" spans="1:7">
      <c r="A33" s="30" t="s">
        <v>172</v>
      </c>
      <c r="B33" s="19" t="s">
        <v>575</v>
      </c>
      <c r="C33" s="16" t="s">
        <v>183</v>
      </c>
      <c r="D33" s="23">
        <v>2</v>
      </c>
      <c r="E33" s="24">
        <v>2072071.612613</v>
      </c>
      <c r="F33" s="30"/>
      <c r="G33" s="30"/>
    </row>
    <row r="34" s="29" customFormat="1" ht="41" spans="1:7">
      <c r="A34" s="30" t="s">
        <v>172</v>
      </c>
      <c r="B34" s="19" t="s">
        <v>397</v>
      </c>
      <c r="C34" s="20" t="s">
        <v>182</v>
      </c>
      <c r="D34" s="21">
        <v>1</v>
      </c>
      <c r="E34" s="22">
        <v>1134234.09009</v>
      </c>
      <c r="F34" s="30"/>
      <c r="G34" s="30"/>
    </row>
    <row r="35" s="29" customFormat="1" ht="28" spans="1:7">
      <c r="A35" s="30" t="s">
        <v>172</v>
      </c>
      <c r="B35" s="19" t="s">
        <v>397</v>
      </c>
      <c r="C35" s="16" t="s">
        <v>183</v>
      </c>
      <c r="D35" s="23">
        <v>1</v>
      </c>
      <c r="E35" s="24">
        <v>1134234.09009</v>
      </c>
      <c r="F35" s="30"/>
      <c r="G35" s="30"/>
    </row>
    <row r="36" s="29" customFormat="1" ht="41" spans="1:7">
      <c r="A36" s="30" t="s">
        <v>172</v>
      </c>
      <c r="B36" s="19" t="s">
        <v>399</v>
      </c>
      <c r="C36" s="20" t="s">
        <v>182</v>
      </c>
      <c r="D36" s="21">
        <v>1</v>
      </c>
      <c r="E36" s="22">
        <v>333333.333333</v>
      </c>
      <c r="F36" s="30"/>
      <c r="G36" s="30"/>
    </row>
    <row r="37" s="29" customFormat="1" ht="28" spans="1:7">
      <c r="A37" s="30" t="s">
        <v>172</v>
      </c>
      <c r="B37" s="19" t="s">
        <v>399</v>
      </c>
      <c r="C37" s="16" t="s">
        <v>183</v>
      </c>
      <c r="D37" s="23">
        <v>1</v>
      </c>
      <c r="E37" s="24">
        <v>333333.333333</v>
      </c>
      <c r="F37" s="30"/>
      <c r="G37" s="30"/>
    </row>
    <row r="38" s="29" customFormat="1" ht="41" spans="1:7">
      <c r="A38" s="30" t="s">
        <v>172</v>
      </c>
      <c r="B38" s="19" t="s">
        <v>576</v>
      </c>
      <c r="C38" s="20" t="s">
        <v>182</v>
      </c>
      <c r="D38" s="21">
        <v>1</v>
      </c>
      <c r="E38" s="22">
        <v>416216.216216</v>
      </c>
      <c r="F38" s="30"/>
      <c r="G38" s="30"/>
    </row>
    <row r="39" s="29" customFormat="1" ht="28.75" spans="1:7">
      <c r="A39" s="30" t="s">
        <v>172</v>
      </c>
      <c r="B39" s="19" t="s">
        <v>576</v>
      </c>
      <c r="C39" s="16" t="s">
        <v>183</v>
      </c>
      <c r="D39" s="23">
        <v>1</v>
      </c>
      <c r="E39" s="24">
        <v>416216.216216</v>
      </c>
      <c r="F39" s="30"/>
      <c r="G39" s="30"/>
    </row>
    <row r="40" s="29" customFormat="1" spans="1:7">
      <c r="A40" s="30" t="s">
        <v>172</v>
      </c>
      <c r="B40" s="25"/>
      <c r="C40" s="25"/>
      <c r="D40" s="25"/>
      <c r="E40" s="25"/>
      <c r="F40" s="30"/>
      <c r="G40" s="30"/>
    </row>
    <row r="41" s="29" customFormat="1" ht="36" spans="1:7">
      <c r="A41" s="30" t="s">
        <v>172</v>
      </c>
      <c r="B41" s="26" t="s">
        <v>189</v>
      </c>
      <c r="C41" s="26" t="s">
        <v>189</v>
      </c>
      <c r="D41" s="26" t="s">
        <v>189</v>
      </c>
      <c r="E41" s="26" t="s">
        <v>189</v>
      </c>
      <c r="F41" s="30"/>
      <c r="G41" s="30"/>
    </row>
    <row r="42" s="29" customFormat="1" spans="1:7">
      <c r="A42" s="30" t="s">
        <v>172</v>
      </c>
      <c r="B42" s="26"/>
      <c r="C42" s="26"/>
      <c r="D42" s="26"/>
      <c r="E42" s="26"/>
      <c r="F42" s="30"/>
      <c r="G42" s="30"/>
    </row>
    <row r="43" s="29" customFormat="1" ht="36" spans="1:7">
      <c r="A43" s="30" t="s">
        <v>172</v>
      </c>
      <c r="B43" s="26" t="s">
        <v>573</v>
      </c>
      <c r="C43" s="26" t="s">
        <v>573</v>
      </c>
      <c r="D43" s="26" t="s">
        <v>573</v>
      </c>
      <c r="E43" s="26" t="s">
        <v>573</v>
      </c>
      <c r="F43" s="30"/>
      <c r="G43" s="30"/>
    </row>
    <row r="44" s="29" customFormat="1" spans="1:7">
      <c r="A44" s="30" t="s">
        <v>172</v>
      </c>
      <c r="B44" s="26" t="s">
        <v>198</v>
      </c>
      <c r="C44" s="26" t="s">
        <v>198</v>
      </c>
      <c r="D44" s="26" t="s">
        <v>198</v>
      </c>
      <c r="E44" s="26" t="s">
        <v>198</v>
      </c>
      <c r="F44" s="30"/>
      <c r="G44" s="30"/>
    </row>
    <row r="45" s="29" customFormat="1" ht="124" spans="1:7">
      <c r="A45" s="30" t="s">
        <v>172</v>
      </c>
      <c r="B45" s="11" t="s">
        <v>173</v>
      </c>
      <c r="C45" s="11" t="s">
        <v>173</v>
      </c>
      <c r="D45" s="11" t="s">
        <v>173</v>
      </c>
      <c r="E45" s="11" t="s">
        <v>173</v>
      </c>
      <c r="F45" s="30"/>
      <c r="G45" s="30"/>
    </row>
    <row r="46" s="29" customFormat="1" ht="156" spans="1:7">
      <c r="A46" s="30" t="s">
        <v>172</v>
      </c>
      <c r="B46" s="12" t="s">
        <v>174</v>
      </c>
      <c r="C46" s="12" t="s">
        <v>174</v>
      </c>
      <c r="D46" s="12" t="s">
        <v>174</v>
      </c>
      <c r="E46" s="12" t="s">
        <v>174</v>
      </c>
      <c r="F46" s="30"/>
      <c r="G46" s="30"/>
    </row>
    <row r="47" s="29" customFormat="1" ht="68" spans="1:7">
      <c r="A47" s="30" t="s">
        <v>172</v>
      </c>
      <c r="B47" s="13" t="s">
        <v>567</v>
      </c>
      <c r="C47" s="13" t="s">
        <v>567</v>
      </c>
      <c r="D47" s="13" t="s">
        <v>567</v>
      </c>
      <c r="E47" s="13" t="s">
        <v>567</v>
      </c>
    </row>
    <row r="48" s="29" customFormat="1" ht="22" spans="1:7">
      <c r="A48" s="30" t="s">
        <v>172</v>
      </c>
      <c r="B48" s="14" t="s">
        <v>176</v>
      </c>
      <c r="C48" s="14" t="s">
        <v>176</v>
      </c>
      <c r="D48" s="14" t="s">
        <v>176</v>
      </c>
      <c r="E48" s="14" t="s">
        <v>176</v>
      </c>
    </row>
    <row r="49" s="29" customFormat="1" spans="1:5">
      <c r="A49" s="30" t="s">
        <v>172</v>
      </c>
      <c r="B49" s="15" t="s">
        <v>177</v>
      </c>
      <c r="C49" s="16" t="s">
        <v>178</v>
      </c>
      <c r="D49" s="17" t="s">
        <v>179</v>
      </c>
      <c r="E49" s="18" t="s">
        <v>180</v>
      </c>
    </row>
    <row r="50" s="29" customFormat="1" ht="41" spans="1:5">
      <c r="A50" s="30" t="s">
        <v>172</v>
      </c>
      <c r="B50" s="19" t="s">
        <v>401</v>
      </c>
      <c r="C50" s="20" t="s">
        <v>182</v>
      </c>
      <c r="D50" s="21">
        <v>1</v>
      </c>
      <c r="E50" s="22">
        <v>228800</v>
      </c>
    </row>
    <row r="51" s="29" customFormat="1" spans="1:5">
      <c r="B51" s="19" t="s">
        <v>401</v>
      </c>
      <c r="C51" s="16" t="s">
        <v>183</v>
      </c>
      <c r="D51" s="23">
        <v>1</v>
      </c>
      <c r="E51" s="24">
        <v>228800</v>
      </c>
    </row>
    <row r="52" s="29" customFormat="1" ht="41" spans="1:5">
      <c r="B52" s="19" t="s">
        <v>577</v>
      </c>
      <c r="C52" s="20" t="s">
        <v>182</v>
      </c>
      <c r="D52" s="21">
        <v>1</v>
      </c>
      <c r="E52" s="22">
        <v>0</v>
      </c>
    </row>
    <row r="53" s="29" customFormat="1" spans="1:5">
      <c r="B53" s="19" t="s">
        <v>577</v>
      </c>
      <c r="C53" s="16" t="s">
        <v>183</v>
      </c>
      <c r="D53" s="23">
        <v>1</v>
      </c>
      <c r="E53" s="24">
        <v>0</v>
      </c>
    </row>
    <row r="54" s="29" customFormat="1" ht="41" spans="1:5">
      <c r="B54" s="19" t="s">
        <v>403</v>
      </c>
      <c r="C54" s="20" t="s">
        <v>182</v>
      </c>
      <c r="D54" s="21">
        <v>1</v>
      </c>
      <c r="E54" s="22">
        <v>0</v>
      </c>
    </row>
    <row r="55" s="29" customFormat="1" spans="1:5">
      <c r="B55" s="19" t="s">
        <v>403</v>
      </c>
      <c r="C55" s="16" t="s">
        <v>183</v>
      </c>
      <c r="D55" s="23">
        <v>1</v>
      </c>
      <c r="E55" s="24">
        <v>0</v>
      </c>
    </row>
    <row r="56" s="29" customFormat="1" ht="41" spans="1:5">
      <c r="B56" s="19" t="s">
        <v>578</v>
      </c>
      <c r="C56" s="20" t="s">
        <v>182</v>
      </c>
      <c r="D56" s="21">
        <v>1</v>
      </c>
      <c r="E56" s="22">
        <v>305338.157405</v>
      </c>
    </row>
    <row r="57" s="29" customFormat="1" ht="28" spans="1:5">
      <c r="B57" s="19" t="s">
        <v>578</v>
      </c>
      <c r="C57" s="16" t="s">
        <v>183</v>
      </c>
      <c r="D57" s="23">
        <v>1</v>
      </c>
      <c r="E57" s="24">
        <v>305338.157405</v>
      </c>
    </row>
    <row r="58" s="29" customFormat="1" ht="41" spans="1:5">
      <c r="B58" s="19" t="s">
        <v>187</v>
      </c>
      <c r="C58" s="20" t="s">
        <v>182</v>
      </c>
      <c r="D58" s="21">
        <v>3</v>
      </c>
      <c r="E58" s="22">
        <v>270270.27027</v>
      </c>
    </row>
    <row r="59" s="29" customFormat="1" spans="1:5">
      <c r="B59" s="19" t="s">
        <v>187</v>
      </c>
      <c r="C59" s="16" t="s">
        <v>183</v>
      </c>
      <c r="D59" s="23">
        <v>3</v>
      </c>
      <c r="E59" s="24">
        <v>270270.27027</v>
      </c>
    </row>
    <row r="60" s="29" customFormat="1" ht="41" spans="1:5">
      <c r="B60" s="19" t="s">
        <v>406</v>
      </c>
      <c r="C60" s="20" t="s">
        <v>182</v>
      </c>
      <c r="D60" s="21">
        <v>2</v>
      </c>
      <c r="E60" s="22">
        <v>412612.306306</v>
      </c>
    </row>
    <row r="61" s="29" customFormat="1" ht="17.55" spans="1:5">
      <c r="B61" s="19" t="s">
        <v>406</v>
      </c>
      <c r="C61" s="16" t="s">
        <v>183</v>
      </c>
      <c r="D61" s="23">
        <v>2</v>
      </c>
      <c r="E61" s="24">
        <v>412612.306306</v>
      </c>
    </row>
    <row r="62" s="29" customFormat="1" spans="1:5">
      <c r="B62" s="25"/>
      <c r="C62" s="25"/>
      <c r="D62" s="25"/>
      <c r="E62" s="25"/>
    </row>
    <row r="63" s="29" customFormat="1" ht="36" spans="1:5">
      <c r="B63" s="26" t="s">
        <v>189</v>
      </c>
      <c r="C63" s="26" t="s">
        <v>189</v>
      </c>
      <c r="D63" s="26" t="s">
        <v>189</v>
      </c>
      <c r="E63" s="26" t="s">
        <v>189</v>
      </c>
    </row>
    <row r="64" s="29" customFormat="1" spans="1:5">
      <c r="B64" s="26"/>
      <c r="C64" s="26"/>
      <c r="D64" s="26"/>
      <c r="E64" s="26"/>
    </row>
    <row r="65" s="29" customFormat="1" ht="36" spans="2:5">
      <c r="B65" s="26" t="s">
        <v>573</v>
      </c>
      <c r="C65" s="26" t="s">
        <v>573</v>
      </c>
      <c r="D65" s="26" t="s">
        <v>573</v>
      </c>
      <c r="E65" s="26" t="s">
        <v>573</v>
      </c>
    </row>
    <row r="66" s="29" customFormat="1" spans="2:5">
      <c r="B66" s="26" t="s">
        <v>205</v>
      </c>
      <c r="C66" s="26" t="s">
        <v>205</v>
      </c>
      <c r="D66" s="26" t="s">
        <v>205</v>
      </c>
      <c r="E66" s="26" t="s">
        <v>205</v>
      </c>
    </row>
    <row r="67" s="29" customFormat="1" ht="124" spans="2:5">
      <c r="B67" s="11" t="s">
        <v>173</v>
      </c>
      <c r="C67" s="11" t="s">
        <v>173</v>
      </c>
      <c r="D67" s="11" t="s">
        <v>173</v>
      </c>
      <c r="E67" s="11" t="s">
        <v>173</v>
      </c>
    </row>
    <row r="68" s="29" customFormat="1" ht="156" spans="2:5">
      <c r="B68" s="12" t="s">
        <v>174</v>
      </c>
      <c r="C68" s="12" t="s">
        <v>174</v>
      </c>
      <c r="D68" s="12" t="s">
        <v>174</v>
      </c>
      <c r="E68" s="12" t="s">
        <v>174</v>
      </c>
    </row>
    <row r="69" s="29" customFormat="1" ht="68" spans="2:5">
      <c r="B69" s="13" t="s">
        <v>567</v>
      </c>
      <c r="C69" s="13" t="s">
        <v>567</v>
      </c>
      <c r="D69" s="13" t="s">
        <v>567</v>
      </c>
      <c r="E69" s="13" t="s">
        <v>567</v>
      </c>
    </row>
    <row r="70" s="29" customFormat="1" ht="22" spans="2:5">
      <c r="B70" s="14" t="s">
        <v>176</v>
      </c>
      <c r="C70" s="14" t="s">
        <v>176</v>
      </c>
      <c r="D70" s="14" t="s">
        <v>176</v>
      </c>
      <c r="E70" s="14" t="s">
        <v>176</v>
      </c>
    </row>
    <row r="71" s="29" customFormat="1" spans="2:5">
      <c r="B71" s="15" t="s">
        <v>177</v>
      </c>
      <c r="C71" s="16" t="s">
        <v>178</v>
      </c>
      <c r="D71" s="17" t="s">
        <v>179</v>
      </c>
      <c r="E71" s="18" t="s">
        <v>180</v>
      </c>
    </row>
    <row r="72" s="29" customFormat="1" ht="41" spans="2:5">
      <c r="B72" s="19" t="s">
        <v>188</v>
      </c>
      <c r="C72" s="20" t="s">
        <v>182</v>
      </c>
      <c r="D72" s="21">
        <v>2</v>
      </c>
      <c r="E72" s="22">
        <v>172972.972973</v>
      </c>
    </row>
    <row r="73" s="29" customFormat="1" ht="28" spans="2:5">
      <c r="B73" s="19" t="s">
        <v>188</v>
      </c>
      <c r="C73" s="16" t="s">
        <v>183</v>
      </c>
      <c r="D73" s="23">
        <v>2</v>
      </c>
      <c r="E73" s="24">
        <v>172972.972973</v>
      </c>
    </row>
    <row r="74" s="29" customFormat="1" ht="41" spans="2:5">
      <c r="B74" s="19" t="s">
        <v>407</v>
      </c>
      <c r="C74" s="20" t="s">
        <v>182</v>
      </c>
      <c r="D74" s="21">
        <v>1</v>
      </c>
      <c r="E74" s="22">
        <v>79279.279279</v>
      </c>
    </row>
    <row r="75" s="29" customFormat="1" ht="28" spans="2:5">
      <c r="B75" s="19" t="s">
        <v>407</v>
      </c>
      <c r="C75" s="16" t="s">
        <v>183</v>
      </c>
      <c r="D75" s="23">
        <v>1</v>
      </c>
      <c r="E75" s="24">
        <v>79279.279279</v>
      </c>
    </row>
    <row r="76" s="29" customFormat="1" ht="41" spans="2:5">
      <c r="B76" s="19" t="s">
        <v>193</v>
      </c>
      <c r="C76" s="20" t="s">
        <v>182</v>
      </c>
      <c r="D76" s="21">
        <v>3</v>
      </c>
      <c r="E76" s="22">
        <v>780560.36036</v>
      </c>
    </row>
    <row r="77" s="29" customFormat="1" ht="28" spans="2:5">
      <c r="B77" s="19" t="s">
        <v>193</v>
      </c>
      <c r="C77" s="16" t="s">
        <v>183</v>
      </c>
      <c r="D77" s="23">
        <v>3</v>
      </c>
      <c r="E77" s="24">
        <v>780560.36036</v>
      </c>
    </row>
    <row r="78" s="29" customFormat="1" ht="41" spans="2:5">
      <c r="B78" s="19" t="s">
        <v>408</v>
      </c>
      <c r="C78" s="20" t="s">
        <v>182</v>
      </c>
      <c r="D78" s="21">
        <v>1</v>
      </c>
      <c r="E78" s="22">
        <v>6306.306306</v>
      </c>
    </row>
    <row r="79" s="29" customFormat="1" ht="28" spans="2:5">
      <c r="B79" s="19" t="s">
        <v>408</v>
      </c>
      <c r="C79" s="16" t="s">
        <v>183</v>
      </c>
      <c r="D79" s="23">
        <v>1</v>
      </c>
      <c r="E79" s="24">
        <v>6306.306306</v>
      </c>
    </row>
    <row r="80" s="29" customFormat="1" ht="41" spans="2:5">
      <c r="B80" s="19" t="s">
        <v>409</v>
      </c>
      <c r="C80" s="20" t="s">
        <v>182</v>
      </c>
      <c r="D80" s="21">
        <v>3</v>
      </c>
      <c r="E80" s="22">
        <v>18918.612612</v>
      </c>
    </row>
    <row r="81" s="29" customFormat="1" ht="28" spans="2:5">
      <c r="B81" s="19" t="s">
        <v>409</v>
      </c>
      <c r="C81" s="16" t="s">
        <v>183</v>
      </c>
      <c r="D81" s="23">
        <v>3</v>
      </c>
      <c r="E81" s="24">
        <v>18918.612612</v>
      </c>
    </row>
    <row r="82" s="29" customFormat="1" ht="41" spans="2:5">
      <c r="B82" s="19" t="s">
        <v>489</v>
      </c>
      <c r="C82" s="20" t="s">
        <v>182</v>
      </c>
      <c r="D82" s="21">
        <v>6</v>
      </c>
      <c r="E82" s="22">
        <v>140540.117115</v>
      </c>
    </row>
    <row r="83" s="29" customFormat="1" ht="28.75" spans="2:5">
      <c r="B83" s="19" t="s">
        <v>489</v>
      </c>
      <c r="C83" s="16" t="s">
        <v>183</v>
      </c>
      <c r="D83" s="23">
        <v>6</v>
      </c>
      <c r="E83" s="24">
        <v>140540.117115</v>
      </c>
    </row>
    <row r="84" s="29" customFormat="1" spans="2:5">
      <c r="B84" s="25"/>
      <c r="C84" s="25"/>
      <c r="D84" s="25"/>
      <c r="E84" s="25"/>
    </row>
    <row r="85" s="29" customFormat="1" ht="36" spans="2:5">
      <c r="B85" s="26" t="s">
        <v>189</v>
      </c>
      <c r="C85" s="26" t="s">
        <v>189</v>
      </c>
      <c r="D85" s="26" t="s">
        <v>189</v>
      </c>
      <c r="E85" s="26" t="s">
        <v>189</v>
      </c>
    </row>
    <row r="86" s="29" customFormat="1" spans="2:5">
      <c r="B86" s="26"/>
      <c r="C86" s="26"/>
      <c r="D86" s="26"/>
      <c r="E86" s="26"/>
    </row>
    <row r="87" s="29" customFormat="1" ht="36" spans="2:5">
      <c r="B87" s="26" t="s">
        <v>573</v>
      </c>
      <c r="C87" s="26" t="s">
        <v>573</v>
      </c>
      <c r="D87" s="26" t="s">
        <v>573</v>
      </c>
      <c r="E87" s="26" t="s">
        <v>573</v>
      </c>
    </row>
    <row r="88" s="29" customFormat="1" spans="2:5">
      <c r="B88" s="26" t="s">
        <v>212</v>
      </c>
      <c r="C88" s="26" t="s">
        <v>212</v>
      </c>
      <c r="D88" s="26" t="s">
        <v>212</v>
      </c>
      <c r="E88" s="26" t="s">
        <v>212</v>
      </c>
    </row>
    <row r="89" s="29" customFormat="1" ht="124" spans="2:5">
      <c r="B89" s="11" t="s">
        <v>173</v>
      </c>
      <c r="C89" s="11" t="s">
        <v>173</v>
      </c>
      <c r="D89" s="11" t="s">
        <v>173</v>
      </c>
      <c r="E89" s="11" t="s">
        <v>173</v>
      </c>
    </row>
    <row r="90" s="29" customFormat="1" ht="156" spans="2:5">
      <c r="B90" s="12" t="s">
        <v>174</v>
      </c>
      <c r="C90" s="12" t="s">
        <v>174</v>
      </c>
      <c r="D90" s="12" t="s">
        <v>174</v>
      </c>
      <c r="E90" s="12" t="s">
        <v>174</v>
      </c>
    </row>
    <row r="91" s="29" customFormat="1" ht="68" spans="2:5">
      <c r="B91" s="13" t="s">
        <v>567</v>
      </c>
      <c r="C91" s="13" t="s">
        <v>567</v>
      </c>
      <c r="D91" s="13" t="s">
        <v>567</v>
      </c>
      <c r="E91" s="13" t="s">
        <v>567</v>
      </c>
    </row>
    <row r="92" s="29" customFormat="1" ht="22" spans="2:5">
      <c r="B92" s="14" t="s">
        <v>176</v>
      </c>
      <c r="C92" s="14" t="s">
        <v>176</v>
      </c>
      <c r="D92" s="14" t="s">
        <v>176</v>
      </c>
      <c r="E92" s="14" t="s">
        <v>176</v>
      </c>
    </row>
    <row r="93" s="29" customFormat="1" spans="2:5">
      <c r="B93" s="15" t="s">
        <v>177</v>
      </c>
      <c r="C93" s="16" t="s">
        <v>178</v>
      </c>
      <c r="D93" s="17" t="s">
        <v>179</v>
      </c>
      <c r="E93" s="18" t="s">
        <v>180</v>
      </c>
    </row>
    <row r="94" s="29" customFormat="1" ht="41" spans="2:5">
      <c r="B94" s="19" t="s">
        <v>354</v>
      </c>
      <c r="C94" s="20" t="s">
        <v>182</v>
      </c>
      <c r="D94" s="21">
        <v>2</v>
      </c>
      <c r="E94" s="22">
        <v>9009.00901</v>
      </c>
    </row>
    <row r="95" s="29" customFormat="1" ht="28" spans="2:5">
      <c r="B95" s="19" t="s">
        <v>354</v>
      </c>
      <c r="C95" s="16" t="s">
        <v>183</v>
      </c>
      <c r="D95" s="23">
        <v>2</v>
      </c>
      <c r="E95" s="24">
        <v>9009.00901</v>
      </c>
    </row>
    <row r="96" s="29" customFormat="1" ht="41" spans="2:5">
      <c r="B96" s="19" t="s">
        <v>194</v>
      </c>
      <c r="C96" s="20" t="s">
        <v>182</v>
      </c>
      <c r="D96" s="21">
        <v>33</v>
      </c>
      <c r="E96" s="22">
        <v>43243.243243</v>
      </c>
    </row>
    <row r="97" s="29" customFormat="1" spans="2:5">
      <c r="B97" s="19" t="s">
        <v>194</v>
      </c>
      <c r="C97" s="16" t="s">
        <v>183</v>
      </c>
      <c r="D97" s="23">
        <v>33</v>
      </c>
      <c r="E97" s="24">
        <v>43243.243243</v>
      </c>
    </row>
    <row r="98" s="29" customFormat="1" ht="41" spans="2:5">
      <c r="B98" s="19" t="s">
        <v>195</v>
      </c>
      <c r="C98" s="20" t="s">
        <v>182</v>
      </c>
      <c r="D98" s="21">
        <v>11</v>
      </c>
      <c r="E98" s="22">
        <v>41441.441441</v>
      </c>
    </row>
    <row r="99" s="29" customFormat="1" spans="2:5">
      <c r="B99" s="19" t="s">
        <v>195</v>
      </c>
      <c r="C99" s="16" t="s">
        <v>183</v>
      </c>
      <c r="D99" s="23">
        <v>11</v>
      </c>
      <c r="E99" s="24">
        <v>41441.441441</v>
      </c>
    </row>
    <row r="100" s="29" customFormat="1" ht="41" spans="2:5">
      <c r="B100" s="19" t="s">
        <v>196</v>
      </c>
      <c r="C100" s="20" t="s">
        <v>182</v>
      </c>
      <c r="D100" s="21">
        <v>6</v>
      </c>
      <c r="E100" s="22">
        <v>56756.756757</v>
      </c>
    </row>
    <row r="101" s="29" customFormat="1" spans="2:5">
      <c r="B101" s="19" t="s">
        <v>196</v>
      </c>
      <c r="C101" s="16" t="s">
        <v>183</v>
      </c>
      <c r="D101" s="23">
        <v>6</v>
      </c>
      <c r="E101" s="24">
        <v>56756.756757</v>
      </c>
    </row>
    <row r="102" s="29" customFormat="1" ht="41" spans="2:5">
      <c r="B102" s="19" t="s">
        <v>197</v>
      </c>
      <c r="C102" s="20" t="s">
        <v>182</v>
      </c>
      <c r="D102" s="21">
        <v>12</v>
      </c>
      <c r="E102" s="22">
        <v>0</v>
      </c>
    </row>
    <row r="103" s="29" customFormat="1" spans="2:5">
      <c r="B103" s="19" t="s">
        <v>197</v>
      </c>
      <c r="C103" s="16" t="s">
        <v>183</v>
      </c>
      <c r="D103" s="23">
        <v>12</v>
      </c>
      <c r="E103" s="24">
        <v>0</v>
      </c>
    </row>
    <row r="104" s="29" customFormat="1" ht="41" spans="2:5">
      <c r="B104" s="19" t="s">
        <v>410</v>
      </c>
      <c r="C104" s="20" t="s">
        <v>182</v>
      </c>
      <c r="D104" s="21">
        <v>2</v>
      </c>
      <c r="E104" s="22">
        <v>0</v>
      </c>
    </row>
    <row r="105" s="29" customFormat="1" ht="17.55" spans="2:5">
      <c r="B105" s="19" t="s">
        <v>410</v>
      </c>
      <c r="C105" s="16" t="s">
        <v>183</v>
      </c>
      <c r="D105" s="23">
        <v>2</v>
      </c>
      <c r="E105" s="24">
        <v>0</v>
      </c>
    </row>
    <row r="106" s="29" customFormat="1" spans="2:5">
      <c r="B106" s="25"/>
      <c r="C106" s="25"/>
      <c r="D106" s="25"/>
      <c r="E106" s="25"/>
    </row>
    <row r="107" s="29" customFormat="1" ht="36" spans="2:5">
      <c r="B107" s="26" t="s">
        <v>189</v>
      </c>
      <c r="C107" s="26" t="s">
        <v>189</v>
      </c>
      <c r="D107" s="26" t="s">
        <v>189</v>
      </c>
      <c r="E107" s="26" t="s">
        <v>189</v>
      </c>
    </row>
    <row r="108" s="29" customFormat="1" spans="2:5">
      <c r="B108" s="26"/>
      <c r="C108" s="26"/>
      <c r="D108" s="26"/>
      <c r="E108" s="26"/>
    </row>
    <row r="109" s="29" customFormat="1" ht="36" spans="2:5">
      <c r="B109" s="26" t="s">
        <v>573</v>
      </c>
      <c r="C109" s="26" t="s">
        <v>573</v>
      </c>
      <c r="D109" s="26" t="s">
        <v>573</v>
      </c>
      <c r="E109" s="26" t="s">
        <v>573</v>
      </c>
    </row>
    <row r="110" s="29" customFormat="1" spans="2:5">
      <c r="B110" s="26" t="s">
        <v>219</v>
      </c>
      <c r="C110" s="26" t="s">
        <v>219</v>
      </c>
      <c r="D110" s="26" t="s">
        <v>219</v>
      </c>
      <c r="E110" s="26" t="s">
        <v>219</v>
      </c>
    </row>
    <row r="111" s="29" customFormat="1" ht="124" spans="2:5">
      <c r="B111" s="11" t="s">
        <v>173</v>
      </c>
      <c r="C111" s="11" t="s">
        <v>173</v>
      </c>
      <c r="D111" s="11" t="s">
        <v>173</v>
      </c>
      <c r="E111" s="11" t="s">
        <v>173</v>
      </c>
    </row>
    <row r="112" s="29" customFormat="1" ht="156" spans="2:5">
      <c r="B112" s="12" t="s">
        <v>174</v>
      </c>
      <c r="C112" s="12" t="s">
        <v>174</v>
      </c>
      <c r="D112" s="12" t="s">
        <v>174</v>
      </c>
      <c r="E112" s="12" t="s">
        <v>174</v>
      </c>
    </row>
    <row r="113" s="29" customFormat="1" ht="68" spans="2:5">
      <c r="B113" s="13" t="s">
        <v>567</v>
      </c>
      <c r="C113" s="13" t="s">
        <v>567</v>
      </c>
      <c r="D113" s="13" t="s">
        <v>567</v>
      </c>
      <c r="E113" s="13" t="s">
        <v>567</v>
      </c>
    </row>
    <row r="114" s="29" customFormat="1" ht="22" spans="2:5">
      <c r="B114" s="14" t="s">
        <v>176</v>
      </c>
      <c r="C114" s="14" t="s">
        <v>176</v>
      </c>
      <c r="D114" s="14" t="s">
        <v>176</v>
      </c>
      <c r="E114" s="14" t="s">
        <v>176</v>
      </c>
    </row>
    <row r="115" s="29" customFormat="1" spans="2:5">
      <c r="B115" s="15" t="s">
        <v>177</v>
      </c>
      <c r="C115" s="16" t="s">
        <v>178</v>
      </c>
      <c r="D115" s="17" t="s">
        <v>179</v>
      </c>
      <c r="E115" s="18" t="s">
        <v>180</v>
      </c>
    </row>
    <row r="116" s="29" customFormat="1" ht="41" spans="2:5">
      <c r="B116" s="19" t="s">
        <v>199</v>
      </c>
      <c r="C116" s="20" t="s">
        <v>182</v>
      </c>
      <c r="D116" s="21">
        <v>75</v>
      </c>
      <c r="E116" s="22">
        <v>0</v>
      </c>
    </row>
    <row r="117" s="29" customFormat="1" spans="2:5">
      <c r="B117" s="19" t="s">
        <v>199</v>
      </c>
      <c r="C117" s="16" t="s">
        <v>183</v>
      </c>
      <c r="D117" s="23">
        <v>75</v>
      </c>
      <c r="E117" s="24">
        <v>0</v>
      </c>
    </row>
    <row r="118" s="29" customFormat="1" ht="41" spans="2:5">
      <c r="B118" s="19" t="s">
        <v>200</v>
      </c>
      <c r="C118" s="20" t="s">
        <v>182</v>
      </c>
      <c r="D118" s="21">
        <v>20</v>
      </c>
      <c r="E118" s="22">
        <v>0</v>
      </c>
    </row>
    <row r="119" s="29" customFormat="1" spans="2:5">
      <c r="B119" s="19" t="s">
        <v>200</v>
      </c>
      <c r="C119" s="16" t="s">
        <v>183</v>
      </c>
      <c r="D119" s="23">
        <v>20</v>
      </c>
      <c r="E119" s="24">
        <v>0</v>
      </c>
    </row>
    <row r="120" s="29" customFormat="1" ht="41" spans="2:5">
      <c r="B120" s="19" t="s">
        <v>579</v>
      </c>
      <c r="C120" s="20" t="s">
        <v>182</v>
      </c>
      <c r="D120" s="21">
        <v>1</v>
      </c>
      <c r="E120" s="22">
        <v>0</v>
      </c>
    </row>
    <row r="121" s="29" customFormat="1" spans="2:5">
      <c r="B121" s="19" t="s">
        <v>579</v>
      </c>
      <c r="C121" s="16" t="s">
        <v>183</v>
      </c>
      <c r="D121" s="23">
        <v>1</v>
      </c>
      <c r="E121" s="24">
        <v>0</v>
      </c>
    </row>
    <row r="122" s="29" customFormat="1" ht="41" spans="2:5">
      <c r="B122" s="19" t="s">
        <v>580</v>
      </c>
      <c r="C122" s="20" t="s">
        <v>182</v>
      </c>
      <c r="D122" s="21">
        <v>1</v>
      </c>
      <c r="E122" s="22">
        <v>37837.837838</v>
      </c>
    </row>
    <row r="123" s="29" customFormat="1" spans="2:5">
      <c r="B123" s="19" t="s">
        <v>580</v>
      </c>
      <c r="C123" s="16" t="s">
        <v>183</v>
      </c>
      <c r="D123" s="23">
        <v>1</v>
      </c>
      <c r="E123" s="24">
        <v>37837.837838</v>
      </c>
    </row>
    <row r="124" s="29" customFormat="1" ht="41" spans="2:5">
      <c r="B124" s="19" t="s">
        <v>411</v>
      </c>
      <c r="C124" s="20" t="s">
        <v>182</v>
      </c>
      <c r="D124" s="21">
        <v>12</v>
      </c>
      <c r="E124" s="22">
        <v>216216.216216</v>
      </c>
    </row>
    <row r="125" s="29" customFormat="1" ht="28" spans="2:5">
      <c r="B125" s="19" t="s">
        <v>411</v>
      </c>
      <c r="C125" s="16" t="s">
        <v>183</v>
      </c>
      <c r="D125" s="23">
        <v>12</v>
      </c>
      <c r="E125" s="24">
        <v>216216.216216</v>
      </c>
    </row>
    <row r="126" s="29" customFormat="1" ht="41" spans="2:5">
      <c r="B126" s="19" t="s">
        <v>202</v>
      </c>
      <c r="C126" s="20" t="s">
        <v>182</v>
      </c>
      <c r="D126" s="21">
        <v>4</v>
      </c>
      <c r="E126" s="22">
        <v>472072.306306</v>
      </c>
    </row>
    <row r="127" s="29" customFormat="1" ht="28.75" spans="2:5">
      <c r="B127" s="19" t="s">
        <v>202</v>
      </c>
      <c r="C127" s="16" t="s">
        <v>183</v>
      </c>
      <c r="D127" s="23">
        <v>4</v>
      </c>
      <c r="E127" s="24">
        <v>472072.306306</v>
      </c>
    </row>
    <row r="128" s="29" customFormat="1" spans="2:5">
      <c r="B128" s="25"/>
      <c r="C128" s="25"/>
      <c r="D128" s="25"/>
      <c r="E128" s="25"/>
    </row>
    <row r="129" s="29" customFormat="1" ht="36" spans="2:5">
      <c r="B129" s="26" t="s">
        <v>189</v>
      </c>
      <c r="C129" s="26" t="s">
        <v>189</v>
      </c>
      <c r="D129" s="26" t="s">
        <v>189</v>
      </c>
      <c r="E129" s="26" t="s">
        <v>189</v>
      </c>
    </row>
    <row r="130" s="29" customFormat="1" spans="2:5">
      <c r="B130" s="26"/>
      <c r="C130" s="26"/>
      <c r="D130" s="26"/>
      <c r="E130" s="26"/>
    </row>
    <row r="131" s="29" customFormat="1" ht="36" spans="2:5">
      <c r="B131" s="26" t="s">
        <v>573</v>
      </c>
      <c r="C131" s="26" t="s">
        <v>573</v>
      </c>
      <c r="D131" s="26" t="s">
        <v>573</v>
      </c>
      <c r="E131" s="26" t="s">
        <v>573</v>
      </c>
    </row>
    <row r="132" s="29" customFormat="1" spans="2:5">
      <c r="B132" s="26" t="s">
        <v>226</v>
      </c>
      <c r="C132" s="26" t="s">
        <v>226</v>
      </c>
      <c r="D132" s="26" t="s">
        <v>226</v>
      </c>
      <c r="E132" s="26" t="s">
        <v>226</v>
      </c>
    </row>
    <row r="133" s="29" customFormat="1" ht="124" spans="2:5">
      <c r="B133" s="11" t="s">
        <v>173</v>
      </c>
      <c r="C133" s="11" t="s">
        <v>173</v>
      </c>
      <c r="D133" s="11" t="s">
        <v>173</v>
      </c>
      <c r="E133" s="11" t="s">
        <v>173</v>
      </c>
    </row>
    <row r="134" s="29" customFormat="1" ht="156" spans="2:5">
      <c r="B134" s="12" t="s">
        <v>174</v>
      </c>
      <c r="C134" s="12" t="s">
        <v>174</v>
      </c>
      <c r="D134" s="12" t="s">
        <v>174</v>
      </c>
      <c r="E134" s="12" t="s">
        <v>174</v>
      </c>
    </row>
    <row r="135" s="29" customFormat="1" ht="68" spans="2:5">
      <c r="B135" s="13" t="s">
        <v>567</v>
      </c>
      <c r="C135" s="13" t="s">
        <v>567</v>
      </c>
      <c r="D135" s="13" t="s">
        <v>567</v>
      </c>
      <c r="E135" s="13" t="s">
        <v>567</v>
      </c>
    </row>
    <row r="136" s="29" customFormat="1" ht="22" spans="2:5">
      <c r="B136" s="14" t="s">
        <v>176</v>
      </c>
      <c r="C136" s="14" t="s">
        <v>176</v>
      </c>
      <c r="D136" s="14" t="s">
        <v>176</v>
      </c>
      <c r="E136" s="14" t="s">
        <v>176</v>
      </c>
    </row>
    <row r="137" s="29" customFormat="1" spans="2:5">
      <c r="B137" s="15" t="s">
        <v>177</v>
      </c>
      <c r="C137" s="16" t="s">
        <v>178</v>
      </c>
      <c r="D137" s="17" t="s">
        <v>179</v>
      </c>
      <c r="E137" s="18" t="s">
        <v>180</v>
      </c>
    </row>
    <row r="138" s="29" customFormat="1" ht="41" spans="2:5">
      <c r="B138" s="19" t="s">
        <v>412</v>
      </c>
      <c r="C138" s="20" t="s">
        <v>182</v>
      </c>
      <c r="D138" s="21">
        <v>12</v>
      </c>
      <c r="E138" s="22">
        <v>259459.459458</v>
      </c>
    </row>
    <row r="139" s="29" customFormat="1" ht="28" spans="2:5">
      <c r="B139" s="19" t="s">
        <v>412</v>
      </c>
      <c r="C139" s="16" t="s">
        <v>183</v>
      </c>
      <c r="D139" s="23">
        <v>12</v>
      </c>
      <c r="E139" s="24">
        <v>259459.459458</v>
      </c>
    </row>
    <row r="140" s="29" customFormat="1" ht="41" spans="2:5">
      <c r="B140" s="19" t="s">
        <v>414</v>
      </c>
      <c r="C140" s="20" t="s">
        <v>182</v>
      </c>
      <c r="D140" s="21">
        <v>4</v>
      </c>
      <c r="E140" s="22">
        <v>270270.27027</v>
      </c>
    </row>
    <row r="141" s="29" customFormat="1" ht="28" spans="2:5">
      <c r="B141" s="19" t="s">
        <v>414</v>
      </c>
      <c r="C141" s="16" t="s">
        <v>183</v>
      </c>
      <c r="D141" s="23">
        <v>4</v>
      </c>
      <c r="E141" s="24">
        <v>270270.27027</v>
      </c>
    </row>
    <row r="142" s="29" customFormat="1" ht="41" spans="2:5">
      <c r="B142" s="19" t="s">
        <v>204</v>
      </c>
      <c r="C142" s="20" t="s">
        <v>182</v>
      </c>
      <c r="D142" s="21">
        <v>3</v>
      </c>
      <c r="E142" s="22">
        <v>63243.144144</v>
      </c>
    </row>
    <row r="143" s="29" customFormat="1" ht="28" spans="2:5">
      <c r="B143" s="19" t="s">
        <v>204</v>
      </c>
      <c r="C143" s="16" t="s">
        <v>183</v>
      </c>
      <c r="D143" s="23">
        <v>3</v>
      </c>
      <c r="E143" s="24">
        <v>63243.144144</v>
      </c>
    </row>
    <row r="144" s="29" customFormat="1" ht="41" spans="2:5">
      <c r="B144" s="19" t="s">
        <v>359</v>
      </c>
      <c r="C144" s="20" t="s">
        <v>182</v>
      </c>
      <c r="D144" s="21">
        <v>2</v>
      </c>
      <c r="E144" s="22">
        <v>103124</v>
      </c>
    </row>
    <row r="145" s="29" customFormat="1" ht="28" spans="2:5">
      <c r="B145" s="19" t="s">
        <v>359</v>
      </c>
      <c r="C145" s="16" t="s">
        <v>183</v>
      </c>
      <c r="D145" s="23">
        <v>2</v>
      </c>
      <c r="E145" s="24">
        <v>103124</v>
      </c>
    </row>
    <row r="146" s="29" customFormat="1" ht="41" spans="2:5">
      <c r="B146" s="19" t="s">
        <v>208</v>
      </c>
      <c r="C146" s="20" t="s">
        <v>182</v>
      </c>
      <c r="D146" s="21">
        <v>1</v>
      </c>
      <c r="E146" s="22">
        <v>28750</v>
      </c>
    </row>
    <row r="147" s="29" customFormat="1" ht="28" spans="2:5">
      <c r="B147" s="19" t="s">
        <v>208</v>
      </c>
      <c r="C147" s="16" t="s">
        <v>183</v>
      </c>
      <c r="D147" s="23">
        <v>1</v>
      </c>
      <c r="E147" s="24">
        <v>28750</v>
      </c>
    </row>
    <row r="148" s="29" customFormat="1" ht="41" spans="2:5">
      <c r="B148" s="19" t="s">
        <v>360</v>
      </c>
      <c r="C148" s="20" t="s">
        <v>182</v>
      </c>
      <c r="D148" s="21">
        <v>2</v>
      </c>
      <c r="E148" s="22">
        <v>45135.135135</v>
      </c>
    </row>
    <row r="149" s="29" customFormat="1" ht="28.75" spans="2:5">
      <c r="B149" s="19" t="s">
        <v>360</v>
      </c>
      <c r="C149" s="16" t="s">
        <v>183</v>
      </c>
      <c r="D149" s="23">
        <v>2</v>
      </c>
      <c r="E149" s="24">
        <v>45135.135135</v>
      </c>
    </row>
    <row r="150" s="29" customFormat="1" spans="2:5">
      <c r="B150" s="25"/>
      <c r="C150" s="25"/>
      <c r="D150" s="25"/>
      <c r="E150" s="25"/>
    </row>
    <row r="151" s="29" customFormat="1" ht="36" spans="2:5">
      <c r="B151" s="26" t="s">
        <v>189</v>
      </c>
      <c r="C151" s="26" t="s">
        <v>189</v>
      </c>
      <c r="D151" s="26" t="s">
        <v>189</v>
      </c>
      <c r="E151" s="26" t="s">
        <v>189</v>
      </c>
    </row>
    <row r="152" s="29" customFormat="1" spans="2:5">
      <c r="B152" s="26"/>
      <c r="C152" s="26"/>
      <c r="D152" s="26"/>
      <c r="E152" s="26"/>
    </row>
    <row r="153" s="29" customFormat="1" ht="36" spans="2:5">
      <c r="B153" s="26" t="s">
        <v>573</v>
      </c>
      <c r="C153" s="26" t="s">
        <v>573</v>
      </c>
      <c r="D153" s="26" t="s">
        <v>573</v>
      </c>
      <c r="E153" s="26" t="s">
        <v>573</v>
      </c>
    </row>
    <row r="154" s="29" customFormat="1" spans="2:5">
      <c r="B154" s="26" t="s">
        <v>233</v>
      </c>
      <c r="C154" s="26" t="s">
        <v>233</v>
      </c>
      <c r="D154" s="26" t="s">
        <v>233</v>
      </c>
      <c r="E154" s="26" t="s">
        <v>233</v>
      </c>
    </row>
    <row r="155" s="29" customFormat="1" ht="124" spans="2:5">
      <c r="B155" s="11" t="s">
        <v>173</v>
      </c>
      <c r="C155" s="11" t="s">
        <v>173</v>
      </c>
      <c r="D155" s="11" t="s">
        <v>173</v>
      </c>
      <c r="E155" s="11" t="s">
        <v>173</v>
      </c>
    </row>
    <row r="156" s="29" customFormat="1" ht="156" spans="2:5">
      <c r="B156" s="12" t="s">
        <v>174</v>
      </c>
      <c r="C156" s="12" t="s">
        <v>174</v>
      </c>
      <c r="D156" s="12" t="s">
        <v>174</v>
      </c>
      <c r="E156" s="12" t="s">
        <v>174</v>
      </c>
    </row>
    <row r="157" s="29" customFormat="1" ht="68" spans="2:5">
      <c r="B157" s="13" t="s">
        <v>567</v>
      </c>
      <c r="C157" s="13" t="s">
        <v>567</v>
      </c>
      <c r="D157" s="13" t="s">
        <v>567</v>
      </c>
      <c r="E157" s="13" t="s">
        <v>567</v>
      </c>
    </row>
    <row r="158" s="29" customFormat="1" ht="22" spans="2:5">
      <c r="B158" s="14" t="s">
        <v>176</v>
      </c>
      <c r="C158" s="14" t="s">
        <v>176</v>
      </c>
      <c r="D158" s="14" t="s">
        <v>176</v>
      </c>
      <c r="E158" s="14" t="s">
        <v>176</v>
      </c>
    </row>
    <row r="159" s="29" customFormat="1" spans="2:5">
      <c r="B159" s="15" t="s">
        <v>177</v>
      </c>
      <c r="C159" s="16" t="s">
        <v>178</v>
      </c>
      <c r="D159" s="17" t="s">
        <v>179</v>
      </c>
      <c r="E159" s="18" t="s">
        <v>180</v>
      </c>
    </row>
    <row r="160" s="29" customFormat="1" ht="41" spans="2:5">
      <c r="B160" s="19" t="s">
        <v>361</v>
      </c>
      <c r="C160" s="20" t="s">
        <v>182</v>
      </c>
      <c r="D160" s="21">
        <v>2</v>
      </c>
      <c r="E160" s="22">
        <v>147933.558559</v>
      </c>
    </row>
    <row r="161" s="29" customFormat="1" ht="28" spans="2:5">
      <c r="B161" s="19" t="s">
        <v>361</v>
      </c>
      <c r="C161" s="16" t="s">
        <v>183</v>
      </c>
      <c r="D161" s="23">
        <v>2</v>
      </c>
      <c r="E161" s="24">
        <v>147933.558559</v>
      </c>
    </row>
    <row r="162" s="29" customFormat="1" ht="41" spans="2:5">
      <c r="B162" s="19" t="s">
        <v>417</v>
      </c>
      <c r="C162" s="20" t="s">
        <v>182</v>
      </c>
      <c r="D162" s="21">
        <v>1</v>
      </c>
      <c r="E162" s="22">
        <v>120045.045045</v>
      </c>
    </row>
    <row r="163" s="29" customFormat="1" ht="28" spans="2:5">
      <c r="B163" s="19" t="s">
        <v>417</v>
      </c>
      <c r="C163" s="16" t="s">
        <v>183</v>
      </c>
      <c r="D163" s="23">
        <v>1</v>
      </c>
      <c r="E163" s="24">
        <v>120045.045045</v>
      </c>
    </row>
    <row r="164" s="29" customFormat="1" ht="41" spans="2:5">
      <c r="B164" s="19" t="s">
        <v>418</v>
      </c>
      <c r="C164" s="20" t="s">
        <v>182</v>
      </c>
      <c r="D164" s="21">
        <v>1</v>
      </c>
      <c r="E164" s="22">
        <v>122972.972973</v>
      </c>
    </row>
    <row r="165" s="29" customFormat="1" ht="28" spans="2:5">
      <c r="B165" s="19" t="s">
        <v>418</v>
      </c>
      <c r="C165" s="16" t="s">
        <v>183</v>
      </c>
      <c r="D165" s="23">
        <v>1</v>
      </c>
      <c r="E165" s="24">
        <v>122972.972973</v>
      </c>
    </row>
    <row r="166" s="29" customFormat="1" ht="41" spans="2:5">
      <c r="B166" s="19" t="s">
        <v>211</v>
      </c>
      <c r="C166" s="20" t="s">
        <v>182</v>
      </c>
      <c r="D166" s="21">
        <v>22</v>
      </c>
      <c r="E166" s="22">
        <v>1085168.568818</v>
      </c>
    </row>
    <row r="167" s="29" customFormat="1" ht="28" spans="2:5">
      <c r="B167" s="19" t="s">
        <v>211</v>
      </c>
      <c r="C167" s="16" t="s">
        <v>183</v>
      </c>
      <c r="D167" s="23">
        <v>22</v>
      </c>
      <c r="E167" s="24">
        <v>1085168.568818</v>
      </c>
    </row>
    <row r="168" s="29" customFormat="1" ht="41" spans="2:5">
      <c r="B168" s="19" t="s">
        <v>213</v>
      </c>
      <c r="C168" s="20" t="s">
        <v>182</v>
      </c>
      <c r="D168" s="21">
        <v>44</v>
      </c>
      <c r="E168" s="22">
        <v>2101119.867651</v>
      </c>
    </row>
    <row r="169" s="29" customFormat="1" ht="28" spans="2:5">
      <c r="B169" s="19" t="s">
        <v>213</v>
      </c>
      <c r="C169" s="16" t="s">
        <v>183</v>
      </c>
      <c r="D169" s="23">
        <v>44</v>
      </c>
      <c r="E169" s="24">
        <v>2101119.867651</v>
      </c>
    </row>
    <row r="170" s="29" customFormat="1" ht="41" spans="2:5">
      <c r="B170" s="19" t="s">
        <v>214</v>
      </c>
      <c r="C170" s="20" t="s">
        <v>182</v>
      </c>
      <c r="D170" s="21">
        <v>4</v>
      </c>
      <c r="E170" s="22">
        <v>227207.324325</v>
      </c>
    </row>
    <row r="171" s="29" customFormat="1" ht="28.75" spans="2:5">
      <c r="B171" s="19" t="s">
        <v>214</v>
      </c>
      <c r="C171" s="16" t="s">
        <v>183</v>
      </c>
      <c r="D171" s="23">
        <v>4</v>
      </c>
      <c r="E171" s="24">
        <v>227207.324325</v>
      </c>
    </row>
    <row r="172" s="29" customFormat="1" spans="2:5">
      <c r="B172" s="25"/>
      <c r="C172" s="25"/>
      <c r="D172" s="25"/>
      <c r="E172" s="25"/>
    </row>
    <row r="173" s="29" customFormat="1" ht="36" spans="2:5">
      <c r="B173" s="26" t="s">
        <v>189</v>
      </c>
      <c r="C173" s="26" t="s">
        <v>189</v>
      </c>
      <c r="D173" s="26" t="s">
        <v>189</v>
      </c>
      <c r="E173" s="26" t="s">
        <v>189</v>
      </c>
    </row>
    <row r="174" s="29" customFormat="1" spans="2:5">
      <c r="B174" s="26"/>
      <c r="C174" s="26"/>
      <c r="D174" s="26"/>
      <c r="E174" s="26"/>
    </row>
    <row r="175" s="29" customFormat="1" ht="36" spans="2:5">
      <c r="B175" s="26" t="s">
        <v>573</v>
      </c>
      <c r="C175" s="26" t="s">
        <v>573</v>
      </c>
      <c r="D175" s="26" t="s">
        <v>573</v>
      </c>
      <c r="E175" s="26" t="s">
        <v>573</v>
      </c>
    </row>
    <row r="176" s="29" customFormat="1" spans="2:5">
      <c r="B176" s="26" t="s">
        <v>240</v>
      </c>
      <c r="C176" s="26" t="s">
        <v>240</v>
      </c>
      <c r="D176" s="26" t="s">
        <v>240</v>
      </c>
      <c r="E176" s="26" t="s">
        <v>240</v>
      </c>
    </row>
    <row r="177" s="29" customFormat="1" ht="124" spans="2:5">
      <c r="B177" s="11" t="s">
        <v>173</v>
      </c>
      <c r="C177" s="11" t="s">
        <v>173</v>
      </c>
      <c r="D177" s="11" t="s">
        <v>173</v>
      </c>
      <c r="E177" s="11" t="s">
        <v>173</v>
      </c>
    </row>
    <row r="178" s="29" customFormat="1" ht="156" spans="2:5">
      <c r="B178" s="12" t="s">
        <v>174</v>
      </c>
      <c r="C178" s="12" t="s">
        <v>174</v>
      </c>
      <c r="D178" s="12" t="s">
        <v>174</v>
      </c>
      <c r="E178" s="12" t="s">
        <v>174</v>
      </c>
    </row>
    <row r="179" s="29" customFormat="1" ht="68" spans="2:5">
      <c r="B179" s="13" t="s">
        <v>567</v>
      </c>
      <c r="C179" s="13" t="s">
        <v>567</v>
      </c>
      <c r="D179" s="13" t="s">
        <v>567</v>
      </c>
      <c r="E179" s="13" t="s">
        <v>567</v>
      </c>
    </row>
    <row r="180" s="29" customFormat="1" ht="22" spans="2:5">
      <c r="B180" s="14" t="s">
        <v>176</v>
      </c>
      <c r="C180" s="14" t="s">
        <v>176</v>
      </c>
      <c r="D180" s="14" t="s">
        <v>176</v>
      </c>
      <c r="E180" s="14" t="s">
        <v>176</v>
      </c>
    </row>
    <row r="181" s="29" customFormat="1" spans="2:5">
      <c r="B181" s="15" t="s">
        <v>177</v>
      </c>
      <c r="C181" s="16" t="s">
        <v>178</v>
      </c>
      <c r="D181" s="17" t="s">
        <v>179</v>
      </c>
      <c r="E181" s="18" t="s">
        <v>180</v>
      </c>
    </row>
    <row r="182" s="29" customFormat="1" ht="41" spans="2:5">
      <c r="B182" s="19" t="s">
        <v>215</v>
      </c>
      <c r="C182" s="20" t="s">
        <v>182</v>
      </c>
      <c r="D182" s="21">
        <v>14</v>
      </c>
      <c r="E182" s="22">
        <v>853483.711712</v>
      </c>
    </row>
    <row r="183" s="29" customFormat="1" ht="28" spans="2:5">
      <c r="B183" s="19" t="s">
        <v>215</v>
      </c>
      <c r="C183" s="16" t="s">
        <v>183</v>
      </c>
      <c r="D183" s="23">
        <v>14</v>
      </c>
      <c r="E183" s="24">
        <v>853483.711712</v>
      </c>
    </row>
    <row r="184" s="29" customFormat="1" ht="41" spans="2:5">
      <c r="B184" s="19" t="s">
        <v>216</v>
      </c>
      <c r="C184" s="20" t="s">
        <v>182</v>
      </c>
      <c r="D184" s="21">
        <v>2</v>
      </c>
      <c r="E184" s="22">
        <v>119459.45946</v>
      </c>
    </row>
    <row r="185" s="29" customFormat="1" ht="28" spans="2:5">
      <c r="B185" s="19" t="s">
        <v>216</v>
      </c>
      <c r="C185" s="16" t="s">
        <v>183</v>
      </c>
      <c r="D185" s="23">
        <v>2</v>
      </c>
      <c r="E185" s="24">
        <v>119459.45946</v>
      </c>
    </row>
    <row r="186" s="29" customFormat="1" ht="41" spans="2:5">
      <c r="B186" s="19" t="s">
        <v>364</v>
      </c>
      <c r="C186" s="20" t="s">
        <v>182</v>
      </c>
      <c r="D186" s="21">
        <v>12</v>
      </c>
      <c r="E186" s="22">
        <v>714684.558561</v>
      </c>
    </row>
    <row r="187" s="29" customFormat="1" ht="28" spans="2:5">
      <c r="B187" s="19" t="s">
        <v>364</v>
      </c>
      <c r="C187" s="16" t="s">
        <v>183</v>
      </c>
      <c r="D187" s="23">
        <v>12</v>
      </c>
      <c r="E187" s="24">
        <v>714684.558561</v>
      </c>
    </row>
    <row r="188" s="29" customFormat="1" ht="41" spans="2:5">
      <c r="B188" s="19" t="s">
        <v>217</v>
      </c>
      <c r="C188" s="20" t="s">
        <v>182</v>
      </c>
      <c r="D188" s="21">
        <v>6</v>
      </c>
      <c r="E188" s="22">
        <v>425903.26126</v>
      </c>
    </row>
    <row r="189" s="29" customFormat="1" ht="28" spans="2:5">
      <c r="B189" s="19" t="s">
        <v>217</v>
      </c>
      <c r="C189" s="16" t="s">
        <v>183</v>
      </c>
      <c r="D189" s="23">
        <v>6</v>
      </c>
      <c r="E189" s="24">
        <v>425903.26126</v>
      </c>
    </row>
    <row r="190" s="29" customFormat="1" ht="41" spans="2:5">
      <c r="B190" s="19" t="s">
        <v>218</v>
      </c>
      <c r="C190" s="20" t="s">
        <v>182</v>
      </c>
      <c r="D190" s="21">
        <v>27</v>
      </c>
      <c r="E190" s="22">
        <v>1806764.153152</v>
      </c>
    </row>
    <row r="191" s="29" customFormat="1" ht="28" spans="2:5">
      <c r="B191" s="19" t="s">
        <v>218</v>
      </c>
      <c r="C191" s="16" t="s">
        <v>183</v>
      </c>
      <c r="D191" s="23">
        <v>27</v>
      </c>
      <c r="E191" s="24">
        <v>1806764.153152</v>
      </c>
    </row>
    <row r="192" s="29" customFormat="1" ht="41" spans="2:5">
      <c r="B192" s="19" t="s">
        <v>220</v>
      </c>
      <c r="C192" s="20" t="s">
        <v>182</v>
      </c>
      <c r="D192" s="21">
        <v>24</v>
      </c>
      <c r="E192" s="22">
        <v>1476082.060487</v>
      </c>
    </row>
    <row r="193" s="29" customFormat="1" ht="28.75" spans="2:5">
      <c r="B193" s="19" t="s">
        <v>220</v>
      </c>
      <c r="C193" s="16" t="s">
        <v>183</v>
      </c>
      <c r="D193" s="23">
        <v>24</v>
      </c>
      <c r="E193" s="24">
        <v>1476082.060487</v>
      </c>
    </row>
    <row r="194" s="29" customFormat="1" spans="2:5">
      <c r="B194" s="25"/>
      <c r="C194" s="25"/>
      <c r="D194" s="25"/>
      <c r="E194" s="25"/>
    </row>
    <row r="195" s="29" customFormat="1" ht="36" spans="2:5">
      <c r="B195" s="26" t="s">
        <v>189</v>
      </c>
      <c r="C195" s="26" t="s">
        <v>189</v>
      </c>
      <c r="D195" s="26" t="s">
        <v>189</v>
      </c>
      <c r="E195" s="26" t="s">
        <v>189</v>
      </c>
    </row>
    <row r="196" s="29" customFormat="1" spans="2:5">
      <c r="B196" s="26"/>
      <c r="C196" s="26"/>
      <c r="D196" s="26"/>
      <c r="E196" s="26"/>
    </row>
    <row r="197" s="29" customFormat="1" ht="36" spans="2:5">
      <c r="B197" s="26" t="s">
        <v>573</v>
      </c>
      <c r="C197" s="26" t="s">
        <v>573</v>
      </c>
      <c r="D197" s="26" t="s">
        <v>573</v>
      </c>
      <c r="E197" s="26" t="s">
        <v>573</v>
      </c>
    </row>
    <row r="198" s="29" customFormat="1" spans="2:5">
      <c r="B198" s="26" t="s">
        <v>247</v>
      </c>
      <c r="C198" s="26" t="s">
        <v>247</v>
      </c>
      <c r="D198" s="26" t="s">
        <v>247</v>
      </c>
      <c r="E198" s="26" t="s">
        <v>247</v>
      </c>
    </row>
    <row r="199" s="29" customFormat="1" ht="124" spans="2:5">
      <c r="B199" s="11" t="s">
        <v>173</v>
      </c>
      <c r="C199" s="11" t="s">
        <v>173</v>
      </c>
      <c r="D199" s="11" t="s">
        <v>173</v>
      </c>
      <c r="E199" s="11" t="s">
        <v>173</v>
      </c>
    </row>
    <row r="200" s="29" customFormat="1" ht="156" spans="2:5">
      <c r="B200" s="12" t="s">
        <v>174</v>
      </c>
      <c r="C200" s="12" t="s">
        <v>174</v>
      </c>
      <c r="D200" s="12" t="s">
        <v>174</v>
      </c>
      <c r="E200" s="12" t="s">
        <v>174</v>
      </c>
    </row>
    <row r="201" s="29" customFormat="1" ht="68" spans="2:5">
      <c r="B201" s="13" t="s">
        <v>567</v>
      </c>
      <c r="C201" s="13" t="s">
        <v>567</v>
      </c>
      <c r="D201" s="13" t="s">
        <v>567</v>
      </c>
      <c r="E201" s="13" t="s">
        <v>567</v>
      </c>
    </row>
    <row r="202" s="29" customFormat="1" ht="22" spans="2:5">
      <c r="B202" s="14" t="s">
        <v>176</v>
      </c>
      <c r="C202" s="14" t="s">
        <v>176</v>
      </c>
      <c r="D202" s="14" t="s">
        <v>176</v>
      </c>
      <c r="E202" s="14" t="s">
        <v>176</v>
      </c>
    </row>
    <row r="203" s="29" customFormat="1" spans="2:5">
      <c r="B203" s="15" t="s">
        <v>177</v>
      </c>
      <c r="C203" s="16" t="s">
        <v>178</v>
      </c>
      <c r="D203" s="17" t="s">
        <v>179</v>
      </c>
      <c r="E203" s="18" t="s">
        <v>180</v>
      </c>
    </row>
    <row r="204" s="29" customFormat="1" ht="41" spans="2:5">
      <c r="B204" s="19" t="s">
        <v>221</v>
      </c>
      <c r="C204" s="20" t="s">
        <v>182</v>
      </c>
      <c r="D204" s="21">
        <v>20</v>
      </c>
      <c r="E204" s="22">
        <v>1370585.710112</v>
      </c>
    </row>
    <row r="205" s="29" customFormat="1" ht="28" spans="2:5">
      <c r="B205" s="19" t="s">
        <v>221</v>
      </c>
      <c r="C205" s="16" t="s">
        <v>183</v>
      </c>
      <c r="D205" s="23">
        <v>20</v>
      </c>
      <c r="E205" s="24">
        <v>1370585.710112</v>
      </c>
    </row>
    <row r="206" s="29" customFormat="1" ht="41" spans="2:5">
      <c r="B206" s="19" t="s">
        <v>420</v>
      </c>
      <c r="C206" s="20" t="s">
        <v>182</v>
      </c>
      <c r="D206" s="21">
        <v>2</v>
      </c>
      <c r="E206" s="22">
        <v>152252.252252</v>
      </c>
    </row>
    <row r="207" s="29" customFormat="1" ht="28" spans="2:5">
      <c r="B207" s="19" t="s">
        <v>420</v>
      </c>
      <c r="C207" s="16" t="s">
        <v>183</v>
      </c>
      <c r="D207" s="23">
        <v>2</v>
      </c>
      <c r="E207" s="24">
        <v>152252.252252</v>
      </c>
    </row>
    <row r="208" s="29" customFormat="1" ht="41" spans="2:5">
      <c r="B208" s="19" t="s">
        <v>222</v>
      </c>
      <c r="C208" s="20" t="s">
        <v>182</v>
      </c>
      <c r="D208" s="21">
        <v>3</v>
      </c>
      <c r="E208" s="22">
        <v>245946.009009</v>
      </c>
    </row>
    <row r="209" s="29" customFormat="1" ht="28" spans="2:5">
      <c r="B209" s="19" t="s">
        <v>222</v>
      </c>
      <c r="C209" s="16" t="s">
        <v>183</v>
      </c>
      <c r="D209" s="23">
        <v>3</v>
      </c>
      <c r="E209" s="24">
        <v>245946.009009</v>
      </c>
    </row>
    <row r="210" s="29" customFormat="1" ht="41" spans="2:5">
      <c r="B210" s="19" t="s">
        <v>223</v>
      </c>
      <c r="C210" s="20" t="s">
        <v>182</v>
      </c>
      <c r="D210" s="21">
        <v>1</v>
      </c>
      <c r="E210" s="22">
        <v>89189.189189</v>
      </c>
    </row>
    <row r="211" s="29" customFormat="1" ht="28" spans="2:5">
      <c r="B211" s="19" t="s">
        <v>223</v>
      </c>
      <c r="C211" s="16" t="s">
        <v>183</v>
      </c>
      <c r="D211" s="23">
        <v>1</v>
      </c>
      <c r="E211" s="24">
        <v>89189.189189</v>
      </c>
    </row>
    <row r="212" s="29" customFormat="1" ht="41" spans="2:5">
      <c r="B212" s="19" t="s">
        <v>224</v>
      </c>
      <c r="C212" s="20" t="s">
        <v>182</v>
      </c>
      <c r="D212" s="21">
        <v>5</v>
      </c>
      <c r="E212" s="22">
        <v>486486.486485</v>
      </c>
    </row>
    <row r="213" s="29" customFormat="1" ht="28" spans="2:5">
      <c r="B213" s="19" t="s">
        <v>224</v>
      </c>
      <c r="C213" s="16" t="s">
        <v>183</v>
      </c>
      <c r="D213" s="23">
        <v>5</v>
      </c>
      <c r="E213" s="24">
        <v>486486.486485</v>
      </c>
    </row>
    <row r="214" s="29" customFormat="1" ht="41" spans="2:5">
      <c r="B214" s="19" t="s">
        <v>225</v>
      </c>
      <c r="C214" s="20" t="s">
        <v>182</v>
      </c>
      <c r="D214" s="21">
        <v>4</v>
      </c>
      <c r="E214" s="22">
        <v>561983.387388</v>
      </c>
    </row>
    <row r="215" s="29" customFormat="1" ht="28.75" spans="2:5">
      <c r="B215" s="19" t="s">
        <v>225</v>
      </c>
      <c r="C215" s="16" t="s">
        <v>183</v>
      </c>
      <c r="D215" s="23">
        <v>4</v>
      </c>
      <c r="E215" s="24">
        <v>561983.387388</v>
      </c>
    </row>
    <row r="216" s="29" customFormat="1" spans="2:5">
      <c r="B216" s="25"/>
      <c r="C216" s="25"/>
      <c r="D216" s="25"/>
      <c r="E216" s="25"/>
    </row>
    <row r="217" s="29" customFormat="1" ht="36" spans="2:5">
      <c r="B217" s="26" t="s">
        <v>189</v>
      </c>
      <c r="C217" s="26" t="s">
        <v>189</v>
      </c>
      <c r="D217" s="26" t="s">
        <v>189</v>
      </c>
      <c r="E217" s="26" t="s">
        <v>189</v>
      </c>
    </row>
    <row r="218" s="29" customFormat="1" spans="2:5">
      <c r="B218" s="26"/>
      <c r="C218" s="26"/>
      <c r="D218" s="26"/>
      <c r="E218" s="26"/>
    </row>
    <row r="219" s="29" customFormat="1" ht="36" spans="2:5">
      <c r="B219" s="26" t="s">
        <v>573</v>
      </c>
      <c r="C219" s="26" t="s">
        <v>573</v>
      </c>
      <c r="D219" s="26" t="s">
        <v>573</v>
      </c>
      <c r="E219" s="26" t="s">
        <v>573</v>
      </c>
    </row>
    <row r="220" s="29" customFormat="1" spans="2:5">
      <c r="B220" s="26" t="s">
        <v>254</v>
      </c>
      <c r="C220" s="26" t="s">
        <v>254</v>
      </c>
      <c r="D220" s="26" t="s">
        <v>254</v>
      </c>
      <c r="E220" s="26" t="s">
        <v>254</v>
      </c>
    </row>
    <row r="221" s="29" customFormat="1" ht="124" spans="2:5">
      <c r="B221" s="11" t="s">
        <v>173</v>
      </c>
      <c r="C221" s="11" t="s">
        <v>173</v>
      </c>
      <c r="D221" s="11" t="s">
        <v>173</v>
      </c>
      <c r="E221" s="11" t="s">
        <v>173</v>
      </c>
    </row>
    <row r="222" s="29" customFormat="1" ht="156" spans="2:5">
      <c r="B222" s="12" t="s">
        <v>174</v>
      </c>
      <c r="C222" s="12" t="s">
        <v>174</v>
      </c>
      <c r="D222" s="12" t="s">
        <v>174</v>
      </c>
      <c r="E222" s="12" t="s">
        <v>174</v>
      </c>
    </row>
    <row r="223" s="29" customFormat="1" ht="68" spans="2:5">
      <c r="B223" s="13" t="s">
        <v>567</v>
      </c>
      <c r="C223" s="13" t="s">
        <v>567</v>
      </c>
      <c r="D223" s="13" t="s">
        <v>567</v>
      </c>
      <c r="E223" s="13" t="s">
        <v>567</v>
      </c>
    </row>
    <row r="224" s="29" customFormat="1" ht="22" spans="2:5">
      <c r="B224" s="14" t="s">
        <v>176</v>
      </c>
      <c r="C224" s="14" t="s">
        <v>176</v>
      </c>
      <c r="D224" s="14" t="s">
        <v>176</v>
      </c>
      <c r="E224" s="14" t="s">
        <v>176</v>
      </c>
    </row>
    <row r="225" s="29" customFormat="1" spans="2:5">
      <c r="B225" s="15" t="s">
        <v>177</v>
      </c>
      <c r="C225" s="16" t="s">
        <v>178</v>
      </c>
      <c r="D225" s="17" t="s">
        <v>179</v>
      </c>
      <c r="E225" s="18" t="s">
        <v>180</v>
      </c>
    </row>
    <row r="226" s="29" customFormat="1" ht="41" spans="2:5">
      <c r="B226" s="19" t="s">
        <v>227</v>
      </c>
      <c r="C226" s="20" t="s">
        <v>182</v>
      </c>
      <c r="D226" s="21">
        <v>3</v>
      </c>
      <c r="E226" s="22">
        <v>267567.378378</v>
      </c>
    </row>
    <row r="227" s="29" customFormat="1" ht="28" spans="2:5">
      <c r="B227" s="19" t="s">
        <v>227</v>
      </c>
      <c r="C227" s="16" t="s">
        <v>183</v>
      </c>
      <c r="D227" s="23">
        <v>3</v>
      </c>
      <c r="E227" s="24">
        <v>267567.378378</v>
      </c>
    </row>
    <row r="228" s="29" customFormat="1" ht="41" spans="2:5">
      <c r="B228" s="19" t="s">
        <v>581</v>
      </c>
      <c r="C228" s="20" t="s">
        <v>182</v>
      </c>
      <c r="D228" s="21">
        <v>3</v>
      </c>
      <c r="E228" s="22">
        <v>360000</v>
      </c>
    </row>
    <row r="229" s="29" customFormat="1" spans="2:5">
      <c r="B229" s="19" t="s">
        <v>581</v>
      </c>
      <c r="C229" s="16" t="s">
        <v>183</v>
      </c>
      <c r="D229" s="23">
        <v>3</v>
      </c>
      <c r="E229" s="24">
        <v>360000</v>
      </c>
    </row>
    <row r="230" s="29" customFormat="1" ht="41" spans="2:5">
      <c r="B230" s="19" t="s">
        <v>245</v>
      </c>
      <c r="C230" s="20" t="s">
        <v>182</v>
      </c>
      <c r="D230" s="21">
        <v>4</v>
      </c>
      <c r="E230" s="22">
        <v>2588108</v>
      </c>
    </row>
    <row r="231" s="29" customFormat="1" ht="28" spans="2:5">
      <c r="B231" s="19" t="s">
        <v>245</v>
      </c>
      <c r="C231" s="16" t="s">
        <v>183</v>
      </c>
      <c r="D231" s="23">
        <v>4</v>
      </c>
      <c r="E231" s="24">
        <v>2588108</v>
      </c>
    </row>
    <row r="232" s="29" customFormat="1" ht="41" spans="2:5">
      <c r="B232" s="19" t="s">
        <v>250</v>
      </c>
      <c r="C232" s="20" t="s">
        <v>182</v>
      </c>
      <c r="D232" s="21">
        <v>2</v>
      </c>
      <c r="E232" s="22">
        <v>1459459.666667</v>
      </c>
    </row>
    <row r="233" s="29" customFormat="1" ht="28" spans="2:5">
      <c r="B233" s="19" t="s">
        <v>250</v>
      </c>
      <c r="C233" s="16" t="s">
        <v>183</v>
      </c>
      <c r="D233" s="23">
        <v>2</v>
      </c>
      <c r="E233" s="24">
        <v>1459459.666667</v>
      </c>
    </row>
    <row r="234" s="29" customFormat="1" ht="41" spans="2:5">
      <c r="B234" s="19" t="s">
        <v>257</v>
      </c>
      <c r="C234" s="20" t="s">
        <v>182</v>
      </c>
      <c r="D234" s="21">
        <v>1</v>
      </c>
      <c r="E234" s="22">
        <v>684685</v>
      </c>
    </row>
    <row r="235" s="29" customFormat="1" ht="28" spans="2:5">
      <c r="B235" s="19" t="s">
        <v>257</v>
      </c>
      <c r="C235" s="16" t="s">
        <v>183</v>
      </c>
      <c r="D235" s="23">
        <v>1</v>
      </c>
      <c r="E235" s="24">
        <v>684685</v>
      </c>
    </row>
    <row r="236" s="29" customFormat="1" ht="41" spans="2:5">
      <c r="B236" s="19" t="s">
        <v>267</v>
      </c>
      <c r="C236" s="20" t="s">
        <v>182</v>
      </c>
      <c r="D236" s="21">
        <v>2</v>
      </c>
      <c r="E236" s="22">
        <v>2337658</v>
      </c>
    </row>
    <row r="237" s="29" customFormat="1" ht="28.75" spans="2:5">
      <c r="B237" s="19" t="s">
        <v>267</v>
      </c>
      <c r="C237" s="16" t="s">
        <v>183</v>
      </c>
      <c r="D237" s="23">
        <v>2</v>
      </c>
      <c r="E237" s="24">
        <v>2337658</v>
      </c>
    </row>
    <row r="238" s="29" customFormat="1" spans="2:5">
      <c r="B238" s="25"/>
      <c r="C238" s="25"/>
      <c r="D238" s="25"/>
      <c r="E238" s="25"/>
    </row>
    <row r="239" s="29" customFormat="1" ht="36" spans="2:5">
      <c r="B239" s="26" t="s">
        <v>189</v>
      </c>
      <c r="C239" s="26" t="s">
        <v>189</v>
      </c>
      <c r="D239" s="26" t="s">
        <v>189</v>
      </c>
      <c r="E239" s="26" t="s">
        <v>189</v>
      </c>
    </row>
    <row r="240" s="29" customFormat="1" spans="2:5">
      <c r="B240" s="26"/>
      <c r="C240" s="26"/>
      <c r="D240" s="26"/>
      <c r="E240" s="26"/>
    </row>
    <row r="241" s="29" customFormat="1" ht="36" spans="2:5">
      <c r="B241" s="26" t="s">
        <v>573</v>
      </c>
      <c r="C241" s="26" t="s">
        <v>573</v>
      </c>
      <c r="D241" s="26" t="s">
        <v>573</v>
      </c>
      <c r="E241" s="26" t="s">
        <v>573</v>
      </c>
    </row>
    <row r="242" s="29" customFormat="1" spans="2:5">
      <c r="B242" s="26" t="s">
        <v>261</v>
      </c>
      <c r="C242" s="26" t="s">
        <v>261</v>
      </c>
      <c r="D242" s="26" t="s">
        <v>261</v>
      </c>
      <c r="E242" s="26" t="s">
        <v>261</v>
      </c>
    </row>
    <row r="243" s="29" customFormat="1" ht="124" spans="2:5">
      <c r="B243" s="11" t="s">
        <v>173</v>
      </c>
      <c r="C243" s="11" t="s">
        <v>173</v>
      </c>
      <c r="D243" s="11" t="s">
        <v>173</v>
      </c>
      <c r="E243" s="11" t="s">
        <v>173</v>
      </c>
    </row>
    <row r="244" s="29" customFormat="1" ht="156" spans="2:5">
      <c r="B244" s="12" t="s">
        <v>174</v>
      </c>
      <c r="C244" s="12" t="s">
        <v>174</v>
      </c>
      <c r="D244" s="12" t="s">
        <v>174</v>
      </c>
      <c r="E244" s="12" t="s">
        <v>174</v>
      </c>
    </row>
    <row r="245" s="29" customFormat="1" ht="68" spans="2:5">
      <c r="B245" s="13" t="s">
        <v>567</v>
      </c>
      <c r="C245" s="13" t="s">
        <v>567</v>
      </c>
      <c r="D245" s="13" t="s">
        <v>567</v>
      </c>
      <c r="E245" s="13" t="s">
        <v>567</v>
      </c>
    </row>
    <row r="246" s="29" customFormat="1" ht="22" spans="2:5">
      <c r="B246" s="14" t="s">
        <v>176</v>
      </c>
      <c r="C246" s="14" t="s">
        <v>176</v>
      </c>
      <c r="D246" s="14" t="s">
        <v>176</v>
      </c>
      <c r="E246" s="14" t="s">
        <v>176</v>
      </c>
    </row>
    <row r="247" s="29" customFormat="1" spans="2:5">
      <c r="B247" s="15" t="s">
        <v>177</v>
      </c>
      <c r="C247" s="16" t="s">
        <v>178</v>
      </c>
      <c r="D247" s="17" t="s">
        <v>179</v>
      </c>
      <c r="E247" s="18" t="s">
        <v>180</v>
      </c>
    </row>
    <row r="248" s="29" customFormat="1" ht="41" spans="2:5">
      <c r="B248" s="19" t="s">
        <v>582</v>
      </c>
      <c r="C248" s="20" t="s">
        <v>182</v>
      </c>
      <c r="D248" s="21">
        <v>4</v>
      </c>
      <c r="E248" s="22">
        <v>288288.288288</v>
      </c>
    </row>
    <row r="249" s="29" customFormat="1" ht="28" spans="2:5">
      <c r="B249" s="19" t="s">
        <v>582</v>
      </c>
      <c r="C249" s="16" t="s">
        <v>183</v>
      </c>
      <c r="D249" s="23">
        <v>4</v>
      </c>
      <c r="E249" s="24">
        <v>288288.288288</v>
      </c>
    </row>
    <row r="250" s="29" customFormat="1" ht="41" spans="2:5">
      <c r="B250" s="19" t="s">
        <v>271</v>
      </c>
      <c r="C250" s="20" t="s">
        <v>182</v>
      </c>
      <c r="D250" s="21">
        <v>2</v>
      </c>
      <c r="E250" s="22">
        <v>45045.216217</v>
      </c>
    </row>
    <row r="251" s="29" customFormat="1" spans="2:5">
      <c r="B251" s="19" t="s">
        <v>271</v>
      </c>
      <c r="C251" s="16" t="s">
        <v>183</v>
      </c>
      <c r="D251" s="23">
        <v>2</v>
      </c>
      <c r="E251" s="24">
        <v>45045.216217</v>
      </c>
    </row>
    <row r="252" s="29" customFormat="1" ht="41" spans="2:5">
      <c r="B252" s="19" t="s">
        <v>272</v>
      </c>
      <c r="C252" s="20" t="s">
        <v>182</v>
      </c>
      <c r="D252" s="21">
        <v>97</v>
      </c>
      <c r="E252" s="22">
        <v>3068101.500003</v>
      </c>
    </row>
    <row r="253" s="29" customFormat="1" ht="28" spans="2:5">
      <c r="B253" s="19" t="s">
        <v>272</v>
      </c>
      <c r="C253" s="16" t="s">
        <v>183</v>
      </c>
      <c r="D253" s="23">
        <v>97</v>
      </c>
      <c r="E253" s="24">
        <v>3068101.500003</v>
      </c>
    </row>
    <row r="254" s="29" customFormat="1" ht="41" spans="2:5">
      <c r="B254" s="19" t="s">
        <v>421</v>
      </c>
      <c r="C254" s="20" t="s">
        <v>182</v>
      </c>
      <c r="D254" s="21">
        <v>18</v>
      </c>
      <c r="E254" s="22">
        <v>599999.810812</v>
      </c>
    </row>
    <row r="255" s="29" customFormat="1" ht="28" spans="2:5">
      <c r="B255" s="19" t="s">
        <v>421</v>
      </c>
      <c r="C255" s="16" t="s">
        <v>183</v>
      </c>
      <c r="D255" s="23">
        <v>18</v>
      </c>
      <c r="E255" s="24">
        <v>599999.810812</v>
      </c>
    </row>
    <row r="256" s="29" customFormat="1" ht="41" spans="2:5">
      <c r="B256" s="19" t="s">
        <v>273</v>
      </c>
      <c r="C256" s="20" t="s">
        <v>182</v>
      </c>
      <c r="D256" s="21">
        <v>171</v>
      </c>
      <c r="E256" s="22">
        <v>1012072.072072</v>
      </c>
    </row>
    <row r="257" s="29" customFormat="1" ht="28" spans="2:5">
      <c r="B257" s="19" t="s">
        <v>273</v>
      </c>
      <c r="C257" s="16" t="s">
        <v>183</v>
      </c>
      <c r="D257" s="23">
        <v>171</v>
      </c>
      <c r="E257" s="24">
        <v>1012072.072072</v>
      </c>
    </row>
    <row r="258" s="29" customFormat="1" ht="41" spans="2:5">
      <c r="B258" s="19" t="s">
        <v>274</v>
      </c>
      <c r="C258" s="20" t="s">
        <v>182</v>
      </c>
      <c r="D258" s="21">
        <v>4</v>
      </c>
      <c r="E258" s="22">
        <v>0</v>
      </c>
    </row>
    <row r="259" s="29" customFormat="1" ht="28.75" spans="2:5">
      <c r="B259" s="19" t="s">
        <v>274</v>
      </c>
      <c r="C259" s="16" t="s">
        <v>183</v>
      </c>
      <c r="D259" s="23">
        <v>4</v>
      </c>
      <c r="E259" s="24">
        <v>0</v>
      </c>
    </row>
    <row r="260" s="29" customFormat="1" spans="2:5">
      <c r="B260" s="25"/>
      <c r="C260" s="25"/>
      <c r="D260" s="25"/>
      <c r="E260" s="25"/>
    </row>
    <row r="261" s="29" customFormat="1" ht="36" spans="2:5">
      <c r="B261" s="26" t="s">
        <v>189</v>
      </c>
      <c r="C261" s="26" t="s">
        <v>189</v>
      </c>
      <c r="D261" s="26" t="s">
        <v>189</v>
      </c>
      <c r="E261" s="26" t="s">
        <v>189</v>
      </c>
    </row>
    <row r="262" s="29" customFormat="1" spans="2:5">
      <c r="B262" s="26"/>
      <c r="C262" s="26"/>
      <c r="D262" s="26"/>
      <c r="E262" s="26"/>
    </row>
    <row r="263" s="29" customFormat="1" ht="36" spans="2:5">
      <c r="B263" s="26" t="s">
        <v>573</v>
      </c>
      <c r="C263" s="26" t="s">
        <v>573</v>
      </c>
      <c r="D263" s="26" t="s">
        <v>573</v>
      </c>
      <c r="E263" s="26" t="s">
        <v>573</v>
      </c>
    </row>
    <row r="264" s="29" customFormat="1" spans="2:5">
      <c r="B264" s="26" t="s">
        <v>268</v>
      </c>
      <c r="C264" s="26" t="s">
        <v>268</v>
      </c>
      <c r="D264" s="26" t="s">
        <v>268</v>
      </c>
      <c r="E264" s="26" t="s">
        <v>268</v>
      </c>
    </row>
    <row r="265" s="29" customFormat="1" ht="124" spans="2:5">
      <c r="B265" s="11" t="s">
        <v>173</v>
      </c>
      <c r="C265" s="11" t="s">
        <v>173</v>
      </c>
      <c r="D265" s="11" t="s">
        <v>173</v>
      </c>
      <c r="E265" s="11" t="s">
        <v>173</v>
      </c>
    </row>
    <row r="266" s="29" customFormat="1" ht="156" spans="2:5">
      <c r="B266" s="12" t="s">
        <v>174</v>
      </c>
      <c r="C266" s="12" t="s">
        <v>174</v>
      </c>
      <c r="D266" s="12" t="s">
        <v>174</v>
      </c>
      <c r="E266" s="12" t="s">
        <v>174</v>
      </c>
    </row>
    <row r="267" s="29" customFormat="1" ht="68" spans="2:5">
      <c r="B267" s="13" t="s">
        <v>567</v>
      </c>
      <c r="C267" s="13" t="s">
        <v>567</v>
      </c>
      <c r="D267" s="13" t="s">
        <v>567</v>
      </c>
      <c r="E267" s="13" t="s">
        <v>567</v>
      </c>
    </row>
    <row r="268" s="29" customFormat="1" ht="22" spans="2:5">
      <c r="B268" s="14" t="s">
        <v>176</v>
      </c>
      <c r="C268" s="14" t="s">
        <v>176</v>
      </c>
      <c r="D268" s="14" t="s">
        <v>176</v>
      </c>
      <c r="E268" s="14" t="s">
        <v>176</v>
      </c>
    </row>
    <row r="269" s="29" customFormat="1" spans="2:5">
      <c r="B269" s="15" t="s">
        <v>177</v>
      </c>
      <c r="C269" s="16" t="s">
        <v>178</v>
      </c>
      <c r="D269" s="17" t="s">
        <v>179</v>
      </c>
      <c r="E269" s="18" t="s">
        <v>180</v>
      </c>
    </row>
    <row r="270" s="29" customFormat="1" ht="41" spans="2:5">
      <c r="B270" s="19" t="s">
        <v>583</v>
      </c>
      <c r="C270" s="20" t="s">
        <v>182</v>
      </c>
      <c r="D270" s="21">
        <v>28</v>
      </c>
      <c r="E270" s="22">
        <v>0</v>
      </c>
    </row>
    <row r="271" s="29" customFormat="1" ht="28" spans="2:5">
      <c r="B271" s="19" t="s">
        <v>583</v>
      </c>
      <c r="C271" s="16" t="s">
        <v>183</v>
      </c>
      <c r="D271" s="23">
        <v>28</v>
      </c>
      <c r="E271" s="24">
        <v>0</v>
      </c>
    </row>
    <row r="272" s="29" customFormat="1" ht="41" spans="2:5">
      <c r="B272" s="19" t="s">
        <v>367</v>
      </c>
      <c r="C272" s="20" t="s">
        <v>182</v>
      </c>
      <c r="D272" s="21">
        <v>5</v>
      </c>
      <c r="E272" s="22">
        <v>0</v>
      </c>
    </row>
    <row r="273" s="29" customFormat="1" ht="28" spans="2:5">
      <c r="B273" s="19" t="s">
        <v>367</v>
      </c>
      <c r="C273" s="16" t="s">
        <v>183</v>
      </c>
      <c r="D273" s="23">
        <v>5</v>
      </c>
      <c r="E273" s="24">
        <v>0</v>
      </c>
    </row>
    <row r="274" s="29" customFormat="1" ht="41" spans="2:5">
      <c r="B274" s="19" t="s">
        <v>368</v>
      </c>
      <c r="C274" s="20" t="s">
        <v>182</v>
      </c>
      <c r="D274" s="21">
        <v>47</v>
      </c>
      <c r="E274" s="22">
        <v>530882.882883</v>
      </c>
    </row>
    <row r="275" s="29" customFormat="1" ht="28" spans="2:5">
      <c r="B275" s="19" t="s">
        <v>368</v>
      </c>
      <c r="C275" s="16" t="s">
        <v>183</v>
      </c>
      <c r="D275" s="23">
        <v>47</v>
      </c>
      <c r="E275" s="24">
        <v>530882.882883</v>
      </c>
    </row>
    <row r="276" s="29" customFormat="1" ht="41" spans="2:5">
      <c r="B276" s="19" t="s">
        <v>422</v>
      </c>
      <c r="C276" s="20" t="s">
        <v>182</v>
      </c>
      <c r="D276" s="21">
        <v>4</v>
      </c>
      <c r="E276" s="22">
        <v>0</v>
      </c>
    </row>
    <row r="277" s="29" customFormat="1" ht="28" spans="2:5">
      <c r="B277" s="19" t="s">
        <v>422</v>
      </c>
      <c r="C277" s="16" t="s">
        <v>183</v>
      </c>
      <c r="D277" s="23">
        <v>4</v>
      </c>
      <c r="E277" s="24">
        <v>0</v>
      </c>
    </row>
    <row r="278" s="29" customFormat="1" ht="41" spans="2:5">
      <c r="B278" s="19" t="s">
        <v>495</v>
      </c>
      <c r="C278" s="20" t="s">
        <v>182</v>
      </c>
      <c r="D278" s="21">
        <v>31</v>
      </c>
      <c r="E278" s="22">
        <v>851927.927927</v>
      </c>
    </row>
    <row r="279" s="29" customFormat="1" ht="28" spans="2:5">
      <c r="B279" s="19" t="s">
        <v>495</v>
      </c>
      <c r="C279" s="16" t="s">
        <v>183</v>
      </c>
      <c r="D279" s="23">
        <v>31</v>
      </c>
      <c r="E279" s="24">
        <v>851927.927927</v>
      </c>
    </row>
    <row r="280" s="29" customFormat="1" ht="41" spans="2:5">
      <c r="B280" s="19" t="s">
        <v>423</v>
      </c>
      <c r="C280" s="20" t="s">
        <v>182</v>
      </c>
      <c r="D280" s="21">
        <v>5</v>
      </c>
      <c r="E280" s="22">
        <v>0</v>
      </c>
    </row>
    <row r="281" s="29" customFormat="1" ht="28.75" spans="2:5">
      <c r="B281" s="19" t="s">
        <v>423</v>
      </c>
      <c r="C281" s="16" t="s">
        <v>183</v>
      </c>
      <c r="D281" s="23">
        <v>5</v>
      </c>
      <c r="E281" s="24">
        <v>0</v>
      </c>
    </row>
    <row r="282" s="29" customFormat="1" spans="2:5">
      <c r="B282" s="25"/>
      <c r="C282" s="25"/>
      <c r="D282" s="25"/>
      <c r="E282" s="25"/>
    </row>
    <row r="283" s="29" customFormat="1" ht="36" spans="2:5">
      <c r="B283" s="26" t="s">
        <v>189</v>
      </c>
      <c r="C283" s="26" t="s">
        <v>189</v>
      </c>
      <c r="D283" s="26" t="s">
        <v>189</v>
      </c>
      <c r="E283" s="26" t="s">
        <v>189</v>
      </c>
    </row>
    <row r="284" s="29" customFormat="1" spans="2:5">
      <c r="B284" s="26"/>
      <c r="C284" s="26"/>
      <c r="D284" s="26"/>
      <c r="E284" s="26"/>
    </row>
    <row r="285" s="29" customFormat="1" ht="36" spans="2:5">
      <c r="B285" s="26" t="s">
        <v>573</v>
      </c>
      <c r="C285" s="26" t="s">
        <v>573</v>
      </c>
      <c r="D285" s="26" t="s">
        <v>573</v>
      </c>
      <c r="E285" s="26" t="s">
        <v>573</v>
      </c>
    </row>
    <row r="286" s="29" customFormat="1" spans="2:5">
      <c r="B286" s="26" t="s">
        <v>275</v>
      </c>
      <c r="C286" s="26" t="s">
        <v>275</v>
      </c>
      <c r="D286" s="26" t="s">
        <v>275</v>
      </c>
      <c r="E286" s="26" t="s">
        <v>275</v>
      </c>
    </row>
    <row r="287" s="29" customFormat="1" ht="124" spans="2:5">
      <c r="B287" s="11" t="s">
        <v>173</v>
      </c>
      <c r="C287" s="11" t="s">
        <v>173</v>
      </c>
      <c r="D287" s="11" t="s">
        <v>173</v>
      </c>
      <c r="E287" s="11" t="s">
        <v>173</v>
      </c>
    </row>
    <row r="288" s="29" customFormat="1" ht="156" spans="2:5">
      <c r="B288" s="12" t="s">
        <v>174</v>
      </c>
      <c r="C288" s="12" t="s">
        <v>174</v>
      </c>
      <c r="D288" s="12" t="s">
        <v>174</v>
      </c>
      <c r="E288" s="12" t="s">
        <v>174</v>
      </c>
    </row>
    <row r="289" s="29" customFormat="1" ht="68" spans="2:5">
      <c r="B289" s="13" t="s">
        <v>567</v>
      </c>
      <c r="C289" s="13" t="s">
        <v>567</v>
      </c>
      <c r="D289" s="13" t="s">
        <v>567</v>
      </c>
      <c r="E289" s="13" t="s">
        <v>567</v>
      </c>
    </row>
    <row r="290" s="29" customFormat="1" ht="22" spans="2:5">
      <c r="B290" s="14" t="s">
        <v>176</v>
      </c>
      <c r="C290" s="14" t="s">
        <v>176</v>
      </c>
      <c r="D290" s="14" t="s">
        <v>176</v>
      </c>
      <c r="E290" s="14" t="s">
        <v>176</v>
      </c>
    </row>
    <row r="291" s="29" customFormat="1" spans="2:5">
      <c r="B291" s="15" t="s">
        <v>177</v>
      </c>
      <c r="C291" s="16" t="s">
        <v>178</v>
      </c>
      <c r="D291" s="17" t="s">
        <v>179</v>
      </c>
      <c r="E291" s="18" t="s">
        <v>180</v>
      </c>
    </row>
    <row r="292" s="29" customFormat="1" ht="41" spans="2:5">
      <c r="B292" s="19" t="s">
        <v>584</v>
      </c>
      <c r="C292" s="20" t="s">
        <v>182</v>
      </c>
      <c r="D292" s="21">
        <v>1</v>
      </c>
      <c r="E292" s="22">
        <v>476576.576577</v>
      </c>
    </row>
    <row r="293" s="29" customFormat="1" ht="28" spans="2:5">
      <c r="B293" s="19" t="s">
        <v>584</v>
      </c>
      <c r="C293" s="16" t="s">
        <v>183</v>
      </c>
      <c r="D293" s="23">
        <v>1</v>
      </c>
      <c r="E293" s="24">
        <v>476576.576577</v>
      </c>
    </row>
    <row r="294" s="29" customFormat="1" ht="41" spans="2:5">
      <c r="B294" s="19" t="s">
        <v>585</v>
      </c>
      <c r="C294" s="20" t="s">
        <v>182</v>
      </c>
      <c r="D294" s="21">
        <v>1</v>
      </c>
      <c r="E294" s="22">
        <v>135938.220762</v>
      </c>
    </row>
    <row r="295" s="29" customFormat="1" ht="28" spans="2:5">
      <c r="B295" s="19" t="s">
        <v>585</v>
      </c>
      <c r="C295" s="16" t="s">
        <v>183</v>
      </c>
      <c r="D295" s="23">
        <v>1</v>
      </c>
      <c r="E295" s="24">
        <v>135938.220762</v>
      </c>
    </row>
    <row r="296" s="29" customFormat="1" ht="41" spans="2:5">
      <c r="B296" s="19" t="s">
        <v>424</v>
      </c>
      <c r="C296" s="20" t="s">
        <v>182</v>
      </c>
      <c r="D296" s="21">
        <v>104</v>
      </c>
      <c r="E296" s="22">
        <v>345945.945945</v>
      </c>
    </row>
    <row r="297" s="29" customFormat="1" ht="28" spans="2:5">
      <c r="B297" s="19" t="s">
        <v>424</v>
      </c>
      <c r="C297" s="16" t="s">
        <v>183</v>
      </c>
      <c r="D297" s="23">
        <v>104</v>
      </c>
      <c r="E297" s="24">
        <v>345945.945945</v>
      </c>
    </row>
    <row r="298" s="29" customFormat="1" ht="41" spans="2:5">
      <c r="B298" s="19" t="s">
        <v>586</v>
      </c>
      <c r="C298" s="20" t="s">
        <v>182</v>
      </c>
      <c r="D298" s="21">
        <v>2</v>
      </c>
      <c r="E298" s="22">
        <v>2832973.324324</v>
      </c>
    </row>
    <row r="299" s="29" customFormat="1" ht="41" spans="2:5">
      <c r="B299" s="19" t="s">
        <v>586</v>
      </c>
      <c r="C299" s="16" t="s">
        <v>183</v>
      </c>
      <c r="D299" s="23">
        <v>2</v>
      </c>
      <c r="E299" s="24">
        <v>2832973.324324</v>
      </c>
    </row>
    <row r="300" s="29" customFormat="1" ht="41" spans="2:5">
      <c r="B300" s="19" t="s">
        <v>426</v>
      </c>
      <c r="C300" s="20" t="s">
        <v>182</v>
      </c>
      <c r="D300" s="21">
        <v>68</v>
      </c>
      <c r="E300" s="22">
        <v>0</v>
      </c>
    </row>
    <row r="301" s="29" customFormat="1" spans="2:5">
      <c r="B301" s="19" t="s">
        <v>426</v>
      </c>
      <c r="C301" s="16" t="s">
        <v>183</v>
      </c>
      <c r="D301" s="23">
        <v>68</v>
      </c>
      <c r="E301" s="24">
        <v>0</v>
      </c>
    </row>
    <row r="302" s="29" customFormat="1" ht="41" spans="2:5">
      <c r="B302" s="19" t="s">
        <v>498</v>
      </c>
      <c r="C302" s="20" t="s">
        <v>182</v>
      </c>
      <c r="D302" s="21">
        <v>4</v>
      </c>
      <c r="E302" s="22">
        <v>0</v>
      </c>
    </row>
    <row r="303" s="29" customFormat="1" ht="17.55" spans="2:5">
      <c r="B303" s="19" t="s">
        <v>498</v>
      </c>
      <c r="C303" s="16" t="s">
        <v>183</v>
      </c>
      <c r="D303" s="23">
        <v>4</v>
      </c>
      <c r="E303" s="24">
        <v>0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573</v>
      </c>
      <c r="C307" s="26" t="s">
        <v>573</v>
      </c>
      <c r="D307" s="26" t="s">
        <v>573</v>
      </c>
      <c r="E307" s="26" t="s">
        <v>573</v>
      </c>
    </row>
    <row r="308" s="29" customFormat="1" spans="2:5">
      <c r="B308" s="26" t="s">
        <v>282</v>
      </c>
      <c r="C308" s="26" t="s">
        <v>282</v>
      </c>
      <c r="D308" s="26" t="s">
        <v>282</v>
      </c>
      <c r="E308" s="26" t="s">
        <v>282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567</v>
      </c>
      <c r="C311" s="13" t="s">
        <v>567</v>
      </c>
      <c r="D311" s="13" t="s">
        <v>567</v>
      </c>
      <c r="E311" s="13" t="s">
        <v>567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41" spans="2:5">
      <c r="B314" s="19" t="s">
        <v>427</v>
      </c>
      <c r="C314" s="20" t="s">
        <v>182</v>
      </c>
      <c r="D314" s="21">
        <v>27</v>
      </c>
      <c r="E314" s="22">
        <v>0</v>
      </c>
    </row>
    <row r="315" s="29" customFormat="1" spans="2:5">
      <c r="B315" s="19" t="s">
        <v>427</v>
      </c>
      <c r="C315" s="16" t="s">
        <v>183</v>
      </c>
      <c r="D315" s="23">
        <v>27</v>
      </c>
      <c r="E315" s="24">
        <v>0</v>
      </c>
    </row>
    <row r="316" s="29" customFormat="1" ht="41" spans="2:5">
      <c r="B316" s="19" t="s">
        <v>428</v>
      </c>
      <c r="C316" s="20" t="s">
        <v>182</v>
      </c>
      <c r="D316" s="21">
        <v>3</v>
      </c>
      <c r="E316" s="22">
        <v>0</v>
      </c>
    </row>
    <row r="317" s="29" customFormat="1" spans="2:5">
      <c r="B317" s="19" t="s">
        <v>428</v>
      </c>
      <c r="C317" s="16" t="s">
        <v>183</v>
      </c>
      <c r="D317" s="23">
        <v>3</v>
      </c>
      <c r="E317" s="24">
        <v>0</v>
      </c>
    </row>
    <row r="318" s="29" customFormat="1" ht="41" spans="2:5">
      <c r="B318" s="19" t="s">
        <v>429</v>
      </c>
      <c r="C318" s="20" t="s">
        <v>182</v>
      </c>
      <c r="D318" s="21">
        <v>37</v>
      </c>
      <c r="E318" s="22">
        <v>0</v>
      </c>
    </row>
    <row r="319" s="29" customFormat="1" spans="2:5">
      <c r="B319" s="19" t="s">
        <v>429</v>
      </c>
      <c r="C319" s="16" t="s">
        <v>183</v>
      </c>
      <c r="D319" s="23">
        <v>37</v>
      </c>
      <c r="E319" s="24">
        <v>0</v>
      </c>
    </row>
    <row r="320" s="29" customFormat="1" ht="41" spans="2:5">
      <c r="B320" s="19" t="s">
        <v>430</v>
      </c>
      <c r="C320" s="20" t="s">
        <v>182</v>
      </c>
      <c r="D320" s="21">
        <v>1</v>
      </c>
      <c r="E320" s="22">
        <v>0</v>
      </c>
    </row>
    <row r="321" s="29" customFormat="1" spans="2:5">
      <c r="B321" s="19" t="s">
        <v>430</v>
      </c>
      <c r="C321" s="16" t="s">
        <v>183</v>
      </c>
      <c r="D321" s="23">
        <v>1</v>
      </c>
      <c r="E321" s="24">
        <v>0</v>
      </c>
    </row>
    <row r="322" s="29" customFormat="1" ht="41" spans="2:5">
      <c r="B322" s="19" t="s">
        <v>431</v>
      </c>
      <c r="C322" s="20" t="s">
        <v>182</v>
      </c>
      <c r="D322" s="21">
        <v>43</v>
      </c>
      <c r="E322" s="22">
        <v>0</v>
      </c>
    </row>
    <row r="323" s="29" customFormat="1" spans="2:5">
      <c r="B323" s="19" t="s">
        <v>431</v>
      </c>
      <c r="C323" s="16" t="s">
        <v>183</v>
      </c>
      <c r="D323" s="23">
        <v>43</v>
      </c>
      <c r="E323" s="24">
        <v>0</v>
      </c>
    </row>
    <row r="324" s="29" customFormat="1" ht="41" spans="2:5">
      <c r="B324" s="19" t="s">
        <v>432</v>
      </c>
      <c r="C324" s="20" t="s">
        <v>182</v>
      </c>
      <c r="D324" s="21">
        <v>9</v>
      </c>
      <c r="E324" s="22">
        <v>0</v>
      </c>
    </row>
    <row r="325" s="29" customFormat="1" ht="17.55" spans="2:5">
      <c r="B325" s="19" t="s">
        <v>432</v>
      </c>
      <c r="C325" s="16" t="s">
        <v>183</v>
      </c>
      <c r="D325" s="23">
        <v>9</v>
      </c>
      <c r="E325" s="24">
        <v>0</v>
      </c>
    </row>
    <row r="326" s="29" customFormat="1" spans="2:5">
      <c r="B326" s="25"/>
      <c r="C326" s="25"/>
      <c r="D326" s="25"/>
      <c r="E326" s="25"/>
    </row>
    <row r="327" s="29" customFormat="1" ht="36" spans="2:5">
      <c r="B327" s="26" t="s">
        <v>189</v>
      </c>
      <c r="C327" s="26" t="s">
        <v>189</v>
      </c>
      <c r="D327" s="26" t="s">
        <v>189</v>
      </c>
      <c r="E327" s="26" t="s">
        <v>189</v>
      </c>
    </row>
    <row r="328" s="29" customFormat="1" spans="2:5">
      <c r="B328" s="26"/>
      <c r="C328" s="26"/>
      <c r="D328" s="26"/>
      <c r="E328" s="26"/>
    </row>
    <row r="329" s="29" customFormat="1" ht="36" spans="2:5">
      <c r="B329" s="26" t="s">
        <v>573</v>
      </c>
      <c r="C329" s="26" t="s">
        <v>573</v>
      </c>
      <c r="D329" s="26" t="s">
        <v>573</v>
      </c>
      <c r="E329" s="26" t="s">
        <v>573</v>
      </c>
    </row>
    <row r="330" s="29" customFormat="1" spans="2:5">
      <c r="B330" s="26" t="s">
        <v>289</v>
      </c>
      <c r="C330" s="26" t="s">
        <v>289</v>
      </c>
      <c r="D330" s="26" t="s">
        <v>289</v>
      </c>
      <c r="E330" s="26" t="s">
        <v>289</v>
      </c>
    </row>
    <row r="331" s="29" customFormat="1" ht="124" spans="2:5">
      <c r="B331" s="11" t="s">
        <v>173</v>
      </c>
      <c r="C331" s="11" t="s">
        <v>173</v>
      </c>
      <c r="D331" s="11" t="s">
        <v>173</v>
      </c>
      <c r="E331" s="11" t="s">
        <v>173</v>
      </c>
    </row>
    <row r="332" s="29" customFormat="1" ht="156" spans="2:5">
      <c r="B332" s="12" t="s">
        <v>174</v>
      </c>
      <c r="C332" s="12" t="s">
        <v>174</v>
      </c>
      <c r="D332" s="12" t="s">
        <v>174</v>
      </c>
      <c r="E332" s="12" t="s">
        <v>174</v>
      </c>
    </row>
    <row r="333" s="29" customFormat="1" ht="68" spans="2:5">
      <c r="B333" s="13" t="s">
        <v>567</v>
      </c>
      <c r="C333" s="13" t="s">
        <v>567</v>
      </c>
      <c r="D333" s="13" t="s">
        <v>567</v>
      </c>
      <c r="E333" s="13" t="s">
        <v>567</v>
      </c>
    </row>
    <row r="334" s="29" customFormat="1" ht="22" spans="2:5">
      <c r="B334" s="14" t="s">
        <v>176</v>
      </c>
      <c r="C334" s="14" t="s">
        <v>176</v>
      </c>
      <c r="D334" s="14" t="s">
        <v>176</v>
      </c>
      <c r="E334" s="14" t="s">
        <v>176</v>
      </c>
    </row>
    <row r="335" s="29" customFormat="1" spans="2:5">
      <c r="B335" s="15" t="s">
        <v>177</v>
      </c>
      <c r="C335" s="16" t="s">
        <v>178</v>
      </c>
      <c r="D335" s="17" t="s">
        <v>179</v>
      </c>
      <c r="E335" s="18" t="s">
        <v>180</v>
      </c>
    </row>
    <row r="336" s="29" customFormat="1" ht="41" spans="2:5">
      <c r="B336" s="19" t="s">
        <v>433</v>
      </c>
      <c r="C336" s="20" t="s">
        <v>182</v>
      </c>
      <c r="D336" s="21">
        <v>4</v>
      </c>
      <c r="E336" s="22">
        <v>0</v>
      </c>
    </row>
    <row r="337" s="29" customFormat="1" spans="2:5">
      <c r="B337" s="19" t="s">
        <v>433</v>
      </c>
      <c r="C337" s="16" t="s">
        <v>183</v>
      </c>
      <c r="D337" s="23">
        <v>4</v>
      </c>
      <c r="E337" s="24">
        <v>0</v>
      </c>
    </row>
    <row r="338" s="29" customFormat="1" ht="41" spans="2:5">
      <c r="B338" s="19" t="s">
        <v>434</v>
      </c>
      <c r="C338" s="20" t="s">
        <v>182</v>
      </c>
      <c r="D338" s="21">
        <v>43</v>
      </c>
      <c r="E338" s="22">
        <v>0</v>
      </c>
    </row>
    <row r="339" s="29" customFormat="1" spans="2:5">
      <c r="B339" s="19" t="s">
        <v>434</v>
      </c>
      <c r="C339" s="16" t="s">
        <v>183</v>
      </c>
      <c r="D339" s="23">
        <v>43</v>
      </c>
      <c r="E339" s="24">
        <v>0</v>
      </c>
    </row>
    <row r="340" s="29" customFormat="1" ht="41" spans="2:5">
      <c r="B340" s="19" t="s">
        <v>435</v>
      </c>
      <c r="C340" s="20" t="s">
        <v>182</v>
      </c>
      <c r="D340" s="21">
        <v>22</v>
      </c>
      <c r="E340" s="22">
        <v>0</v>
      </c>
    </row>
    <row r="341" s="29" customFormat="1" spans="2:5">
      <c r="B341" s="19" t="s">
        <v>435</v>
      </c>
      <c r="C341" s="16" t="s">
        <v>183</v>
      </c>
      <c r="D341" s="23">
        <v>22</v>
      </c>
      <c r="E341" s="24">
        <v>0</v>
      </c>
    </row>
    <row r="342" s="29" customFormat="1" ht="41" spans="2:5">
      <c r="B342" s="19" t="s">
        <v>436</v>
      </c>
      <c r="C342" s="20" t="s">
        <v>182</v>
      </c>
      <c r="D342" s="21">
        <v>14</v>
      </c>
      <c r="E342" s="22">
        <v>0</v>
      </c>
    </row>
    <row r="343" s="29" customFormat="1" spans="2:5">
      <c r="B343" s="19" t="s">
        <v>436</v>
      </c>
      <c r="C343" s="16" t="s">
        <v>183</v>
      </c>
      <c r="D343" s="23">
        <v>14</v>
      </c>
      <c r="E343" s="24">
        <v>0</v>
      </c>
    </row>
    <row r="344" s="29" customFormat="1" ht="41" spans="2:5">
      <c r="B344" s="19" t="s">
        <v>587</v>
      </c>
      <c r="C344" s="20" t="s">
        <v>182</v>
      </c>
      <c r="D344" s="21">
        <v>1</v>
      </c>
      <c r="E344" s="22">
        <v>0</v>
      </c>
    </row>
    <row r="345" s="29" customFormat="1" spans="2:5">
      <c r="B345" s="19" t="s">
        <v>587</v>
      </c>
      <c r="C345" s="16" t="s">
        <v>183</v>
      </c>
      <c r="D345" s="23">
        <v>1</v>
      </c>
      <c r="E345" s="24">
        <v>0</v>
      </c>
    </row>
    <row r="346" s="29" customFormat="1" ht="41" spans="2:5">
      <c r="B346" s="19" t="s">
        <v>437</v>
      </c>
      <c r="C346" s="20" t="s">
        <v>182</v>
      </c>
      <c r="D346" s="21">
        <v>5</v>
      </c>
      <c r="E346" s="22">
        <v>0</v>
      </c>
    </row>
    <row r="347" s="29" customFormat="1" ht="17.55" spans="2:5">
      <c r="B347" s="19" t="s">
        <v>437</v>
      </c>
      <c r="C347" s="16" t="s">
        <v>183</v>
      </c>
      <c r="D347" s="23">
        <v>5</v>
      </c>
      <c r="E347" s="24">
        <v>0</v>
      </c>
    </row>
    <row r="348" s="29" customFormat="1" spans="2:5">
      <c r="B348" s="25"/>
      <c r="C348" s="25"/>
      <c r="D348" s="25"/>
      <c r="E348" s="25"/>
    </row>
    <row r="349" s="29" customFormat="1" ht="36" spans="2:5">
      <c r="B349" s="26" t="s">
        <v>189</v>
      </c>
      <c r="C349" s="26" t="s">
        <v>189</v>
      </c>
      <c r="D349" s="26" t="s">
        <v>189</v>
      </c>
      <c r="E349" s="26" t="s">
        <v>189</v>
      </c>
    </row>
    <row r="350" s="29" customFormat="1" spans="2:5">
      <c r="B350" s="26"/>
      <c r="C350" s="26"/>
      <c r="D350" s="26"/>
      <c r="E350" s="26"/>
    </row>
    <row r="351" s="29" customFormat="1" ht="36" spans="2:5">
      <c r="B351" s="26" t="s">
        <v>573</v>
      </c>
      <c r="C351" s="26" t="s">
        <v>573</v>
      </c>
      <c r="D351" s="26" t="s">
        <v>573</v>
      </c>
      <c r="E351" s="26" t="s">
        <v>573</v>
      </c>
    </row>
    <row r="352" s="29" customFormat="1" spans="2:5">
      <c r="B352" s="26" t="s">
        <v>296</v>
      </c>
      <c r="C352" s="26" t="s">
        <v>296</v>
      </c>
      <c r="D352" s="26" t="s">
        <v>296</v>
      </c>
      <c r="E352" s="26" t="s">
        <v>296</v>
      </c>
    </row>
    <row r="353" s="29" customFormat="1" ht="124" spans="2:5">
      <c r="B353" s="11" t="s">
        <v>173</v>
      </c>
      <c r="C353" s="11" t="s">
        <v>173</v>
      </c>
      <c r="D353" s="11" t="s">
        <v>173</v>
      </c>
      <c r="E353" s="11" t="s">
        <v>173</v>
      </c>
    </row>
    <row r="354" s="29" customFormat="1" ht="156" spans="2:5">
      <c r="B354" s="12" t="s">
        <v>174</v>
      </c>
      <c r="C354" s="12" t="s">
        <v>174</v>
      </c>
      <c r="D354" s="12" t="s">
        <v>174</v>
      </c>
      <c r="E354" s="12" t="s">
        <v>174</v>
      </c>
    </row>
    <row r="355" s="29" customFormat="1" ht="68" spans="2:5">
      <c r="B355" s="13" t="s">
        <v>567</v>
      </c>
      <c r="C355" s="13" t="s">
        <v>567</v>
      </c>
      <c r="D355" s="13" t="s">
        <v>567</v>
      </c>
      <c r="E355" s="13" t="s">
        <v>567</v>
      </c>
    </row>
    <row r="356" s="29" customFormat="1" ht="22" spans="2:5">
      <c r="B356" s="14" t="s">
        <v>176</v>
      </c>
      <c r="C356" s="14" t="s">
        <v>176</v>
      </c>
      <c r="D356" s="14" t="s">
        <v>176</v>
      </c>
      <c r="E356" s="14" t="s">
        <v>176</v>
      </c>
    </row>
    <row r="357" s="29" customFormat="1" spans="2:5">
      <c r="B357" s="15" t="s">
        <v>177</v>
      </c>
      <c r="C357" s="16" t="s">
        <v>178</v>
      </c>
      <c r="D357" s="17" t="s">
        <v>179</v>
      </c>
      <c r="E357" s="18" t="s">
        <v>180</v>
      </c>
    </row>
    <row r="358" s="29" customFormat="1" ht="41" spans="2:5">
      <c r="B358" s="19" t="s">
        <v>438</v>
      </c>
      <c r="C358" s="20" t="s">
        <v>182</v>
      </c>
      <c r="D358" s="21">
        <v>2</v>
      </c>
      <c r="E358" s="22">
        <v>0</v>
      </c>
    </row>
    <row r="359" s="29" customFormat="1" spans="2:5">
      <c r="B359" s="19" t="s">
        <v>438</v>
      </c>
      <c r="C359" s="16" t="s">
        <v>183</v>
      </c>
      <c r="D359" s="23">
        <v>2</v>
      </c>
      <c r="E359" s="24">
        <v>0</v>
      </c>
    </row>
    <row r="360" s="29" customFormat="1" ht="41" spans="2:5">
      <c r="B360" s="19" t="s">
        <v>440</v>
      </c>
      <c r="C360" s="20" t="s">
        <v>182</v>
      </c>
      <c r="D360" s="21">
        <v>93</v>
      </c>
      <c r="E360" s="22">
        <v>0</v>
      </c>
    </row>
    <row r="361" s="29" customFormat="1" spans="2:5">
      <c r="B361" s="19" t="s">
        <v>440</v>
      </c>
      <c r="C361" s="16" t="s">
        <v>183</v>
      </c>
      <c r="D361" s="23">
        <v>93</v>
      </c>
      <c r="E361" s="24">
        <v>0</v>
      </c>
    </row>
    <row r="362" s="29" customFormat="1" ht="41" spans="2:5">
      <c r="B362" s="19" t="s">
        <v>441</v>
      </c>
      <c r="C362" s="20" t="s">
        <v>182</v>
      </c>
      <c r="D362" s="21">
        <v>5</v>
      </c>
      <c r="E362" s="22">
        <v>0</v>
      </c>
    </row>
    <row r="363" s="29" customFormat="1" spans="2:5">
      <c r="B363" s="19" t="s">
        <v>441</v>
      </c>
      <c r="C363" s="16" t="s">
        <v>183</v>
      </c>
      <c r="D363" s="23">
        <v>5</v>
      </c>
      <c r="E363" s="24">
        <v>0</v>
      </c>
    </row>
    <row r="364" s="29" customFormat="1" ht="41" spans="2:5">
      <c r="B364" s="19" t="s">
        <v>442</v>
      </c>
      <c r="C364" s="20" t="s">
        <v>182</v>
      </c>
      <c r="D364" s="21">
        <v>3</v>
      </c>
      <c r="E364" s="22">
        <v>0</v>
      </c>
    </row>
    <row r="365" s="29" customFormat="1" spans="2:5">
      <c r="B365" s="19" t="s">
        <v>442</v>
      </c>
      <c r="C365" s="16" t="s">
        <v>183</v>
      </c>
      <c r="D365" s="23">
        <v>3</v>
      </c>
      <c r="E365" s="24">
        <v>0</v>
      </c>
    </row>
    <row r="366" s="29" customFormat="1" ht="41" spans="2:5">
      <c r="B366" s="19" t="s">
        <v>443</v>
      </c>
      <c r="C366" s="20" t="s">
        <v>182</v>
      </c>
      <c r="D366" s="21">
        <v>3</v>
      </c>
      <c r="E366" s="22">
        <v>0</v>
      </c>
    </row>
    <row r="367" s="29" customFormat="1" spans="2:5">
      <c r="B367" s="19" t="s">
        <v>443</v>
      </c>
      <c r="C367" s="16" t="s">
        <v>183</v>
      </c>
      <c r="D367" s="23">
        <v>3</v>
      </c>
      <c r="E367" s="24">
        <v>0</v>
      </c>
    </row>
    <row r="368" s="29" customFormat="1" ht="41" spans="2:5">
      <c r="B368" s="19" t="s">
        <v>444</v>
      </c>
      <c r="C368" s="20" t="s">
        <v>182</v>
      </c>
      <c r="D368" s="21">
        <v>10</v>
      </c>
      <c r="E368" s="22">
        <v>0</v>
      </c>
    </row>
    <row r="369" s="29" customFormat="1" ht="17.55" spans="2:5">
      <c r="B369" s="19" t="s">
        <v>444</v>
      </c>
      <c r="C369" s="16" t="s">
        <v>183</v>
      </c>
      <c r="D369" s="23">
        <v>10</v>
      </c>
      <c r="E369" s="24">
        <v>0</v>
      </c>
    </row>
    <row r="370" s="29" customFormat="1" spans="2:5">
      <c r="B370" s="25"/>
      <c r="C370" s="25"/>
      <c r="D370" s="25"/>
      <c r="E370" s="25"/>
    </row>
    <row r="371" s="29" customFormat="1" ht="36" spans="2:5">
      <c r="B371" s="26" t="s">
        <v>189</v>
      </c>
      <c r="C371" s="26" t="s">
        <v>189</v>
      </c>
      <c r="D371" s="26" t="s">
        <v>189</v>
      </c>
      <c r="E371" s="26" t="s">
        <v>189</v>
      </c>
    </row>
    <row r="372" s="29" customFormat="1" spans="2:5">
      <c r="B372" s="26"/>
      <c r="C372" s="26"/>
      <c r="D372" s="26"/>
      <c r="E372" s="26"/>
    </row>
    <row r="373" s="29" customFormat="1" ht="36" spans="2:5">
      <c r="B373" s="26" t="s">
        <v>573</v>
      </c>
      <c r="C373" s="26" t="s">
        <v>573</v>
      </c>
      <c r="D373" s="26" t="s">
        <v>573</v>
      </c>
      <c r="E373" s="26" t="s">
        <v>573</v>
      </c>
    </row>
    <row r="374" s="29" customFormat="1" spans="2:5">
      <c r="B374" s="26" t="s">
        <v>303</v>
      </c>
      <c r="C374" s="26" t="s">
        <v>303</v>
      </c>
      <c r="D374" s="26" t="s">
        <v>303</v>
      </c>
      <c r="E374" s="26" t="s">
        <v>303</v>
      </c>
    </row>
    <row r="375" s="29" customFormat="1" ht="124" spans="2:5">
      <c r="B375" s="11" t="s">
        <v>173</v>
      </c>
      <c r="C375" s="11" t="s">
        <v>173</v>
      </c>
      <c r="D375" s="11" t="s">
        <v>173</v>
      </c>
      <c r="E375" s="11" t="s">
        <v>173</v>
      </c>
    </row>
    <row r="376" s="29" customFormat="1" ht="156" spans="2:5">
      <c r="B376" s="12" t="s">
        <v>174</v>
      </c>
      <c r="C376" s="12" t="s">
        <v>174</v>
      </c>
      <c r="D376" s="12" t="s">
        <v>174</v>
      </c>
      <c r="E376" s="12" t="s">
        <v>174</v>
      </c>
    </row>
    <row r="377" s="29" customFormat="1" ht="68" spans="2:5">
      <c r="B377" s="13" t="s">
        <v>567</v>
      </c>
      <c r="C377" s="13" t="s">
        <v>567</v>
      </c>
      <c r="D377" s="13" t="s">
        <v>567</v>
      </c>
      <c r="E377" s="13" t="s">
        <v>567</v>
      </c>
    </row>
    <row r="378" s="29" customFormat="1" ht="22" spans="2:5">
      <c r="B378" s="14" t="s">
        <v>176</v>
      </c>
      <c r="C378" s="14" t="s">
        <v>176</v>
      </c>
      <c r="D378" s="14" t="s">
        <v>176</v>
      </c>
      <c r="E378" s="14" t="s">
        <v>176</v>
      </c>
    </row>
    <row r="379" s="29" customFormat="1" spans="2:5">
      <c r="B379" s="15" t="s">
        <v>177</v>
      </c>
      <c r="C379" s="16" t="s">
        <v>178</v>
      </c>
      <c r="D379" s="17" t="s">
        <v>179</v>
      </c>
      <c r="E379" s="18" t="s">
        <v>180</v>
      </c>
    </row>
    <row r="380" s="29" customFormat="1" ht="41" spans="2:5">
      <c r="B380" s="19" t="s">
        <v>499</v>
      </c>
      <c r="C380" s="20" t="s">
        <v>182</v>
      </c>
      <c r="D380" s="21">
        <v>1</v>
      </c>
      <c r="E380" s="22">
        <v>0</v>
      </c>
    </row>
    <row r="381" s="29" customFormat="1" spans="2:5">
      <c r="B381" s="19" t="s">
        <v>499</v>
      </c>
      <c r="C381" s="16" t="s">
        <v>183</v>
      </c>
      <c r="D381" s="23">
        <v>1</v>
      </c>
      <c r="E381" s="24">
        <v>0</v>
      </c>
    </row>
    <row r="382" s="29" customFormat="1" ht="41" spans="2:5">
      <c r="B382" s="19" t="s">
        <v>588</v>
      </c>
      <c r="C382" s="20" t="s">
        <v>182</v>
      </c>
      <c r="D382" s="21">
        <v>1</v>
      </c>
      <c r="E382" s="22">
        <v>0</v>
      </c>
    </row>
    <row r="383" s="29" customFormat="1" spans="2:5">
      <c r="B383" s="19" t="s">
        <v>588</v>
      </c>
      <c r="C383" s="16" t="s">
        <v>183</v>
      </c>
      <c r="D383" s="23">
        <v>1</v>
      </c>
      <c r="E383" s="24">
        <v>0</v>
      </c>
    </row>
    <row r="384" s="29" customFormat="1" ht="41" spans="2:5">
      <c r="B384" s="19" t="s">
        <v>500</v>
      </c>
      <c r="C384" s="20" t="s">
        <v>182</v>
      </c>
      <c r="D384" s="21">
        <v>2</v>
      </c>
      <c r="E384" s="22">
        <v>0</v>
      </c>
    </row>
    <row r="385" s="29" customFormat="1" spans="2:5">
      <c r="B385" s="19" t="s">
        <v>500</v>
      </c>
      <c r="C385" s="16" t="s">
        <v>183</v>
      </c>
      <c r="D385" s="23">
        <v>2</v>
      </c>
      <c r="E385" s="24">
        <v>0</v>
      </c>
    </row>
    <row r="386" s="29" customFormat="1" ht="41" spans="2:5">
      <c r="B386" s="19" t="s">
        <v>589</v>
      </c>
      <c r="C386" s="20" t="s">
        <v>182</v>
      </c>
      <c r="D386" s="21">
        <v>3</v>
      </c>
      <c r="E386" s="22">
        <v>129729.648649</v>
      </c>
    </row>
    <row r="387" s="29" customFormat="1" ht="28" spans="2:5">
      <c r="B387" s="19" t="s">
        <v>589</v>
      </c>
      <c r="C387" s="16" t="s">
        <v>183</v>
      </c>
      <c r="D387" s="23">
        <v>3</v>
      </c>
      <c r="E387" s="24">
        <v>129729.648649</v>
      </c>
    </row>
    <row r="388" s="29" customFormat="1" ht="41" spans="2:5">
      <c r="B388" s="19" t="s">
        <v>502</v>
      </c>
      <c r="C388" s="20" t="s">
        <v>182</v>
      </c>
      <c r="D388" s="21">
        <v>60</v>
      </c>
      <c r="E388" s="22">
        <v>5675673.909906</v>
      </c>
    </row>
    <row r="389" s="29" customFormat="1" ht="28" spans="2:5">
      <c r="B389" s="19" t="s">
        <v>502</v>
      </c>
      <c r="C389" s="16" t="s">
        <v>183</v>
      </c>
      <c r="D389" s="23">
        <v>60</v>
      </c>
      <c r="E389" s="24">
        <v>5675673.909906</v>
      </c>
    </row>
    <row r="390" s="29" customFormat="1" ht="41" spans="2:5">
      <c r="B390" s="19" t="s">
        <v>590</v>
      </c>
      <c r="C390" s="20" t="s">
        <v>182</v>
      </c>
      <c r="D390" s="21">
        <v>3</v>
      </c>
      <c r="E390" s="22">
        <v>120000</v>
      </c>
    </row>
    <row r="391" s="29" customFormat="1" ht="28.75" spans="2:5">
      <c r="B391" s="19" t="s">
        <v>590</v>
      </c>
      <c r="C391" s="16" t="s">
        <v>183</v>
      </c>
      <c r="D391" s="23">
        <v>3</v>
      </c>
      <c r="E391" s="24">
        <v>120000</v>
      </c>
    </row>
    <row r="392" s="29" customFormat="1" spans="2:5">
      <c r="B392" s="25"/>
      <c r="C392" s="25"/>
      <c r="D392" s="25"/>
      <c r="E392" s="25"/>
    </row>
    <row r="393" s="29" customFormat="1" ht="36" spans="2:5">
      <c r="B393" s="26" t="s">
        <v>189</v>
      </c>
      <c r="C393" s="26" t="s">
        <v>189</v>
      </c>
      <c r="D393" s="26" t="s">
        <v>189</v>
      </c>
      <c r="E393" s="26" t="s">
        <v>189</v>
      </c>
    </row>
    <row r="394" s="29" customFormat="1" spans="2:5">
      <c r="B394" s="26"/>
      <c r="C394" s="26"/>
      <c r="D394" s="26"/>
      <c r="E394" s="26"/>
    </row>
    <row r="395" s="29" customFormat="1" ht="36" spans="2:5">
      <c r="B395" s="26" t="s">
        <v>573</v>
      </c>
      <c r="C395" s="26" t="s">
        <v>573</v>
      </c>
      <c r="D395" s="26" t="s">
        <v>573</v>
      </c>
      <c r="E395" s="26" t="s">
        <v>573</v>
      </c>
    </row>
    <row r="396" s="29" customFormat="1" spans="2:5">
      <c r="B396" s="26" t="s">
        <v>310</v>
      </c>
      <c r="C396" s="26" t="s">
        <v>310</v>
      </c>
      <c r="D396" s="26" t="s">
        <v>310</v>
      </c>
      <c r="E396" s="26" t="s">
        <v>310</v>
      </c>
    </row>
    <row r="397" s="29" customFormat="1" ht="124" spans="2:5">
      <c r="B397" s="11" t="s">
        <v>173</v>
      </c>
      <c r="C397" s="11" t="s">
        <v>173</v>
      </c>
      <c r="D397" s="11" t="s">
        <v>173</v>
      </c>
      <c r="E397" s="11" t="s">
        <v>173</v>
      </c>
    </row>
    <row r="398" s="29" customFormat="1" ht="156" spans="2:5">
      <c r="B398" s="12" t="s">
        <v>174</v>
      </c>
      <c r="C398" s="12" t="s">
        <v>174</v>
      </c>
      <c r="D398" s="12" t="s">
        <v>174</v>
      </c>
      <c r="E398" s="12" t="s">
        <v>174</v>
      </c>
    </row>
    <row r="399" s="29" customFormat="1" ht="68" spans="2:5">
      <c r="B399" s="13" t="s">
        <v>567</v>
      </c>
      <c r="C399" s="13" t="s">
        <v>567</v>
      </c>
      <c r="D399" s="13" t="s">
        <v>567</v>
      </c>
      <c r="E399" s="13" t="s">
        <v>567</v>
      </c>
    </row>
    <row r="400" s="29" customFormat="1" ht="22" spans="2:5">
      <c r="B400" s="14" t="s">
        <v>176</v>
      </c>
      <c r="C400" s="14" t="s">
        <v>176</v>
      </c>
      <c r="D400" s="14" t="s">
        <v>176</v>
      </c>
      <c r="E400" s="14" t="s">
        <v>176</v>
      </c>
    </row>
    <row r="401" s="29" customFormat="1" spans="2:5">
      <c r="B401" s="15" t="s">
        <v>177</v>
      </c>
      <c r="C401" s="16" t="s">
        <v>178</v>
      </c>
      <c r="D401" s="17" t="s">
        <v>179</v>
      </c>
      <c r="E401" s="18" t="s">
        <v>180</v>
      </c>
    </row>
    <row r="402" s="29" customFormat="1" ht="41" spans="2:5">
      <c r="B402" s="19" t="s">
        <v>503</v>
      </c>
      <c r="C402" s="20" t="s">
        <v>182</v>
      </c>
      <c r="D402" s="21">
        <v>1</v>
      </c>
      <c r="E402" s="22">
        <v>0</v>
      </c>
    </row>
    <row r="403" s="29" customFormat="1" ht="28" spans="2:5">
      <c r="B403" s="19" t="s">
        <v>503</v>
      </c>
      <c r="C403" s="16" t="s">
        <v>183</v>
      </c>
      <c r="D403" s="23">
        <v>1</v>
      </c>
      <c r="E403" s="24">
        <v>0</v>
      </c>
    </row>
    <row r="404" s="29" customFormat="1" ht="41" spans="2:5">
      <c r="B404" s="19" t="s">
        <v>280</v>
      </c>
      <c r="C404" s="20" t="s">
        <v>182</v>
      </c>
      <c r="D404" s="21">
        <v>1</v>
      </c>
      <c r="E404" s="22">
        <v>691891.891892</v>
      </c>
    </row>
    <row r="405" s="29" customFormat="1" ht="28" spans="2:5">
      <c r="B405" s="19" t="s">
        <v>280</v>
      </c>
      <c r="C405" s="16" t="s">
        <v>183</v>
      </c>
      <c r="D405" s="23">
        <v>1</v>
      </c>
      <c r="E405" s="24">
        <v>691891.891892</v>
      </c>
    </row>
    <row r="406" s="29" customFormat="1" ht="41" spans="2:5">
      <c r="B406" s="19" t="s">
        <v>283</v>
      </c>
      <c r="C406" s="20" t="s">
        <v>182</v>
      </c>
      <c r="D406" s="21">
        <v>1</v>
      </c>
      <c r="E406" s="22">
        <v>969279.279279</v>
      </c>
    </row>
    <row r="407" s="29" customFormat="1" ht="28" spans="2:5">
      <c r="B407" s="19" t="s">
        <v>283</v>
      </c>
      <c r="C407" s="16" t="s">
        <v>183</v>
      </c>
      <c r="D407" s="23">
        <v>1</v>
      </c>
      <c r="E407" s="24">
        <v>969279.279279</v>
      </c>
    </row>
    <row r="408" s="29" customFormat="1" ht="41" spans="2:5">
      <c r="B408" s="19" t="s">
        <v>293</v>
      </c>
      <c r="C408" s="20" t="s">
        <v>182</v>
      </c>
      <c r="D408" s="21">
        <v>4</v>
      </c>
      <c r="E408" s="22">
        <v>2571531.531532</v>
      </c>
    </row>
    <row r="409" s="29" customFormat="1" ht="28" spans="2:5">
      <c r="B409" s="19" t="s">
        <v>293</v>
      </c>
      <c r="C409" s="16" t="s">
        <v>183</v>
      </c>
      <c r="D409" s="23">
        <v>4</v>
      </c>
      <c r="E409" s="24">
        <v>2571531.531532</v>
      </c>
    </row>
    <row r="410" s="29" customFormat="1" ht="41" spans="2:5">
      <c r="B410" s="19" t="s">
        <v>505</v>
      </c>
      <c r="C410" s="20" t="s">
        <v>182</v>
      </c>
      <c r="D410" s="21">
        <v>1</v>
      </c>
      <c r="E410" s="22">
        <v>0</v>
      </c>
    </row>
    <row r="411" s="29" customFormat="1" spans="2:5">
      <c r="B411" s="19" t="s">
        <v>505</v>
      </c>
      <c r="C411" s="16" t="s">
        <v>183</v>
      </c>
      <c r="D411" s="23">
        <v>1</v>
      </c>
      <c r="E411" s="24">
        <v>0</v>
      </c>
    </row>
    <row r="412" s="29" customFormat="1" ht="41" spans="2:5">
      <c r="B412" s="19" t="s">
        <v>591</v>
      </c>
      <c r="C412" s="20" t="s">
        <v>182</v>
      </c>
      <c r="D412" s="21">
        <v>1</v>
      </c>
      <c r="E412" s="22">
        <v>124324.324324</v>
      </c>
    </row>
    <row r="413" s="29" customFormat="1" ht="28.75" spans="2:5">
      <c r="B413" s="19" t="s">
        <v>591</v>
      </c>
      <c r="C413" s="16" t="s">
        <v>183</v>
      </c>
      <c r="D413" s="23">
        <v>1</v>
      </c>
      <c r="E413" s="24">
        <v>124324.324324</v>
      </c>
    </row>
    <row r="414" s="29" customFormat="1" spans="2:5">
      <c r="B414" s="25"/>
      <c r="C414" s="25"/>
      <c r="D414" s="25"/>
      <c r="E414" s="25"/>
    </row>
    <row r="415" s="29" customFormat="1" ht="36" spans="2:5">
      <c r="B415" s="26" t="s">
        <v>189</v>
      </c>
      <c r="C415" s="26" t="s">
        <v>189</v>
      </c>
      <c r="D415" s="26" t="s">
        <v>189</v>
      </c>
      <c r="E415" s="26" t="s">
        <v>189</v>
      </c>
    </row>
    <row r="416" s="29" customFormat="1" spans="2:5">
      <c r="B416" s="26"/>
      <c r="C416" s="26"/>
      <c r="D416" s="26"/>
      <c r="E416" s="26"/>
    </row>
    <row r="417" s="29" customFormat="1" ht="36" spans="2:5">
      <c r="B417" s="26" t="s">
        <v>573</v>
      </c>
      <c r="C417" s="26" t="s">
        <v>573</v>
      </c>
      <c r="D417" s="26" t="s">
        <v>573</v>
      </c>
      <c r="E417" s="26" t="s">
        <v>573</v>
      </c>
    </row>
    <row r="418" s="29" customFormat="1" spans="2:5">
      <c r="B418" s="26" t="s">
        <v>317</v>
      </c>
      <c r="C418" s="26" t="s">
        <v>317</v>
      </c>
      <c r="D418" s="26" t="s">
        <v>317</v>
      </c>
      <c r="E418" s="26" t="s">
        <v>317</v>
      </c>
    </row>
    <row r="419" s="29" customFormat="1" ht="124" spans="2:5">
      <c r="B419" s="11" t="s">
        <v>173</v>
      </c>
      <c r="C419" s="11" t="s">
        <v>173</v>
      </c>
      <c r="D419" s="11" t="s">
        <v>173</v>
      </c>
      <c r="E419" s="11" t="s">
        <v>173</v>
      </c>
    </row>
    <row r="420" s="29" customFormat="1" ht="156" spans="2:5">
      <c r="B420" s="12" t="s">
        <v>174</v>
      </c>
      <c r="C420" s="12" t="s">
        <v>174</v>
      </c>
      <c r="D420" s="12" t="s">
        <v>174</v>
      </c>
      <c r="E420" s="12" t="s">
        <v>174</v>
      </c>
    </row>
    <row r="421" s="29" customFormat="1" ht="68" spans="2:5">
      <c r="B421" s="13" t="s">
        <v>567</v>
      </c>
      <c r="C421" s="13" t="s">
        <v>567</v>
      </c>
      <c r="D421" s="13" t="s">
        <v>567</v>
      </c>
      <c r="E421" s="13" t="s">
        <v>567</v>
      </c>
    </row>
    <row r="422" s="29" customFormat="1" ht="22" spans="2:5">
      <c r="B422" s="14" t="s">
        <v>176</v>
      </c>
      <c r="C422" s="14" t="s">
        <v>176</v>
      </c>
      <c r="D422" s="14" t="s">
        <v>176</v>
      </c>
      <c r="E422" s="14" t="s">
        <v>176</v>
      </c>
    </row>
    <row r="423" s="29" customFormat="1" spans="2:5">
      <c r="B423" s="15" t="s">
        <v>177</v>
      </c>
      <c r="C423" s="16" t="s">
        <v>178</v>
      </c>
      <c r="D423" s="17" t="s">
        <v>179</v>
      </c>
      <c r="E423" s="18" t="s">
        <v>180</v>
      </c>
    </row>
    <row r="424" s="29" customFormat="1" ht="41" spans="2:5">
      <c r="B424" s="19" t="s">
        <v>299</v>
      </c>
      <c r="C424" s="20" t="s">
        <v>182</v>
      </c>
      <c r="D424" s="21">
        <v>62</v>
      </c>
      <c r="E424" s="22">
        <v>37837.837838</v>
      </c>
    </row>
    <row r="425" s="29" customFormat="1" ht="28" spans="2:5">
      <c r="B425" s="19" t="s">
        <v>299</v>
      </c>
      <c r="C425" s="16" t="s">
        <v>183</v>
      </c>
      <c r="D425" s="23">
        <v>62</v>
      </c>
      <c r="E425" s="24">
        <v>37837.837838</v>
      </c>
    </row>
    <row r="426" s="29" customFormat="1" ht="41" spans="2:5">
      <c r="B426" s="19" t="s">
        <v>371</v>
      </c>
      <c r="C426" s="20" t="s">
        <v>182</v>
      </c>
      <c r="D426" s="21">
        <v>5</v>
      </c>
      <c r="E426" s="22">
        <v>0</v>
      </c>
    </row>
    <row r="427" s="29" customFormat="1" ht="28" spans="2:5">
      <c r="B427" s="19" t="s">
        <v>371</v>
      </c>
      <c r="C427" s="16" t="s">
        <v>183</v>
      </c>
      <c r="D427" s="23">
        <v>5</v>
      </c>
      <c r="E427" s="24">
        <v>0</v>
      </c>
    </row>
    <row r="428" s="29" customFormat="1" ht="41" spans="2:5">
      <c r="B428" s="19" t="s">
        <v>373</v>
      </c>
      <c r="C428" s="20" t="s">
        <v>182</v>
      </c>
      <c r="D428" s="21">
        <v>100</v>
      </c>
      <c r="E428" s="22">
        <v>0</v>
      </c>
    </row>
    <row r="429" s="29" customFormat="1" ht="28" spans="2:5">
      <c r="B429" s="19" t="s">
        <v>373</v>
      </c>
      <c r="C429" s="16" t="s">
        <v>183</v>
      </c>
      <c r="D429" s="23">
        <v>100</v>
      </c>
      <c r="E429" s="24">
        <v>0</v>
      </c>
    </row>
    <row r="430" s="29" customFormat="1" ht="41" spans="2:5">
      <c r="B430" s="19" t="s">
        <v>374</v>
      </c>
      <c r="C430" s="20" t="s">
        <v>182</v>
      </c>
      <c r="D430" s="21">
        <v>4</v>
      </c>
      <c r="E430" s="22">
        <v>0</v>
      </c>
    </row>
    <row r="431" s="29" customFormat="1" ht="28" spans="2:5">
      <c r="B431" s="19" t="s">
        <v>374</v>
      </c>
      <c r="C431" s="16" t="s">
        <v>183</v>
      </c>
      <c r="D431" s="23">
        <v>4</v>
      </c>
      <c r="E431" s="24">
        <v>0</v>
      </c>
    </row>
    <row r="432" s="29" customFormat="1" ht="41" spans="2:5">
      <c r="B432" s="19" t="s">
        <v>300</v>
      </c>
      <c r="C432" s="20" t="s">
        <v>182</v>
      </c>
      <c r="D432" s="21">
        <v>5</v>
      </c>
      <c r="E432" s="22">
        <v>0</v>
      </c>
    </row>
    <row r="433" s="29" customFormat="1" spans="2:5">
      <c r="B433" s="19" t="s">
        <v>300</v>
      </c>
      <c r="C433" s="16" t="s">
        <v>183</v>
      </c>
      <c r="D433" s="23">
        <v>5</v>
      </c>
      <c r="E433" s="24">
        <v>0</v>
      </c>
    </row>
    <row r="434" s="29" customFormat="1" ht="41" spans="2:5">
      <c r="B434" s="19" t="s">
        <v>301</v>
      </c>
      <c r="C434" s="20" t="s">
        <v>182</v>
      </c>
      <c r="D434" s="21">
        <v>8</v>
      </c>
      <c r="E434" s="22">
        <v>0</v>
      </c>
    </row>
    <row r="435" s="29" customFormat="1" ht="17.55" spans="2:5">
      <c r="B435" s="19" t="s">
        <v>301</v>
      </c>
      <c r="C435" s="16" t="s">
        <v>183</v>
      </c>
      <c r="D435" s="23">
        <v>8</v>
      </c>
      <c r="E435" s="24">
        <v>0</v>
      </c>
    </row>
    <row r="436" s="29" customFormat="1" spans="2:5">
      <c r="B436" s="25"/>
      <c r="C436" s="25"/>
      <c r="D436" s="25"/>
      <c r="E436" s="25"/>
    </row>
    <row r="437" s="29" customFormat="1" ht="36" spans="2:5">
      <c r="B437" s="26" t="s">
        <v>189</v>
      </c>
      <c r="C437" s="26" t="s">
        <v>189</v>
      </c>
      <c r="D437" s="26" t="s">
        <v>189</v>
      </c>
      <c r="E437" s="26" t="s">
        <v>189</v>
      </c>
    </row>
    <row r="438" s="29" customFormat="1" spans="2:5">
      <c r="B438" s="26"/>
      <c r="C438" s="26"/>
      <c r="D438" s="26"/>
      <c r="E438" s="26"/>
    </row>
    <row r="439" s="29" customFormat="1" ht="36" spans="2:5">
      <c r="B439" s="26" t="s">
        <v>573</v>
      </c>
      <c r="C439" s="26" t="s">
        <v>573</v>
      </c>
      <c r="D439" s="26" t="s">
        <v>573</v>
      </c>
      <c r="E439" s="26" t="s">
        <v>573</v>
      </c>
    </row>
    <row r="440" s="29" customFormat="1" spans="2:5">
      <c r="B440" s="26" t="s">
        <v>324</v>
      </c>
      <c r="C440" s="26" t="s">
        <v>324</v>
      </c>
      <c r="D440" s="26" t="s">
        <v>324</v>
      </c>
      <c r="E440" s="26" t="s">
        <v>324</v>
      </c>
    </row>
    <row r="441" s="29" customFormat="1" ht="124" spans="2:5">
      <c r="B441" s="11" t="s">
        <v>173</v>
      </c>
      <c r="C441" s="11" t="s">
        <v>173</v>
      </c>
      <c r="D441" s="11" t="s">
        <v>173</v>
      </c>
      <c r="E441" s="11" t="s">
        <v>173</v>
      </c>
    </row>
    <row r="442" s="29" customFormat="1" ht="156" spans="2:5">
      <c r="B442" s="12" t="s">
        <v>174</v>
      </c>
      <c r="C442" s="12" t="s">
        <v>174</v>
      </c>
      <c r="D442" s="12" t="s">
        <v>174</v>
      </c>
      <c r="E442" s="12" t="s">
        <v>174</v>
      </c>
    </row>
    <row r="443" s="29" customFormat="1" ht="68" spans="2:5">
      <c r="B443" s="13" t="s">
        <v>567</v>
      </c>
      <c r="C443" s="13" t="s">
        <v>567</v>
      </c>
      <c r="D443" s="13" t="s">
        <v>567</v>
      </c>
      <c r="E443" s="13" t="s">
        <v>567</v>
      </c>
    </row>
    <row r="444" s="29" customFormat="1" ht="22" spans="2:5">
      <c r="B444" s="14" t="s">
        <v>176</v>
      </c>
      <c r="C444" s="14" t="s">
        <v>176</v>
      </c>
      <c r="D444" s="14" t="s">
        <v>176</v>
      </c>
      <c r="E444" s="14" t="s">
        <v>176</v>
      </c>
    </row>
    <row r="445" s="29" customFormat="1" spans="2:5">
      <c r="B445" s="15" t="s">
        <v>177</v>
      </c>
      <c r="C445" s="16" t="s">
        <v>178</v>
      </c>
      <c r="D445" s="17" t="s">
        <v>179</v>
      </c>
      <c r="E445" s="18" t="s">
        <v>180</v>
      </c>
    </row>
    <row r="446" s="29" customFormat="1" ht="41" spans="2:5">
      <c r="B446" s="19" t="s">
        <v>375</v>
      </c>
      <c r="C446" s="20" t="s">
        <v>182</v>
      </c>
      <c r="D446" s="21">
        <v>101</v>
      </c>
      <c r="E446" s="22">
        <v>0</v>
      </c>
    </row>
    <row r="447" s="29" customFormat="1" spans="2:5">
      <c r="B447" s="19" t="s">
        <v>375</v>
      </c>
      <c r="C447" s="16" t="s">
        <v>183</v>
      </c>
      <c r="D447" s="23">
        <v>101</v>
      </c>
      <c r="E447" s="24">
        <v>0</v>
      </c>
    </row>
    <row r="448" s="29" customFormat="1" ht="41" spans="2:5">
      <c r="B448" s="19" t="s">
        <v>302</v>
      </c>
      <c r="C448" s="20" t="s">
        <v>182</v>
      </c>
      <c r="D448" s="21">
        <v>88</v>
      </c>
      <c r="E448" s="22">
        <v>1850000.09059</v>
      </c>
    </row>
    <row r="449" s="29" customFormat="1" spans="2:5">
      <c r="B449" s="19" t="s">
        <v>302</v>
      </c>
      <c r="C449" s="16" t="s">
        <v>183</v>
      </c>
      <c r="D449" s="23">
        <v>88</v>
      </c>
      <c r="E449" s="24">
        <v>1850000.09059</v>
      </c>
    </row>
    <row r="450" s="29" customFormat="1" ht="41" spans="2:5">
      <c r="B450" s="19" t="s">
        <v>592</v>
      </c>
      <c r="C450" s="20" t="s">
        <v>182</v>
      </c>
      <c r="D450" s="21">
        <v>1</v>
      </c>
      <c r="E450" s="22">
        <v>0</v>
      </c>
    </row>
    <row r="451" s="29" customFormat="1" ht="28" spans="2:5">
      <c r="B451" s="19" t="s">
        <v>592</v>
      </c>
      <c r="C451" s="16" t="s">
        <v>183</v>
      </c>
      <c r="D451" s="23">
        <v>1</v>
      </c>
      <c r="E451" s="24">
        <v>0</v>
      </c>
    </row>
    <row r="452" s="29" customFormat="1" ht="41" spans="2:5">
      <c r="B452" s="19" t="s">
        <v>593</v>
      </c>
      <c r="C452" s="20" t="s">
        <v>182</v>
      </c>
      <c r="D452" s="21">
        <v>4</v>
      </c>
      <c r="E452" s="22">
        <v>1351351.351351</v>
      </c>
    </row>
    <row r="453" s="29" customFormat="1" ht="41" spans="2:5">
      <c r="B453" s="19" t="s">
        <v>593</v>
      </c>
      <c r="C453" s="16" t="s">
        <v>183</v>
      </c>
      <c r="D453" s="23">
        <v>4</v>
      </c>
      <c r="E453" s="24">
        <v>1351351.351351</v>
      </c>
    </row>
    <row r="454" s="29" customFormat="1" ht="41" spans="2:5">
      <c r="B454" s="19" t="s">
        <v>594</v>
      </c>
      <c r="C454" s="20" t="s">
        <v>182</v>
      </c>
      <c r="D454" s="21">
        <v>2</v>
      </c>
      <c r="E454" s="22">
        <v>1144144</v>
      </c>
    </row>
    <row r="455" s="29" customFormat="1" ht="28" spans="2:5">
      <c r="B455" s="19" t="s">
        <v>594</v>
      </c>
      <c r="C455" s="16" t="s">
        <v>183</v>
      </c>
      <c r="D455" s="23">
        <v>2</v>
      </c>
      <c r="E455" s="24">
        <v>1144144</v>
      </c>
    </row>
    <row r="456" s="29" customFormat="1" ht="41" spans="2:5">
      <c r="B456" s="19" t="s">
        <v>595</v>
      </c>
      <c r="C456" s="20" t="s">
        <v>182</v>
      </c>
      <c r="D456" s="21">
        <v>1</v>
      </c>
      <c r="E456" s="22">
        <v>110500</v>
      </c>
    </row>
    <row r="457" s="29" customFormat="1" ht="28.75" spans="2:5">
      <c r="B457" s="19" t="s">
        <v>595</v>
      </c>
      <c r="C457" s="16" t="s">
        <v>183</v>
      </c>
      <c r="D457" s="23">
        <v>1</v>
      </c>
      <c r="E457" s="24">
        <v>110500</v>
      </c>
    </row>
    <row r="458" s="29" customFormat="1" spans="2:5">
      <c r="B458" s="25"/>
      <c r="C458" s="25"/>
      <c r="D458" s="25"/>
      <c r="E458" s="25"/>
    </row>
    <row r="459" s="29" customFormat="1" ht="36" spans="2:5">
      <c r="B459" s="26" t="s">
        <v>189</v>
      </c>
      <c r="C459" s="26" t="s">
        <v>189</v>
      </c>
      <c r="D459" s="26" t="s">
        <v>189</v>
      </c>
      <c r="E459" s="26" t="s">
        <v>189</v>
      </c>
    </row>
    <row r="460" s="29" customFormat="1" spans="2:5">
      <c r="B460" s="26"/>
      <c r="C460" s="26"/>
      <c r="D460" s="26"/>
      <c r="E460" s="26"/>
    </row>
    <row r="461" s="29" customFormat="1" ht="36" spans="2:5">
      <c r="B461" s="26" t="s">
        <v>573</v>
      </c>
      <c r="C461" s="26" t="s">
        <v>573</v>
      </c>
      <c r="D461" s="26" t="s">
        <v>573</v>
      </c>
      <c r="E461" s="26" t="s">
        <v>573</v>
      </c>
    </row>
    <row r="462" s="29" customFormat="1" spans="2:5">
      <c r="B462" s="26" t="s">
        <v>331</v>
      </c>
      <c r="C462" s="26" t="s">
        <v>331</v>
      </c>
      <c r="D462" s="26" t="s">
        <v>331</v>
      </c>
      <c r="E462" s="26" t="s">
        <v>331</v>
      </c>
    </row>
    <row r="463" s="29" customFormat="1" ht="124" spans="2:5">
      <c r="B463" s="11" t="s">
        <v>173</v>
      </c>
      <c r="C463" s="11" t="s">
        <v>173</v>
      </c>
      <c r="D463" s="11" t="s">
        <v>173</v>
      </c>
      <c r="E463" s="11" t="s">
        <v>173</v>
      </c>
    </row>
    <row r="464" s="29" customFormat="1" ht="156" spans="2:5">
      <c r="B464" s="12" t="s">
        <v>174</v>
      </c>
      <c r="C464" s="12" t="s">
        <v>174</v>
      </c>
      <c r="D464" s="12" t="s">
        <v>174</v>
      </c>
      <c r="E464" s="12" t="s">
        <v>174</v>
      </c>
    </row>
    <row r="465" s="29" customFormat="1" ht="68" spans="2:5">
      <c r="B465" s="13" t="s">
        <v>567</v>
      </c>
      <c r="C465" s="13" t="s">
        <v>567</v>
      </c>
      <c r="D465" s="13" t="s">
        <v>567</v>
      </c>
      <c r="E465" s="13" t="s">
        <v>567</v>
      </c>
    </row>
    <row r="466" s="29" customFormat="1" ht="22" spans="2:5">
      <c r="B466" s="14" t="s">
        <v>176</v>
      </c>
      <c r="C466" s="14" t="s">
        <v>176</v>
      </c>
      <c r="D466" s="14" t="s">
        <v>176</v>
      </c>
      <c r="E466" s="14" t="s">
        <v>176</v>
      </c>
    </row>
    <row r="467" s="29" customFormat="1" spans="2:5">
      <c r="B467" s="15" t="s">
        <v>177</v>
      </c>
      <c r="C467" s="16" t="s">
        <v>178</v>
      </c>
      <c r="D467" s="17" t="s">
        <v>179</v>
      </c>
      <c r="E467" s="18" t="s">
        <v>180</v>
      </c>
    </row>
    <row r="468" s="29" customFormat="1" ht="41" spans="2:5">
      <c r="B468" s="19" t="s">
        <v>596</v>
      </c>
      <c r="C468" s="20" t="s">
        <v>182</v>
      </c>
      <c r="D468" s="21">
        <v>1</v>
      </c>
      <c r="E468" s="22">
        <v>2849054.054054</v>
      </c>
    </row>
    <row r="469" s="29" customFormat="1" ht="28" spans="2:5">
      <c r="B469" s="19" t="s">
        <v>596</v>
      </c>
      <c r="C469" s="16" t="s">
        <v>183</v>
      </c>
      <c r="D469" s="23">
        <v>1</v>
      </c>
      <c r="E469" s="24">
        <v>2849054.054054</v>
      </c>
    </row>
    <row r="470" s="29" customFormat="1" ht="41" spans="2:5">
      <c r="B470" s="19" t="s">
        <v>597</v>
      </c>
      <c r="C470" s="20" t="s">
        <v>182</v>
      </c>
      <c r="D470" s="21">
        <v>1</v>
      </c>
      <c r="E470" s="22">
        <v>1690000</v>
      </c>
    </row>
    <row r="471" s="29" customFormat="1" ht="28" spans="2:5">
      <c r="B471" s="19" t="s">
        <v>597</v>
      </c>
      <c r="C471" s="16" t="s">
        <v>183</v>
      </c>
      <c r="D471" s="23">
        <v>1</v>
      </c>
      <c r="E471" s="24">
        <v>1690000</v>
      </c>
    </row>
    <row r="472" s="29" customFormat="1" ht="41" spans="2:5">
      <c r="B472" s="19" t="s">
        <v>598</v>
      </c>
      <c r="C472" s="20" t="s">
        <v>182</v>
      </c>
      <c r="D472" s="21">
        <v>4</v>
      </c>
      <c r="E472" s="22">
        <v>1105009.009009</v>
      </c>
    </row>
    <row r="473" s="29" customFormat="1" ht="28" spans="2:5">
      <c r="B473" s="19" t="s">
        <v>598</v>
      </c>
      <c r="C473" s="16" t="s">
        <v>183</v>
      </c>
      <c r="D473" s="23">
        <v>4</v>
      </c>
      <c r="E473" s="24">
        <v>1105009.009009</v>
      </c>
    </row>
    <row r="474" s="29" customFormat="1" ht="41" spans="2:5">
      <c r="B474" s="19" t="s">
        <v>599</v>
      </c>
      <c r="C474" s="20" t="s">
        <v>182</v>
      </c>
      <c r="D474" s="21">
        <v>1</v>
      </c>
      <c r="E474" s="22">
        <v>98198.198198</v>
      </c>
    </row>
    <row r="475" s="29" customFormat="1" ht="28" spans="2:5">
      <c r="B475" s="19" t="s">
        <v>599</v>
      </c>
      <c r="C475" s="16" t="s">
        <v>183</v>
      </c>
      <c r="D475" s="23">
        <v>1</v>
      </c>
      <c r="E475" s="24">
        <v>98198.198198</v>
      </c>
    </row>
    <row r="476" s="29" customFormat="1" ht="41" spans="2:5">
      <c r="B476" s="19" t="s">
        <v>600</v>
      </c>
      <c r="C476" s="20" t="s">
        <v>182</v>
      </c>
      <c r="D476" s="21">
        <v>1</v>
      </c>
      <c r="E476" s="22">
        <v>292500</v>
      </c>
    </row>
    <row r="477" s="29" customFormat="1" ht="28" spans="2:5">
      <c r="B477" s="19" t="s">
        <v>600</v>
      </c>
      <c r="C477" s="16" t="s">
        <v>183</v>
      </c>
      <c r="D477" s="23">
        <v>1</v>
      </c>
      <c r="E477" s="24">
        <v>292500</v>
      </c>
    </row>
    <row r="478" s="29" customFormat="1" ht="41" spans="2:5">
      <c r="B478" s="19" t="s">
        <v>601</v>
      </c>
      <c r="C478" s="20" t="s">
        <v>182</v>
      </c>
      <c r="D478" s="21">
        <v>1</v>
      </c>
      <c r="E478" s="22">
        <v>227500</v>
      </c>
    </row>
    <row r="479" s="29" customFormat="1" ht="28.75" spans="2:5">
      <c r="B479" s="19" t="s">
        <v>601</v>
      </c>
      <c r="C479" s="16" t="s">
        <v>183</v>
      </c>
      <c r="D479" s="23">
        <v>1</v>
      </c>
      <c r="E479" s="24">
        <v>227500</v>
      </c>
    </row>
    <row r="480" s="29" customFormat="1" spans="2:5">
      <c r="B480" s="25"/>
      <c r="C480" s="25"/>
      <c r="D480" s="25"/>
      <c r="E480" s="25"/>
    </row>
    <row r="481" s="29" customFormat="1" ht="36" spans="2:5">
      <c r="B481" s="26" t="s">
        <v>189</v>
      </c>
      <c r="C481" s="26" t="s">
        <v>189</v>
      </c>
      <c r="D481" s="26" t="s">
        <v>189</v>
      </c>
      <c r="E481" s="26" t="s">
        <v>189</v>
      </c>
    </row>
    <row r="482" s="29" customFormat="1" spans="2:5">
      <c r="B482" s="26"/>
      <c r="C482" s="26"/>
      <c r="D482" s="26"/>
      <c r="E482" s="26"/>
    </row>
    <row r="483" s="29" customFormat="1" ht="36" spans="2:5">
      <c r="B483" s="26" t="s">
        <v>573</v>
      </c>
      <c r="C483" s="26" t="s">
        <v>573</v>
      </c>
      <c r="D483" s="26" t="s">
        <v>573</v>
      </c>
      <c r="E483" s="26" t="s">
        <v>573</v>
      </c>
    </row>
    <row r="484" s="29" customFormat="1" spans="2:5">
      <c r="B484" s="26" t="s">
        <v>338</v>
      </c>
      <c r="C484" s="26" t="s">
        <v>338</v>
      </c>
      <c r="D484" s="26" t="s">
        <v>338</v>
      </c>
      <c r="E484" s="26" t="s">
        <v>338</v>
      </c>
    </row>
    <row r="485" s="29" customFormat="1" ht="124" spans="2:5">
      <c r="B485" s="11" t="s">
        <v>173</v>
      </c>
      <c r="C485" s="11" t="s">
        <v>173</v>
      </c>
      <c r="D485" s="11" t="s">
        <v>173</v>
      </c>
      <c r="E485" s="11" t="s">
        <v>173</v>
      </c>
    </row>
    <row r="486" s="29" customFormat="1" ht="156" spans="2:5">
      <c r="B486" s="12" t="s">
        <v>174</v>
      </c>
      <c r="C486" s="12" t="s">
        <v>174</v>
      </c>
      <c r="D486" s="12" t="s">
        <v>174</v>
      </c>
      <c r="E486" s="12" t="s">
        <v>174</v>
      </c>
    </row>
    <row r="487" s="29" customFormat="1" ht="68" spans="2:5">
      <c r="B487" s="13" t="s">
        <v>567</v>
      </c>
      <c r="C487" s="13" t="s">
        <v>567</v>
      </c>
      <c r="D487" s="13" t="s">
        <v>567</v>
      </c>
      <c r="E487" s="13" t="s">
        <v>567</v>
      </c>
    </row>
    <row r="488" s="29" customFormat="1" ht="22" spans="2:5">
      <c r="B488" s="14" t="s">
        <v>176</v>
      </c>
      <c r="C488" s="14" t="s">
        <v>176</v>
      </c>
      <c r="D488" s="14" t="s">
        <v>176</v>
      </c>
      <c r="E488" s="14" t="s">
        <v>176</v>
      </c>
    </row>
    <row r="489" s="29" customFormat="1" spans="2:5">
      <c r="B489" s="15" t="s">
        <v>177</v>
      </c>
      <c r="C489" s="16" t="s">
        <v>178</v>
      </c>
      <c r="D489" s="17" t="s">
        <v>179</v>
      </c>
      <c r="E489" s="18" t="s">
        <v>180</v>
      </c>
    </row>
    <row r="490" s="29" customFormat="1" ht="41" spans="2:5">
      <c r="B490" s="19" t="s">
        <v>602</v>
      </c>
      <c r="C490" s="20" t="s">
        <v>182</v>
      </c>
      <c r="D490" s="21">
        <v>1</v>
      </c>
      <c r="E490" s="22">
        <v>227927.927928</v>
      </c>
    </row>
    <row r="491" s="29" customFormat="1" ht="28" spans="2:5">
      <c r="B491" s="19" t="s">
        <v>602</v>
      </c>
      <c r="C491" s="16" t="s">
        <v>183</v>
      </c>
      <c r="D491" s="23">
        <v>1</v>
      </c>
      <c r="E491" s="24">
        <v>227927.927928</v>
      </c>
    </row>
    <row r="492" s="29" customFormat="1" ht="41" spans="2:5">
      <c r="B492" s="19" t="s">
        <v>603</v>
      </c>
      <c r="C492" s="20" t="s">
        <v>182</v>
      </c>
      <c r="D492" s="21">
        <v>1</v>
      </c>
      <c r="E492" s="22">
        <v>84684.684685</v>
      </c>
    </row>
    <row r="493" s="29" customFormat="1" ht="28" spans="2:5">
      <c r="B493" s="19" t="s">
        <v>603</v>
      </c>
      <c r="C493" s="16" t="s">
        <v>183</v>
      </c>
      <c r="D493" s="23">
        <v>1</v>
      </c>
      <c r="E493" s="24">
        <v>84684.684685</v>
      </c>
    </row>
    <row r="494" s="29" customFormat="1" ht="41" spans="2:5">
      <c r="B494" s="19" t="s">
        <v>604</v>
      </c>
      <c r="C494" s="20" t="s">
        <v>182</v>
      </c>
      <c r="D494" s="21">
        <v>2</v>
      </c>
      <c r="E494" s="22">
        <v>390000</v>
      </c>
    </row>
    <row r="495" s="29" customFormat="1" ht="28" spans="2:5">
      <c r="B495" s="19" t="s">
        <v>604</v>
      </c>
      <c r="C495" s="16" t="s">
        <v>183</v>
      </c>
      <c r="D495" s="23">
        <v>2</v>
      </c>
      <c r="E495" s="24">
        <v>390000</v>
      </c>
    </row>
    <row r="496" s="29" customFormat="1" ht="41" spans="2:5">
      <c r="B496" s="19" t="s">
        <v>605</v>
      </c>
      <c r="C496" s="20" t="s">
        <v>182</v>
      </c>
      <c r="D496" s="21">
        <v>1</v>
      </c>
      <c r="E496" s="22">
        <v>248648.648649</v>
      </c>
    </row>
    <row r="497" s="29" customFormat="1" ht="28" spans="2:5">
      <c r="B497" s="19" t="s">
        <v>605</v>
      </c>
      <c r="C497" s="16" t="s">
        <v>183</v>
      </c>
      <c r="D497" s="23">
        <v>1</v>
      </c>
      <c r="E497" s="24">
        <v>248648.648649</v>
      </c>
    </row>
    <row r="498" s="29" customFormat="1" ht="41" spans="2:5">
      <c r="B498" s="19" t="s">
        <v>606</v>
      </c>
      <c r="C498" s="20" t="s">
        <v>182</v>
      </c>
      <c r="D498" s="21">
        <v>1</v>
      </c>
      <c r="E498" s="22">
        <v>175500</v>
      </c>
    </row>
    <row r="499" s="29" customFormat="1" ht="28" spans="2:5">
      <c r="B499" s="19" t="s">
        <v>606</v>
      </c>
      <c r="C499" s="16" t="s">
        <v>183</v>
      </c>
      <c r="D499" s="23">
        <v>1</v>
      </c>
      <c r="E499" s="24">
        <v>175500</v>
      </c>
    </row>
    <row r="500" s="29" customFormat="1" ht="41" spans="2:5">
      <c r="B500" s="19" t="s">
        <v>607</v>
      </c>
      <c r="C500" s="20" t="s">
        <v>182</v>
      </c>
      <c r="D500" s="21">
        <v>1</v>
      </c>
      <c r="E500" s="22">
        <v>195000</v>
      </c>
    </row>
    <row r="501" s="29" customFormat="1" ht="28.75" spans="2:5">
      <c r="B501" s="19" t="s">
        <v>607</v>
      </c>
      <c r="C501" s="16" t="s">
        <v>183</v>
      </c>
      <c r="D501" s="23">
        <v>1</v>
      </c>
      <c r="E501" s="24">
        <v>195000</v>
      </c>
    </row>
    <row r="502" s="29" customFormat="1" spans="2:5">
      <c r="B502" s="25"/>
      <c r="C502" s="25"/>
      <c r="D502" s="25"/>
      <c r="E502" s="25"/>
    </row>
    <row r="503" s="29" customFormat="1" ht="36" spans="2:5">
      <c r="B503" s="26" t="s">
        <v>189</v>
      </c>
      <c r="C503" s="26" t="s">
        <v>189</v>
      </c>
      <c r="D503" s="26" t="s">
        <v>189</v>
      </c>
      <c r="E503" s="26" t="s">
        <v>189</v>
      </c>
    </row>
    <row r="504" s="29" customFormat="1" spans="2:5">
      <c r="B504" s="26"/>
      <c r="C504" s="26"/>
      <c r="D504" s="26"/>
      <c r="E504" s="26"/>
    </row>
    <row r="505" s="29" customFormat="1" ht="36" spans="2:5">
      <c r="B505" s="26" t="s">
        <v>573</v>
      </c>
      <c r="C505" s="26" t="s">
        <v>573</v>
      </c>
      <c r="D505" s="26" t="s">
        <v>573</v>
      </c>
      <c r="E505" s="26" t="s">
        <v>573</v>
      </c>
    </row>
    <row r="506" s="29" customFormat="1" spans="2:5">
      <c r="B506" s="26" t="s">
        <v>342</v>
      </c>
      <c r="C506" s="26" t="s">
        <v>342</v>
      </c>
      <c r="D506" s="26" t="s">
        <v>342</v>
      </c>
      <c r="E506" s="26" t="s">
        <v>342</v>
      </c>
    </row>
    <row r="507" s="29" customFormat="1" ht="124" spans="2:5">
      <c r="B507" s="11" t="s">
        <v>173</v>
      </c>
      <c r="C507" s="11" t="s">
        <v>173</v>
      </c>
      <c r="D507" s="11" t="s">
        <v>173</v>
      </c>
      <c r="E507" s="11" t="s">
        <v>173</v>
      </c>
    </row>
    <row r="508" s="29" customFormat="1" ht="156" spans="2:5">
      <c r="B508" s="12" t="s">
        <v>174</v>
      </c>
      <c r="C508" s="12" t="s">
        <v>174</v>
      </c>
      <c r="D508" s="12" t="s">
        <v>174</v>
      </c>
      <c r="E508" s="12" t="s">
        <v>174</v>
      </c>
    </row>
    <row r="509" s="29" customFormat="1" ht="68" spans="2:5">
      <c r="B509" s="13" t="s">
        <v>567</v>
      </c>
      <c r="C509" s="13" t="s">
        <v>567</v>
      </c>
      <c r="D509" s="13" t="s">
        <v>567</v>
      </c>
      <c r="E509" s="13" t="s">
        <v>567</v>
      </c>
    </row>
    <row r="510" s="29" customFormat="1" ht="22" spans="2:5">
      <c r="B510" s="14" t="s">
        <v>176</v>
      </c>
      <c r="C510" s="14" t="s">
        <v>176</v>
      </c>
      <c r="D510" s="14" t="s">
        <v>176</v>
      </c>
      <c r="E510" s="14" t="s">
        <v>176</v>
      </c>
    </row>
    <row r="511" s="29" customFormat="1" spans="2:5">
      <c r="B511" s="15" t="s">
        <v>177</v>
      </c>
      <c r="C511" s="16" t="s">
        <v>178</v>
      </c>
      <c r="D511" s="17" t="s">
        <v>179</v>
      </c>
      <c r="E511" s="18" t="s">
        <v>180</v>
      </c>
    </row>
    <row r="512" s="29" customFormat="1" ht="41" spans="2:5">
      <c r="B512" s="19" t="s">
        <v>608</v>
      </c>
      <c r="C512" s="20" t="s">
        <v>182</v>
      </c>
      <c r="D512" s="21">
        <v>1</v>
      </c>
      <c r="E512" s="22">
        <v>195495.495495</v>
      </c>
    </row>
    <row r="513" s="29" customFormat="1" ht="28" spans="2:5">
      <c r="B513" s="19" t="s">
        <v>608</v>
      </c>
      <c r="C513" s="16" t="s">
        <v>183</v>
      </c>
      <c r="D513" s="23">
        <v>1</v>
      </c>
      <c r="E513" s="24">
        <v>195495.495495</v>
      </c>
    </row>
    <row r="514" s="29" customFormat="1" ht="41" spans="2:5">
      <c r="B514" s="19" t="s">
        <v>609</v>
      </c>
      <c r="C514" s="20" t="s">
        <v>182</v>
      </c>
      <c r="D514" s="21">
        <v>1</v>
      </c>
      <c r="E514" s="22">
        <v>2535000</v>
      </c>
    </row>
    <row r="515" s="29" customFormat="1" ht="28" spans="2:5">
      <c r="B515" s="19" t="s">
        <v>609</v>
      </c>
      <c r="C515" s="16" t="s">
        <v>183</v>
      </c>
      <c r="D515" s="23">
        <v>1</v>
      </c>
      <c r="E515" s="24">
        <v>2535000</v>
      </c>
    </row>
    <row r="516" s="29" customFormat="1" ht="41" spans="2:5">
      <c r="B516" s="19" t="s">
        <v>610</v>
      </c>
      <c r="C516" s="20" t="s">
        <v>182</v>
      </c>
      <c r="D516" s="21">
        <v>1</v>
      </c>
      <c r="E516" s="22">
        <v>357657.657658</v>
      </c>
    </row>
    <row r="517" s="29" customFormat="1" ht="28" spans="2:5">
      <c r="B517" s="19" t="s">
        <v>610</v>
      </c>
      <c r="C517" s="16" t="s">
        <v>183</v>
      </c>
      <c r="D517" s="23">
        <v>1</v>
      </c>
      <c r="E517" s="24">
        <v>357657.657658</v>
      </c>
    </row>
    <row r="518" s="29" customFormat="1" ht="41" spans="2:5">
      <c r="B518" s="19" t="s">
        <v>454</v>
      </c>
      <c r="C518" s="20" t="s">
        <v>182</v>
      </c>
      <c r="D518" s="21">
        <v>1</v>
      </c>
      <c r="E518" s="22">
        <v>0</v>
      </c>
    </row>
    <row r="519" s="29" customFormat="1" ht="28" spans="2:5">
      <c r="B519" s="19" t="s">
        <v>454</v>
      </c>
      <c r="C519" s="16" t="s">
        <v>183</v>
      </c>
      <c r="D519" s="23">
        <v>1</v>
      </c>
      <c r="E519" s="24">
        <v>0</v>
      </c>
    </row>
    <row r="520" s="29" customFormat="1" ht="41" spans="2:5">
      <c r="B520" s="19" t="s">
        <v>513</v>
      </c>
      <c r="C520" s="20" t="s">
        <v>182</v>
      </c>
      <c r="D520" s="21">
        <v>154</v>
      </c>
      <c r="E520" s="22">
        <v>51351.351351</v>
      </c>
    </row>
    <row r="521" s="29" customFormat="1" spans="2:5">
      <c r="B521" s="19" t="s">
        <v>513</v>
      </c>
      <c r="C521" s="16" t="s">
        <v>183</v>
      </c>
      <c r="D521" s="23">
        <v>154</v>
      </c>
      <c r="E521" s="24">
        <v>51351.351351</v>
      </c>
    </row>
    <row r="522" s="29" customFormat="1" ht="41" spans="2:5">
      <c r="B522" s="19" t="s">
        <v>514</v>
      </c>
      <c r="C522" s="20" t="s">
        <v>182</v>
      </c>
      <c r="D522" s="21">
        <v>95</v>
      </c>
      <c r="E522" s="22">
        <v>3938749.3168</v>
      </c>
    </row>
    <row r="523" s="29" customFormat="1" ht="28.75" spans="2:5">
      <c r="B523" s="19" t="s">
        <v>514</v>
      </c>
      <c r="C523" s="16" t="s">
        <v>183</v>
      </c>
      <c r="D523" s="23">
        <v>95</v>
      </c>
      <c r="E523" s="24">
        <v>3938749.3168</v>
      </c>
    </row>
    <row r="524" s="29" customFormat="1" spans="2:5">
      <c r="B524" s="25"/>
      <c r="C524" s="25"/>
      <c r="D524" s="25"/>
      <c r="E524" s="25"/>
    </row>
    <row r="525" s="29" customFormat="1" ht="36" spans="2:5">
      <c r="B525" s="26" t="s">
        <v>189</v>
      </c>
      <c r="C525" s="26" t="s">
        <v>189</v>
      </c>
      <c r="D525" s="26" t="s">
        <v>189</v>
      </c>
      <c r="E525" s="26" t="s">
        <v>189</v>
      </c>
    </row>
    <row r="526" s="29" customFormat="1" spans="2:5">
      <c r="B526" s="26"/>
      <c r="C526" s="26"/>
      <c r="D526" s="26"/>
      <c r="E526" s="26"/>
    </row>
    <row r="527" s="29" customFormat="1" ht="36" spans="2:5">
      <c r="B527" s="26" t="s">
        <v>573</v>
      </c>
      <c r="C527" s="26" t="s">
        <v>573</v>
      </c>
      <c r="D527" s="26" t="s">
        <v>573</v>
      </c>
      <c r="E527" s="26" t="s">
        <v>573</v>
      </c>
    </row>
    <row r="528" s="29" customFormat="1" spans="2:5">
      <c r="B528" s="26" t="s">
        <v>476</v>
      </c>
      <c r="C528" s="26" t="s">
        <v>476</v>
      </c>
      <c r="D528" s="26" t="s">
        <v>476</v>
      </c>
      <c r="E528" s="26" t="s">
        <v>476</v>
      </c>
    </row>
    <row r="529" s="29" customFormat="1" ht="124" spans="2:5">
      <c r="B529" s="11" t="s">
        <v>173</v>
      </c>
      <c r="C529" s="11" t="s">
        <v>173</v>
      </c>
      <c r="D529" s="11" t="s">
        <v>173</v>
      </c>
      <c r="E529" s="11" t="s">
        <v>173</v>
      </c>
    </row>
    <row r="530" s="29" customFormat="1" ht="156" spans="2:5">
      <c r="B530" s="12" t="s">
        <v>174</v>
      </c>
      <c r="C530" s="12" t="s">
        <v>174</v>
      </c>
      <c r="D530" s="12" t="s">
        <v>174</v>
      </c>
      <c r="E530" s="12" t="s">
        <v>174</v>
      </c>
    </row>
    <row r="531" s="29" customFormat="1" ht="68" spans="2:5">
      <c r="B531" s="13" t="s">
        <v>567</v>
      </c>
      <c r="C531" s="13" t="s">
        <v>567</v>
      </c>
      <c r="D531" s="13" t="s">
        <v>567</v>
      </c>
      <c r="E531" s="13" t="s">
        <v>567</v>
      </c>
    </row>
    <row r="532" s="29" customFormat="1" ht="22" spans="2:5">
      <c r="B532" s="14" t="s">
        <v>176</v>
      </c>
      <c r="C532" s="14" t="s">
        <v>176</v>
      </c>
      <c r="D532" s="14" t="s">
        <v>176</v>
      </c>
      <c r="E532" s="14" t="s">
        <v>176</v>
      </c>
    </row>
    <row r="533" s="29" customFormat="1" spans="2:5">
      <c r="B533" s="15" t="s">
        <v>177</v>
      </c>
      <c r="C533" s="16" t="s">
        <v>178</v>
      </c>
      <c r="D533" s="17" t="s">
        <v>179</v>
      </c>
      <c r="E533" s="18" t="s">
        <v>180</v>
      </c>
    </row>
    <row r="534" s="29" customFormat="1" ht="41" spans="2:5">
      <c r="B534" s="19" t="s">
        <v>611</v>
      </c>
      <c r="C534" s="20" t="s">
        <v>182</v>
      </c>
      <c r="D534" s="21">
        <v>1</v>
      </c>
      <c r="E534" s="22">
        <v>33333.333333</v>
      </c>
    </row>
    <row r="535" s="29" customFormat="1" spans="2:5">
      <c r="B535" s="19" t="s">
        <v>611</v>
      </c>
      <c r="C535" s="16" t="s">
        <v>183</v>
      </c>
      <c r="D535" s="23">
        <v>1</v>
      </c>
      <c r="E535" s="24">
        <v>33333.333333</v>
      </c>
    </row>
    <row r="536" s="29" customFormat="1" ht="41" spans="2:5">
      <c r="B536" s="19" t="s">
        <v>612</v>
      </c>
      <c r="C536" s="20" t="s">
        <v>182</v>
      </c>
      <c r="D536" s="21">
        <v>1</v>
      </c>
      <c r="E536" s="22">
        <v>45945.945946</v>
      </c>
    </row>
    <row r="537" s="29" customFormat="1" spans="2:5">
      <c r="B537" s="19" t="s">
        <v>612</v>
      </c>
      <c r="C537" s="16" t="s">
        <v>183</v>
      </c>
      <c r="D537" s="23">
        <v>1</v>
      </c>
      <c r="E537" s="24">
        <v>45945.945946</v>
      </c>
    </row>
    <row r="538" s="29" customFormat="1" ht="41" spans="2:5">
      <c r="B538" s="19" t="s">
        <v>613</v>
      </c>
      <c r="C538" s="20" t="s">
        <v>182</v>
      </c>
      <c r="D538" s="21">
        <v>2</v>
      </c>
      <c r="E538" s="22">
        <v>39639.63964</v>
      </c>
    </row>
    <row r="539" s="29" customFormat="1" spans="2:5">
      <c r="B539" s="19" t="s">
        <v>613</v>
      </c>
      <c r="C539" s="16" t="s">
        <v>183</v>
      </c>
      <c r="D539" s="23">
        <v>2</v>
      </c>
      <c r="E539" s="24">
        <v>39639.63964</v>
      </c>
    </row>
    <row r="540" s="29" customFormat="1" ht="41" spans="2:5">
      <c r="B540" s="19" t="s">
        <v>614</v>
      </c>
      <c r="C540" s="20" t="s">
        <v>182</v>
      </c>
      <c r="D540" s="21">
        <v>2</v>
      </c>
      <c r="E540" s="22">
        <v>27027.027027</v>
      </c>
    </row>
    <row r="541" s="29" customFormat="1" spans="2:5">
      <c r="B541" s="19" t="s">
        <v>614</v>
      </c>
      <c r="C541" s="16" t="s">
        <v>183</v>
      </c>
      <c r="D541" s="23">
        <v>2</v>
      </c>
      <c r="E541" s="24">
        <v>27027.027027</v>
      </c>
    </row>
    <row r="542" s="29" customFormat="1" ht="41" spans="2:5">
      <c r="B542" s="19" t="s">
        <v>615</v>
      </c>
      <c r="C542" s="20" t="s">
        <v>182</v>
      </c>
      <c r="D542" s="21">
        <v>1</v>
      </c>
      <c r="E542" s="22">
        <v>319527.027027</v>
      </c>
    </row>
    <row r="543" s="29" customFormat="1" spans="2:5">
      <c r="B543" s="19" t="s">
        <v>615</v>
      </c>
      <c r="C543" s="16" t="s">
        <v>183</v>
      </c>
      <c r="D543" s="23">
        <v>1</v>
      </c>
      <c r="E543" s="24">
        <v>319527.027027</v>
      </c>
    </row>
    <row r="544" s="29" customFormat="1" ht="41" spans="2:5">
      <c r="B544" s="19" t="s">
        <v>616</v>
      </c>
      <c r="C544" s="20" t="s">
        <v>182</v>
      </c>
      <c r="D544" s="21">
        <v>1</v>
      </c>
      <c r="E544" s="22">
        <v>420926.826911</v>
      </c>
    </row>
    <row r="545" s="29" customFormat="1" ht="28.75" spans="2:5">
      <c r="B545" s="19" t="s">
        <v>616</v>
      </c>
      <c r="C545" s="16" t="s">
        <v>183</v>
      </c>
      <c r="D545" s="23">
        <v>1</v>
      </c>
      <c r="E545" s="24">
        <v>420926.826911</v>
      </c>
    </row>
    <row r="546" s="29" customFormat="1" spans="2:5">
      <c r="B546" s="25"/>
      <c r="C546" s="25"/>
      <c r="D546" s="25"/>
      <c r="E546" s="25"/>
    </row>
    <row r="547" s="29" customFormat="1" ht="36" spans="2:5">
      <c r="B547" s="26" t="s">
        <v>189</v>
      </c>
      <c r="C547" s="26" t="s">
        <v>189</v>
      </c>
      <c r="D547" s="26" t="s">
        <v>189</v>
      </c>
      <c r="E547" s="26" t="s">
        <v>189</v>
      </c>
    </row>
    <row r="548" s="29" customFormat="1" spans="2:5">
      <c r="B548" s="26"/>
      <c r="C548" s="26"/>
      <c r="D548" s="26"/>
      <c r="E548" s="26"/>
    </row>
    <row r="549" s="29" customFormat="1" ht="36" spans="2:5">
      <c r="B549" s="26" t="s">
        <v>573</v>
      </c>
      <c r="C549" s="26" t="s">
        <v>573</v>
      </c>
      <c r="D549" s="26" t="s">
        <v>573</v>
      </c>
      <c r="E549" s="26" t="s">
        <v>573</v>
      </c>
    </row>
    <row r="550" s="29" customFormat="1" spans="2:5">
      <c r="B550" s="26" t="s">
        <v>480</v>
      </c>
      <c r="C550" s="26" t="s">
        <v>480</v>
      </c>
      <c r="D550" s="26" t="s">
        <v>480</v>
      </c>
      <c r="E550" s="26" t="s">
        <v>480</v>
      </c>
    </row>
    <row r="551" s="29" customFormat="1" ht="124" spans="2:5">
      <c r="B551" s="11" t="s">
        <v>173</v>
      </c>
      <c r="C551" s="11" t="s">
        <v>173</v>
      </c>
      <c r="D551" s="11" t="s">
        <v>173</v>
      </c>
      <c r="E551" s="11" t="s">
        <v>173</v>
      </c>
    </row>
    <row r="552" s="29" customFormat="1" ht="156" spans="2:5">
      <c r="B552" s="12" t="s">
        <v>174</v>
      </c>
      <c r="C552" s="12" t="s">
        <v>174</v>
      </c>
      <c r="D552" s="12" t="s">
        <v>174</v>
      </c>
      <c r="E552" s="12" t="s">
        <v>174</v>
      </c>
    </row>
    <row r="553" s="29" customFormat="1" ht="68" spans="2:5">
      <c r="B553" s="13" t="s">
        <v>567</v>
      </c>
      <c r="C553" s="13" t="s">
        <v>567</v>
      </c>
      <c r="D553" s="13" t="s">
        <v>567</v>
      </c>
      <c r="E553" s="13" t="s">
        <v>567</v>
      </c>
    </row>
    <row r="554" s="29" customFormat="1" ht="22" spans="2:5">
      <c r="B554" s="14" t="s">
        <v>176</v>
      </c>
      <c r="C554" s="14" t="s">
        <v>176</v>
      </c>
      <c r="D554" s="14" t="s">
        <v>176</v>
      </c>
      <c r="E554" s="14" t="s">
        <v>176</v>
      </c>
    </row>
    <row r="555" s="29" customFormat="1" spans="2:5">
      <c r="B555" s="15" t="s">
        <v>177</v>
      </c>
      <c r="C555" s="16" t="s">
        <v>178</v>
      </c>
      <c r="D555" s="17" t="s">
        <v>179</v>
      </c>
      <c r="E555" s="18" t="s">
        <v>180</v>
      </c>
    </row>
    <row r="556" s="29" customFormat="1" ht="41" spans="2:5">
      <c r="B556" s="19" t="s">
        <v>316</v>
      </c>
      <c r="C556" s="20" t="s">
        <v>182</v>
      </c>
      <c r="D556" s="21">
        <v>8</v>
      </c>
      <c r="E556" s="22">
        <v>663062.765767</v>
      </c>
    </row>
    <row r="557" s="29" customFormat="1" ht="28" spans="2:5">
      <c r="B557" s="19" t="s">
        <v>316</v>
      </c>
      <c r="C557" s="16" t="s">
        <v>183</v>
      </c>
      <c r="D557" s="23">
        <v>8</v>
      </c>
      <c r="E557" s="24">
        <v>663062.765767</v>
      </c>
    </row>
    <row r="558" s="29" customFormat="1" ht="41" spans="2:5">
      <c r="B558" s="19" t="s">
        <v>383</v>
      </c>
      <c r="C558" s="20" t="s">
        <v>182</v>
      </c>
      <c r="D558" s="21">
        <v>13</v>
      </c>
      <c r="E558" s="22">
        <v>409911.783788</v>
      </c>
    </row>
    <row r="559" s="29" customFormat="1" ht="28" spans="2:5">
      <c r="B559" s="19" t="s">
        <v>383</v>
      </c>
      <c r="C559" s="16" t="s">
        <v>183</v>
      </c>
      <c r="D559" s="23">
        <v>13</v>
      </c>
      <c r="E559" s="24">
        <v>409911.783788</v>
      </c>
    </row>
    <row r="560" s="29" customFormat="1" ht="41" spans="2:5">
      <c r="B560" s="19" t="s">
        <v>384</v>
      </c>
      <c r="C560" s="20" t="s">
        <v>182</v>
      </c>
      <c r="D560" s="21">
        <v>4</v>
      </c>
      <c r="E560" s="22">
        <v>331531.531532</v>
      </c>
    </row>
    <row r="561" s="29" customFormat="1" ht="28" spans="2:5">
      <c r="B561" s="19" t="s">
        <v>384</v>
      </c>
      <c r="C561" s="16" t="s">
        <v>183</v>
      </c>
      <c r="D561" s="23">
        <v>4</v>
      </c>
      <c r="E561" s="24">
        <v>331531.531532</v>
      </c>
    </row>
    <row r="562" s="29" customFormat="1" ht="41" spans="2:5">
      <c r="B562" s="19" t="s">
        <v>518</v>
      </c>
      <c r="C562" s="20" t="s">
        <v>182</v>
      </c>
      <c r="D562" s="21">
        <v>8</v>
      </c>
      <c r="E562" s="22">
        <v>252253.189191</v>
      </c>
    </row>
    <row r="563" s="29" customFormat="1" ht="28" spans="2:5">
      <c r="B563" s="19" t="s">
        <v>518</v>
      </c>
      <c r="C563" s="16" t="s">
        <v>183</v>
      </c>
      <c r="D563" s="23">
        <v>8</v>
      </c>
      <c r="E563" s="24">
        <v>252253.189191</v>
      </c>
    </row>
    <row r="564" s="29" customFormat="1" ht="41" spans="2:5">
      <c r="B564" s="19" t="s">
        <v>455</v>
      </c>
      <c r="C564" s="20" t="s">
        <v>182</v>
      </c>
      <c r="D564" s="21">
        <v>38</v>
      </c>
      <c r="E564" s="22">
        <v>0</v>
      </c>
    </row>
    <row r="565" s="29" customFormat="1" spans="2:5">
      <c r="B565" s="19" t="s">
        <v>455</v>
      </c>
      <c r="C565" s="16" t="s">
        <v>183</v>
      </c>
      <c r="D565" s="23">
        <v>38</v>
      </c>
      <c r="E565" s="24">
        <v>0</v>
      </c>
    </row>
    <row r="566" s="29" customFormat="1" ht="41" spans="2:5">
      <c r="B566" s="19" t="s">
        <v>617</v>
      </c>
      <c r="C566" s="20" t="s">
        <v>182</v>
      </c>
      <c r="D566" s="21">
        <v>1</v>
      </c>
      <c r="E566" s="22">
        <v>1011711.711712</v>
      </c>
    </row>
    <row r="567" s="29" customFormat="1" ht="28.75" spans="2:5">
      <c r="B567" s="19" t="s">
        <v>617</v>
      </c>
      <c r="C567" s="16" t="s">
        <v>183</v>
      </c>
      <c r="D567" s="23">
        <v>1</v>
      </c>
      <c r="E567" s="24">
        <v>1011711.711712</v>
      </c>
    </row>
    <row r="568" s="29" customFormat="1" spans="2:5">
      <c r="B568" s="25"/>
      <c r="C568" s="25"/>
      <c r="D568" s="25"/>
      <c r="E568" s="25"/>
    </row>
    <row r="569" s="29" customFormat="1" ht="36" spans="2:5">
      <c r="B569" s="26" t="s">
        <v>189</v>
      </c>
      <c r="C569" s="26" t="s">
        <v>189</v>
      </c>
      <c r="D569" s="26" t="s">
        <v>189</v>
      </c>
      <c r="E569" s="26" t="s">
        <v>189</v>
      </c>
    </row>
    <row r="570" s="29" customFormat="1" spans="2:5">
      <c r="B570" s="26"/>
      <c r="C570" s="26"/>
      <c r="D570" s="26"/>
      <c r="E570" s="26"/>
    </row>
    <row r="571" s="29" customFormat="1" ht="36" spans="2:5">
      <c r="B571" s="26" t="s">
        <v>573</v>
      </c>
      <c r="C571" s="26" t="s">
        <v>573</v>
      </c>
      <c r="D571" s="26" t="s">
        <v>573</v>
      </c>
      <c r="E571" s="26" t="s">
        <v>573</v>
      </c>
    </row>
    <row r="572" s="29" customFormat="1" spans="2:5">
      <c r="B572" s="26" t="s">
        <v>523</v>
      </c>
      <c r="C572" s="26" t="s">
        <v>523</v>
      </c>
      <c r="D572" s="26" t="s">
        <v>523</v>
      </c>
      <c r="E572" s="26" t="s">
        <v>523</v>
      </c>
    </row>
    <row r="573" s="29" customFormat="1" ht="124" spans="2:5">
      <c r="B573" s="11" t="s">
        <v>173</v>
      </c>
      <c r="C573" s="11" t="s">
        <v>173</v>
      </c>
      <c r="D573" s="11" t="s">
        <v>173</v>
      </c>
      <c r="E573" s="11" t="s">
        <v>173</v>
      </c>
    </row>
    <row r="574" s="29" customFormat="1" ht="156" spans="2:5">
      <c r="B574" s="12" t="s">
        <v>174</v>
      </c>
      <c r="C574" s="12" t="s">
        <v>174</v>
      </c>
      <c r="D574" s="12" t="s">
        <v>174</v>
      </c>
      <c r="E574" s="12" t="s">
        <v>174</v>
      </c>
    </row>
    <row r="575" s="29" customFormat="1" ht="68" spans="2:5">
      <c r="B575" s="13" t="s">
        <v>567</v>
      </c>
      <c r="C575" s="13" t="s">
        <v>567</v>
      </c>
      <c r="D575" s="13" t="s">
        <v>567</v>
      </c>
      <c r="E575" s="13" t="s">
        <v>567</v>
      </c>
    </row>
    <row r="576" s="29" customFormat="1" ht="22" spans="2:5">
      <c r="B576" s="14" t="s">
        <v>176</v>
      </c>
      <c r="C576" s="14" t="s">
        <v>176</v>
      </c>
      <c r="D576" s="14" t="s">
        <v>176</v>
      </c>
      <c r="E576" s="14" t="s">
        <v>176</v>
      </c>
    </row>
    <row r="577" s="29" customFormat="1" spans="2:5">
      <c r="B577" s="15" t="s">
        <v>177</v>
      </c>
      <c r="C577" s="16" t="s">
        <v>178</v>
      </c>
      <c r="D577" s="17" t="s">
        <v>179</v>
      </c>
      <c r="E577" s="18" t="s">
        <v>180</v>
      </c>
    </row>
    <row r="578" s="29" customFormat="1" ht="41" spans="2:5">
      <c r="B578" s="19" t="s">
        <v>618</v>
      </c>
      <c r="C578" s="20" t="s">
        <v>182</v>
      </c>
      <c r="D578" s="21">
        <v>1</v>
      </c>
      <c r="E578" s="22">
        <v>711711.711712</v>
      </c>
    </row>
    <row r="579" s="29" customFormat="1" ht="41" spans="2:5">
      <c r="B579" s="19" t="s">
        <v>618</v>
      </c>
      <c r="C579" s="16" t="s">
        <v>183</v>
      </c>
      <c r="D579" s="23">
        <v>1</v>
      </c>
      <c r="E579" s="24">
        <v>711711.711712</v>
      </c>
    </row>
    <row r="580" s="29" customFormat="1" ht="41" spans="2:5">
      <c r="B580" s="19" t="s">
        <v>619</v>
      </c>
      <c r="C580" s="20" t="s">
        <v>182</v>
      </c>
      <c r="D580" s="21">
        <v>1</v>
      </c>
      <c r="E580" s="22">
        <v>801801.801802</v>
      </c>
    </row>
    <row r="581" s="29" customFormat="1" ht="28" spans="2:5">
      <c r="B581" s="19" t="s">
        <v>619</v>
      </c>
      <c r="C581" s="16" t="s">
        <v>183</v>
      </c>
      <c r="D581" s="23">
        <v>1</v>
      </c>
      <c r="E581" s="24">
        <v>801801.801802</v>
      </c>
    </row>
    <row r="582" s="29" customFormat="1" ht="41" spans="2:5">
      <c r="B582" s="19" t="s">
        <v>620</v>
      </c>
      <c r="C582" s="20" t="s">
        <v>182</v>
      </c>
      <c r="D582" s="21">
        <v>4</v>
      </c>
      <c r="E582" s="22">
        <v>1576576.576577</v>
      </c>
    </row>
    <row r="583" s="29" customFormat="1" ht="28" spans="2:5">
      <c r="B583" s="19" t="s">
        <v>620</v>
      </c>
      <c r="C583" s="16" t="s">
        <v>183</v>
      </c>
      <c r="D583" s="23">
        <v>4</v>
      </c>
      <c r="E583" s="24">
        <v>1576576.576577</v>
      </c>
    </row>
    <row r="584" s="29" customFormat="1" ht="41" spans="2:5">
      <c r="B584" s="19" t="s">
        <v>621</v>
      </c>
      <c r="C584" s="20" t="s">
        <v>182</v>
      </c>
      <c r="D584" s="21">
        <v>1</v>
      </c>
      <c r="E584" s="22">
        <v>347747.747748</v>
      </c>
    </row>
    <row r="585" s="29" customFormat="1" ht="28" spans="2:5">
      <c r="B585" s="19" t="s">
        <v>621</v>
      </c>
      <c r="C585" s="16" t="s">
        <v>183</v>
      </c>
      <c r="D585" s="23">
        <v>1</v>
      </c>
      <c r="E585" s="24">
        <v>347747.747748</v>
      </c>
    </row>
    <row r="586" s="29" customFormat="1" ht="41" spans="2:5">
      <c r="B586" s="19" t="s">
        <v>318</v>
      </c>
      <c r="C586" s="20" t="s">
        <v>182</v>
      </c>
      <c r="D586" s="21">
        <v>4</v>
      </c>
      <c r="E586" s="22">
        <v>0</v>
      </c>
    </row>
    <row r="587" s="29" customFormat="1" ht="28" spans="2:5">
      <c r="B587" s="19" t="s">
        <v>318</v>
      </c>
      <c r="C587" s="16" t="s">
        <v>183</v>
      </c>
      <c r="D587" s="23">
        <v>4</v>
      </c>
      <c r="E587" s="24">
        <v>0</v>
      </c>
    </row>
    <row r="588" s="29" customFormat="1" ht="41" spans="2:5">
      <c r="B588" s="19" t="s">
        <v>457</v>
      </c>
      <c r="C588" s="20" t="s">
        <v>182</v>
      </c>
      <c r="D588" s="21">
        <v>6</v>
      </c>
      <c r="E588" s="22">
        <v>583783.783784</v>
      </c>
    </row>
    <row r="589" s="29" customFormat="1" ht="17.55" spans="2:5">
      <c r="B589" s="19" t="s">
        <v>457</v>
      </c>
      <c r="C589" s="16" t="s">
        <v>183</v>
      </c>
      <c r="D589" s="23">
        <v>6</v>
      </c>
      <c r="E589" s="24">
        <v>583783.783784</v>
      </c>
    </row>
    <row r="590" s="29" customFormat="1" spans="2:5">
      <c r="B590" s="25"/>
      <c r="C590" s="25"/>
      <c r="D590" s="25"/>
      <c r="E590" s="25"/>
    </row>
    <row r="591" s="29" customFormat="1" ht="36" spans="2:5">
      <c r="B591" s="26" t="s">
        <v>189</v>
      </c>
      <c r="C591" s="26" t="s">
        <v>189</v>
      </c>
      <c r="D591" s="26" t="s">
        <v>189</v>
      </c>
      <c r="E591" s="26" t="s">
        <v>189</v>
      </c>
    </row>
    <row r="592" s="29" customFormat="1" spans="2:5">
      <c r="B592" s="26"/>
      <c r="C592" s="26"/>
      <c r="D592" s="26"/>
      <c r="E592" s="26"/>
    </row>
    <row r="593" s="29" customFormat="1" ht="36" spans="2:5">
      <c r="B593" s="26" t="s">
        <v>573</v>
      </c>
      <c r="C593" s="26" t="s">
        <v>573</v>
      </c>
      <c r="D593" s="26" t="s">
        <v>573</v>
      </c>
      <c r="E593" s="26" t="s">
        <v>573</v>
      </c>
    </row>
    <row r="594" s="29" customFormat="1" spans="2:5">
      <c r="B594" s="26" t="s">
        <v>529</v>
      </c>
      <c r="C594" s="26" t="s">
        <v>529</v>
      </c>
      <c r="D594" s="26" t="s">
        <v>529</v>
      </c>
      <c r="E594" s="26" t="s">
        <v>529</v>
      </c>
    </row>
    <row r="595" s="29" customFormat="1" ht="124" spans="2:5">
      <c r="B595" s="11" t="s">
        <v>173</v>
      </c>
      <c r="C595" s="11" t="s">
        <v>173</v>
      </c>
      <c r="D595" s="11" t="s">
        <v>173</v>
      </c>
      <c r="E595" s="11" t="s">
        <v>173</v>
      </c>
    </row>
    <row r="596" s="29" customFormat="1" ht="156" spans="2:5">
      <c r="B596" s="12" t="s">
        <v>174</v>
      </c>
      <c r="C596" s="12" t="s">
        <v>174</v>
      </c>
      <c r="D596" s="12" t="s">
        <v>174</v>
      </c>
      <c r="E596" s="12" t="s">
        <v>174</v>
      </c>
    </row>
    <row r="597" s="29" customFormat="1" ht="68" spans="2:5">
      <c r="B597" s="13" t="s">
        <v>567</v>
      </c>
      <c r="C597" s="13" t="s">
        <v>567</v>
      </c>
      <c r="D597" s="13" t="s">
        <v>567</v>
      </c>
      <c r="E597" s="13" t="s">
        <v>567</v>
      </c>
    </row>
    <row r="598" s="29" customFormat="1" ht="22" spans="2:5">
      <c r="B598" s="14" t="s">
        <v>176</v>
      </c>
      <c r="C598" s="14" t="s">
        <v>176</v>
      </c>
      <c r="D598" s="14" t="s">
        <v>176</v>
      </c>
      <c r="E598" s="14" t="s">
        <v>176</v>
      </c>
    </row>
    <row r="599" s="29" customFormat="1" spans="2:5">
      <c r="B599" s="15" t="s">
        <v>177</v>
      </c>
      <c r="C599" s="16" t="s">
        <v>178</v>
      </c>
      <c r="D599" s="17" t="s">
        <v>179</v>
      </c>
      <c r="E599" s="18" t="s">
        <v>180</v>
      </c>
    </row>
    <row r="600" s="29" customFormat="1" ht="41" spans="2:5">
      <c r="B600" s="19" t="s">
        <v>458</v>
      </c>
      <c r="C600" s="20" t="s">
        <v>182</v>
      </c>
      <c r="D600" s="21">
        <v>3</v>
      </c>
      <c r="E600" s="22">
        <v>0</v>
      </c>
    </row>
    <row r="601" s="29" customFormat="1" spans="2:5">
      <c r="B601" s="19" t="s">
        <v>458</v>
      </c>
      <c r="C601" s="16" t="s">
        <v>183</v>
      </c>
      <c r="D601" s="23">
        <v>3</v>
      </c>
      <c r="E601" s="24">
        <v>0</v>
      </c>
    </row>
    <row r="602" s="29" customFormat="1" ht="41" spans="2:5">
      <c r="B602" s="19" t="s">
        <v>319</v>
      </c>
      <c r="C602" s="20" t="s">
        <v>182</v>
      </c>
      <c r="D602" s="21">
        <v>1</v>
      </c>
      <c r="E602" s="22">
        <v>0</v>
      </c>
    </row>
    <row r="603" s="29" customFormat="1" spans="2:5">
      <c r="B603" s="19" t="s">
        <v>319</v>
      </c>
      <c r="C603" s="16" t="s">
        <v>183</v>
      </c>
      <c r="D603" s="23">
        <v>1</v>
      </c>
      <c r="E603" s="24">
        <v>0</v>
      </c>
    </row>
    <row r="604" s="29" customFormat="1" ht="41" spans="2:5">
      <c r="B604" s="19" t="s">
        <v>320</v>
      </c>
      <c r="C604" s="20" t="s">
        <v>182</v>
      </c>
      <c r="D604" s="21">
        <v>28</v>
      </c>
      <c r="E604" s="22">
        <v>0</v>
      </c>
    </row>
    <row r="605" s="29" customFormat="1" ht="28" spans="2:5">
      <c r="B605" s="19" t="s">
        <v>320</v>
      </c>
      <c r="C605" s="16" t="s">
        <v>183</v>
      </c>
      <c r="D605" s="23">
        <v>28</v>
      </c>
      <c r="E605" s="24">
        <v>0</v>
      </c>
    </row>
    <row r="606" s="29" customFormat="1" ht="41" spans="2:5">
      <c r="B606" s="19" t="s">
        <v>321</v>
      </c>
      <c r="C606" s="20" t="s">
        <v>182</v>
      </c>
      <c r="D606" s="21">
        <v>9</v>
      </c>
      <c r="E606" s="22">
        <v>0</v>
      </c>
    </row>
    <row r="607" s="29" customFormat="1" ht="28" spans="2:5">
      <c r="B607" s="19" t="s">
        <v>321</v>
      </c>
      <c r="C607" s="16" t="s">
        <v>183</v>
      </c>
      <c r="D607" s="23">
        <v>9</v>
      </c>
      <c r="E607" s="24">
        <v>0</v>
      </c>
    </row>
    <row r="608" s="29" customFormat="1" ht="41" spans="2:5">
      <c r="B608" s="19" t="s">
        <v>322</v>
      </c>
      <c r="C608" s="20" t="s">
        <v>182</v>
      </c>
      <c r="D608" s="21">
        <v>35</v>
      </c>
      <c r="E608" s="22">
        <v>384432.081081</v>
      </c>
    </row>
    <row r="609" s="29" customFormat="1" ht="28" spans="2:5">
      <c r="B609" s="19" t="s">
        <v>322</v>
      </c>
      <c r="C609" s="16" t="s">
        <v>183</v>
      </c>
      <c r="D609" s="23">
        <v>35</v>
      </c>
      <c r="E609" s="24">
        <v>384432.081081</v>
      </c>
    </row>
    <row r="610" s="29" customFormat="1" ht="41" spans="2:5">
      <c r="B610" s="19" t="s">
        <v>323</v>
      </c>
      <c r="C610" s="20" t="s">
        <v>182</v>
      </c>
      <c r="D610" s="21">
        <v>41</v>
      </c>
      <c r="E610" s="22">
        <v>0</v>
      </c>
    </row>
    <row r="611" s="29" customFormat="1" ht="28.75" spans="2:5">
      <c r="B611" s="19" t="s">
        <v>323</v>
      </c>
      <c r="C611" s="16" t="s">
        <v>183</v>
      </c>
      <c r="D611" s="23">
        <v>41</v>
      </c>
      <c r="E611" s="24">
        <v>0</v>
      </c>
    </row>
    <row r="612" s="29" customFormat="1" spans="2:5">
      <c r="B612" s="25"/>
      <c r="C612" s="25"/>
      <c r="D612" s="25"/>
      <c r="E612" s="25"/>
    </row>
    <row r="613" s="29" customFormat="1" ht="36" spans="2:5">
      <c r="B613" s="26" t="s">
        <v>189</v>
      </c>
      <c r="C613" s="26" t="s">
        <v>189</v>
      </c>
      <c r="D613" s="26" t="s">
        <v>189</v>
      </c>
      <c r="E613" s="26" t="s">
        <v>189</v>
      </c>
    </row>
    <row r="614" s="29" customFormat="1" spans="2:5">
      <c r="B614" s="26"/>
      <c r="C614" s="26"/>
      <c r="D614" s="26"/>
      <c r="E614" s="26"/>
    </row>
    <row r="615" s="29" customFormat="1" ht="36" spans="2:5">
      <c r="B615" s="26" t="s">
        <v>573</v>
      </c>
      <c r="C615" s="26" t="s">
        <v>573</v>
      </c>
      <c r="D615" s="26" t="s">
        <v>573</v>
      </c>
      <c r="E615" s="26" t="s">
        <v>573</v>
      </c>
    </row>
    <row r="616" s="29" customFormat="1" spans="2:5">
      <c r="B616" s="26" t="s">
        <v>533</v>
      </c>
      <c r="C616" s="26" t="s">
        <v>533</v>
      </c>
      <c r="D616" s="26" t="s">
        <v>533</v>
      </c>
      <c r="E616" s="26" t="s">
        <v>533</v>
      </c>
    </row>
    <row r="617" s="29" customFormat="1" ht="124" spans="2:5">
      <c r="B617" s="11" t="s">
        <v>173</v>
      </c>
      <c r="C617" s="11" t="s">
        <v>173</v>
      </c>
      <c r="D617" s="11" t="s">
        <v>173</v>
      </c>
      <c r="E617" s="11" t="s">
        <v>173</v>
      </c>
    </row>
    <row r="618" s="29" customFormat="1" ht="156" spans="2:5">
      <c r="B618" s="12" t="s">
        <v>174</v>
      </c>
      <c r="C618" s="12" t="s">
        <v>174</v>
      </c>
      <c r="D618" s="12" t="s">
        <v>174</v>
      </c>
      <c r="E618" s="12" t="s">
        <v>174</v>
      </c>
    </row>
    <row r="619" s="29" customFormat="1" ht="68" spans="2:5">
      <c r="B619" s="13" t="s">
        <v>567</v>
      </c>
      <c r="C619" s="13" t="s">
        <v>567</v>
      </c>
      <c r="D619" s="13" t="s">
        <v>567</v>
      </c>
      <c r="E619" s="13" t="s">
        <v>567</v>
      </c>
    </row>
    <row r="620" s="29" customFormat="1" ht="22" spans="2:5">
      <c r="B620" s="14" t="s">
        <v>176</v>
      </c>
      <c r="C620" s="14" t="s">
        <v>176</v>
      </c>
      <c r="D620" s="14" t="s">
        <v>176</v>
      </c>
      <c r="E620" s="14" t="s">
        <v>176</v>
      </c>
    </row>
    <row r="621" s="29" customFormat="1" spans="2:5">
      <c r="B621" s="15" t="s">
        <v>177</v>
      </c>
      <c r="C621" s="16" t="s">
        <v>178</v>
      </c>
      <c r="D621" s="17" t="s">
        <v>179</v>
      </c>
      <c r="E621" s="18" t="s">
        <v>180</v>
      </c>
    </row>
    <row r="622" s="29" customFormat="1" ht="41" spans="2:5">
      <c r="B622" s="19" t="s">
        <v>325</v>
      </c>
      <c r="C622" s="20" t="s">
        <v>182</v>
      </c>
      <c r="D622" s="21">
        <v>65</v>
      </c>
      <c r="E622" s="22">
        <v>3617552.433589</v>
      </c>
    </row>
    <row r="623" s="29" customFormat="1" ht="28" spans="2:5">
      <c r="B623" s="19" t="s">
        <v>325</v>
      </c>
      <c r="C623" s="16" t="s">
        <v>183</v>
      </c>
      <c r="D623" s="23">
        <v>65</v>
      </c>
      <c r="E623" s="24">
        <v>3617552.433589</v>
      </c>
    </row>
    <row r="624" s="29" customFormat="1" ht="41" spans="2:5">
      <c r="B624" s="19" t="s">
        <v>622</v>
      </c>
      <c r="C624" s="20" t="s">
        <v>182</v>
      </c>
      <c r="D624" s="21">
        <v>2</v>
      </c>
      <c r="E624" s="22">
        <v>783784</v>
      </c>
    </row>
    <row r="625" s="29" customFormat="1" ht="28" spans="2:5">
      <c r="B625" s="19" t="s">
        <v>622</v>
      </c>
      <c r="C625" s="16" t="s">
        <v>183</v>
      </c>
      <c r="D625" s="23">
        <v>2</v>
      </c>
      <c r="E625" s="24">
        <v>783784</v>
      </c>
    </row>
    <row r="626" s="29" customFormat="1" ht="41" spans="2:5">
      <c r="B626" s="19" t="s">
        <v>623</v>
      </c>
      <c r="C626" s="20" t="s">
        <v>182</v>
      </c>
      <c r="D626" s="21">
        <v>4</v>
      </c>
      <c r="E626" s="22">
        <v>1300900.900901</v>
      </c>
    </row>
    <row r="627" s="29" customFormat="1" ht="28" spans="2:5">
      <c r="B627" s="19" t="s">
        <v>623</v>
      </c>
      <c r="C627" s="16" t="s">
        <v>183</v>
      </c>
      <c r="D627" s="23">
        <v>4</v>
      </c>
      <c r="E627" s="24">
        <v>1300900.900901</v>
      </c>
    </row>
    <row r="628" s="29" customFormat="1" ht="41" spans="2:5">
      <c r="B628" s="19" t="s">
        <v>624</v>
      </c>
      <c r="C628" s="20" t="s">
        <v>182</v>
      </c>
      <c r="D628" s="21">
        <v>8</v>
      </c>
      <c r="E628" s="22">
        <v>0</v>
      </c>
    </row>
    <row r="629" s="29" customFormat="1" ht="28" spans="2:5">
      <c r="B629" s="19" t="s">
        <v>624</v>
      </c>
      <c r="C629" s="16" t="s">
        <v>183</v>
      </c>
      <c r="D629" s="23">
        <v>8</v>
      </c>
      <c r="E629" s="24">
        <v>0</v>
      </c>
    </row>
    <row r="630" s="29" customFormat="1" ht="41" spans="2:5">
      <c r="B630" s="19" t="s">
        <v>328</v>
      </c>
      <c r="C630" s="20" t="s">
        <v>182</v>
      </c>
      <c r="D630" s="21">
        <v>16</v>
      </c>
      <c r="E630" s="22">
        <v>0</v>
      </c>
    </row>
    <row r="631" s="29" customFormat="1" ht="28" spans="2:5">
      <c r="B631" s="19" t="s">
        <v>328</v>
      </c>
      <c r="C631" s="16" t="s">
        <v>183</v>
      </c>
      <c r="D631" s="23">
        <v>16</v>
      </c>
      <c r="E631" s="24">
        <v>0</v>
      </c>
    </row>
    <row r="632" s="29" customFormat="1" ht="41" spans="2:5">
      <c r="B632" s="19" t="s">
        <v>329</v>
      </c>
      <c r="C632" s="20" t="s">
        <v>182</v>
      </c>
      <c r="D632" s="21">
        <v>4</v>
      </c>
      <c r="E632" s="22">
        <v>0</v>
      </c>
    </row>
    <row r="633" s="29" customFormat="1" ht="28.75" spans="2:5">
      <c r="B633" s="19" t="s">
        <v>329</v>
      </c>
      <c r="C633" s="16" t="s">
        <v>183</v>
      </c>
      <c r="D633" s="23">
        <v>4</v>
      </c>
      <c r="E633" s="24">
        <v>0</v>
      </c>
    </row>
    <row r="634" s="29" customFormat="1" spans="2:5">
      <c r="B634" s="25"/>
      <c r="C634" s="25"/>
      <c r="D634" s="25"/>
      <c r="E634" s="25"/>
    </row>
    <row r="635" s="29" customFormat="1" ht="36" spans="2:5">
      <c r="B635" s="26" t="s">
        <v>189</v>
      </c>
      <c r="C635" s="26" t="s">
        <v>189</v>
      </c>
      <c r="D635" s="26" t="s">
        <v>189</v>
      </c>
      <c r="E635" s="26" t="s">
        <v>189</v>
      </c>
    </row>
    <row r="636" s="29" customFormat="1" spans="2:5">
      <c r="B636" s="26"/>
      <c r="C636" s="26"/>
      <c r="D636" s="26"/>
      <c r="E636" s="26"/>
    </row>
    <row r="637" s="29" customFormat="1" ht="36" spans="2:5">
      <c r="B637" s="26" t="s">
        <v>573</v>
      </c>
      <c r="C637" s="26" t="s">
        <v>573</v>
      </c>
      <c r="D637" s="26" t="s">
        <v>573</v>
      </c>
      <c r="E637" s="26" t="s">
        <v>573</v>
      </c>
    </row>
    <row r="638" s="29" customFormat="1" spans="2:5">
      <c r="B638" s="26" t="s">
        <v>540</v>
      </c>
      <c r="C638" s="26" t="s">
        <v>540</v>
      </c>
      <c r="D638" s="26" t="s">
        <v>540</v>
      </c>
      <c r="E638" s="26" t="s">
        <v>540</v>
      </c>
    </row>
    <row r="639" s="29" customFormat="1" ht="124" spans="2:5">
      <c r="B639" s="11" t="s">
        <v>173</v>
      </c>
      <c r="C639" s="11" t="s">
        <v>173</v>
      </c>
      <c r="D639" s="11" t="s">
        <v>173</v>
      </c>
      <c r="E639" s="11" t="s">
        <v>173</v>
      </c>
    </row>
    <row r="640" s="29" customFormat="1" ht="156" spans="2:5">
      <c r="B640" s="12" t="s">
        <v>174</v>
      </c>
      <c r="C640" s="12" t="s">
        <v>174</v>
      </c>
      <c r="D640" s="12" t="s">
        <v>174</v>
      </c>
      <c r="E640" s="12" t="s">
        <v>174</v>
      </c>
    </row>
    <row r="641" s="29" customFormat="1" ht="68" spans="2:5">
      <c r="B641" s="13" t="s">
        <v>567</v>
      </c>
      <c r="C641" s="13" t="s">
        <v>567</v>
      </c>
      <c r="D641" s="13" t="s">
        <v>567</v>
      </c>
      <c r="E641" s="13" t="s">
        <v>567</v>
      </c>
    </row>
    <row r="642" s="29" customFormat="1" ht="22" spans="2:5">
      <c r="B642" s="14" t="s">
        <v>176</v>
      </c>
      <c r="C642" s="14" t="s">
        <v>176</v>
      </c>
      <c r="D642" s="14" t="s">
        <v>176</v>
      </c>
      <c r="E642" s="14" t="s">
        <v>176</v>
      </c>
    </row>
    <row r="643" s="29" customFormat="1" spans="2:5">
      <c r="B643" s="15" t="s">
        <v>177</v>
      </c>
      <c r="C643" s="16" t="s">
        <v>178</v>
      </c>
      <c r="D643" s="17" t="s">
        <v>179</v>
      </c>
      <c r="E643" s="18" t="s">
        <v>180</v>
      </c>
    </row>
    <row r="644" s="29" customFormat="1" ht="41" spans="2:5">
      <c r="B644" s="19" t="s">
        <v>468</v>
      </c>
      <c r="C644" s="20" t="s">
        <v>182</v>
      </c>
      <c r="D644" s="21">
        <v>8</v>
      </c>
      <c r="E644" s="22">
        <v>677702.702703</v>
      </c>
    </row>
    <row r="645" s="29" customFormat="1" spans="2:5">
      <c r="B645" s="19" t="s">
        <v>468</v>
      </c>
      <c r="C645" s="16" t="s">
        <v>183</v>
      </c>
      <c r="D645" s="23">
        <v>8</v>
      </c>
      <c r="E645" s="24">
        <v>677702.702703</v>
      </c>
    </row>
    <row r="646" s="29" customFormat="1" ht="41" spans="2:5">
      <c r="B646" s="19" t="s">
        <v>522</v>
      </c>
      <c r="C646" s="20" t="s">
        <v>182</v>
      </c>
      <c r="D646" s="21">
        <v>24</v>
      </c>
      <c r="E646" s="22">
        <v>501261.261261</v>
      </c>
    </row>
    <row r="647" s="29" customFormat="1" spans="2:5">
      <c r="B647" s="19" t="s">
        <v>522</v>
      </c>
      <c r="C647" s="16" t="s">
        <v>183</v>
      </c>
      <c r="D647" s="23">
        <v>24</v>
      </c>
      <c r="E647" s="24">
        <v>501261.261261</v>
      </c>
    </row>
    <row r="648" s="29" customFormat="1" ht="41" spans="2:5">
      <c r="B648" s="19" t="s">
        <v>333</v>
      </c>
      <c r="C648" s="20" t="s">
        <v>182</v>
      </c>
      <c r="D648" s="21">
        <v>20</v>
      </c>
      <c r="E648" s="22">
        <v>0</v>
      </c>
    </row>
    <row r="649" s="29" customFormat="1" ht="28" spans="2:5">
      <c r="B649" s="19" t="s">
        <v>333</v>
      </c>
      <c r="C649" s="16" t="s">
        <v>183</v>
      </c>
      <c r="D649" s="23">
        <v>20</v>
      </c>
      <c r="E649" s="24">
        <v>0</v>
      </c>
    </row>
    <row r="650" s="29" customFormat="1" ht="41" spans="2:5">
      <c r="B650" s="19" t="s">
        <v>334</v>
      </c>
      <c r="C650" s="20" t="s">
        <v>182</v>
      </c>
      <c r="D650" s="21">
        <v>36</v>
      </c>
      <c r="E650" s="22">
        <v>0</v>
      </c>
    </row>
    <row r="651" s="29" customFormat="1" ht="28" spans="2:5">
      <c r="B651" s="19" t="s">
        <v>334</v>
      </c>
      <c r="C651" s="16" t="s">
        <v>183</v>
      </c>
      <c r="D651" s="23">
        <v>36</v>
      </c>
      <c r="E651" s="24">
        <v>0</v>
      </c>
    </row>
    <row r="652" s="29" customFormat="1" ht="41" spans="2:5">
      <c r="B652" s="19" t="s">
        <v>625</v>
      </c>
      <c r="C652" s="20" t="s">
        <v>182</v>
      </c>
      <c r="D652" s="21">
        <v>4</v>
      </c>
      <c r="E652" s="22">
        <v>976576.576577</v>
      </c>
    </row>
    <row r="653" s="29" customFormat="1" ht="28" spans="2:5">
      <c r="B653" s="19" t="s">
        <v>625</v>
      </c>
      <c r="C653" s="16" t="s">
        <v>183</v>
      </c>
      <c r="D653" s="23">
        <v>4</v>
      </c>
      <c r="E653" s="24">
        <v>976576.576577</v>
      </c>
    </row>
    <row r="654" s="29" customFormat="1" ht="41" spans="2:5">
      <c r="B654" s="19" t="s">
        <v>626</v>
      </c>
      <c r="C654" s="20" t="s">
        <v>182</v>
      </c>
      <c r="D654" s="21">
        <v>4</v>
      </c>
      <c r="E654" s="22">
        <v>1030630.306306</v>
      </c>
    </row>
    <row r="655" s="29" customFormat="1" ht="28.75" spans="2:5">
      <c r="B655" s="19" t="s">
        <v>626</v>
      </c>
      <c r="C655" s="16" t="s">
        <v>183</v>
      </c>
      <c r="D655" s="23">
        <v>4</v>
      </c>
      <c r="E655" s="24">
        <v>1030630.306306</v>
      </c>
    </row>
    <row r="656" s="29" customFormat="1" spans="2:5">
      <c r="B656" s="25"/>
      <c r="C656" s="25"/>
      <c r="D656" s="25"/>
      <c r="E656" s="25"/>
    </row>
    <row r="657" s="29" customFormat="1" ht="36" spans="2:5">
      <c r="B657" s="26" t="s">
        <v>189</v>
      </c>
      <c r="C657" s="26" t="s">
        <v>189</v>
      </c>
      <c r="D657" s="26" t="s">
        <v>189</v>
      </c>
      <c r="E657" s="26" t="s">
        <v>189</v>
      </c>
    </row>
    <row r="658" s="29" customFormat="1" spans="2:5">
      <c r="B658" s="26"/>
      <c r="C658" s="26"/>
      <c r="D658" s="26"/>
      <c r="E658" s="26"/>
    </row>
    <row r="659" s="29" customFormat="1" ht="36" spans="2:5">
      <c r="B659" s="26" t="s">
        <v>573</v>
      </c>
      <c r="C659" s="26" t="s">
        <v>573</v>
      </c>
      <c r="D659" s="26" t="s">
        <v>573</v>
      </c>
      <c r="E659" s="26" t="s">
        <v>573</v>
      </c>
    </row>
    <row r="660" s="29" customFormat="1" spans="2:5">
      <c r="B660" s="26" t="s">
        <v>547</v>
      </c>
      <c r="C660" s="26" t="s">
        <v>547</v>
      </c>
      <c r="D660" s="26" t="s">
        <v>547</v>
      </c>
      <c r="E660" s="26" t="s">
        <v>547</v>
      </c>
    </row>
    <row r="661" s="29" customFormat="1" ht="124" spans="2:5">
      <c r="B661" s="11" t="s">
        <v>173</v>
      </c>
      <c r="C661" s="11" t="s">
        <v>173</v>
      </c>
      <c r="D661" s="11" t="s">
        <v>173</v>
      </c>
      <c r="E661" s="11" t="s">
        <v>173</v>
      </c>
    </row>
    <row r="662" s="29" customFormat="1" ht="156" spans="2:5">
      <c r="B662" s="12" t="s">
        <v>174</v>
      </c>
      <c r="C662" s="12" t="s">
        <v>174</v>
      </c>
      <c r="D662" s="12" t="s">
        <v>174</v>
      </c>
      <c r="E662" s="12" t="s">
        <v>174</v>
      </c>
    </row>
    <row r="663" s="29" customFormat="1" ht="68" spans="2:5">
      <c r="B663" s="13" t="s">
        <v>567</v>
      </c>
      <c r="C663" s="13" t="s">
        <v>567</v>
      </c>
      <c r="D663" s="13" t="s">
        <v>567</v>
      </c>
      <c r="E663" s="13" t="s">
        <v>567</v>
      </c>
    </row>
    <row r="664" s="29" customFormat="1" ht="22" spans="2:5">
      <c r="B664" s="14" t="s">
        <v>176</v>
      </c>
      <c r="C664" s="14" t="s">
        <v>176</v>
      </c>
      <c r="D664" s="14" t="s">
        <v>176</v>
      </c>
      <c r="E664" s="14" t="s">
        <v>176</v>
      </c>
    </row>
    <row r="665" s="29" customFormat="1" spans="2:5">
      <c r="B665" s="15" t="s">
        <v>177</v>
      </c>
      <c r="C665" s="16" t="s">
        <v>178</v>
      </c>
      <c r="D665" s="17" t="s">
        <v>179</v>
      </c>
      <c r="E665" s="18" t="s">
        <v>180</v>
      </c>
    </row>
    <row r="666" s="29" customFormat="1" ht="41" spans="2:5">
      <c r="B666" s="19" t="s">
        <v>627</v>
      </c>
      <c r="C666" s="20" t="s">
        <v>182</v>
      </c>
      <c r="D666" s="21">
        <v>1</v>
      </c>
      <c r="E666" s="22">
        <v>110500</v>
      </c>
    </row>
    <row r="667" s="29" customFormat="1" ht="28" spans="2:5">
      <c r="B667" s="19" t="s">
        <v>627</v>
      </c>
      <c r="C667" s="16" t="s">
        <v>183</v>
      </c>
      <c r="D667" s="23">
        <v>1</v>
      </c>
      <c r="E667" s="24">
        <v>110500</v>
      </c>
    </row>
    <row r="668" s="29" customFormat="1" ht="41" spans="2:5">
      <c r="B668" s="19" t="s">
        <v>628</v>
      </c>
      <c r="C668" s="20" t="s">
        <v>182</v>
      </c>
      <c r="D668" s="21">
        <v>6</v>
      </c>
      <c r="E668" s="22">
        <v>37837.531531</v>
      </c>
    </row>
    <row r="669" s="29" customFormat="1" spans="2:5">
      <c r="B669" s="19" t="s">
        <v>628</v>
      </c>
      <c r="C669" s="16" t="s">
        <v>183</v>
      </c>
      <c r="D669" s="23">
        <v>6</v>
      </c>
      <c r="E669" s="24">
        <v>37837.531531</v>
      </c>
    </row>
    <row r="670" s="29" customFormat="1" ht="41" spans="2:5">
      <c r="B670" s="19" t="s">
        <v>629</v>
      </c>
      <c r="C670" s="20" t="s">
        <v>182</v>
      </c>
      <c r="D670" s="21">
        <v>1</v>
      </c>
      <c r="E670" s="22">
        <v>747747.747748</v>
      </c>
    </row>
    <row r="671" s="29" customFormat="1" ht="28" spans="2:5">
      <c r="B671" s="19" t="s">
        <v>629</v>
      </c>
      <c r="C671" s="16" t="s">
        <v>183</v>
      </c>
      <c r="D671" s="23">
        <v>1</v>
      </c>
      <c r="E671" s="24">
        <v>747747.747748</v>
      </c>
    </row>
    <row r="672" s="29" customFormat="1" ht="41" spans="2:5">
      <c r="B672" s="19" t="s">
        <v>336</v>
      </c>
      <c r="C672" s="20" t="s">
        <v>182</v>
      </c>
      <c r="D672" s="21">
        <v>14</v>
      </c>
      <c r="E672" s="22">
        <v>0</v>
      </c>
    </row>
    <row r="673" s="29" customFormat="1" spans="2:5">
      <c r="B673" s="19" t="s">
        <v>336</v>
      </c>
      <c r="C673" s="16" t="s">
        <v>183</v>
      </c>
      <c r="D673" s="23">
        <v>14</v>
      </c>
      <c r="E673" s="24">
        <v>0</v>
      </c>
    </row>
    <row r="674" s="29" customFormat="1" ht="41" spans="2:5">
      <c r="B674" s="19" t="s">
        <v>470</v>
      </c>
      <c r="C674" s="20" t="s">
        <v>182</v>
      </c>
      <c r="D674" s="21">
        <v>2</v>
      </c>
      <c r="E674" s="22">
        <v>0</v>
      </c>
    </row>
    <row r="675" s="29" customFormat="1" ht="28" spans="2:5">
      <c r="B675" s="19" t="s">
        <v>470</v>
      </c>
      <c r="C675" s="16" t="s">
        <v>183</v>
      </c>
      <c r="D675" s="23">
        <v>2</v>
      </c>
      <c r="E675" s="24">
        <v>0</v>
      </c>
    </row>
    <row r="676" s="29" customFormat="1" ht="41" spans="2:5">
      <c r="B676" s="19" t="s">
        <v>534</v>
      </c>
      <c r="C676" s="20" t="s">
        <v>182</v>
      </c>
      <c r="D676" s="21">
        <v>1</v>
      </c>
      <c r="E676" s="22">
        <v>0</v>
      </c>
    </row>
    <row r="677" s="29" customFormat="1" ht="17.55" spans="2:5">
      <c r="B677" s="19" t="s">
        <v>534</v>
      </c>
      <c r="C677" s="16" t="s">
        <v>183</v>
      </c>
      <c r="D677" s="23">
        <v>1</v>
      </c>
      <c r="E677" s="24">
        <v>0</v>
      </c>
    </row>
    <row r="678" s="29" customFormat="1" spans="2:5">
      <c r="B678" s="25"/>
      <c r="C678" s="25"/>
      <c r="D678" s="25"/>
      <c r="E678" s="25"/>
    </row>
    <row r="679" s="29" customFormat="1" ht="36" spans="2:5">
      <c r="B679" s="26" t="s">
        <v>189</v>
      </c>
      <c r="C679" s="26" t="s">
        <v>189</v>
      </c>
      <c r="D679" s="26" t="s">
        <v>189</v>
      </c>
      <c r="E679" s="26" t="s">
        <v>189</v>
      </c>
    </row>
    <row r="680" s="29" customFormat="1" spans="2:5">
      <c r="B680" s="26"/>
      <c r="C680" s="26"/>
      <c r="D680" s="26"/>
      <c r="E680" s="26"/>
    </row>
    <row r="681" s="29" customFormat="1" ht="36" spans="2:5">
      <c r="B681" s="26" t="s">
        <v>573</v>
      </c>
      <c r="C681" s="26" t="s">
        <v>573</v>
      </c>
      <c r="D681" s="26" t="s">
        <v>573</v>
      </c>
      <c r="E681" s="26" t="s">
        <v>573</v>
      </c>
    </row>
    <row r="682" s="29" customFormat="1" spans="2:5">
      <c r="B682" s="26" t="s">
        <v>554</v>
      </c>
      <c r="C682" s="26" t="s">
        <v>554</v>
      </c>
      <c r="D682" s="26" t="s">
        <v>554</v>
      </c>
      <c r="E682" s="26" t="s">
        <v>554</v>
      </c>
    </row>
    <row r="683" s="29" customFormat="1" ht="124" spans="2:5">
      <c r="B683" s="11" t="s">
        <v>173</v>
      </c>
      <c r="C683" s="11" t="s">
        <v>173</v>
      </c>
      <c r="D683" s="11" t="s">
        <v>173</v>
      </c>
      <c r="E683" s="11" t="s">
        <v>173</v>
      </c>
    </row>
    <row r="684" s="29" customFormat="1" ht="156" spans="2:5">
      <c r="B684" s="12" t="s">
        <v>174</v>
      </c>
      <c r="C684" s="12" t="s">
        <v>174</v>
      </c>
      <c r="D684" s="12" t="s">
        <v>174</v>
      </c>
      <c r="E684" s="12" t="s">
        <v>174</v>
      </c>
    </row>
    <row r="685" s="29" customFormat="1" ht="68" spans="2:5">
      <c r="B685" s="13" t="s">
        <v>567</v>
      </c>
      <c r="C685" s="13" t="s">
        <v>567</v>
      </c>
      <c r="D685" s="13" t="s">
        <v>567</v>
      </c>
      <c r="E685" s="13" t="s">
        <v>567</v>
      </c>
    </row>
    <row r="686" s="29" customFormat="1" ht="22" spans="2:5">
      <c r="B686" s="14" t="s">
        <v>176</v>
      </c>
      <c r="C686" s="14" t="s">
        <v>176</v>
      </c>
      <c r="D686" s="14" t="s">
        <v>176</v>
      </c>
      <c r="E686" s="14" t="s">
        <v>176</v>
      </c>
    </row>
    <row r="687" s="29" customFormat="1" spans="2:5">
      <c r="B687" s="15" t="s">
        <v>177</v>
      </c>
      <c r="C687" s="16" t="s">
        <v>178</v>
      </c>
      <c r="D687" s="17" t="s">
        <v>179</v>
      </c>
      <c r="E687" s="18" t="s">
        <v>180</v>
      </c>
    </row>
    <row r="688" s="29" customFormat="1" ht="41" spans="2:5">
      <c r="B688" s="19" t="s">
        <v>630</v>
      </c>
      <c r="C688" s="20" t="s">
        <v>182</v>
      </c>
      <c r="D688" s="21">
        <v>2</v>
      </c>
      <c r="E688" s="22">
        <v>68468.468468</v>
      </c>
    </row>
    <row r="689" s="29" customFormat="1" spans="2:5">
      <c r="B689" s="19" t="s">
        <v>630</v>
      </c>
      <c r="C689" s="16" t="s">
        <v>183</v>
      </c>
      <c r="D689" s="23">
        <v>2</v>
      </c>
      <c r="E689" s="24">
        <v>68468.468468</v>
      </c>
    </row>
    <row r="690" s="29" customFormat="1" ht="41" spans="2:5">
      <c r="B690" s="19" t="s">
        <v>631</v>
      </c>
      <c r="C690" s="20" t="s">
        <v>182</v>
      </c>
      <c r="D690" s="21">
        <v>3</v>
      </c>
      <c r="E690" s="22">
        <v>0</v>
      </c>
    </row>
    <row r="691" s="29" customFormat="1" ht="28" spans="2:5">
      <c r="B691" s="19" t="s">
        <v>631</v>
      </c>
      <c r="C691" s="16" t="s">
        <v>183</v>
      </c>
      <c r="D691" s="23">
        <v>3</v>
      </c>
      <c r="E691" s="24">
        <v>0</v>
      </c>
    </row>
    <row r="692" s="29" customFormat="1" ht="41" spans="2:5">
      <c r="B692" s="19" t="s">
        <v>472</v>
      </c>
      <c r="C692" s="20" t="s">
        <v>182</v>
      </c>
      <c r="D692" s="21">
        <v>1</v>
      </c>
      <c r="E692" s="22">
        <v>0</v>
      </c>
    </row>
    <row r="693" s="29" customFormat="1" ht="28" spans="2:5">
      <c r="B693" s="19" t="s">
        <v>472</v>
      </c>
      <c r="C693" s="16" t="s">
        <v>183</v>
      </c>
      <c r="D693" s="23">
        <v>1</v>
      </c>
      <c r="E693" s="24">
        <v>0</v>
      </c>
    </row>
    <row r="694" s="29" customFormat="1" ht="41" spans="2:5">
      <c r="B694" s="19" t="s">
        <v>632</v>
      </c>
      <c r="C694" s="20" t="s">
        <v>182</v>
      </c>
      <c r="D694" s="21">
        <v>2</v>
      </c>
      <c r="E694" s="22">
        <v>756756</v>
      </c>
    </row>
    <row r="695" s="29" customFormat="1" ht="28" spans="2:5">
      <c r="B695" s="19" t="s">
        <v>632</v>
      </c>
      <c r="C695" s="16" t="s">
        <v>183</v>
      </c>
      <c r="D695" s="23">
        <v>2</v>
      </c>
      <c r="E695" s="24">
        <v>756756</v>
      </c>
    </row>
    <row r="696" s="29" customFormat="1" ht="41" spans="2:5">
      <c r="B696" s="19" t="s">
        <v>633</v>
      </c>
      <c r="C696" s="20" t="s">
        <v>182</v>
      </c>
      <c r="D696" s="21">
        <v>8</v>
      </c>
      <c r="E696" s="22">
        <v>450450</v>
      </c>
    </row>
    <row r="697" s="29" customFormat="1" ht="28" spans="2:5">
      <c r="B697" s="19" t="s">
        <v>633</v>
      </c>
      <c r="C697" s="16" t="s">
        <v>183</v>
      </c>
      <c r="D697" s="23">
        <v>8</v>
      </c>
      <c r="E697" s="24">
        <v>450450</v>
      </c>
    </row>
    <row r="698" s="29" customFormat="1" ht="41" spans="2:5">
      <c r="B698" s="19" t="s">
        <v>634</v>
      </c>
      <c r="C698" s="20" t="s">
        <v>182</v>
      </c>
      <c r="D698" s="21">
        <v>6</v>
      </c>
      <c r="E698" s="22">
        <v>441531.531532</v>
      </c>
    </row>
    <row r="699" s="29" customFormat="1" ht="28.75" spans="2:5">
      <c r="B699" s="19" t="s">
        <v>634</v>
      </c>
      <c r="C699" s="16" t="s">
        <v>183</v>
      </c>
      <c r="D699" s="23">
        <v>6</v>
      </c>
      <c r="E699" s="24">
        <v>441531.531532</v>
      </c>
    </row>
    <row r="700" s="29" customFormat="1" spans="2:5">
      <c r="B700" s="25"/>
      <c r="C700" s="25"/>
      <c r="D700" s="25"/>
      <c r="E700" s="25"/>
    </row>
    <row r="701" s="29" customFormat="1" ht="36" spans="2:5">
      <c r="B701" s="26" t="s">
        <v>189</v>
      </c>
      <c r="C701" s="26" t="s">
        <v>189</v>
      </c>
      <c r="D701" s="26" t="s">
        <v>189</v>
      </c>
      <c r="E701" s="26" t="s">
        <v>189</v>
      </c>
    </row>
    <row r="702" s="29" customFormat="1" spans="2:5">
      <c r="B702" s="26"/>
      <c r="C702" s="26"/>
      <c r="D702" s="26"/>
      <c r="E702" s="26"/>
    </row>
    <row r="703" s="29" customFormat="1" ht="36" spans="2:5">
      <c r="B703" s="26" t="s">
        <v>573</v>
      </c>
      <c r="C703" s="26" t="s">
        <v>573</v>
      </c>
      <c r="D703" s="26" t="s">
        <v>573</v>
      </c>
      <c r="E703" s="26" t="s">
        <v>573</v>
      </c>
    </row>
    <row r="704" s="29" customFormat="1" spans="2:5">
      <c r="B704" s="26" t="s">
        <v>561</v>
      </c>
      <c r="C704" s="26" t="s">
        <v>561</v>
      </c>
      <c r="D704" s="26" t="s">
        <v>561</v>
      </c>
      <c r="E704" s="26" t="s">
        <v>561</v>
      </c>
    </row>
    <row r="705" s="29" customFormat="1" ht="124" spans="2:5">
      <c r="B705" s="11" t="s">
        <v>173</v>
      </c>
      <c r="C705" s="11" t="s">
        <v>173</v>
      </c>
      <c r="D705" s="11" t="s">
        <v>173</v>
      </c>
      <c r="E705" s="11" t="s">
        <v>173</v>
      </c>
    </row>
    <row r="706" s="29" customFormat="1" ht="156" spans="2:5">
      <c r="B706" s="12" t="s">
        <v>174</v>
      </c>
      <c r="C706" s="12" t="s">
        <v>174</v>
      </c>
      <c r="D706" s="12" t="s">
        <v>174</v>
      </c>
      <c r="E706" s="12" t="s">
        <v>174</v>
      </c>
    </row>
    <row r="707" s="29" customFormat="1" ht="68" spans="2:5">
      <c r="B707" s="13" t="s">
        <v>567</v>
      </c>
      <c r="C707" s="13" t="s">
        <v>567</v>
      </c>
      <c r="D707" s="13" t="s">
        <v>567</v>
      </c>
      <c r="E707" s="13" t="s">
        <v>567</v>
      </c>
    </row>
    <row r="708" s="29" customFormat="1" ht="22" spans="2:5">
      <c r="B708" s="14" t="s">
        <v>176</v>
      </c>
      <c r="C708" s="14" t="s">
        <v>176</v>
      </c>
      <c r="D708" s="14" t="s">
        <v>176</v>
      </c>
      <c r="E708" s="14" t="s">
        <v>176</v>
      </c>
    </row>
    <row r="709" s="29" customFormat="1" spans="2:5">
      <c r="B709" s="15" t="s">
        <v>177</v>
      </c>
      <c r="C709" s="16" t="s">
        <v>178</v>
      </c>
      <c r="D709" s="17" t="s">
        <v>179</v>
      </c>
      <c r="E709" s="18" t="s">
        <v>180</v>
      </c>
    </row>
    <row r="710" s="29" customFormat="1" ht="41" spans="2:5">
      <c r="B710" s="19" t="s">
        <v>635</v>
      </c>
      <c r="C710" s="20" t="s">
        <v>182</v>
      </c>
      <c r="D710" s="21">
        <v>14</v>
      </c>
      <c r="E710" s="22">
        <v>1540000.270271</v>
      </c>
    </row>
    <row r="711" s="29" customFormat="1" ht="28" spans="2:5">
      <c r="B711" s="19" t="s">
        <v>635</v>
      </c>
      <c r="C711" s="16" t="s">
        <v>183</v>
      </c>
      <c r="D711" s="23">
        <v>14</v>
      </c>
      <c r="E711" s="24">
        <v>1540000.270271</v>
      </c>
    </row>
    <row r="712" s="29" customFormat="1" ht="41" spans="2:5">
      <c r="B712" s="19" t="s">
        <v>636</v>
      </c>
      <c r="C712" s="20" t="s">
        <v>182</v>
      </c>
      <c r="D712" s="21">
        <v>12</v>
      </c>
      <c r="E712" s="22">
        <v>1231892</v>
      </c>
    </row>
    <row r="713" s="29" customFormat="1" ht="28" spans="2:5">
      <c r="B713" s="19" t="s">
        <v>636</v>
      </c>
      <c r="C713" s="16" t="s">
        <v>183</v>
      </c>
      <c r="D713" s="23">
        <v>12</v>
      </c>
      <c r="E713" s="24">
        <v>1231892</v>
      </c>
    </row>
    <row r="714" s="29" customFormat="1" ht="41" spans="2:5">
      <c r="B714" s="19" t="s">
        <v>389</v>
      </c>
      <c r="C714" s="20" t="s">
        <v>182</v>
      </c>
      <c r="D714" s="21">
        <v>4</v>
      </c>
      <c r="E714" s="22">
        <v>18018.018018</v>
      </c>
    </row>
    <row r="715" s="29" customFormat="1" ht="28" spans="2:5">
      <c r="B715" s="19" t="s">
        <v>389</v>
      </c>
      <c r="C715" s="16" t="s">
        <v>183</v>
      </c>
      <c r="D715" s="23">
        <v>4</v>
      </c>
      <c r="E715" s="24">
        <v>18018.018018</v>
      </c>
    </row>
    <row r="716" s="29" customFormat="1" ht="41" spans="2:5">
      <c r="B716" s="19" t="s">
        <v>538</v>
      </c>
      <c r="C716" s="20" t="s">
        <v>182</v>
      </c>
      <c r="D716" s="21">
        <v>400</v>
      </c>
      <c r="E716" s="22">
        <v>0</v>
      </c>
    </row>
    <row r="717" s="29" customFormat="1" ht="28" spans="2:5">
      <c r="B717" s="19" t="s">
        <v>538</v>
      </c>
      <c r="C717" s="16" t="s">
        <v>183</v>
      </c>
      <c r="D717" s="23">
        <v>400</v>
      </c>
      <c r="E717" s="24">
        <v>0</v>
      </c>
    </row>
    <row r="718" s="29" customFormat="1" ht="41" spans="2:5">
      <c r="B718" s="19" t="s">
        <v>637</v>
      </c>
      <c r="C718" s="20" t="s">
        <v>182</v>
      </c>
      <c r="D718" s="21">
        <v>4</v>
      </c>
      <c r="E718" s="22">
        <v>183783.783784</v>
      </c>
    </row>
    <row r="719" s="29" customFormat="1" spans="2:5">
      <c r="B719" s="19" t="s">
        <v>637</v>
      </c>
      <c r="C719" s="16" t="s">
        <v>183</v>
      </c>
      <c r="D719" s="23">
        <v>4</v>
      </c>
      <c r="E719" s="24">
        <v>183783.783784</v>
      </c>
    </row>
    <row r="720" s="29" customFormat="1" ht="41" spans="2:5">
      <c r="B720" s="19" t="s">
        <v>638</v>
      </c>
      <c r="C720" s="20" t="s">
        <v>182</v>
      </c>
      <c r="D720" s="21">
        <v>4</v>
      </c>
      <c r="E720" s="22">
        <v>1104998.198198</v>
      </c>
    </row>
    <row r="721" s="29" customFormat="1" ht="28.75" spans="2:5">
      <c r="B721" s="19" t="s">
        <v>638</v>
      </c>
      <c r="C721" s="16" t="s">
        <v>183</v>
      </c>
      <c r="D721" s="23">
        <v>4</v>
      </c>
      <c r="E721" s="24">
        <v>1104998.198198</v>
      </c>
    </row>
    <row r="722" s="29" customFormat="1" spans="2:5">
      <c r="B722" s="25"/>
      <c r="C722" s="25"/>
      <c r="D722" s="25"/>
      <c r="E722" s="25"/>
    </row>
    <row r="723" s="29" customFormat="1" ht="36" spans="2:5">
      <c r="B723" s="26" t="s">
        <v>189</v>
      </c>
      <c r="C723" s="26" t="s">
        <v>189</v>
      </c>
      <c r="D723" s="26" t="s">
        <v>189</v>
      </c>
      <c r="E723" s="26" t="s">
        <v>189</v>
      </c>
    </row>
    <row r="724" s="29" customFormat="1" spans="2:5">
      <c r="B724" s="26"/>
      <c r="C724" s="26"/>
      <c r="D724" s="26"/>
      <c r="E724" s="26"/>
    </row>
    <row r="725" s="29" customFormat="1" ht="36" spans="2:5">
      <c r="B725" s="26" t="s">
        <v>573</v>
      </c>
      <c r="C725" s="26" t="s">
        <v>573</v>
      </c>
      <c r="D725" s="26" t="s">
        <v>573</v>
      </c>
      <c r="E725" s="26" t="s">
        <v>573</v>
      </c>
    </row>
    <row r="726" s="29" customFormat="1" spans="2:5">
      <c r="B726" s="26" t="s">
        <v>566</v>
      </c>
      <c r="C726" s="26" t="s">
        <v>566</v>
      </c>
      <c r="D726" s="26" t="s">
        <v>566</v>
      </c>
      <c r="E726" s="26" t="s">
        <v>566</v>
      </c>
    </row>
    <row r="727" s="29" customFormat="1" ht="124" spans="2:5">
      <c r="B727" s="11" t="s">
        <v>173</v>
      </c>
      <c r="C727" s="11" t="s">
        <v>173</v>
      </c>
      <c r="D727" s="11" t="s">
        <v>173</v>
      </c>
      <c r="E727" s="11" t="s">
        <v>173</v>
      </c>
    </row>
    <row r="728" s="29" customFormat="1" ht="156" spans="2:5">
      <c r="B728" s="12" t="s">
        <v>174</v>
      </c>
      <c r="C728" s="12" t="s">
        <v>174</v>
      </c>
      <c r="D728" s="12" t="s">
        <v>174</v>
      </c>
      <c r="E728" s="12" t="s">
        <v>174</v>
      </c>
    </row>
    <row r="729" s="29" customFormat="1" ht="68" spans="2:5">
      <c r="B729" s="13" t="s">
        <v>567</v>
      </c>
      <c r="C729" s="13" t="s">
        <v>567</v>
      </c>
      <c r="D729" s="13" t="s">
        <v>567</v>
      </c>
      <c r="E729" s="13" t="s">
        <v>567</v>
      </c>
    </row>
    <row r="730" s="29" customFormat="1" ht="22" spans="2:5">
      <c r="B730" s="14" t="s">
        <v>176</v>
      </c>
      <c r="C730" s="14" t="s">
        <v>176</v>
      </c>
      <c r="D730" s="14" t="s">
        <v>176</v>
      </c>
      <c r="E730" s="14" t="s">
        <v>176</v>
      </c>
    </row>
    <row r="731" s="29" customFormat="1" spans="2:5">
      <c r="B731" s="15" t="s">
        <v>177</v>
      </c>
      <c r="C731" s="16" t="s">
        <v>178</v>
      </c>
      <c r="D731" s="17" t="s">
        <v>179</v>
      </c>
      <c r="E731" s="18" t="s">
        <v>180</v>
      </c>
    </row>
    <row r="732" s="29" customFormat="1" ht="41" spans="2:5">
      <c r="B732" s="19" t="s">
        <v>639</v>
      </c>
      <c r="C732" s="20" t="s">
        <v>182</v>
      </c>
      <c r="D732" s="21">
        <v>2</v>
      </c>
      <c r="E732" s="22">
        <v>315315.315316</v>
      </c>
    </row>
    <row r="733" s="29" customFormat="1" spans="2:5">
      <c r="B733" s="19" t="s">
        <v>639</v>
      </c>
      <c r="C733" s="16" t="s">
        <v>183</v>
      </c>
      <c r="D733" s="23">
        <v>2</v>
      </c>
      <c r="E733" s="24">
        <v>315315.315316</v>
      </c>
    </row>
    <row r="734" s="29" customFormat="1" ht="41" spans="2:5">
      <c r="B734" s="19" t="s">
        <v>640</v>
      </c>
      <c r="C734" s="20" t="s">
        <v>182</v>
      </c>
      <c r="D734" s="21">
        <v>1</v>
      </c>
      <c r="E734" s="22">
        <v>1020500</v>
      </c>
    </row>
    <row r="735" s="29" customFormat="1" ht="28" spans="2:5">
      <c r="B735" s="19" t="s">
        <v>640</v>
      </c>
      <c r="C735" s="16" t="s">
        <v>183</v>
      </c>
      <c r="D735" s="23">
        <v>1</v>
      </c>
      <c r="E735" s="24">
        <v>1020500</v>
      </c>
    </row>
    <row r="736" s="29" customFormat="1" ht="41" spans="2:5">
      <c r="B736" s="19" t="s">
        <v>641</v>
      </c>
      <c r="C736" s="20" t="s">
        <v>182</v>
      </c>
      <c r="D736" s="21">
        <v>1</v>
      </c>
      <c r="E736" s="22">
        <v>845000</v>
      </c>
    </row>
    <row r="737" s="29" customFormat="1" ht="28" spans="2:5">
      <c r="B737" s="19" t="s">
        <v>641</v>
      </c>
      <c r="C737" s="16" t="s">
        <v>183</v>
      </c>
      <c r="D737" s="23">
        <v>1</v>
      </c>
      <c r="E737" s="24">
        <v>845000</v>
      </c>
    </row>
    <row r="738" s="29" customFormat="1" ht="41" spans="2:5">
      <c r="B738" s="19" t="s">
        <v>642</v>
      </c>
      <c r="C738" s="20" t="s">
        <v>182</v>
      </c>
      <c r="D738" s="21">
        <v>1</v>
      </c>
      <c r="E738" s="22">
        <v>163062.648649</v>
      </c>
    </row>
    <row r="739" s="29" customFormat="1" ht="28" spans="2:5">
      <c r="B739" s="19" t="s">
        <v>642</v>
      </c>
      <c r="C739" s="16" t="s">
        <v>183</v>
      </c>
      <c r="D739" s="23">
        <v>1</v>
      </c>
      <c r="E739" s="24">
        <v>163062.648649</v>
      </c>
    </row>
    <row r="740" s="29" customFormat="1" ht="41" spans="2:5">
      <c r="B740" s="19" t="s">
        <v>643</v>
      </c>
      <c r="C740" s="20" t="s">
        <v>182</v>
      </c>
      <c r="D740" s="21">
        <v>1</v>
      </c>
      <c r="E740" s="22">
        <v>663063.063063</v>
      </c>
    </row>
    <row r="741" s="29" customFormat="1" ht="28" spans="2:5">
      <c r="B741" s="19" t="s">
        <v>643</v>
      </c>
      <c r="C741" s="16" t="s">
        <v>183</v>
      </c>
      <c r="D741" s="23">
        <v>1</v>
      </c>
      <c r="E741" s="24">
        <v>663063.063063</v>
      </c>
    </row>
    <row r="742" s="29" customFormat="1" ht="41" spans="2:5">
      <c r="B742" s="19" t="s">
        <v>644</v>
      </c>
      <c r="C742" s="20" t="s">
        <v>182</v>
      </c>
      <c r="D742" s="21">
        <v>1</v>
      </c>
      <c r="E742" s="22">
        <v>450450.45045</v>
      </c>
    </row>
    <row r="743" s="29" customFormat="1" ht="41.75" spans="2:5">
      <c r="B743" s="19" t="s">
        <v>644</v>
      </c>
      <c r="C743" s="16" t="s">
        <v>183</v>
      </c>
      <c r="D743" s="23">
        <v>1</v>
      </c>
      <c r="E743" s="24">
        <v>450450.45045</v>
      </c>
    </row>
    <row r="744" s="29" customFormat="1" spans="2:5">
      <c r="B744" s="25"/>
      <c r="C744" s="25"/>
      <c r="D744" s="25"/>
      <c r="E744" s="25"/>
    </row>
    <row r="745" s="29" customFormat="1" ht="36" spans="2:5">
      <c r="B745" s="26" t="s">
        <v>189</v>
      </c>
      <c r="C745" s="26" t="s">
        <v>189</v>
      </c>
      <c r="D745" s="26" t="s">
        <v>189</v>
      </c>
      <c r="E745" s="26" t="s">
        <v>189</v>
      </c>
    </row>
    <row r="746" s="29" customFormat="1" spans="2:5">
      <c r="B746" s="26"/>
      <c r="C746" s="26"/>
      <c r="D746" s="26"/>
      <c r="E746" s="26"/>
    </row>
    <row r="747" s="29" customFormat="1" ht="36" spans="2:5">
      <c r="B747" s="26" t="s">
        <v>573</v>
      </c>
      <c r="C747" s="26" t="s">
        <v>573</v>
      </c>
      <c r="D747" s="26" t="s">
        <v>573</v>
      </c>
      <c r="E747" s="26" t="s">
        <v>573</v>
      </c>
    </row>
    <row r="748" s="29" customFormat="1" spans="2:5">
      <c r="B748" s="26" t="s">
        <v>645</v>
      </c>
      <c r="C748" s="26" t="s">
        <v>645</v>
      </c>
      <c r="D748" s="26" t="s">
        <v>645</v>
      </c>
      <c r="E748" s="26" t="s">
        <v>645</v>
      </c>
    </row>
    <row r="749" s="29" customFormat="1" ht="124" spans="2:5">
      <c r="B749" s="11" t="s">
        <v>173</v>
      </c>
      <c r="C749" s="11" t="s">
        <v>173</v>
      </c>
      <c r="D749" s="11" t="s">
        <v>173</v>
      </c>
      <c r="E749" s="11" t="s">
        <v>173</v>
      </c>
    </row>
    <row r="750" s="29" customFormat="1" ht="156" spans="2:5">
      <c r="B750" s="12" t="s">
        <v>174</v>
      </c>
      <c r="C750" s="12" t="s">
        <v>174</v>
      </c>
      <c r="D750" s="12" t="s">
        <v>174</v>
      </c>
      <c r="E750" s="12" t="s">
        <v>174</v>
      </c>
    </row>
    <row r="751" s="29" customFormat="1" ht="68" spans="2:5">
      <c r="B751" s="13" t="s">
        <v>567</v>
      </c>
      <c r="C751" s="13" t="s">
        <v>567</v>
      </c>
      <c r="D751" s="13" t="s">
        <v>567</v>
      </c>
      <c r="E751" s="13" t="s">
        <v>567</v>
      </c>
    </row>
    <row r="752" s="29" customFormat="1" ht="22" spans="2:5">
      <c r="B752" s="14" t="s">
        <v>176</v>
      </c>
      <c r="C752" s="14" t="s">
        <v>176</v>
      </c>
      <c r="D752" s="14" t="s">
        <v>176</v>
      </c>
      <c r="E752" s="14" t="s">
        <v>176</v>
      </c>
    </row>
    <row r="753" s="29" customFormat="1" spans="2:5">
      <c r="B753" s="15" t="s">
        <v>177</v>
      </c>
      <c r="C753" s="16" t="s">
        <v>178</v>
      </c>
      <c r="D753" s="17" t="s">
        <v>179</v>
      </c>
      <c r="E753" s="18" t="s">
        <v>180</v>
      </c>
    </row>
    <row r="754" s="29" customFormat="1" ht="41" spans="2:5">
      <c r="B754" s="19" t="s">
        <v>646</v>
      </c>
      <c r="C754" s="20" t="s">
        <v>182</v>
      </c>
      <c r="D754" s="21">
        <v>2</v>
      </c>
      <c r="E754" s="22">
        <v>227027.027028</v>
      </c>
    </row>
    <row r="755" s="29" customFormat="1" ht="28" spans="2:5">
      <c r="B755" s="19" t="s">
        <v>646</v>
      </c>
      <c r="C755" s="16" t="s">
        <v>183</v>
      </c>
      <c r="D755" s="23">
        <v>2</v>
      </c>
      <c r="E755" s="24">
        <v>227027.027028</v>
      </c>
    </row>
    <row r="756" s="29" customFormat="1" ht="41" spans="2:5">
      <c r="B756" s="19" t="s">
        <v>647</v>
      </c>
      <c r="C756" s="20" t="s">
        <v>182</v>
      </c>
      <c r="D756" s="21">
        <v>1</v>
      </c>
      <c r="E756" s="22">
        <v>1079000.495496</v>
      </c>
    </row>
    <row r="757" s="29" customFormat="1" ht="28" spans="2:5">
      <c r="B757" s="19" t="s">
        <v>647</v>
      </c>
      <c r="C757" s="16" t="s">
        <v>183</v>
      </c>
      <c r="D757" s="23">
        <v>1</v>
      </c>
      <c r="E757" s="24">
        <v>1079000.495496</v>
      </c>
    </row>
    <row r="758" s="29" customFormat="1" ht="41" spans="2:5">
      <c r="B758" s="19" t="s">
        <v>648</v>
      </c>
      <c r="C758" s="20" t="s">
        <v>182</v>
      </c>
      <c r="D758" s="21">
        <v>1</v>
      </c>
      <c r="E758" s="22">
        <v>769619.465239</v>
      </c>
    </row>
    <row r="759" s="29" customFormat="1" ht="28" spans="2:5">
      <c r="B759" s="19" t="s">
        <v>648</v>
      </c>
      <c r="C759" s="16" t="s">
        <v>183</v>
      </c>
      <c r="D759" s="23">
        <v>1</v>
      </c>
      <c r="E759" s="24">
        <v>769619.465239</v>
      </c>
    </row>
    <row r="760" s="29" customFormat="1" ht="41" spans="2:5">
      <c r="B760" s="19" t="s">
        <v>649</v>
      </c>
      <c r="C760" s="20" t="s">
        <v>182</v>
      </c>
      <c r="D760" s="21">
        <v>3</v>
      </c>
      <c r="E760" s="22">
        <v>0</v>
      </c>
    </row>
    <row r="761" s="29" customFormat="1" spans="2:5">
      <c r="B761" s="19" t="s">
        <v>649</v>
      </c>
      <c r="C761" s="16" t="s">
        <v>183</v>
      </c>
      <c r="D761" s="23">
        <v>3</v>
      </c>
      <c r="E761" s="24">
        <v>0</v>
      </c>
    </row>
    <row r="762" s="29" customFormat="1" ht="41" spans="2:5">
      <c r="B762" s="19" t="s">
        <v>650</v>
      </c>
      <c r="C762" s="20" t="s">
        <v>182</v>
      </c>
      <c r="D762" s="21">
        <v>1</v>
      </c>
      <c r="E762" s="22">
        <v>277477.477477</v>
      </c>
    </row>
    <row r="763" s="29" customFormat="1" ht="28" spans="2:5">
      <c r="B763" s="19" t="s">
        <v>650</v>
      </c>
      <c r="C763" s="16" t="s">
        <v>183</v>
      </c>
      <c r="D763" s="23">
        <v>1</v>
      </c>
      <c r="E763" s="24">
        <v>277477.477477</v>
      </c>
    </row>
    <row r="764" s="29" customFormat="1" ht="41" spans="2:5">
      <c r="B764" s="19" t="s">
        <v>651</v>
      </c>
      <c r="C764" s="20" t="s">
        <v>182</v>
      </c>
      <c r="D764" s="21">
        <v>1</v>
      </c>
      <c r="E764" s="22">
        <v>216216.216216</v>
      </c>
    </row>
    <row r="765" s="29" customFormat="1" ht="41.75" spans="2:5">
      <c r="B765" s="19" t="s">
        <v>651</v>
      </c>
      <c r="C765" s="16" t="s">
        <v>183</v>
      </c>
      <c r="D765" s="23">
        <v>1</v>
      </c>
      <c r="E765" s="24">
        <v>216216.216216</v>
      </c>
    </row>
    <row r="766" s="29" customFormat="1" spans="2:5">
      <c r="B766" s="25"/>
      <c r="C766" s="25"/>
      <c r="D766" s="25"/>
      <c r="E766" s="25"/>
    </row>
    <row r="767" s="29" customFormat="1" ht="36" spans="2:5">
      <c r="B767" s="26" t="s">
        <v>189</v>
      </c>
      <c r="C767" s="26" t="s">
        <v>189</v>
      </c>
      <c r="D767" s="26" t="s">
        <v>189</v>
      </c>
      <c r="E767" s="26" t="s">
        <v>189</v>
      </c>
    </row>
    <row r="768" s="29" customFormat="1" spans="2:5">
      <c r="B768" s="26"/>
      <c r="C768" s="26"/>
      <c r="D768" s="26"/>
      <c r="E768" s="26"/>
    </row>
    <row r="769" s="29" customFormat="1" ht="36" spans="2:5">
      <c r="B769" s="26" t="s">
        <v>573</v>
      </c>
      <c r="C769" s="26" t="s">
        <v>573</v>
      </c>
      <c r="D769" s="26" t="s">
        <v>573</v>
      </c>
      <c r="E769" s="26" t="s">
        <v>573</v>
      </c>
    </row>
    <row r="770" s="29" customFormat="1" spans="2:5">
      <c r="B770" s="26" t="s">
        <v>652</v>
      </c>
      <c r="C770" s="26" t="s">
        <v>652</v>
      </c>
      <c r="D770" s="26" t="s">
        <v>652</v>
      </c>
      <c r="E770" s="26" t="s">
        <v>652</v>
      </c>
    </row>
    <row r="771" s="29" customFormat="1" ht="124" spans="2:5">
      <c r="B771" s="11" t="s">
        <v>173</v>
      </c>
      <c r="C771" s="11" t="s">
        <v>173</v>
      </c>
      <c r="D771" s="11" t="s">
        <v>173</v>
      </c>
      <c r="E771" s="11" t="s">
        <v>173</v>
      </c>
    </row>
    <row r="772" s="29" customFormat="1" ht="156" spans="2:5">
      <c r="B772" s="12" t="s">
        <v>174</v>
      </c>
      <c r="C772" s="12" t="s">
        <v>174</v>
      </c>
      <c r="D772" s="12" t="s">
        <v>174</v>
      </c>
      <c r="E772" s="12" t="s">
        <v>174</v>
      </c>
    </row>
    <row r="773" s="29" customFormat="1" ht="68" spans="2:5">
      <c r="B773" s="13" t="s">
        <v>567</v>
      </c>
      <c r="C773" s="13" t="s">
        <v>567</v>
      </c>
      <c r="D773" s="13" t="s">
        <v>567</v>
      </c>
      <c r="E773" s="13" t="s">
        <v>567</v>
      </c>
    </row>
    <row r="774" s="29" customFormat="1" ht="22" spans="2:5">
      <c r="B774" s="14" t="s">
        <v>176</v>
      </c>
      <c r="C774" s="14" t="s">
        <v>176</v>
      </c>
      <c r="D774" s="14" t="s">
        <v>176</v>
      </c>
      <c r="E774" s="14" t="s">
        <v>176</v>
      </c>
    </row>
    <row r="775" s="29" customFormat="1" spans="2:5">
      <c r="B775" s="15" t="s">
        <v>177</v>
      </c>
      <c r="C775" s="16" t="s">
        <v>178</v>
      </c>
      <c r="D775" s="17" t="s">
        <v>179</v>
      </c>
      <c r="E775" s="18" t="s">
        <v>180</v>
      </c>
    </row>
    <row r="776" s="29" customFormat="1" ht="41" spans="2:5">
      <c r="B776" s="19" t="s">
        <v>653</v>
      </c>
      <c r="C776" s="20" t="s">
        <v>182</v>
      </c>
      <c r="D776" s="21">
        <v>1</v>
      </c>
      <c r="E776" s="22">
        <v>243243.243243</v>
      </c>
    </row>
    <row r="777" s="29" customFormat="1" ht="41" spans="2:5">
      <c r="B777" s="19" t="s">
        <v>653</v>
      </c>
      <c r="C777" s="16" t="s">
        <v>183</v>
      </c>
      <c r="D777" s="23">
        <v>1</v>
      </c>
      <c r="E777" s="24">
        <v>243243.243243</v>
      </c>
    </row>
    <row r="778" s="29" customFormat="1" ht="41" spans="2:5">
      <c r="B778" s="19" t="s">
        <v>654</v>
      </c>
      <c r="C778" s="20" t="s">
        <v>182</v>
      </c>
      <c r="D778" s="21">
        <v>1</v>
      </c>
      <c r="E778" s="22">
        <v>189189.045045</v>
      </c>
    </row>
    <row r="779" s="29" customFormat="1" ht="41" spans="2:5">
      <c r="B779" s="19" t="s">
        <v>654</v>
      </c>
      <c r="C779" s="16" t="s">
        <v>183</v>
      </c>
      <c r="D779" s="23">
        <v>1</v>
      </c>
      <c r="E779" s="24">
        <v>189189.045045</v>
      </c>
    </row>
    <row r="780" s="29" customFormat="1" ht="41" spans="2:5">
      <c r="B780" s="19" t="s">
        <v>655</v>
      </c>
      <c r="C780" s="20" t="s">
        <v>182</v>
      </c>
      <c r="D780" s="21">
        <v>1</v>
      </c>
      <c r="E780" s="22">
        <v>318918.918919</v>
      </c>
    </row>
    <row r="781" s="29" customFormat="1" ht="28" spans="2:5">
      <c r="B781" s="19" t="s">
        <v>655</v>
      </c>
      <c r="C781" s="16" t="s">
        <v>183</v>
      </c>
      <c r="D781" s="23">
        <v>1</v>
      </c>
      <c r="E781" s="24">
        <v>318918.918919</v>
      </c>
    </row>
    <row r="782" s="29" customFormat="1" ht="41" spans="2:5">
      <c r="B782" s="19" t="s">
        <v>656</v>
      </c>
      <c r="C782" s="20" t="s">
        <v>182</v>
      </c>
      <c r="D782" s="21">
        <v>1</v>
      </c>
      <c r="E782" s="22">
        <v>1912027.027027</v>
      </c>
    </row>
    <row r="783" s="29" customFormat="1" ht="28" spans="2:5">
      <c r="B783" s="19" t="s">
        <v>656</v>
      </c>
      <c r="C783" s="16" t="s">
        <v>183</v>
      </c>
      <c r="D783" s="23">
        <v>1</v>
      </c>
      <c r="E783" s="24">
        <v>1912027.027027</v>
      </c>
    </row>
    <row r="784" s="29" customFormat="1" ht="41" spans="2:5">
      <c r="B784" s="19" t="s">
        <v>657</v>
      </c>
      <c r="C784" s="20" t="s">
        <v>182</v>
      </c>
      <c r="D784" s="21">
        <v>1</v>
      </c>
      <c r="E784" s="22">
        <v>223423</v>
      </c>
    </row>
    <row r="785" s="29" customFormat="1" ht="28" spans="2:5">
      <c r="B785" s="19" t="s">
        <v>657</v>
      </c>
      <c r="C785" s="16" t="s">
        <v>183</v>
      </c>
      <c r="D785" s="23">
        <v>1</v>
      </c>
      <c r="E785" s="24">
        <v>223423</v>
      </c>
    </row>
    <row r="786" s="29" customFormat="1" ht="41" spans="2:5">
      <c r="B786" s="19" t="s">
        <v>658</v>
      </c>
      <c r="C786" s="20" t="s">
        <v>182</v>
      </c>
      <c r="D786" s="21">
        <v>1</v>
      </c>
      <c r="E786" s="22">
        <v>222522.522523</v>
      </c>
    </row>
    <row r="787" s="29" customFormat="1" ht="28.75" spans="2:5">
      <c r="B787" s="19" t="s">
        <v>658</v>
      </c>
      <c r="C787" s="16" t="s">
        <v>183</v>
      </c>
      <c r="D787" s="23">
        <v>1</v>
      </c>
      <c r="E787" s="24">
        <v>222522.522523</v>
      </c>
    </row>
    <row r="788" s="29" customFormat="1" spans="2:5">
      <c r="B788" s="25"/>
      <c r="C788" s="25"/>
      <c r="D788" s="25"/>
      <c r="E788" s="25"/>
    </row>
    <row r="789" s="29" customFormat="1" ht="36" spans="2:5">
      <c r="B789" s="26" t="s">
        <v>189</v>
      </c>
      <c r="C789" s="26" t="s">
        <v>189</v>
      </c>
      <c r="D789" s="26" t="s">
        <v>189</v>
      </c>
      <c r="E789" s="26" t="s">
        <v>189</v>
      </c>
    </row>
    <row r="790" s="29" customFormat="1" spans="2:5">
      <c r="B790" s="26"/>
      <c r="C790" s="26"/>
      <c r="D790" s="26"/>
      <c r="E790" s="26"/>
    </row>
    <row r="791" s="29" customFormat="1" ht="36" spans="2:5">
      <c r="B791" s="26" t="s">
        <v>573</v>
      </c>
      <c r="C791" s="26" t="s">
        <v>573</v>
      </c>
      <c r="D791" s="26" t="s">
        <v>573</v>
      </c>
      <c r="E791" s="26" t="s">
        <v>573</v>
      </c>
    </row>
    <row r="792" s="29" customFormat="1" spans="2:5">
      <c r="B792" s="26" t="s">
        <v>659</v>
      </c>
      <c r="C792" s="26" t="s">
        <v>659</v>
      </c>
      <c r="D792" s="26" t="s">
        <v>659</v>
      </c>
      <c r="E792" s="26" t="s">
        <v>659</v>
      </c>
    </row>
    <row r="793" s="29" customFormat="1" ht="124" spans="2:5">
      <c r="B793" s="11" t="s">
        <v>173</v>
      </c>
      <c r="C793" s="11" t="s">
        <v>173</v>
      </c>
      <c r="D793" s="11" t="s">
        <v>173</v>
      </c>
      <c r="E793" s="11" t="s">
        <v>173</v>
      </c>
    </row>
    <row r="794" s="29" customFormat="1" ht="156" spans="2:5">
      <c r="B794" s="12" t="s">
        <v>174</v>
      </c>
      <c r="C794" s="12" t="s">
        <v>174</v>
      </c>
      <c r="D794" s="12" t="s">
        <v>174</v>
      </c>
      <c r="E794" s="12" t="s">
        <v>174</v>
      </c>
    </row>
    <row r="795" s="29" customFormat="1" ht="68" spans="2:5">
      <c r="B795" s="13" t="s">
        <v>567</v>
      </c>
      <c r="C795" s="13" t="s">
        <v>567</v>
      </c>
      <c r="D795" s="13" t="s">
        <v>567</v>
      </c>
      <c r="E795" s="13" t="s">
        <v>567</v>
      </c>
    </row>
    <row r="796" s="29" customFormat="1" ht="22" spans="2:5">
      <c r="B796" s="14" t="s">
        <v>176</v>
      </c>
      <c r="C796" s="14" t="s">
        <v>176</v>
      </c>
      <c r="D796" s="14" t="s">
        <v>176</v>
      </c>
      <c r="E796" s="14" t="s">
        <v>176</v>
      </c>
    </row>
    <row r="797" s="29" customFormat="1" spans="2:5">
      <c r="B797" s="15" t="s">
        <v>177</v>
      </c>
      <c r="C797" s="16" t="s">
        <v>178</v>
      </c>
      <c r="D797" s="17" t="s">
        <v>179</v>
      </c>
      <c r="E797" s="18" t="s">
        <v>180</v>
      </c>
    </row>
    <row r="798" s="29" customFormat="1" ht="41" spans="2:5">
      <c r="B798" s="19" t="s">
        <v>660</v>
      </c>
      <c r="C798" s="20" t="s">
        <v>182</v>
      </c>
      <c r="D798" s="21">
        <v>1</v>
      </c>
      <c r="E798" s="22">
        <v>1002702.702703</v>
      </c>
    </row>
    <row r="799" s="29" customFormat="1" ht="28" spans="2:5">
      <c r="B799" s="19" t="s">
        <v>660</v>
      </c>
      <c r="C799" s="16" t="s">
        <v>183</v>
      </c>
      <c r="D799" s="23">
        <v>1</v>
      </c>
      <c r="E799" s="24">
        <v>1002702.702703</v>
      </c>
    </row>
    <row r="800" s="29" customFormat="1" ht="41" spans="2:5">
      <c r="B800" s="19" t="s">
        <v>661</v>
      </c>
      <c r="C800" s="20" t="s">
        <v>182</v>
      </c>
      <c r="D800" s="21">
        <v>1</v>
      </c>
      <c r="E800" s="22">
        <v>482027.027027</v>
      </c>
    </row>
    <row r="801" s="29" customFormat="1" ht="28" spans="2:5">
      <c r="B801" s="19" t="s">
        <v>661</v>
      </c>
      <c r="C801" s="16" t="s">
        <v>183</v>
      </c>
      <c r="D801" s="23">
        <v>1</v>
      </c>
      <c r="E801" s="24">
        <v>482027.027027</v>
      </c>
    </row>
    <row r="802" s="29" customFormat="1" ht="17.55" spans="2:5">
      <c r="B802" s="28" t="s">
        <v>341</v>
      </c>
      <c r="C802" s="28" t="s">
        <v>341</v>
      </c>
      <c r="D802" s="23">
        <v>3019</v>
      </c>
      <c r="E802" s="24">
        <v>105223403.957109</v>
      </c>
    </row>
    <row r="803" s="29" customFormat="1" spans="2:5">
      <c r="B803" s="25"/>
      <c r="C803" s="25"/>
      <c r="D803" s="25"/>
      <c r="E803" s="25"/>
    </row>
    <row r="804" s="29" customFormat="1" ht="36" spans="2:5">
      <c r="B804" s="26" t="s">
        <v>189</v>
      </c>
      <c r="C804" s="26" t="s">
        <v>189</v>
      </c>
      <c r="D804" s="26" t="s">
        <v>189</v>
      </c>
      <c r="E804" s="26" t="s">
        <v>189</v>
      </c>
    </row>
    <row r="805" s="29" customFormat="1" spans="2:5">
      <c r="B805" s="26"/>
      <c r="C805" s="26"/>
      <c r="D805" s="26"/>
      <c r="E805" s="26"/>
    </row>
    <row r="806" s="29" customFormat="1" ht="36" spans="2:5">
      <c r="B806" s="26" t="s">
        <v>573</v>
      </c>
      <c r="C806" s="26" t="s">
        <v>573</v>
      </c>
      <c r="D806" s="26" t="s">
        <v>573</v>
      </c>
      <c r="E806" s="26" t="s">
        <v>573</v>
      </c>
    </row>
    <row r="807" s="29" customFormat="1" spans="2:5">
      <c r="B807" s="26" t="s">
        <v>662</v>
      </c>
      <c r="C807" s="26" t="s">
        <v>662</v>
      </c>
      <c r="D807" s="26" t="s">
        <v>662</v>
      </c>
      <c r="E807" s="26" t="s">
        <v>662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3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663</v>
      </c>
      <c r="C3" s="13" t="s">
        <v>663</v>
      </c>
      <c r="D3" s="13" t="s">
        <v>663</v>
      </c>
      <c r="E3" s="13" t="s">
        <v>663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664</v>
      </c>
      <c r="C6" s="20" t="s">
        <v>182</v>
      </c>
      <c r="D6" s="21">
        <v>2</v>
      </c>
      <c r="E6" s="22">
        <v>572000</v>
      </c>
      <c r="F6" s="30"/>
      <c r="G6" s="30"/>
    </row>
    <row r="7" s="29" customFormat="1" ht="28" spans="1:7">
      <c r="A7" s="30" t="s">
        <v>172</v>
      </c>
      <c r="B7" s="19" t="s">
        <v>664</v>
      </c>
      <c r="C7" s="16" t="s">
        <v>183</v>
      </c>
      <c r="D7" s="23">
        <v>2</v>
      </c>
      <c r="E7" s="24">
        <v>572000</v>
      </c>
      <c r="F7" s="30"/>
      <c r="G7" s="30"/>
    </row>
    <row r="8" s="29" customFormat="1" ht="41" spans="1:7">
      <c r="A8" s="30" t="s">
        <v>172</v>
      </c>
      <c r="B8" s="19" t="s">
        <v>665</v>
      </c>
      <c r="C8" s="20" t="s">
        <v>182</v>
      </c>
      <c r="D8" s="21">
        <v>1</v>
      </c>
      <c r="E8" s="22">
        <v>25000</v>
      </c>
      <c r="F8" s="30"/>
      <c r="G8" s="30"/>
    </row>
    <row r="9" s="29" customFormat="1" ht="28" spans="1:7">
      <c r="A9" s="30" t="s">
        <v>172</v>
      </c>
      <c r="B9" s="19" t="s">
        <v>665</v>
      </c>
      <c r="C9" s="16" t="s">
        <v>183</v>
      </c>
      <c r="D9" s="23">
        <v>1</v>
      </c>
      <c r="E9" s="24">
        <v>25000</v>
      </c>
      <c r="F9" s="30"/>
      <c r="G9" s="30"/>
    </row>
    <row r="10" s="29" customFormat="1" ht="41" spans="1:7">
      <c r="A10" s="30" t="s">
        <v>172</v>
      </c>
      <c r="B10" s="19" t="s">
        <v>666</v>
      </c>
      <c r="C10" s="20" t="s">
        <v>182</v>
      </c>
      <c r="D10" s="21">
        <v>1</v>
      </c>
      <c r="E10" s="22">
        <v>138000</v>
      </c>
      <c r="F10" s="30"/>
      <c r="G10" s="30"/>
    </row>
    <row r="11" s="29" customFormat="1" ht="28" spans="1:7">
      <c r="A11" s="30" t="s">
        <v>172</v>
      </c>
      <c r="B11" s="19" t="s">
        <v>666</v>
      </c>
      <c r="C11" s="16" t="s">
        <v>183</v>
      </c>
      <c r="D11" s="23">
        <v>1</v>
      </c>
      <c r="E11" s="24">
        <v>138000</v>
      </c>
      <c r="F11" s="30"/>
      <c r="G11" s="30"/>
    </row>
    <row r="12" s="29" customFormat="1" ht="41" spans="1:7">
      <c r="A12" s="30" t="s">
        <v>172</v>
      </c>
      <c r="B12" s="19" t="s">
        <v>667</v>
      </c>
      <c r="C12" s="20" t="s">
        <v>182</v>
      </c>
      <c r="D12" s="21">
        <v>1</v>
      </c>
      <c r="E12" s="22">
        <v>458000</v>
      </c>
      <c r="F12" s="30"/>
      <c r="G12" s="30"/>
    </row>
    <row r="13" s="29" customFormat="1" ht="28" spans="1:7">
      <c r="A13" s="30" t="s">
        <v>172</v>
      </c>
      <c r="B13" s="19" t="s">
        <v>667</v>
      </c>
      <c r="C13" s="16" t="s">
        <v>183</v>
      </c>
      <c r="D13" s="23">
        <v>1</v>
      </c>
      <c r="E13" s="24">
        <v>458000</v>
      </c>
      <c r="F13" s="30"/>
      <c r="G13" s="30"/>
    </row>
    <row r="14" s="29" customFormat="1" ht="41" spans="1:7">
      <c r="A14" s="30" t="s">
        <v>172</v>
      </c>
      <c r="B14" s="19" t="s">
        <v>668</v>
      </c>
      <c r="C14" s="20" t="s">
        <v>182</v>
      </c>
      <c r="D14" s="21">
        <v>2</v>
      </c>
      <c r="E14" s="22">
        <v>28000</v>
      </c>
      <c r="F14" s="30"/>
      <c r="G14" s="30"/>
    </row>
    <row r="15" s="29" customFormat="1" ht="28" spans="1:7">
      <c r="A15" s="30" t="s">
        <v>172</v>
      </c>
      <c r="B15" s="19" t="s">
        <v>668</v>
      </c>
      <c r="C15" s="16" t="s">
        <v>183</v>
      </c>
      <c r="D15" s="23">
        <v>2</v>
      </c>
      <c r="E15" s="24">
        <v>28000</v>
      </c>
      <c r="F15" s="30"/>
      <c r="G15" s="30"/>
    </row>
    <row r="16" s="29" customFormat="1" ht="41" spans="1:7">
      <c r="A16" s="30" t="s">
        <v>172</v>
      </c>
      <c r="B16" s="19" t="s">
        <v>669</v>
      </c>
      <c r="C16" s="20" t="s">
        <v>182</v>
      </c>
      <c r="D16" s="21">
        <v>2</v>
      </c>
      <c r="E16" s="22">
        <v>44000</v>
      </c>
      <c r="F16" s="30"/>
      <c r="G16" s="30"/>
    </row>
    <row r="17" s="29" customFormat="1" ht="17.55" spans="1:7">
      <c r="A17" s="30" t="s">
        <v>172</v>
      </c>
      <c r="B17" s="19" t="s">
        <v>669</v>
      </c>
      <c r="C17" s="16" t="s">
        <v>183</v>
      </c>
      <c r="D17" s="23">
        <v>2</v>
      </c>
      <c r="E17" s="24">
        <v>44000</v>
      </c>
      <c r="F17" s="30"/>
      <c r="G17" s="30"/>
    </row>
    <row r="18" s="29" customFormat="1" spans="1:7">
      <c r="A18" s="30" t="s">
        <v>172</v>
      </c>
      <c r="B18" s="25"/>
      <c r="C18" s="25"/>
      <c r="D18" s="25"/>
      <c r="E18" s="25"/>
      <c r="F18" s="30"/>
      <c r="G18" s="30"/>
    </row>
    <row r="19" s="29" customFormat="1" ht="36" spans="1:7">
      <c r="A19" s="30" t="s">
        <v>172</v>
      </c>
      <c r="B19" s="26" t="s">
        <v>189</v>
      </c>
      <c r="C19" s="26" t="s">
        <v>189</v>
      </c>
      <c r="D19" s="26" t="s">
        <v>189</v>
      </c>
      <c r="E19" s="26" t="s">
        <v>189</v>
      </c>
      <c r="F19" s="30"/>
      <c r="G19" s="30"/>
    </row>
    <row r="20" s="29" customFormat="1" spans="1:7">
      <c r="A20" s="30" t="s">
        <v>172</v>
      </c>
      <c r="B20" s="26"/>
      <c r="C20" s="26"/>
      <c r="D20" s="26"/>
      <c r="E20" s="26"/>
      <c r="F20" s="30"/>
      <c r="G20" s="30"/>
    </row>
    <row r="21" s="29" customFormat="1" ht="36" spans="1:7">
      <c r="A21" s="30" t="s">
        <v>172</v>
      </c>
      <c r="B21" s="26" t="s">
        <v>573</v>
      </c>
      <c r="C21" s="26" t="s">
        <v>573</v>
      </c>
      <c r="D21" s="26" t="s">
        <v>573</v>
      </c>
      <c r="E21" s="26" t="s">
        <v>573</v>
      </c>
      <c r="F21" s="30"/>
      <c r="G21" s="30"/>
    </row>
    <row r="22" s="29" customFormat="1" spans="1:7">
      <c r="A22" s="30" t="s">
        <v>172</v>
      </c>
      <c r="B22" s="26" t="s">
        <v>191</v>
      </c>
      <c r="C22" s="26" t="s">
        <v>191</v>
      </c>
      <c r="D22" s="26" t="s">
        <v>191</v>
      </c>
      <c r="E22" s="26" t="s">
        <v>191</v>
      </c>
      <c r="F22" s="30"/>
      <c r="G22" s="30"/>
    </row>
    <row r="23" s="29" customFormat="1" ht="124" spans="1:7">
      <c r="A23" s="30" t="s">
        <v>172</v>
      </c>
      <c r="B23" s="11" t="s">
        <v>173</v>
      </c>
      <c r="C23" s="11" t="s">
        <v>173</v>
      </c>
      <c r="D23" s="11" t="s">
        <v>173</v>
      </c>
      <c r="E23" s="11" t="s">
        <v>173</v>
      </c>
      <c r="F23" s="30"/>
      <c r="G23" s="30"/>
    </row>
    <row r="24" s="29" customFormat="1" ht="156" spans="1:7">
      <c r="A24" s="30" t="s">
        <v>172</v>
      </c>
      <c r="B24" s="12" t="s">
        <v>174</v>
      </c>
      <c r="C24" s="12" t="s">
        <v>174</v>
      </c>
      <c r="D24" s="12" t="s">
        <v>174</v>
      </c>
      <c r="E24" s="12" t="s">
        <v>174</v>
      </c>
      <c r="F24" s="30"/>
      <c r="G24" s="30"/>
    </row>
    <row r="25" s="29" customFormat="1" ht="68" spans="1:7">
      <c r="A25" s="30" t="s">
        <v>172</v>
      </c>
      <c r="B25" s="13" t="s">
        <v>663</v>
      </c>
      <c r="C25" s="13" t="s">
        <v>663</v>
      </c>
      <c r="D25" s="13" t="s">
        <v>663</v>
      </c>
      <c r="E25" s="13" t="s">
        <v>663</v>
      </c>
      <c r="F25" s="30"/>
      <c r="G25" s="30"/>
    </row>
    <row r="26" s="29" customFormat="1" ht="22" spans="1:7">
      <c r="A26" s="30" t="s">
        <v>172</v>
      </c>
      <c r="B26" s="14" t="s">
        <v>176</v>
      </c>
      <c r="C26" s="14" t="s">
        <v>176</v>
      </c>
      <c r="D26" s="14" t="s">
        <v>176</v>
      </c>
      <c r="E26" s="14" t="s">
        <v>176</v>
      </c>
      <c r="F26" s="30"/>
      <c r="G26" s="30"/>
    </row>
    <row r="27" s="29" customFormat="1" spans="1:7">
      <c r="A27" s="30" t="s">
        <v>172</v>
      </c>
      <c r="B27" s="15" t="s">
        <v>177</v>
      </c>
      <c r="C27" s="16" t="s">
        <v>178</v>
      </c>
      <c r="D27" s="17" t="s">
        <v>179</v>
      </c>
      <c r="E27" s="18" t="s">
        <v>180</v>
      </c>
      <c r="F27" s="30"/>
      <c r="G27" s="30"/>
    </row>
    <row r="28" s="29" customFormat="1" ht="41" spans="1:7">
      <c r="A28" s="30" t="s">
        <v>172</v>
      </c>
      <c r="B28" s="19" t="s">
        <v>670</v>
      </c>
      <c r="C28" s="20" t="s">
        <v>182</v>
      </c>
      <c r="D28" s="21">
        <v>1</v>
      </c>
      <c r="E28" s="22">
        <v>22000</v>
      </c>
      <c r="F28" s="30"/>
      <c r="G28" s="30"/>
    </row>
    <row r="29" s="29" customFormat="1" spans="1:7">
      <c r="A29" s="30" t="s">
        <v>172</v>
      </c>
      <c r="B29" s="19" t="s">
        <v>670</v>
      </c>
      <c r="C29" s="16" t="s">
        <v>183</v>
      </c>
      <c r="D29" s="23">
        <v>1</v>
      </c>
      <c r="E29" s="24">
        <v>22000</v>
      </c>
      <c r="F29" s="30"/>
      <c r="G29" s="30"/>
    </row>
    <row r="30" s="29" customFormat="1" ht="41" spans="1:7">
      <c r="A30" s="30" t="s">
        <v>172</v>
      </c>
      <c r="B30" s="19" t="s">
        <v>671</v>
      </c>
      <c r="C30" s="20" t="s">
        <v>182</v>
      </c>
      <c r="D30" s="21">
        <v>1</v>
      </c>
      <c r="E30" s="22">
        <v>174000</v>
      </c>
      <c r="F30" s="30"/>
      <c r="G30" s="30"/>
    </row>
    <row r="31" s="29" customFormat="1" ht="28" spans="1:7">
      <c r="A31" s="30" t="s">
        <v>172</v>
      </c>
      <c r="B31" s="19" t="s">
        <v>671</v>
      </c>
      <c r="C31" s="16" t="s">
        <v>183</v>
      </c>
      <c r="D31" s="23">
        <v>1</v>
      </c>
      <c r="E31" s="24">
        <v>174000</v>
      </c>
      <c r="F31" s="30"/>
      <c r="G31" s="30"/>
    </row>
    <row r="32" s="29" customFormat="1" ht="41" spans="1:7">
      <c r="A32" s="30" t="s">
        <v>172</v>
      </c>
      <c r="B32" s="19" t="s">
        <v>672</v>
      </c>
      <c r="C32" s="20" t="s">
        <v>182</v>
      </c>
      <c r="D32" s="21">
        <v>1</v>
      </c>
      <c r="E32" s="22">
        <v>386000</v>
      </c>
      <c r="F32" s="30"/>
      <c r="G32" s="30"/>
    </row>
    <row r="33" s="29" customFormat="1" ht="28" spans="1:7">
      <c r="A33" s="30" t="s">
        <v>172</v>
      </c>
      <c r="B33" s="19" t="s">
        <v>672</v>
      </c>
      <c r="C33" s="16" t="s">
        <v>183</v>
      </c>
      <c r="D33" s="23">
        <v>1</v>
      </c>
      <c r="E33" s="24">
        <v>386000</v>
      </c>
      <c r="F33" s="30"/>
      <c r="G33" s="30"/>
    </row>
    <row r="34" s="29" customFormat="1" ht="41" spans="1:7">
      <c r="A34" s="30" t="s">
        <v>172</v>
      </c>
      <c r="B34" s="19" t="s">
        <v>673</v>
      </c>
      <c r="C34" s="20" t="s">
        <v>182</v>
      </c>
      <c r="D34" s="21">
        <v>1</v>
      </c>
      <c r="E34" s="22">
        <v>386000</v>
      </c>
      <c r="F34" s="30"/>
      <c r="G34" s="30"/>
    </row>
    <row r="35" s="29" customFormat="1" ht="28" spans="1:7">
      <c r="A35" s="30" t="s">
        <v>172</v>
      </c>
      <c r="B35" s="19" t="s">
        <v>673</v>
      </c>
      <c r="C35" s="16" t="s">
        <v>183</v>
      </c>
      <c r="D35" s="23">
        <v>1</v>
      </c>
      <c r="E35" s="24">
        <v>386000</v>
      </c>
      <c r="F35" s="30"/>
      <c r="G35" s="30"/>
    </row>
    <row r="36" s="29" customFormat="1" ht="41" spans="1:7">
      <c r="A36" s="30" t="s">
        <v>172</v>
      </c>
      <c r="B36" s="19" t="s">
        <v>674</v>
      </c>
      <c r="C36" s="20" t="s">
        <v>182</v>
      </c>
      <c r="D36" s="21">
        <v>1</v>
      </c>
      <c r="E36" s="22">
        <v>400000</v>
      </c>
      <c r="F36" s="30"/>
      <c r="G36" s="30"/>
    </row>
    <row r="37" s="29" customFormat="1" ht="28" spans="1:7">
      <c r="A37" s="30" t="s">
        <v>172</v>
      </c>
      <c r="B37" s="19" t="s">
        <v>674</v>
      </c>
      <c r="C37" s="16" t="s">
        <v>183</v>
      </c>
      <c r="D37" s="23">
        <v>1</v>
      </c>
      <c r="E37" s="24">
        <v>400000</v>
      </c>
      <c r="F37" s="30"/>
      <c r="G37" s="30"/>
    </row>
    <row r="38" s="29" customFormat="1" ht="41" spans="1:7">
      <c r="A38" s="30" t="s">
        <v>172</v>
      </c>
      <c r="B38" s="19" t="s">
        <v>485</v>
      </c>
      <c r="C38" s="20" t="s">
        <v>182</v>
      </c>
      <c r="D38" s="21">
        <v>2</v>
      </c>
      <c r="E38" s="22">
        <v>486486.486486</v>
      </c>
      <c r="F38" s="30"/>
      <c r="G38" s="30"/>
    </row>
    <row r="39" s="29" customFormat="1" ht="17.55" spans="1:7">
      <c r="A39" s="30" t="s">
        <v>172</v>
      </c>
      <c r="B39" s="19" t="s">
        <v>485</v>
      </c>
      <c r="C39" s="16" t="s">
        <v>183</v>
      </c>
      <c r="D39" s="23">
        <v>2</v>
      </c>
      <c r="E39" s="24">
        <v>486486.486486</v>
      </c>
      <c r="F39" s="30"/>
      <c r="G39" s="30"/>
    </row>
    <row r="40" s="29" customFormat="1" spans="1:7">
      <c r="A40" s="30" t="s">
        <v>172</v>
      </c>
      <c r="B40" s="25"/>
      <c r="C40" s="25"/>
      <c r="D40" s="25"/>
      <c r="E40" s="25"/>
      <c r="F40" s="30"/>
      <c r="G40" s="30"/>
    </row>
    <row r="41" s="29" customFormat="1" ht="36" spans="1:7">
      <c r="A41" s="30" t="s">
        <v>172</v>
      </c>
      <c r="B41" s="26" t="s">
        <v>189</v>
      </c>
      <c r="C41" s="26" t="s">
        <v>189</v>
      </c>
      <c r="D41" s="26" t="s">
        <v>189</v>
      </c>
      <c r="E41" s="26" t="s">
        <v>189</v>
      </c>
      <c r="F41" s="30"/>
      <c r="G41" s="30"/>
    </row>
    <row r="42" s="29" customFormat="1" spans="1:7">
      <c r="A42" s="30" t="s">
        <v>172</v>
      </c>
      <c r="B42" s="26"/>
      <c r="C42" s="26"/>
      <c r="D42" s="26"/>
      <c r="E42" s="26"/>
      <c r="F42" s="30"/>
      <c r="G42" s="30"/>
    </row>
    <row r="43" s="29" customFormat="1" ht="36" spans="1:7">
      <c r="A43" s="30" t="s">
        <v>172</v>
      </c>
      <c r="B43" s="26" t="s">
        <v>573</v>
      </c>
      <c r="C43" s="26" t="s">
        <v>573</v>
      </c>
      <c r="D43" s="26" t="s">
        <v>573</v>
      </c>
      <c r="E43" s="26" t="s">
        <v>573</v>
      </c>
      <c r="F43" s="30"/>
      <c r="G43" s="30"/>
    </row>
    <row r="44" s="29" customFormat="1" spans="1:7">
      <c r="A44" s="30" t="s">
        <v>172</v>
      </c>
      <c r="B44" s="26" t="s">
        <v>198</v>
      </c>
      <c r="C44" s="26" t="s">
        <v>198</v>
      </c>
      <c r="D44" s="26" t="s">
        <v>198</v>
      </c>
      <c r="E44" s="26" t="s">
        <v>198</v>
      </c>
      <c r="F44" s="30"/>
      <c r="G44" s="30"/>
    </row>
    <row r="45" s="29" customFormat="1" ht="124" spans="1:7">
      <c r="A45" s="30" t="s">
        <v>172</v>
      </c>
      <c r="B45" s="11" t="s">
        <v>173</v>
      </c>
      <c r="C45" s="11" t="s">
        <v>173</v>
      </c>
      <c r="D45" s="11" t="s">
        <v>173</v>
      </c>
      <c r="E45" s="11" t="s">
        <v>173</v>
      </c>
      <c r="F45" s="30"/>
      <c r="G45" s="30"/>
    </row>
    <row r="46" s="29" customFormat="1" ht="156" spans="1:7">
      <c r="A46" s="30" t="s">
        <v>172</v>
      </c>
      <c r="B46" s="12" t="s">
        <v>174</v>
      </c>
      <c r="C46" s="12" t="s">
        <v>174</v>
      </c>
      <c r="D46" s="12" t="s">
        <v>174</v>
      </c>
      <c r="E46" s="12" t="s">
        <v>174</v>
      </c>
      <c r="F46" s="30"/>
      <c r="G46" s="30"/>
    </row>
    <row r="47" s="29" customFormat="1" ht="68" spans="1:7">
      <c r="A47" s="30" t="s">
        <v>172</v>
      </c>
      <c r="B47" s="13" t="s">
        <v>663</v>
      </c>
      <c r="C47" s="13" t="s">
        <v>663</v>
      </c>
      <c r="D47" s="13" t="s">
        <v>663</v>
      </c>
      <c r="E47" s="13" t="s">
        <v>663</v>
      </c>
      <c r="F47" s="30"/>
      <c r="G47" s="30"/>
    </row>
    <row r="48" s="29" customFormat="1" ht="22" spans="1:7">
      <c r="A48" s="30" t="s">
        <v>172</v>
      </c>
      <c r="B48" s="14" t="s">
        <v>176</v>
      </c>
      <c r="C48" s="14" t="s">
        <v>176</v>
      </c>
      <c r="D48" s="14" t="s">
        <v>176</v>
      </c>
      <c r="E48" s="14" t="s">
        <v>176</v>
      </c>
      <c r="F48" s="30"/>
      <c r="G48" s="30"/>
    </row>
    <row r="49" s="29" customFormat="1" spans="1:7">
      <c r="A49" s="30" t="s">
        <v>172</v>
      </c>
      <c r="B49" s="15" t="s">
        <v>177</v>
      </c>
      <c r="C49" s="16" t="s">
        <v>178</v>
      </c>
      <c r="D49" s="17" t="s">
        <v>179</v>
      </c>
      <c r="E49" s="18" t="s">
        <v>180</v>
      </c>
      <c r="F49" s="30"/>
      <c r="G49" s="30"/>
    </row>
    <row r="50" s="29" customFormat="1" ht="41" spans="1:7">
      <c r="A50" s="30" t="s">
        <v>172</v>
      </c>
      <c r="B50" s="19" t="s">
        <v>574</v>
      </c>
      <c r="C50" s="20" t="s">
        <v>182</v>
      </c>
      <c r="D50" s="21">
        <v>1</v>
      </c>
      <c r="E50" s="22">
        <v>398198.198198</v>
      </c>
      <c r="F50" s="30"/>
      <c r="G50" s="30"/>
    </row>
    <row r="51" s="29" customFormat="1" ht="28" spans="1:7">
      <c r="B51" s="19" t="s">
        <v>574</v>
      </c>
      <c r="C51" s="16" t="s">
        <v>183</v>
      </c>
      <c r="D51" s="23">
        <v>1</v>
      </c>
      <c r="E51" s="24">
        <v>398198.198198</v>
      </c>
    </row>
    <row r="52" s="29" customFormat="1" ht="41" spans="1:7">
      <c r="B52" s="19" t="s">
        <v>396</v>
      </c>
      <c r="C52" s="20" t="s">
        <v>182</v>
      </c>
      <c r="D52" s="21">
        <v>1</v>
      </c>
      <c r="E52" s="22">
        <v>313513.513514</v>
      </c>
    </row>
    <row r="53" s="29" customFormat="1" spans="1:7">
      <c r="B53" s="19" t="s">
        <v>396</v>
      </c>
      <c r="C53" s="16" t="s">
        <v>183</v>
      </c>
      <c r="D53" s="23">
        <v>1</v>
      </c>
      <c r="E53" s="24">
        <v>313513.513514</v>
      </c>
    </row>
    <row r="54" s="29" customFormat="1" ht="41" spans="1:7">
      <c r="B54" s="19" t="s">
        <v>675</v>
      </c>
      <c r="C54" s="20" t="s">
        <v>182</v>
      </c>
      <c r="D54" s="21">
        <v>1</v>
      </c>
      <c r="E54" s="22">
        <v>272072.072072</v>
      </c>
    </row>
    <row r="55" s="29" customFormat="1" spans="1:7">
      <c r="B55" s="19" t="s">
        <v>675</v>
      </c>
      <c r="C55" s="16" t="s">
        <v>183</v>
      </c>
      <c r="D55" s="23">
        <v>1</v>
      </c>
      <c r="E55" s="24">
        <v>272072.072072</v>
      </c>
    </row>
    <row r="56" s="29" customFormat="1" ht="41" spans="1:7">
      <c r="B56" s="19" t="s">
        <v>184</v>
      </c>
      <c r="C56" s="20" t="s">
        <v>182</v>
      </c>
      <c r="D56" s="21">
        <v>2</v>
      </c>
      <c r="E56" s="22">
        <v>2770270.27027</v>
      </c>
    </row>
    <row r="57" s="29" customFormat="1" ht="28" spans="1:7">
      <c r="B57" s="19" t="s">
        <v>184</v>
      </c>
      <c r="C57" s="16" t="s">
        <v>183</v>
      </c>
      <c r="D57" s="23">
        <v>2</v>
      </c>
      <c r="E57" s="24">
        <v>2770270.27027</v>
      </c>
    </row>
    <row r="58" s="29" customFormat="1" ht="41" spans="1:7">
      <c r="B58" s="19" t="s">
        <v>347</v>
      </c>
      <c r="C58" s="20" t="s">
        <v>182</v>
      </c>
      <c r="D58" s="21">
        <v>1</v>
      </c>
      <c r="E58" s="22">
        <v>1134234.234234</v>
      </c>
    </row>
    <row r="59" s="29" customFormat="1" ht="28" spans="1:7">
      <c r="B59" s="19" t="s">
        <v>347</v>
      </c>
      <c r="C59" s="16" t="s">
        <v>183</v>
      </c>
      <c r="D59" s="23">
        <v>1</v>
      </c>
      <c r="E59" s="24">
        <v>1134234.234234</v>
      </c>
    </row>
    <row r="60" s="29" customFormat="1" ht="41" spans="1:7">
      <c r="B60" s="19" t="s">
        <v>487</v>
      </c>
      <c r="C60" s="20" t="s">
        <v>182</v>
      </c>
      <c r="D60" s="21">
        <v>3</v>
      </c>
      <c r="E60" s="22">
        <v>786486.315315</v>
      </c>
    </row>
    <row r="61" s="29" customFormat="1" ht="28.75" spans="1:7">
      <c r="B61" s="19" t="s">
        <v>487</v>
      </c>
      <c r="C61" s="16" t="s">
        <v>183</v>
      </c>
      <c r="D61" s="23">
        <v>3</v>
      </c>
      <c r="E61" s="24">
        <v>786486.315315</v>
      </c>
    </row>
    <row r="62" s="29" customFormat="1" spans="1:7">
      <c r="B62" s="25"/>
      <c r="C62" s="25"/>
      <c r="D62" s="25"/>
      <c r="E62" s="25"/>
    </row>
    <row r="63" s="29" customFormat="1" ht="36" spans="1:7">
      <c r="B63" s="26" t="s">
        <v>189</v>
      </c>
      <c r="C63" s="26" t="s">
        <v>189</v>
      </c>
      <c r="D63" s="26" t="s">
        <v>189</v>
      </c>
      <c r="E63" s="26" t="s">
        <v>189</v>
      </c>
    </row>
    <row r="64" s="29" customFormat="1" spans="1:7">
      <c r="B64" s="26"/>
      <c r="C64" s="26"/>
      <c r="D64" s="26"/>
      <c r="E64" s="26"/>
    </row>
    <row r="65" s="29" customFormat="1" ht="36" spans="2:5">
      <c r="B65" s="26" t="s">
        <v>573</v>
      </c>
      <c r="C65" s="26" t="s">
        <v>573</v>
      </c>
      <c r="D65" s="26" t="s">
        <v>573</v>
      </c>
      <c r="E65" s="26" t="s">
        <v>573</v>
      </c>
    </row>
    <row r="66" s="29" customFormat="1" spans="2:5">
      <c r="B66" s="26" t="s">
        <v>205</v>
      </c>
      <c r="C66" s="26" t="s">
        <v>205</v>
      </c>
      <c r="D66" s="26" t="s">
        <v>205</v>
      </c>
      <c r="E66" s="26" t="s">
        <v>205</v>
      </c>
    </row>
    <row r="67" s="29" customFormat="1" ht="124" spans="2:5">
      <c r="B67" s="11" t="s">
        <v>173</v>
      </c>
      <c r="C67" s="11" t="s">
        <v>173</v>
      </c>
      <c r="D67" s="11" t="s">
        <v>173</v>
      </c>
      <c r="E67" s="11" t="s">
        <v>173</v>
      </c>
    </row>
    <row r="68" s="29" customFormat="1" ht="156" spans="2:5">
      <c r="B68" s="12" t="s">
        <v>174</v>
      </c>
      <c r="C68" s="12" t="s">
        <v>174</v>
      </c>
      <c r="D68" s="12" t="s">
        <v>174</v>
      </c>
      <c r="E68" s="12" t="s">
        <v>174</v>
      </c>
    </row>
    <row r="69" s="29" customFormat="1" ht="68" spans="2:5">
      <c r="B69" s="13" t="s">
        <v>663</v>
      </c>
      <c r="C69" s="13" t="s">
        <v>663</v>
      </c>
      <c r="D69" s="13" t="s">
        <v>663</v>
      </c>
      <c r="E69" s="13" t="s">
        <v>663</v>
      </c>
    </row>
    <row r="70" s="29" customFormat="1" ht="22" spans="2:5">
      <c r="B70" s="14" t="s">
        <v>176</v>
      </c>
      <c r="C70" s="14" t="s">
        <v>176</v>
      </c>
      <c r="D70" s="14" t="s">
        <v>176</v>
      </c>
      <c r="E70" s="14" t="s">
        <v>176</v>
      </c>
    </row>
    <row r="71" s="29" customFormat="1" spans="2:5">
      <c r="B71" s="15" t="s">
        <v>177</v>
      </c>
      <c r="C71" s="16" t="s">
        <v>178</v>
      </c>
      <c r="D71" s="17" t="s">
        <v>179</v>
      </c>
      <c r="E71" s="18" t="s">
        <v>180</v>
      </c>
    </row>
    <row r="72" s="29" customFormat="1" ht="41" spans="2:5">
      <c r="B72" s="19" t="s">
        <v>676</v>
      </c>
      <c r="C72" s="20" t="s">
        <v>182</v>
      </c>
      <c r="D72" s="21">
        <v>1</v>
      </c>
      <c r="E72" s="22">
        <v>408108.108108</v>
      </c>
    </row>
    <row r="73" s="29" customFormat="1" ht="28" spans="2:5">
      <c r="B73" s="19" t="s">
        <v>676</v>
      </c>
      <c r="C73" s="16" t="s">
        <v>183</v>
      </c>
      <c r="D73" s="23">
        <v>1</v>
      </c>
      <c r="E73" s="24">
        <v>408108.108108</v>
      </c>
    </row>
    <row r="74" s="29" customFormat="1" ht="41" spans="2:5">
      <c r="B74" s="19" t="s">
        <v>187</v>
      </c>
      <c r="C74" s="20" t="s">
        <v>182</v>
      </c>
      <c r="D74" s="21">
        <v>4</v>
      </c>
      <c r="E74" s="22">
        <v>360360.27027</v>
      </c>
    </row>
    <row r="75" s="29" customFormat="1" spans="2:5">
      <c r="B75" s="19" t="s">
        <v>187</v>
      </c>
      <c r="C75" s="16" t="s">
        <v>183</v>
      </c>
      <c r="D75" s="23">
        <v>4</v>
      </c>
      <c r="E75" s="24">
        <v>360360.27027</v>
      </c>
    </row>
    <row r="76" s="29" customFormat="1" ht="41" spans="2:5">
      <c r="B76" s="19" t="s">
        <v>188</v>
      </c>
      <c r="C76" s="20" t="s">
        <v>182</v>
      </c>
      <c r="D76" s="21">
        <v>3</v>
      </c>
      <c r="E76" s="22">
        <v>259458.972972</v>
      </c>
    </row>
    <row r="77" s="29" customFormat="1" ht="28" spans="2:5">
      <c r="B77" s="19" t="s">
        <v>188</v>
      </c>
      <c r="C77" s="16" t="s">
        <v>183</v>
      </c>
      <c r="D77" s="23">
        <v>3</v>
      </c>
      <c r="E77" s="24">
        <v>259458.972972</v>
      </c>
    </row>
    <row r="78" s="29" customFormat="1" ht="41" spans="2:5">
      <c r="B78" s="19" t="s">
        <v>193</v>
      </c>
      <c r="C78" s="20" t="s">
        <v>182</v>
      </c>
      <c r="D78" s="21">
        <v>3</v>
      </c>
      <c r="E78" s="22">
        <v>781080.72072</v>
      </c>
    </row>
    <row r="79" s="29" customFormat="1" ht="28" spans="2:5">
      <c r="B79" s="19" t="s">
        <v>193</v>
      </c>
      <c r="C79" s="16" t="s">
        <v>183</v>
      </c>
      <c r="D79" s="23">
        <v>3</v>
      </c>
      <c r="E79" s="24">
        <v>781080.72072</v>
      </c>
    </row>
    <row r="80" s="29" customFormat="1" ht="41" spans="2:5">
      <c r="B80" s="19" t="s">
        <v>408</v>
      </c>
      <c r="C80" s="20" t="s">
        <v>182</v>
      </c>
      <c r="D80" s="21">
        <v>2</v>
      </c>
      <c r="E80" s="22">
        <v>12612.612612</v>
      </c>
    </row>
    <row r="81" s="29" customFormat="1" ht="28" spans="2:5">
      <c r="B81" s="19" t="s">
        <v>408</v>
      </c>
      <c r="C81" s="16" t="s">
        <v>183</v>
      </c>
      <c r="D81" s="23">
        <v>2</v>
      </c>
      <c r="E81" s="24">
        <v>12612.612612</v>
      </c>
    </row>
    <row r="82" s="29" customFormat="1" ht="41" spans="2:5">
      <c r="B82" s="19" t="s">
        <v>677</v>
      </c>
      <c r="C82" s="20" t="s">
        <v>182</v>
      </c>
      <c r="D82" s="21">
        <v>1</v>
      </c>
      <c r="E82" s="22">
        <v>7207.207207</v>
      </c>
    </row>
    <row r="83" s="29" customFormat="1" ht="28.75" spans="2:5">
      <c r="B83" s="19" t="s">
        <v>677</v>
      </c>
      <c r="C83" s="16" t="s">
        <v>183</v>
      </c>
      <c r="D83" s="23">
        <v>1</v>
      </c>
      <c r="E83" s="24">
        <v>7207.207207</v>
      </c>
    </row>
    <row r="84" s="29" customFormat="1" spans="2:5">
      <c r="B84" s="25"/>
      <c r="C84" s="25"/>
      <c r="D84" s="25"/>
      <c r="E84" s="25"/>
    </row>
    <row r="85" s="29" customFormat="1" ht="36" spans="2:5">
      <c r="B85" s="26" t="s">
        <v>189</v>
      </c>
      <c r="C85" s="26" t="s">
        <v>189</v>
      </c>
      <c r="D85" s="26" t="s">
        <v>189</v>
      </c>
      <c r="E85" s="26" t="s">
        <v>189</v>
      </c>
    </row>
    <row r="86" s="29" customFormat="1" spans="2:5">
      <c r="B86" s="26"/>
      <c r="C86" s="26"/>
      <c r="D86" s="26"/>
      <c r="E86" s="26"/>
    </row>
    <row r="87" s="29" customFormat="1" ht="36" spans="2:5">
      <c r="B87" s="26" t="s">
        <v>573</v>
      </c>
      <c r="C87" s="26" t="s">
        <v>573</v>
      </c>
      <c r="D87" s="26" t="s">
        <v>573</v>
      </c>
      <c r="E87" s="26" t="s">
        <v>573</v>
      </c>
    </row>
    <row r="88" s="29" customFormat="1" spans="2:5">
      <c r="B88" s="26" t="s">
        <v>212</v>
      </c>
      <c r="C88" s="26" t="s">
        <v>212</v>
      </c>
      <c r="D88" s="26" t="s">
        <v>212</v>
      </c>
      <c r="E88" s="26" t="s">
        <v>212</v>
      </c>
    </row>
    <row r="89" s="29" customFormat="1" ht="124" spans="2:5">
      <c r="B89" s="11" t="s">
        <v>173</v>
      </c>
      <c r="C89" s="11" t="s">
        <v>173</v>
      </c>
      <c r="D89" s="11" t="s">
        <v>173</v>
      </c>
      <c r="E89" s="11" t="s">
        <v>173</v>
      </c>
    </row>
    <row r="90" s="29" customFormat="1" ht="156" spans="2:5">
      <c r="B90" s="12" t="s">
        <v>174</v>
      </c>
      <c r="C90" s="12" t="s">
        <v>174</v>
      </c>
      <c r="D90" s="12" t="s">
        <v>174</v>
      </c>
      <c r="E90" s="12" t="s">
        <v>174</v>
      </c>
    </row>
    <row r="91" s="29" customFormat="1" ht="68" spans="2:5">
      <c r="B91" s="13" t="s">
        <v>663</v>
      </c>
      <c r="C91" s="13" t="s">
        <v>663</v>
      </c>
      <c r="D91" s="13" t="s">
        <v>663</v>
      </c>
      <c r="E91" s="13" t="s">
        <v>663</v>
      </c>
    </row>
    <row r="92" s="29" customFormat="1" ht="22" spans="2:5">
      <c r="B92" s="14" t="s">
        <v>176</v>
      </c>
      <c r="C92" s="14" t="s">
        <v>176</v>
      </c>
      <c r="D92" s="14" t="s">
        <v>176</v>
      </c>
      <c r="E92" s="14" t="s">
        <v>176</v>
      </c>
    </row>
    <row r="93" s="29" customFormat="1" spans="2:5">
      <c r="B93" s="15" t="s">
        <v>177</v>
      </c>
      <c r="C93" s="16" t="s">
        <v>178</v>
      </c>
      <c r="D93" s="17" t="s">
        <v>179</v>
      </c>
      <c r="E93" s="18" t="s">
        <v>180</v>
      </c>
    </row>
    <row r="94" s="29" customFormat="1" ht="41" spans="2:5">
      <c r="B94" s="19" t="s">
        <v>409</v>
      </c>
      <c r="C94" s="20" t="s">
        <v>182</v>
      </c>
      <c r="D94" s="21">
        <v>2</v>
      </c>
      <c r="E94" s="22">
        <v>12612.612612</v>
      </c>
    </row>
    <row r="95" s="29" customFormat="1" ht="28" spans="2:5">
      <c r="B95" s="19" t="s">
        <v>409</v>
      </c>
      <c r="C95" s="16" t="s">
        <v>183</v>
      </c>
      <c r="D95" s="23">
        <v>2</v>
      </c>
      <c r="E95" s="24">
        <v>12612.612612</v>
      </c>
    </row>
    <row r="96" s="29" customFormat="1" ht="41" spans="2:5">
      <c r="B96" s="19" t="s">
        <v>489</v>
      </c>
      <c r="C96" s="20" t="s">
        <v>182</v>
      </c>
      <c r="D96" s="21">
        <v>6</v>
      </c>
      <c r="E96" s="22">
        <v>140540.207205</v>
      </c>
    </row>
    <row r="97" s="29" customFormat="1" ht="28" spans="2:5">
      <c r="B97" s="19" t="s">
        <v>489</v>
      </c>
      <c r="C97" s="16" t="s">
        <v>183</v>
      </c>
      <c r="D97" s="23">
        <v>6</v>
      </c>
      <c r="E97" s="24">
        <v>140540.207205</v>
      </c>
    </row>
    <row r="98" s="29" customFormat="1" ht="41" spans="2:5">
      <c r="B98" s="19" t="s">
        <v>354</v>
      </c>
      <c r="C98" s="20" t="s">
        <v>182</v>
      </c>
      <c r="D98" s="21">
        <v>6</v>
      </c>
      <c r="E98" s="22">
        <v>27027.522524</v>
      </c>
    </row>
    <row r="99" s="29" customFormat="1" ht="28" spans="2:5">
      <c r="B99" s="19" t="s">
        <v>354</v>
      </c>
      <c r="C99" s="16" t="s">
        <v>183</v>
      </c>
      <c r="D99" s="23">
        <v>6</v>
      </c>
      <c r="E99" s="24">
        <v>27027.522524</v>
      </c>
    </row>
    <row r="100" s="29" customFormat="1" ht="41" spans="2:5">
      <c r="B100" s="19" t="s">
        <v>194</v>
      </c>
      <c r="C100" s="20" t="s">
        <v>182</v>
      </c>
      <c r="D100" s="21">
        <v>40</v>
      </c>
      <c r="E100" s="22">
        <v>0</v>
      </c>
    </row>
    <row r="101" s="29" customFormat="1" spans="2:5">
      <c r="B101" s="19" t="s">
        <v>194</v>
      </c>
      <c r="C101" s="16" t="s">
        <v>183</v>
      </c>
      <c r="D101" s="23">
        <v>40</v>
      </c>
      <c r="E101" s="24">
        <v>0</v>
      </c>
    </row>
    <row r="102" s="29" customFormat="1" ht="41" spans="2:5">
      <c r="B102" s="19" t="s">
        <v>195</v>
      </c>
      <c r="C102" s="20" t="s">
        <v>182</v>
      </c>
      <c r="D102" s="21">
        <v>14</v>
      </c>
      <c r="E102" s="22">
        <v>41441.441441</v>
      </c>
    </row>
    <row r="103" s="29" customFormat="1" spans="2:5">
      <c r="B103" s="19" t="s">
        <v>195</v>
      </c>
      <c r="C103" s="16" t="s">
        <v>183</v>
      </c>
      <c r="D103" s="23">
        <v>14</v>
      </c>
      <c r="E103" s="24">
        <v>41441.441441</v>
      </c>
    </row>
    <row r="104" s="29" customFormat="1" ht="41" spans="2:5">
      <c r="B104" s="19" t="s">
        <v>196</v>
      </c>
      <c r="C104" s="20" t="s">
        <v>182</v>
      </c>
      <c r="D104" s="21">
        <v>12</v>
      </c>
      <c r="E104" s="22">
        <v>0</v>
      </c>
    </row>
    <row r="105" s="29" customFormat="1" ht="17.55" spans="2:5">
      <c r="B105" s="19" t="s">
        <v>196</v>
      </c>
      <c r="C105" s="16" t="s">
        <v>183</v>
      </c>
      <c r="D105" s="23">
        <v>12</v>
      </c>
      <c r="E105" s="24">
        <v>0</v>
      </c>
    </row>
    <row r="106" s="29" customFormat="1" spans="2:5">
      <c r="B106" s="25"/>
      <c r="C106" s="25"/>
      <c r="D106" s="25"/>
      <c r="E106" s="25"/>
    </row>
    <row r="107" s="29" customFormat="1" ht="36" spans="2:5">
      <c r="B107" s="26" t="s">
        <v>189</v>
      </c>
      <c r="C107" s="26" t="s">
        <v>189</v>
      </c>
      <c r="D107" s="26" t="s">
        <v>189</v>
      </c>
      <c r="E107" s="26" t="s">
        <v>189</v>
      </c>
    </row>
    <row r="108" s="29" customFormat="1" spans="2:5">
      <c r="B108" s="26"/>
      <c r="C108" s="26"/>
      <c r="D108" s="26"/>
      <c r="E108" s="26"/>
    </row>
    <row r="109" s="29" customFormat="1" ht="36" spans="2:5">
      <c r="B109" s="26" t="s">
        <v>573</v>
      </c>
      <c r="C109" s="26" t="s">
        <v>573</v>
      </c>
      <c r="D109" s="26" t="s">
        <v>573</v>
      </c>
      <c r="E109" s="26" t="s">
        <v>573</v>
      </c>
    </row>
    <row r="110" s="29" customFormat="1" spans="2:5">
      <c r="B110" s="26" t="s">
        <v>219</v>
      </c>
      <c r="C110" s="26" t="s">
        <v>219</v>
      </c>
      <c r="D110" s="26" t="s">
        <v>219</v>
      </c>
      <c r="E110" s="26" t="s">
        <v>219</v>
      </c>
    </row>
    <row r="111" s="29" customFormat="1" ht="124" spans="2:5">
      <c r="B111" s="11" t="s">
        <v>173</v>
      </c>
      <c r="C111" s="11" t="s">
        <v>173</v>
      </c>
      <c r="D111" s="11" t="s">
        <v>173</v>
      </c>
      <c r="E111" s="11" t="s">
        <v>173</v>
      </c>
    </row>
    <row r="112" s="29" customFormat="1" ht="156" spans="2:5">
      <c r="B112" s="12" t="s">
        <v>174</v>
      </c>
      <c r="C112" s="12" t="s">
        <v>174</v>
      </c>
      <c r="D112" s="12" t="s">
        <v>174</v>
      </c>
      <c r="E112" s="12" t="s">
        <v>174</v>
      </c>
    </row>
    <row r="113" s="29" customFormat="1" ht="68" spans="2:5">
      <c r="B113" s="13" t="s">
        <v>663</v>
      </c>
      <c r="C113" s="13" t="s">
        <v>663</v>
      </c>
      <c r="D113" s="13" t="s">
        <v>663</v>
      </c>
      <c r="E113" s="13" t="s">
        <v>663</v>
      </c>
    </row>
    <row r="114" s="29" customFormat="1" ht="22" spans="2:5">
      <c r="B114" s="14" t="s">
        <v>176</v>
      </c>
      <c r="C114" s="14" t="s">
        <v>176</v>
      </c>
      <c r="D114" s="14" t="s">
        <v>176</v>
      </c>
      <c r="E114" s="14" t="s">
        <v>176</v>
      </c>
    </row>
    <row r="115" s="29" customFormat="1" spans="2:5">
      <c r="B115" s="15" t="s">
        <v>177</v>
      </c>
      <c r="C115" s="16" t="s">
        <v>178</v>
      </c>
      <c r="D115" s="17" t="s">
        <v>179</v>
      </c>
      <c r="E115" s="18" t="s">
        <v>180</v>
      </c>
    </row>
    <row r="116" s="29" customFormat="1" ht="41" spans="2:5">
      <c r="B116" s="19" t="s">
        <v>197</v>
      </c>
      <c r="C116" s="20" t="s">
        <v>182</v>
      </c>
      <c r="D116" s="21">
        <v>13</v>
      </c>
      <c r="E116" s="22">
        <v>0</v>
      </c>
    </row>
    <row r="117" s="29" customFormat="1" spans="2:5">
      <c r="B117" s="19" t="s">
        <v>197</v>
      </c>
      <c r="C117" s="16" t="s">
        <v>183</v>
      </c>
      <c r="D117" s="23">
        <v>13</v>
      </c>
      <c r="E117" s="24">
        <v>0</v>
      </c>
    </row>
    <row r="118" s="29" customFormat="1" ht="41" spans="2:5">
      <c r="B118" s="19" t="s">
        <v>410</v>
      </c>
      <c r="C118" s="20" t="s">
        <v>182</v>
      </c>
      <c r="D118" s="21">
        <v>1</v>
      </c>
      <c r="E118" s="22">
        <v>0</v>
      </c>
    </row>
    <row r="119" s="29" customFormat="1" spans="2:5">
      <c r="B119" s="19" t="s">
        <v>410</v>
      </c>
      <c r="C119" s="16" t="s">
        <v>183</v>
      </c>
      <c r="D119" s="23">
        <v>1</v>
      </c>
      <c r="E119" s="24">
        <v>0</v>
      </c>
    </row>
    <row r="120" s="29" customFormat="1" ht="41" spans="2:5">
      <c r="B120" s="19" t="s">
        <v>199</v>
      </c>
      <c r="C120" s="20" t="s">
        <v>182</v>
      </c>
      <c r="D120" s="21">
        <v>65</v>
      </c>
      <c r="E120" s="22">
        <v>43243.243243</v>
      </c>
    </row>
    <row r="121" s="29" customFormat="1" spans="2:5">
      <c r="B121" s="19" t="s">
        <v>199</v>
      </c>
      <c r="C121" s="16" t="s">
        <v>183</v>
      </c>
      <c r="D121" s="23">
        <v>65</v>
      </c>
      <c r="E121" s="24">
        <v>43243.243243</v>
      </c>
    </row>
    <row r="122" s="29" customFormat="1" ht="41" spans="2:5">
      <c r="B122" s="19" t="s">
        <v>200</v>
      </c>
      <c r="C122" s="20" t="s">
        <v>182</v>
      </c>
      <c r="D122" s="21">
        <v>17</v>
      </c>
      <c r="E122" s="22">
        <v>100900.405405</v>
      </c>
    </row>
    <row r="123" s="29" customFormat="1" spans="2:5">
      <c r="B123" s="19" t="s">
        <v>200</v>
      </c>
      <c r="C123" s="16" t="s">
        <v>183</v>
      </c>
      <c r="D123" s="23">
        <v>17</v>
      </c>
      <c r="E123" s="24">
        <v>100900.405405</v>
      </c>
    </row>
    <row r="124" s="29" customFormat="1" ht="41" spans="2:5">
      <c r="B124" s="19" t="s">
        <v>355</v>
      </c>
      <c r="C124" s="20" t="s">
        <v>182</v>
      </c>
      <c r="D124" s="21">
        <v>1</v>
      </c>
      <c r="E124" s="22">
        <v>0</v>
      </c>
    </row>
    <row r="125" s="29" customFormat="1" spans="2:5">
      <c r="B125" s="19" t="s">
        <v>355</v>
      </c>
      <c r="C125" s="16" t="s">
        <v>183</v>
      </c>
      <c r="D125" s="23">
        <v>1</v>
      </c>
      <c r="E125" s="24">
        <v>0</v>
      </c>
    </row>
    <row r="126" s="29" customFormat="1" ht="41" spans="2:5">
      <c r="B126" s="19" t="s">
        <v>411</v>
      </c>
      <c r="C126" s="20" t="s">
        <v>182</v>
      </c>
      <c r="D126" s="21">
        <v>8</v>
      </c>
      <c r="E126" s="22">
        <v>144144.144144</v>
      </c>
    </row>
    <row r="127" s="29" customFormat="1" ht="28.75" spans="2:5">
      <c r="B127" s="19" t="s">
        <v>411</v>
      </c>
      <c r="C127" s="16" t="s">
        <v>183</v>
      </c>
      <c r="D127" s="23">
        <v>8</v>
      </c>
      <c r="E127" s="24">
        <v>144144.144144</v>
      </c>
    </row>
    <row r="128" s="29" customFormat="1" spans="2:5">
      <c r="B128" s="25"/>
      <c r="C128" s="25"/>
      <c r="D128" s="25"/>
      <c r="E128" s="25"/>
    </row>
    <row r="129" s="29" customFormat="1" ht="36" spans="2:5">
      <c r="B129" s="26" t="s">
        <v>189</v>
      </c>
      <c r="C129" s="26" t="s">
        <v>189</v>
      </c>
      <c r="D129" s="26" t="s">
        <v>189</v>
      </c>
      <c r="E129" s="26" t="s">
        <v>189</v>
      </c>
    </row>
    <row r="130" s="29" customFormat="1" spans="2:5">
      <c r="B130" s="26"/>
      <c r="C130" s="26"/>
      <c r="D130" s="26"/>
      <c r="E130" s="26"/>
    </row>
    <row r="131" s="29" customFormat="1" ht="36" spans="2:5">
      <c r="B131" s="26" t="s">
        <v>573</v>
      </c>
      <c r="C131" s="26" t="s">
        <v>573</v>
      </c>
      <c r="D131" s="26" t="s">
        <v>573</v>
      </c>
      <c r="E131" s="26" t="s">
        <v>573</v>
      </c>
    </row>
    <row r="132" s="29" customFormat="1" spans="2:5">
      <c r="B132" s="26" t="s">
        <v>226</v>
      </c>
      <c r="C132" s="26" t="s">
        <v>226</v>
      </c>
      <c r="D132" s="26" t="s">
        <v>226</v>
      </c>
      <c r="E132" s="26" t="s">
        <v>226</v>
      </c>
    </row>
    <row r="133" s="29" customFormat="1" ht="124" spans="2:5">
      <c r="B133" s="11" t="s">
        <v>173</v>
      </c>
      <c r="C133" s="11" t="s">
        <v>173</v>
      </c>
      <c r="D133" s="11" t="s">
        <v>173</v>
      </c>
      <c r="E133" s="11" t="s">
        <v>173</v>
      </c>
    </row>
    <row r="134" s="29" customFormat="1" ht="156" spans="2:5">
      <c r="B134" s="12" t="s">
        <v>174</v>
      </c>
      <c r="C134" s="12" t="s">
        <v>174</v>
      </c>
      <c r="D134" s="12" t="s">
        <v>174</v>
      </c>
      <c r="E134" s="12" t="s">
        <v>174</v>
      </c>
    </row>
    <row r="135" s="29" customFormat="1" ht="68" spans="2:5">
      <c r="B135" s="13" t="s">
        <v>663</v>
      </c>
      <c r="C135" s="13" t="s">
        <v>663</v>
      </c>
      <c r="D135" s="13" t="s">
        <v>663</v>
      </c>
      <c r="E135" s="13" t="s">
        <v>663</v>
      </c>
    </row>
    <row r="136" s="29" customFormat="1" ht="22" spans="2:5">
      <c r="B136" s="14" t="s">
        <v>176</v>
      </c>
      <c r="C136" s="14" t="s">
        <v>176</v>
      </c>
      <c r="D136" s="14" t="s">
        <v>176</v>
      </c>
      <c r="E136" s="14" t="s">
        <v>176</v>
      </c>
    </row>
    <row r="137" s="29" customFormat="1" spans="2:5">
      <c r="B137" s="15" t="s">
        <v>177</v>
      </c>
      <c r="C137" s="16" t="s">
        <v>178</v>
      </c>
      <c r="D137" s="17" t="s">
        <v>179</v>
      </c>
      <c r="E137" s="18" t="s">
        <v>180</v>
      </c>
    </row>
    <row r="138" s="29" customFormat="1" ht="41" spans="2:5">
      <c r="B138" s="19" t="s">
        <v>412</v>
      </c>
      <c r="C138" s="20" t="s">
        <v>182</v>
      </c>
      <c r="D138" s="21">
        <v>52</v>
      </c>
      <c r="E138" s="22">
        <v>1055299.485304</v>
      </c>
    </row>
    <row r="139" s="29" customFormat="1" ht="28" spans="2:5">
      <c r="B139" s="19" t="s">
        <v>412</v>
      </c>
      <c r="C139" s="16" t="s">
        <v>183</v>
      </c>
      <c r="D139" s="23">
        <v>52</v>
      </c>
      <c r="E139" s="24">
        <v>1055299.485304</v>
      </c>
    </row>
    <row r="140" s="29" customFormat="1" ht="41" spans="2:5">
      <c r="B140" s="19" t="s">
        <v>414</v>
      </c>
      <c r="C140" s="20" t="s">
        <v>182</v>
      </c>
      <c r="D140" s="21">
        <v>4</v>
      </c>
      <c r="E140" s="22">
        <v>270270.27027</v>
      </c>
    </row>
    <row r="141" s="29" customFormat="1" ht="28" spans="2:5">
      <c r="B141" s="19" t="s">
        <v>414</v>
      </c>
      <c r="C141" s="16" t="s">
        <v>183</v>
      </c>
      <c r="D141" s="23">
        <v>4</v>
      </c>
      <c r="E141" s="24">
        <v>270270.27027</v>
      </c>
    </row>
    <row r="142" s="29" customFormat="1" ht="41" spans="2:5">
      <c r="B142" s="19" t="s">
        <v>415</v>
      </c>
      <c r="C142" s="20" t="s">
        <v>182</v>
      </c>
      <c r="D142" s="21">
        <v>3</v>
      </c>
      <c r="E142" s="22">
        <v>128919.270271</v>
      </c>
    </row>
    <row r="143" s="29" customFormat="1" ht="28" spans="2:5">
      <c r="B143" s="19" t="s">
        <v>415</v>
      </c>
      <c r="C143" s="16" t="s">
        <v>183</v>
      </c>
      <c r="D143" s="23">
        <v>3</v>
      </c>
      <c r="E143" s="24">
        <v>128919.270271</v>
      </c>
    </row>
    <row r="144" s="29" customFormat="1" ht="41" spans="2:5">
      <c r="B144" s="19" t="s">
        <v>203</v>
      </c>
      <c r="C144" s="20" t="s">
        <v>182</v>
      </c>
      <c r="D144" s="21">
        <v>4</v>
      </c>
      <c r="E144" s="22">
        <v>128918.63964</v>
      </c>
    </row>
    <row r="145" s="29" customFormat="1" ht="28" spans="2:5">
      <c r="B145" s="19" t="s">
        <v>203</v>
      </c>
      <c r="C145" s="16" t="s">
        <v>183</v>
      </c>
      <c r="D145" s="23">
        <v>4</v>
      </c>
      <c r="E145" s="24">
        <v>128918.63964</v>
      </c>
    </row>
    <row r="146" s="29" customFormat="1" ht="41" spans="2:5">
      <c r="B146" s="19" t="s">
        <v>204</v>
      </c>
      <c r="C146" s="20" t="s">
        <v>182</v>
      </c>
      <c r="D146" s="21">
        <v>4</v>
      </c>
      <c r="E146" s="22">
        <v>143514.009009</v>
      </c>
    </row>
    <row r="147" s="29" customFormat="1" ht="28" spans="2:5">
      <c r="B147" s="19" t="s">
        <v>204</v>
      </c>
      <c r="C147" s="16" t="s">
        <v>183</v>
      </c>
      <c r="D147" s="23">
        <v>4</v>
      </c>
      <c r="E147" s="24">
        <v>143514.009009</v>
      </c>
    </row>
    <row r="148" s="29" customFormat="1" ht="41" spans="2:5">
      <c r="B148" s="19" t="s">
        <v>207</v>
      </c>
      <c r="C148" s="20" t="s">
        <v>182</v>
      </c>
      <c r="D148" s="21">
        <v>2</v>
      </c>
      <c r="E148" s="22">
        <v>82702.702703</v>
      </c>
    </row>
    <row r="149" s="29" customFormat="1" ht="28.75" spans="2:5">
      <c r="B149" s="19" t="s">
        <v>207</v>
      </c>
      <c r="C149" s="16" t="s">
        <v>183</v>
      </c>
      <c r="D149" s="23">
        <v>2</v>
      </c>
      <c r="E149" s="24">
        <v>82702.702703</v>
      </c>
    </row>
    <row r="150" s="29" customFormat="1" spans="2:5">
      <c r="B150" s="25"/>
      <c r="C150" s="25"/>
      <c r="D150" s="25"/>
      <c r="E150" s="25"/>
    </row>
    <row r="151" s="29" customFormat="1" ht="36" spans="2:5">
      <c r="B151" s="26" t="s">
        <v>189</v>
      </c>
      <c r="C151" s="26" t="s">
        <v>189</v>
      </c>
      <c r="D151" s="26" t="s">
        <v>189</v>
      </c>
      <c r="E151" s="26" t="s">
        <v>189</v>
      </c>
    </row>
    <row r="152" s="29" customFormat="1" spans="2:5">
      <c r="B152" s="26"/>
      <c r="C152" s="26"/>
      <c r="D152" s="26"/>
      <c r="E152" s="26"/>
    </row>
    <row r="153" s="29" customFormat="1" ht="36" spans="2:5">
      <c r="B153" s="26" t="s">
        <v>573</v>
      </c>
      <c r="C153" s="26" t="s">
        <v>573</v>
      </c>
      <c r="D153" s="26" t="s">
        <v>573</v>
      </c>
      <c r="E153" s="26" t="s">
        <v>573</v>
      </c>
    </row>
    <row r="154" s="29" customFormat="1" spans="2:5">
      <c r="B154" s="26" t="s">
        <v>233</v>
      </c>
      <c r="C154" s="26" t="s">
        <v>233</v>
      </c>
      <c r="D154" s="26" t="s">
        <v>233</v>
      </c>
      <c r="E154" s="26" t="s">
        <v>233</v>
      </c>
    </row>
    <row r="155" s="29" customFormat="1" ht="124" spans="2:5">
      <c r="B155" s="11" t="s">
        <v>173</v>
      </c>
      <c r="C155" s="11" t="s">
        <v>173</v>
      </c>
      <c r="D155" s="11" t="s">
        <v>173</v>
      </c>
      <c r="E155" s="11" t="s">
        <v>173</v>
      </c>
    </row>
    <row r="156" s="29" customFormat="1" ht="156" spans="2:5">
      <c r="B156" s="12" t="s">
        <v>174</v>
      </c>
      <c r="C156" s="12" t="s">
        <v>174</v>
      </c>
      <c r="D156" s="12" t="s">
        <v>174</v>
      </c>
      <c r="E156" s="12" t="s">
        <v>174</v>
      </c>
    </row>
    <row r="157" s="29" customFormat="1" ht="68" spans="2:5">
      <c r="B157" s="13" t="s">
        <v>663</v>
      </c>
      <c r="C157" s="13" t="s">
        <v>663</v>
      </c>
      <c r="D157" s="13" t="s">
        <v>663</v>
      </c>
      <c r="E157" s="13" t="s">
        <v>663</v>
      </c>
    </row>
    <row r="158" s="29" customFormat="1" ht="22" spans="2:5">
      <c r="B158" s="14" t="s">
        <v>176</v>
      </c>
      <c r="C158" s="14" t="s">
        <v>176</v>
      </c>
      <c r="D158" s="14" t="s">
        <v>176</v>
      </c>
      <c r="E158" s="14" t="s">
        <v>176</v>
      </c>
    </row>
    <row r="159" s="29" customFormat="1" spans="2:5">
      <c r="B159" s="15" t="s">
        <v>177</v>
      </c>
      <c r="C159" s="16" t="s">
        <v>178</v>
      </c>
      <c r="D159" s="17" t="s">
        <v>179</v>
      </c>
      <c r="E159" s="18" t="s">
        <v>180</v>
      </c>
    </row>
    <row r="160" s="29" customFormat="1" ht="41" spans="2:5">
      <c r="B160" s="19" t="s">
        <v>208</v>
      </c>
      <c r="C160" s="20" t="s">
        <v>182</v>
      </c>
      <c r="D160" s="21">
        <v>2</v>
      </c>
      <c r="E160" s="22">
        <v>90180.468468</v>
      </c>
    </row>
    <row r="161" s="29" customFormat="1" ht="28" spans="2:5">
      <c r="B161" s="19" t="s">
        <v>208</v>
      </c>
      <c r="C161" s="16" t="s">
        <v>183</v>
      </c>
      <c r="D161" s="23">
        <v>2</v>
      </c>
      <c r="E161" s="24">
        <v>90180.468468</v>
      </c>
    </row>
    <row r="162" s="29" customFormat="1" ht="41" spans="2:5">
      <c r="B162" s="19" t="s">
        <v>360</v>
      </c>
      <c r="C162" s="20" t="s">
        <v>182</v>
      </c>
      <c r="D162" s="21">
        <v>3</v>
      </c>
      <c r="E162" s="22">
        <v>135270.27027</v>
      </c>
    </row>
    <row r="163" s="29" customFormat="1" ht="28" spans="2:5">
      <c r="B163" s="19" t="s">
        <v>360</v>
      </c>
      <c r="C163" s="16" t="s">
        <v>183</v>
      </c>
      <c r="D163" s="23">
        <v>3</v>
      </c>
      <c r="E163" s="24">
        <v>135270.27027</v>
      </c>
    </row>
    <row r="164" s="29" customFormat="1" ht="41" spans="2:5">
      <c r="B164" s="19" t="s">
        <v>361</v>
      </c>
      <c r="C164" s="20" t="s">
        <v>182</v>
      </c>
      <c r="D164" s="21">
        <v>1</v>
      </c>
      <c r="E164" s="22">
        <v>58558.558559</v>
      </c>
    </row>
    <row r="165" s="29" customFormat="1" ht="28" spans="2:5">
      <c r="B165" s="19" t="s">
        <v>361</v>
      </c>
      <c r="C165" s="16" t="s">
        <v>183</v>
      </c>
      <c r="D165" s="23">
        <v>1</v>
      </c>
      <c r="E165" s="24">
        <v>58558.558559</v>
      </c>
    </row>
    <row r="166" s="29" customFormat="1" ht="41" spans="2:5">
      <c r="B166" s="19" t="s">
        <v>678</v>
      </c>
      <c r="C166" s="20" t="s">
        <v>182</v>
      </c>
      <c r="D166" s="21">
        <v>1</v>
      </c>
      <c r="E166" s="22">
        <v>106576.576577</v>
      </c>
    </row>
    <row r="167" s="29" customFormat="1" ht="28" spans="2:5">
      <c r="B167" s="19" t="s">
        <v>678</v>
      </c>
      <c r="C167" s="16" t="s">
        <v>183</v>
      </c>
      <c r="D167" s="23">
        <v>1</v>
      </c>
      <c r="E167" s="24">
        <v>106576.576577</v>
      </c>
    </row>
    <row r="168" s="29" customFormat="1" ht="41" spans="2:5">
      <c r="B168" s="19" t="s">
        <v>418</v>
      </c>
      <c r="C168" s="20" t="s">
        <v>182</v>
      </c>
      <c r="D168" s="21">
        <v>1</v>
      </c>
      <c r="E168" s="22">
        <v>122972.972973</v>
      </c>
    </row>
    <row r="169" s="29" customFormat="1" ht="28" spans="2:5">
      <c r="B169" s="19" t="s">
        <v>418</v>
      </c>
      <c r="C169" s="16" t="s">
        <v>183</v>
      </c>
      <c r="D169" s="23">
        <v>1</v>
      </c>
      <c r="E169" s="24">
        <v>122972.972973</v>
      </c>
    </row>
    <row r="170" s="29" customFormat="1" ht="41" spans="2:5">
      <c r="B170" s="19" t="s">
        <v>211</v>
      </c>
      <c r="C170" s="20" t="s">
        <v>182</v>
      </c>
      <c r="D170" s="21">
        <v>37</v>
      </c>
      <c r="E170" s="22">
        <v>1753381.945953</v>
      </c>
    </row>
    <row r="171" s="29" customFormat="1" ht="28.75" spans="2:5">
      <c r="B171" s="19" t="s">
        <v>211</v>
      </c>
      <c r="C171" s="16" t="s">
        <v>183</v>
      </c>
      <c r="D171" s="23">
        <v>37</v>
      </c>
      <c r="E171" s="24">
        <v>1753381.945953</v>
      </c>
    </row>
    <row r="172" s="29" customFormat="1" spans="2:5">
      <c r="B172" s="25"/>
      <c r="C172" s="25"/>
      <c r="D172" s="25"/>
      <c r="E172" s="25"/>
    </row>
    <row r="173" s="29" customFormat="1" ht="36" spans="2:5">
      <c r="B173" s="26" t="s">
        <v>189</v>
      </c>
      <c r="C173" s="26" t="s">
        <v>189</v>
      </c>
      <c r="D173" s="26" t="s">
        <v>189</v>
      </c>
      <c r="E173" s="26" t="s">
        <v>189</v>
      </c>
    </row>
    <row r="174" s="29" customFormat="1" spans="2:5">
      <c r="B174" s="26"/>
      <c r="C174" s="26"/>
      <c r="D174" s="26"/>
      <c r="E174" s="26"/>
    </row>
    <row r="175" s="29" customFormat="1" ht="36" spans="2:5">
      <c r="B175" s="26" t="s">
        <v>573</v>
      </c>
      <c r="C175" s="26" t="s">
        <v>573</v>
      </c>
      <c r="D175" s="26" t="s">
        <v>573</v>
      </c>
      <c r="E175" s="26" t="s">
        <v>573</v>
      </c>
    </row>
    <row r="176" s="29" customFormat="1" spans="2:5">
      <c r="B176" s="26" t="s">
        <v>240</v>
      </c>
      <c r="C176" s="26" t="s">
        <v>240</v>
      </c>
      <c r="D176" s="26" t="s">
        <v>240</v>
      </c>
      <c r="E176" s="26" t="s">
        <v>240</v>
      </c>
    </row>
    <row r="177" s="29" customFormat="1" ht="124" spans="2:5">
      <c r="B177" s="11" t="s">
        <v>173</v>
      </c>
      <c r="C177" s="11" t="s">
        <v>173</v>
      </c>
      <c r="D177" s="11" t="s">
        <v>173</v>
      </c>
      <c r="E177" s="11" t="s">
        <v>173</v>
      </c>
    </row>
    <row r="178" s="29" customFormat="1" ht="156" spans="2:5">
      <c r="B178" s="12" t="s">
        <v>174</v>
      </c>
      <c r="C178" s="12" t="s">
        <v>174</v>
      </c>
      <c r="D178" s="12" t="s">
        <v>174</v>
      </c>
      <c r="E178" s="12" t="s">
        <v>174</v>
      </c>
    </row>
    <row r="179" s="29" customFormat="1" ht="68" spans="2:5">
      <c r="B179" s="13" t="s">
        <v>663</v>
      </c>
      <c r="C179" s="13" t="s">
        <v>663</v>
      </c>
      <c r="D179" s="13" t="s">
        <v>663</v>
      </c>
      <c r="E179" s="13" t="s">
        <v>663</v>
      </c>
    </row>
    <row r="180" s="29" customFormat="1" ht="22" spans="2:5">
      <c r="B180" s="14" t="s">
        <v>176</v>
      </c>
      <c r="C180" s="14" t="s">
        <v>176</v>
      </c>
      <c r="D180" s="14" t="s">
        <v>176</v>
      </c>
      <c r="E180" s="14" t="s">
        <v>176</v>
      </c>
    </row>
    <row r="181" s="29" customFormat="1" spans="2:5">
      <c r="B181" s="15" t="s">
        <v>177</v>
      </c>
      <c r="C181" s="16" t="s">
        <v>178</v>
      </c>
      <c r="D181" s="17" t="s">
        <v>179</v>
      </c>
      <c r="E181" s="18" t="s">
        <v>180</v>
      </c>
    </row>
    <row r="182" s="29" customFormat="1" ht="41" spans="2:5">
      <c r="B182" s="19" t="s">
        <v>213</v>
      </c>
      <c r="C182" s="20" t="s">
        <v>182</v>
      </c>
      <c r="D182" s="21">
        <v>49</v>
      </c>
      <c r="E182" s="22">
        <v>2090569.176825</v>
      </c>
    </row>
    <row r="183" s="29" customFormat="1" ht="28" spans="2:5">
      <c r="B183" s="19" t="s">
        <v>213</v>
      </c>
      <c r="C183" s="16" t="s">
        <v>183</v>
      </c>
      <c r="D183" s="23">
        <v>49</v>
      </c>
      <c r="E183" s="24">
        <v>2090569.176825</v>
      </c>
    </row>
    <row r="184" s="29" customFormat="1" ht="41" spans="2:5">
      <c r="B184" s="19" t="s">
        <v>214</v>
      </c>
      <c r="C184" s="20" t="s">
        <v>182</v>
      </c>
      <c r="D184" s="21">
        <v>8</v>
      </c>
      <c r="E184" s="22">
        <v>446216.765767</v>
      </c>
    </row>
    <row r="185" s="29" customFormat="1" ht="28" spans="2:5">
      <c r="B185" s="19" t="s">
        <v>214</v>
      </c>
      <c r="C185" s="16" t="s">
        <v>183</v>
      </c>
      <c r="D185" s="23">
        <v>8</v>
      </c>
      <c r="E185" s="24">
        <v>446216.765767</v>
      </c>
    </row>
    <row r="186" s="29" customFormat="1" ht="41" spans="2:5">
      <c r="B186" s="19" t="s">
        <v>215</v>
      </c>
      <c r="C186" s="20" t="s">
        <v>182</v>
      </c>
      <c r="D186" s="21">
        <v>10</v>
      </c>
      <c r="E186" s="22">
        <v>511216.099099</v>
      </c>
    </row>
    <row r="187" s="29" customFormat="1" ht="28" spans="2:5">
      <c r="B187" s="19" t="s">
        <v>215</v>
      </c>
      <c r="C187" s="16" t="s">
        <v>183</v>
      </c>
      <c r="D187" s="23">
        <v>10</v>
      </c>
      <c r="E187" s="24">
        <v>511216.099099</v>
      </c>
    </row>
    <row r="188" s="29" customFormat="1" ht="41" spans="2:5">
      <c r="B188" s="19" t="s">
        <v>216</v>
      </c>
      <c r="C188" s="20" t="s">
        <v>182</v>
      </c>
      <c r="D188" s="21">
        <v>4</v>
      </c>
      <c r="E188" s="22">
        <v>271081.945946</v>
      </c>
    </row>
    <row r="189" s="29" customFormat="1" ht="28" spans="2:5">
      <c r="B189" s="19" t="s">
        <v>216</v>
      </c>
      <c r="C189" s="16" t="s">
        <v>183</v>
      </c>
      <c r="D189" s="23">
        <v>4</v>
      </c>
      <c r="E189" s="24">
        <v>271081.945946</v>
      </c>
    </row>
    <row r="190" s="29" customFormat="1" ht="41" spans="2:5">
      <c r="B190" s="19" t="s">
        <v>364</v>
      </c>
      <c r="C190" s="20" t="s">
        <v>182</v>
      </c>
      <c r="D190" s="21">
        <v>5</v>
      </c>
      <c r="E190" s="22">
        <v>298648.324325</v>
      </c>
    </row>
    <row r="191" s="29" customFormat="1" ht="28" spans="2:5">
      <c r="B191" s="19" t="s">
        <v>364</v>
      </c>
      <c r="C191" s="16" t="s">
        <v>183</v>
      </c>
      <c r="D191" s="23">
        <v>5</v>
      </c>
      <c r="E191" s="24">
        <v>298648.324325</v>
      </c>
    </row>
    <row r="192" s="29" customFormat="1" ht="41" spans="2:5">
      <c r="B192" s="19" t="s">
        <v>217</v>
      </c>
      <c r="C192" s="20" t="s">
        <v>182</v>
      </c>
      <c r="D192" s="21">
        <v>11</v>
      </c>
      <c r="E192" s="22">
        <v>635630.828828</v>
      </c>
    </row>
    <row r="193" s="29" customFormat="1" ht="28.75" spans="2:5">
      <c r="B193" s="19" t="s">
        <v>217</v>
      </c>
      <c r="C193" s="16" t="s">
        <v>183</v>
      </c>
      <c r="D193" s="23">
        <v>11</v>
      </c>
      <c r="E193" s="24">
        <v>635630.828828</v>
      </c>
    </row>
    <row r="194" s="29" customFormat="1" spans="2:5">
      <c r="B194" s="25"/>
      <c r="C194" s="25"/>
      <c r="D194" s="25"/>
      <c r="E194" s="25"/>
    </row>
    <row r="195" s="29" customFormat="1" ht="36" spans="2:5">
      <c r="B195" s="26" t="s">
        <v>189</v>
      </c>
      <c r="C195" s="26" t="s">
        <v>189</v>
      </c>
      <c r="D195" s="26" t="s">
        <v>189</v>
      </c>
      <c r="E195" s="26" t="s">
        <v>189</v>
      </c>
    </row>
    <row r="196" s="29" customFormat="1" spans="2:5">
      <c r="B196" s="26"/>
      <c r="C196" s="26"/>
      <c r="D196" s="26"/>
      <c r="E196" s="26"/>
    </row>
    <row r="197" s="29" customFormat="1" ht="36" spans="2:5">
      <c r="B197" s="26" t="s">
        <v>573</v>
      </c>
      <c r="C197" s="26" t="s">
        <v>573</v>
      </c>
      <c r="D197" s="26" t="s">
        <v>573</v>
      </c>
      <c r="E197" s="26" t="s">
        <v>573</v>
      </c>
    </row>
    <row r="198" s="29" customFormat="1" spans="2:5">
      <c r="B198" s="26" t="s">
        <v>247</v>
      </c>
      <c r="C198" s="26" t="s">
        <v>247</v>
      </c>
      <c r="D198" s="26" t="s">
        <v>247</v>
      </c>
      <c r="E198" s="26" t="s">
        <v>247</v>
      </c>
    </row>
    <row r="199" s="29" customFormat="1" ht="124" spans="2:5">
      <c r="B199" s="11" t="s">
        <v>173</v>
      </c>
      <c r="C199" s="11" t="s">
        <v>173</v>
      </c>
      <c r="D199" s="11" t="s">
        <v>173</v>
      </c>
      <c r="E199" s="11" t="s">
        <v>173</v>
      </c>
    </row>
    <row r="200" s="29" customFormat="1" ht="156" spans="2:5">
      <c r="B200" s="12" t="s">
        <v>174</v>
      </c>
      <c r="C200" s="12" t="s">
        <v>174</v>
      </c>
      <c r="D200" s="12" t="s">
        <v>174</v>
      </c>
      <c r="E200" s="12" t="s">
        <v>174</v>
      </c>
    </row>
    <row r="201" s="29" customFormat="1" ht="68" spans="2:5">
      <c r="B201" s="13" t="s">
        <v>663</v>
      </c>
      <c r="C201" s="13" t="s">
        <v>663</v>
      </c>
      <c r="D201" s="13" t="s">
        <v>663</v>
      </c>
      <c r="E201" s="13" t="s">
        <v>663</v>
      </c>
    </row>
    <row r="202" s="29" customFormat="1" ht="22" spans="2:5">
      <c r="B202" s="14" t="s">
        <v>176</v>
      </c>
      <c r="C202" s="14" t="s">
        <v>176</v>
      </c>
      <c r="D202" s="14" t="s">
        <v>176</v>
      </c>
      <c r="E202" s="14" t="s">
        <v>176</v>
      </c>
    </row>
    <row r="203" s="29" customFormat="1" spans="2:5">
      <c r="B203" s="15" t="s">
        <v>177</v>
      </c>
      <c r="C203" s="16" t="s">
        <v>178</v>
      </c>
      <c r="D203" s="17" t="s">
        <v>179</v>
      </c>
      <c r="E203" s="18" t="s">
        <v>180</v>
      </c>
    </row>
    <row r="204" s="29" customFormat="1" ht="41" spans="2:5">
      <c r="B204" s="19" t="s">
        <v>218</v>
      </c>
      <c r="C204" s="20" t="s">
        <v>182</v>
      </c>
      <c r="D204" s="21">
        <v>48</v>
      </c>
      <c r="E204" s="22">
        <v>2730000.63063</v>
      </c>
    </row>
    <row r="205" s="29" customFormat="1" ht="28" spans="2:5">
      <c r="B205" s="19" t="s">
        <v>218</v>
      </c>
      <c r="C205" s="16" t="s">
        <v>183</v>
      </c>
      <c r="D205" s="23">
        <v>48</v>
      </c>
      <c r="E205" s="24">
        <v>2730000.63063</v>
      </c>
    </row>
    <row r="206" s="29" customFormat="1" ht="41" spans="2:5">
      <c r="B206" s="19" t="s">
        <v>220</v>
      </c>
      <c r="C206" s="20" t="s">
        <v>182</v>
      </c>
      <c r="D206" s="21">
        <v>21</v>
      </c>
      <c r="E206" s="22">
        <v>1330820.05574</v>
      </c>
    </row>
    <row r="207" s="29" customFormat="1" ht="28" spans="2:5">
      <c r="B207" s="19" t="s">
        <v>220</v>
      </c>
      <c r="C207" s="16" t="s">
        <v>183</v>
      </c>
      <c r="D207" s="23">
        <v>21</v>
      </c>
      <c r="E207" s="24">
        <v>1330820.05574</v>
      </c>
    </row>
    <row r="208" s="29" customFormat="1" ht="41" spans="2:5">
      <c r="B208" s="19" t="s">
        <v>221</v>
      </c>
      <c r="C208" s="20" t="s">
        <v>182</v>
      </c>
      <c r="D208" s="21">
        <v>21</v>
      </c>
      <c r="E208" s="22">
        <v>1407161.873881</v>
      </c>
    </row>
    <row r="209" s="29" customFormat="1" ht="28" spans="2:5">
      <c r="B209" s="19" t="s">
        <v>221</v>
      </c>
      <c r="C209" s="16" t="s">
        <v>183</v>
      </c>
      <c r="D209" s="23">
        <v>21</v>
      </c>
      <c r="E209" s="24">
        <v>1407161.873881</v>
      </c>
    </row>
    <row r="210" s="29" customFormat="1" ht="41" spans="2:5">
      <c r="B210" s="19" t="s">
        <v>420</v>
      </c>
      <c r="C210" s="20" t="s">
        <v>182</v>
      </c>
      <c r="D210" s="21">
        <v>1</v>
      </c>
      <c r="E210" s="22">
        <v>76126.126126</v>
      </c>
    </row>
    <row r="211" s="29" customFormat="1" ht="28" spans="2:5">
      <c r="B211" s="19" t="s">
        <v>420</v>
      </c>
      <c r="C211" s="16" t="s">
        <v>183</v>
      </c>
      <c r="D211" s="23">
        <v>1</v>
      </c>
      <c r="E211" s="24">
        <v>76126.126126</v>
      </c>
    </row>
    <row r="212" s="29" customFormat="1" ht="41" spans="2:5">
      <c r="B212" s="19" t="s">
        <v>222</v>
      </c>
      <c r="C212" s="20" t="s">
        <v>182</v>
      </c>
      <c r="D212" s="21">
        <v>8</v>
      </c>
      <c r="E212" s="22">
        <v>655854.900901</v>
      </c>
    </row>
    <row r="213" s="29" customFormat="1" ht="28" spans="2:5">
      <c r="B213" s="19" t="s">
        <v>222</v>
      </c>
      <c r="C213" s="16" t="s">
        <v>183</v>
      </c>
      <c r="D213" s="23">
        <v>8</v>
      </c>
      <c r="E213" s="24">
        <v>655854.900901</v>
      </c>
    </row>
    <row r="214" s="29" customFormat="1" ht="41" spans="2:5">
      <c r="B214" s="19" t="s">
        <v>223</v>
      </c>
      <c r="C214" s="20" t="s">
        <v>182</v>
      </c>
      <c r="D214" s="21">
        <v>2</v>
      </c>
      <c r="E214" s="22">
        <v>178378.378378</v>
      </c>
    </row>
    <row r="215" s="29" customFormat="1" ht="28.75" spans="2:5">
      <c r="B215" s="19" t="s">
        <v>223</v>
      </c>
      <c r="C215" s="16" t="s">
        <v>183</v>
      </c>
      <c r="D215" s="23">
        <v>2</v>
      </c>
      <c r="E215" s="24">
        <v>178378.378378</v>
      </c>
    </row>
    <row r="216" s="29" customFormat="1" spans="2:5">
      <c r="B216" s="25"/>
      <c r="C216" s="25"/>
      <c r="D216" s="25"/>
      <c r="E216" s="25"/>
    </row>
    <row r="217" s="29" customFormat="1" ht="36" spans="2:5">
      <c r="B217" s="26" t="s">
        <v>189</v>
      </c>
      <c r="C217" s="26" t="s">
        <v>189</v>
      </c>
      <c r="D217" s="26" t="s">
        <v>189</v>
      </c>
      <c r="E217" s="26" t="s">
        <v>189</v>
      </c>
    </row>
    <row r="218" s="29" customFormat="1" spans="2:5">
      <c r="B218" s="26"/>
      <c r="C218" s="26"/>
      <c r="D218" s="26"/>
      <c r="E218" s="26"/>
    </row>
    <row r="219" s="29" customFormat="1" ht="36" spans="2:5">
      <c r="B219" s="26" t="s">
        <v>573</v>
      </c>
      <c r="C219" s="26" t="s">
        <v>573</v>
      </c>
      <c r="D219" s="26" t="s">
        <v>573</v>
      </c>
      <c r="E219" s="26" t="s">
        <v>573</v>
      </c>
    </row>
    <row r="220" s="29" customFormat="1" spans="2:5">
      <c r="B220" s="26" t="s">
        <v>254</v>
      </c>
      <c r="C220" s="26" t="s">
        <v>254</v>
      </c>
      <c r="D220" s="26" t="s">
        <v>254</v>
      </c>
      <c r="E220" s="26" t="s">
        <v>254</v>
      </c>
    </row>
    <row r="221" s="29" customFormat="1" ht="124" spans="2:5">
      <c r="B221" s="11" t="s">
        <v>173</v>
      </c>
      <c r="C221" s="11" t="s">
        <v>173</v>
      </c>
      <c r="D221" s="11" t="s">
        <v>173</v>
      </c>
      <c r="E221" s="11" t="s">
        <v>173</v>
      </c>
    </row>
    <row r="222" s="29" customFormat="1" ht="156" spans="2:5">
      <c r="B222" s="12" t="s">
        <v>174</v>
      </c>
      <c r="C222" s="12" t="s">
        <v>174</v>
      </c>
      <c r="D222" s="12" t="s">
        <v>174</v>
      </c>
      <c r="E222" s="12" t="s">
        <v>174</v>
      </c>
    </row>
    <row r="223" s="29" customFormat="1" ht="68" spans="2:5">
      <c r="B223" s="13" t="s">
        <v>663</v>
      </c>
      <c r="C223" s="13" t="s">
        <v>663</v>
      </c>
      <c r="D223" s="13" t="s">
        <v>663</v>
      </c>
      <c r="E223" s="13" t="s">
        <v>663</v>
      </c>
    </row>
    <row r="224" s="29" customFormat="1" ht="22" spans="2:5">
      <c r="B224" s="14" t="s">
        <v>176</v>
      </c>
      <c r="C224" s="14" t="s">
        <v>176</v>
      </c>
      <c r="D224" s="14" t="s">
        <v>176</v>
      </c>
      <c r="E224" s="14" t="s">
        <v>176</v>
      </c>
    </row>
    <row r="225" s="29" customFormat="1" spans="2:5">
      <c r="B225" s="15" t="s">
        <v>177</v>
      </c>
      <c r="C225" s="16" t="s">
        <v>178</v>
      </c>
      <c r="D225" s="17" t="s">
        <v>179</v>
      </c>
      <c r="E225" s="18" t="s">
        <v>180</v>
      </c>
    </row>
    <row r="226" s="29" customFormat="1" ht="41" spans="2:5">
      <c r="B226" s="19" t="s">
        <v>224</v>
      </c>
      <c r="C226" s="20" t="s">
        <v>182</v>
      </c>
      <c r="D226" s="21">
        <v>4</v>
      </c>
      <c r="E226" s="22">
        <v>311537.417592</v>
      </c>
    </row>
    <row r="227" s="29" customFormat="1" ht="28" spans="2:5">
      <c r="B227" s="19" t="s">
        <v>224</v>
      </c>
      <c r="C227" s="16" t="s">
        <v>183</v>
      </c>
      <c r="D227" s="23">
        <v>4</v>
      </c>
      <c r="E227" s="24">
        <v>311537.417592</v>
      </c>
    </row>
    <row r="228" s="29" customFormat="1" ht="41" spans="2:5">
      <c r="B228" s="19" t="s">
        <v>225</v>
      </c>
      <c r="C228" s="20" t="s">
        <v>182</v>
      </c>
      <c r="D228" s="21">
        <v>1</v>
      </c>
      <c r="E228" s="22">
        <v>93693.693694</v>
      </c>
    </row>
    <row r="229" s="29" customFormat="1" ht="28" spans="2:5">
      <c r="B229" s="19" t="s">
        <v>225</v>
      </c>
      <c r="C229" s="16" t="s">
        <v>183</v>
      </c>
      <c r="D229" s="23">
        <v>1</v>
      </c>
      <c r="E229" s="24">
        <v>93693.693694</v>
      </c>
    </row>
    <row r="230" s="29" customFormat="1" ht="41" spans="2:5">
      <c r="B230" s="19" t="s">
        <v>227</v>
      </c>
      <c r="C230" s="20" t="s">
        <v>182</v>
      </c>
      <c r="D230" s="21">
        <v>2</v>
      </c>
      <c r="E230" s="22">
        <v>178378.378378</v>
      </c>
    </row>
    <row r="231" s="29" customFormat="1" ht="28" spans="2:5">
      <c r="B231" s="19" t="s">
        <v>227</v>
      </c>
      <c r="C231" s="16" t="s">
        <v>183</v>
      </c>
      <c r="D231" s="23">
        <v>2</v>
      </c>
      <c r="E231" s="24">
        <v>178378.378378</v>
      </c>
    </row>
    <row r="232" s="29" customFormat="1" ht="41" spans="2:5">
      <c r="B232" s="19" t="s">
        <v>581</v>
      </c>
      <c r="C232" s="20" t="s">
        <v>182</v>
      </c>
      <c r="D232" s="21">
        <v>4</v>
      </c>
      <c r="E232" s="22">
        <v>480000</v>
      </c>
    </row>
    <row r="233" s="29" customFormat="1" spans="2:5">
      <c r="B233" s="19" t="s">
        <v>581</v>
      </c>
      <c r="C233" s="16" t="s">
        <v>183</v>
      </c>
      <c r="D233" s="23">
        <v>4</v>
      </c>
      <c r="E233" s="24">
        <v>480000</v>
      </c>
    </row>
    <row r="234" s="29" customFormat="1" ht="41" spans="2:5">
      <c r="B234" s="19" t="s">
        <v>679</v>
      </c>
      <c r="C234" s="20" t="s">
        <v>182</v>
      </c>
      <c r="D234" s="21">
        <v>1</v>
      </c>
      <c r="E234" s="22">
        <v>469000</v>
      </c>
    </row>
    <row r="235" s="29" customFormat="1" ht="28" spans="2:5">
      <c r="B235" s="19" t="s">
        <v>679</v>
      </c>
      <c r="C235" s="16" t="s">
        <v>183</v>
      </c>
      <c r="D235" s="23">
        <v>1</v>
      </c>
      <c r="E235" s="24">
        <v>469000</v>
      </c>
    </row>
    <row r="236" s="29" customFormat="1" ht="41" spans="2:5">
      <c r="B236" s="19" t="s">
        <v>243</v>
      </c>
      <c r="C236" s="20" t="s">
        <v>182</v>
      </c>
      <c r="D236" s="21">
        <v>2</v>
      </c>
      <c r="E236" s="22">
        <v>1253693.693694</v>
      </c>
    </row>
    <row r="237" s="29" customFormat="1" ht="28.75" spans="2:5">
      <c r="B237" s="19" t="s">
        <v>243</v>
      </c>
      <c r="C237" s="16" t="s">
        <v>183</v>
      </c>
      <c r="D237" s="23">
        <v>2</v>
      </c>
      <c r="E237" s="24">
        <v>1253693.693694</v>
      </c>
    </row>
    <row r="238" s="29" customFormat="1" spans="2:5">
      <c r="B238" s="25"/>
      <c r="C238" s="25"/>
      <c r="D238" s="25"/>
      <c r="E238" s="25"/>
    </row>
    <row r="239" s="29" customFormat="1" ht="36" spans="2:5">
      <c r="B239" s="26" t="s">
        <v>189</v>
      </c>
      <c r="C239" s="26" t="s">
        <v>189</v>
      </c>
      <c r="D239" s="26" t="s">
        <v>189</v>
      </c>
      <c r="E239" s="26" t="s">
        <v>189</v>
      </c>
    </row>
    <row r="240" s="29" customFormat="1" spans="2:5">
      <c r="B240" s="26"/>
      <c r="C240" s="26"/>
      <c r="D240" s="26"/>
      <c r="E240" s="26"/>
    </row>
    <row r="241" s="29" customFormat="1" ht="36" spans="2:5">
      <c r="B241" s="26" t="s">
        <v>573</v>
      </c>
      <c r="C241" s="26" t="s">
        <v>573</v>
      </c>
      <c r="D241" s="26" t="s">
        <v>573</v>
      </c>
      <c r="E241" s="26" t="s">
        <v>573</v>
      </c>
    </row>
    <row r="242" s="29" customFormat="1" spans="2:5">
      <c r="B242" s="26" t="s">
        <v>261</v>
      </c>
      <c r="C242" s="26" t="s">
        <v>261</v>
      </c>
      <c r="D242" s="26" t="s">
        <v>261</v>
      </c>
      <c r="E242" s="26" t="s">
        <v>261</v>
      </c>
    </row>
    <row r="243" s="29" customFormat="1" ht="124" spans="2:5">
      <c r="B243" s="11" t="s">
        <v>173</v>
      </c>
      <c r="C243" s="11" t="s">
        <v>173</v>
      </c>
      <c r="D243" s="11" t="s">
        <v>173</v>
      </c>
      <c r="E243" s="11" t="s">
        <v>173</v>
      </c>
    </row>
    <row r="244" s="29" customFormat="1" ht="156" spans="2:5">
      <c r="B244" s="12" t="s">
        <v>174</v>
      </c>
      <c r="C244" s="12" t="s">
        <v>174</v>
      </c>
      <c r="D244" s="12" t="s">
        <v>174</v>
      </c>
      <c r="E244" s="12" t="s">
        <v>174</v>
      </c>
    </row>
    <row r="245" s="29" customFormat="1" ht="68" spans="2:5">
      <c r="B245" s="13" t="s">
        <v>663</v>
      </c>
      <c r="C245" s="13" t="s">
        <v>663</v>
      </c>
      <c r="D245" s="13" t="s">
        <v>663</v>
      </c>
      <c r="E245" s="13" t="s">
        <v>663</v>
      </c>
    </row>
    <row r="246" s="29" customFormat="1" ht="22" spans="2:5">
      <c r="B246" s="14" t="s">
        <v>176</v>
      </c>
      <c r="C246" s="14" t="s">
        <v>176</v>
      </c>
      <c r="D246" s="14" t="s">
        <v>176</v>
      </c>
      <c r="E246" s="14" t="s">
        <v>176</v>
      </c>
    </row>
    <row r="247" s="29" customFormat="1" spans="2:5">
      <c r="B247" s="15" t="s">
        <v>177</v>
      </c>
      <c r="C247" s="16" t="s">
        <v>178</v>
      </c>
      <c r="D247" s="17" t="s">
        <v>179</v>
      </c>
      <c r="E247" s="18" t="s">
        <v>180</v>
      </c>
    </row>
    <row r="248" s="29" customFormat="1" ht="41" spans="2:5">
      <c r="B248" s="19" t="s">
        <v>245</v>
      </c>
      <c r="C248" s="20" t="s">
        <v>182</v>
      </c>
      <c r="D248" s="21">
        <v>8</v>
      </c>
      <c r="E248" s="22">
        <v>5176216.036036</v>
      </c>
    </row>
    <row r="249" s="29" customFormat="1" ht="28" spans="2:5">
      <c r="B249" s="19" t="s">
        <v>245</v>
      </c>
      <c r="C249" s="16" t="s">
        <v>183</v>
      </c>
      <c r="D249" s="23">
        <v>8</v>
      </c>
      <c r="E249" s="24">
        <v>5176216.036036</v>
      </c>
    </row>
    <row r="250" s="29" customFormat="1" ht="41" spans="2:5">
      <c r="B250" s="19" t="s">
        <v>246</v>
      </c>
      <c r="C250" s="20" t="s">
        <v>182</v>
      </c>
      <c r="D250" s="21">
        <v>2</v>
      </c>
      <c r="E250" s="22">
        <v>2462162.162162</v>
      </c>
    </row>
    <row r="251" s="29" customFormat="1" ht="28" spans="2:5">
      <c r="B251" s="19" t="s">
        <v>246</v>
      </c>
      <c r="C251" s="16" t="s">
        <v>183</v>
      </c>
      <c r="D251" s="23">
        <v>2</v>
      </c>
      <c r="E251" s="24">
        <v>2462162.162162</v>
      </c>
    </row>
    <row r="252" s="29" customFormat="1" ht="41" spans="2:5">
      <c r="B252" s="19" t="s">
        <v>250</v>
      </c>
      <c r="C252" s="20" t="s">
        <v>182</v>
      </c>
      <c r="D252" s="21">
        <v>2</v>
      </c>
      <c r="E252" s="22">
        <v>2043243.243243</v>
      </c>
    </row>
    <row r="253" s="29" customFormat="1" ht="28" spans="2:5">
      <c r="B253" s="19" t="s">
        <v>250</v>
      </c>
      <c r="C253" s="16" t="s">
        <v>183</v>
      </c>
      <c r="D253" s="23">
        <v>2</v>
      </c>
      <c r="E253" s="24">
        <v>2043243.243243</v>
      </c>
    </row>
    <row r="254" s="29" customFormat="1" ht="41" spans="2:5">
      <c r="B254" s="19" t="s">
        <v>253</v>
      </c>
      <c r="C254" s="20" t="s">
        <v>182</v>
      </c>
      <c r="D254" s="21">
        <v>4</v>
      </c>
      <c r="E254" s="22">
        <v>3591711.711712</v>
      </c>
    </row>
    <row r="255" s="29" customFormat="1" ht="28" spans="2:5">
      <c r="B255" s="19" t="s">
        <v>253</v>
      </c>
      <c r="C255" s="16" t="s">
        <v>183</v>
      </c>
      <c r="D255" s="23">
        <v>4</v>
      </c>
      <c r="E255" s="24">
        <v>3591711.711712</v>
      </c>
    </row>
    <row r="256" s="29" customFormat="1" ht="41" spans="2:5">
      <c r="B256" s="19" t="s">
        <v>493</v>
      </c>
      <c r="C256" s="20" t="s">
        <v>182</v>
      </c>
      <c r="D256" s="21">
        <v>2</v>
      </c>
      <c r="E256" s="22">
        <v>1466216.216216</v>
      </c>
    </row>
    <row r="257" s="29" customFormat="1" ht="28" spans="2:5">
      <c r="B257" s="19" t="s">
        <v>493</v>
      </c>
      <c r="C257" s="16" t="s">
        <v>183</v>
      </c>
      <c r="D257" s="23">
        <v>2</v>
      </c>
      <c r="E257" s="24">
        <v>1466216.216216</v>
      </c>
    </row>
    <row r="258" s="29" customFormat="1" ht="41" spans="2:5">
      <c r="B258" s="19" t="s">
        <v>257</v>
      </c>
      <c r="C258" s="20" t="s">
        <v>182</v>
      </c>
      <c r="D258" s="21">
        <v>4</v>
      </c>
      <c r="E258" s="22">
        <v>2396396</v>
      </c>
    </row>
    <row r="259" s="29" customFormat="1" ht="28.75" spans="2:5">
      <c r="B259" s="19" t="s">
        <v>257</v>
      </c>
      <c r="C259" s="16" t="s">
        <v>183</v>
      </c>
      <c r="D259" s="23">
        <v>4</v>
      </c>
      <c r="E259" s="24">
        <v>2396396</v>
      </c>
    </row>
    <row r="260" s="29" customFormat="1" spans="2:5">
      <c r="B260" s="25"/>
      <c r="C260" s="25"/>
      <c r="D260" s="25"/>
      <c r="E260" s="25"/>
    </row>
    <row r="261" s="29" customFormat="1" ht="36" spans="2:5">
      <c r="B261" s="26" t="s">
        <v>189</v>
      </c>
      <c r="C261" s="26" t="s">
        <v>189</v>
      </c>
      <c r="D261" s="26" t="s">
        <v>189</v>
      </c>
      <c r="E261" s="26" t="s">
        <v>189</v>
      </c>
    </row>
    <row r="262" s="29" customFormat="1" spans="2:5">
      <c r="B262" s="26"/>
      <c r="C262" s="26"/>
      <c r="D262" s="26"/>
      <c r="E262" s="26"/>
    </row>
    <row r="263" s="29" customFormat="1" ht="36" spans="2:5">
      <c r="B263" s="26" t="s">
        <v>573</v>
      </c>
      <c r="C263" s="26" t="s">
        <v>573</v>
      </c>
      <c r="D263" s="26" t="s">
        <v>573</v>
      </c>
      <c r="E263" s="26" t="s">
        <v>573</v>
      </c>
    </row>
    <row r="264" s="29" customFormat="1" spans="2:5">
      <c r="B264" s="26" t="s">
        <v>268</v>
      </c>
      <c r="C264" s="26" t="s">
        <v>268</v>
      </c>
      <c r="D264" s="26" t="s">
        <v>268</v>
      </c>
      <c r="E264" s="26" t="s">
        <v>268</v>
      </c>
    </row>
    <row r="265" s="29" customFormat="1" ht="124" spans="2:5">
      <c r="B265" s="11" t="s">
        <v>173</v>
      </c>
      <c r="C265" s="11" t="s">
        <v>173</v>
      </c>
      <c r="D265" s="11" t="s">
        <v>173</v>
      </c>
      <c r="E265" s="11" t="s">
        <v>173</v>
      </c>
    </row>
    <row r="266" s="29" customFormat="1" ht="156" spans="2:5">
      <c r="B266" s="12" t="s">
        <v>174</v>
      </c>
      <c r="C266" s="12" t="s">
        <v>174</v>
      </c>
      <c r="D266" s="12" t="s">
        <v>174</v>
      </c>
      <c r="E266" s="12" t="s">
        <v>174</v>
      </c>
    </row>
    <row r="267" s="29" customFormat="1" ht="68" spans="2:5">
      <c r="B267" s="13" t="s">
        <v>663</v>
      </c>
      <c r="C267" s="13" t="s">
        <v>663</v>
      </c>
      <c r="D267" s="13" t="s">
        <v>663</v>
      </c>
      <c r="E267" s="13" t="s">
        <v>663</v>
      </c>
    </row>
    <row r="268" s="29" customFormat="1" ht="22" spans="2:5">
      <c r="B268" s="14" t="s">
        <v>176</v>
      </c>
      <c r="C268" s="14" t="s">
        <v>176</v>
      </c>
      <c r="D268" s="14" t="s">
        <v>176</v>
      </c>
      <c r="E268" s="14" t="s">
        <v>176</v>
      </c>
    </row>
    <row r="269" s="29" customFormat="1" spans="2:5">
      <c r="B269" s="15" t="s">
        <v>177</v>
      </c>
      <c r="C269" s="16" t="s">
        <v>178</v>
      </c>
      <c r="D269" s="17" t="s">
        <v>179</v>
      </c>
      <c r="E269" s="18" t="s">
        <v>180</v>
      </c>
    </row>
    <row r="270" s="29" customFormat="1" ht="41" spans="2:5">
      <c r="B270" s="19" t="s">
        <v>258</v>
      </c>
      <c r="C270" s="20" t="s">
        <v>182</v>
      </c>
      <c r="D270" s="21">
        <v>4</v>
      </c>
      <c r="E270" s="22">
        <v>3067387.387388</v>
      </c>
    </row>
    <row r="271" s="29" customFormat="1" ht="28" spans="2:5">
      <c r="B271" s="19" t="s">
        <v>258</v>
      </c>
      <c r="C271" s="16" t="s">
        <v>183</v>
      </c>
      <c r="D271" s="23">
        <v>4</v>
      </c>
      <c r="E271" s="24">
        <v>3067387.387388</v>
      </c>
    </row>
    <row r="272" s="29" customFormat="1" ht="41" spans="2:5">
      <c r="B272" s="19" t="s">
        <v>260</v>
      </c>
      <c r="C272" s="20" t="s">
        <v>182</v>
      </c>
      <c r="D272" s="21">
        <v>2</v>
      </c>
      <c r="E272" s="22">
        <v>981499</v>
      </c>
    </row>
    <row r="273" s="29" customFormat="1" ht="28" spans="2:5">
      <c r="B273" s="19" t="s">
        <v>260</v>
      </c>
      <c r="C273" s="16" t="s">
        <v>183</v>
      </c>
      <c r="D273" s="23">
        <v>2</v>
      </c>
      <c r="E273" s="24">
        <v>981499</v>
      </c>
    </row>
    <row r="274" s="29" customFormat="1" ht="41" spans="2:5">
      <c r="B274" s="19" t="s">
        <v>680</v>
      </c>
      <c r="C274" s="20" t="s">
        <v>182</v>
      </c>
      <c r="D274" s="21">
        <v>1</v>
      </c>
      <c r="E274" s="22">
        <v>51000</v>
      </c>
    </row>
    <row r="275" s="29" customFormat="1" spans="2:5">
      <c r="B275" s="19" t="s">
        <v>680</v>
      </c>
      <c r="C275" s="16" t="s">
        <v>183</v>
      </c>
      <c r="D275" s="23">
        <v>1</v>
      </c>
      <c r="E275" s="24">
        <v>51000</v>
      </c>
    </row>
    <row r="276" s="29" customFormat="1" ht="41" spans="2:5">
      <c r="B276" s="19" t="s">
        <v>681</v>
      </c>
      <c r="C276" s="20" t="s">
        <v>182</v>
      </c>
      <c r="D276" s="21">
        <v>1</v>
      </c>
      <c r="E276" s="22">
        <v>0</v>
      </c>
    </row>
    <row r="277" s="29" customFormat="1" spans="2:5">
      <c r="B277" s="19" t="s">
        <v>681</v>
      </c>
      <c r="C277" s="16" t="s">
        <v>183</v>
      </c>
      <c r="D277" s="23">
        <v>1</v>
      </c>
      <c r="E277" s="24">
        <v>0</v>
      </c>
    </row>
    <row r="278" s="29" customFormat="1" ht="41" spans="2:5">
      <c r="B278" s="19" t="s">
        <v>682</v>
      </c>
      <c r="C278" s="20" t="s">
        <v>182</v>
      </c>
      <c r="D278" s="21">
        <v>1</v>
      </c>
      <c r="E278" s="22">
        <v>0</v>
      </c>
    </row>
    <row r="279" s="29" customFormat="1" spans="2:5">
      <c r="B279" s="19" t="s">
        <v>682</v>
      </c>
      <c r="C279" s="16" t="s">
        <v>183</v>
      </c>
      <c r="D279" s="23">
        <v>1</v>
      </c>
      <c r="E279" s="24">
        <v>0</v>
      </c>
    </row>
    <row r="280" s="29" customFormat="1" ht="41" spans="2:5">
      <c r="B280" s="19" t="s">
        <v>272</v>
      </c>
      <c r="C280" s="20" t="s">
        <v>182</v>
      </c>
      <c r="D280" s="21">
        <v>46</v>
      </c>
      <c r="E280" s="22">
        <v>1266666.369375</v>
      </c>
    </row>
    <row r="281" s="29" customFormat="1" ht="28.75" spans="2:5">
      <c r="B281" s="19" t="s">
        <v>272</v>
      </c>
      <c r="C281" s="16" t="s">
        <v>183</v>
      </c>
      <c r="D281" s="23">
        <v>46</v>
      </c>
      <c r="E281" s="24">
        <v>1266666.369375</v>
      </c>
    </row>
    <row r="282" s="29" customFormat="1" spans="2:5">
      <c r="B282" s="25"/>
      <c r="C282" s="25"/>
      <c r="D282" s="25"/>
      <c r="E282" s="25"/>
    </row>
    <row r="283" s="29" customFormat="1" ht="36" spans="2:5">
      <c r="B283" s="26" t="s">
        <v>189</v>
      </c>
      <c r="C283" s="26" t="s">
        <v>189</v>
      </c>
      <c r="D283" s="26" t="s">
        <v>189</v>
      </c>
      <c r="E283" s="26" t="s">
        <v>189</v>
      </c>
    </row>
    <row r="284" s="29" customFormat="1" spans="2:5">
      <c r="B284" s="26"/>
      <c r="C284" s="26"/>
      <c r="D284" s="26"/>
      <c r="E284" s="26"/>
    </row>
    <row r="285" s="29" customFormat="1" ht="36" spans="2:5">
      <c r="B285" s="26" t="s">
        <v>573</v>
      </c>
      <c r="C285" s="26" t="s">
        <v>573</v>
      </c>
      <c r="D285" s="26" t="s">
        <v>573</v>
      </c>
      <c r="E285" s="26" t="s">
        <v>573</v>
      </c>
    </row>
    <row r="286" s="29" customFormat="1" spans="2:5">
      <c r="B286" s="26" t="s">
        <v>275</v>
      </c>
      <c r="C286" s="26" t="s">
        <v>275</v>
      </c>
      <c r="D286" s="26" t="s">
        <v>275</v>
      </c>
      <c r="E286" s="26" t="s">
        <v>275</v>
      </c>
    </row>
    <row r="287" s="29" customFormat="1" ht="124" spans="2:5">
      <c r="B287" s="11" t="s">
        <v>173</v>
      </c>
      <c r="C287" s="11" t="s">
        <v>173</v>
      </c>
      <c r="D287" s="11" t="s">
        <v>173</v>
      </c>
      <c r="E287" s="11" t="s">
        <v>173</v>
      </c>
    </row>
    <row r="288" s="29" customFormat="1" ht="156" spans="2:5">
      <c r="B288" s="12" t="s">
        <v>174</v>
      </c>
      <c r="C288" s="12" t="s">
        <v>174</v>
      </c>
      <c r="D288" s="12" t="s">
        <v>174</v>
      </c>
      <c r="E288" s="12" t="s">
        <v>174</v>
      </c>
    </row>
    <row r="289" s="29" customFormat="1" ht="68" spans="2:5">
      <c r="B289" s="13" t="s">
        <v>663</v>
      </c>
      <c r="C289" s="13" t="s">
        <v>663</v>
      </c>
      <c r="D289" s="13" t="s">
        <v>663</v>
      </c>
      <c r="E289" s="13" t="s">
        <v>663</v>
      </c>
    </row>
    <row r="290" s="29" customFormat="1" ht="22" spans="2:5">
      <c r="B290" s="14" t="s">
        <v>176</v>
      </c>
      <c r="C290" s="14" t="s">
        <v>176</v>
      </c>
      <c r="D290" s="14" t="s">
        <v>176</v>
      </c>
      <c r="E290" s="14" t="s">
        <v>176</v>
      </c>
    </row>
    <row r="291" s="29" customFormat="1" spans="2:5">
      <c r="B291" s="15" t="s">
        <v>177</v>
      </c>
      <c r="C291" s="16" t="s">
        <v>178</v>
      </c>
      <c r="D291" s="17" t="s">
        <v>179</v>
      </c>
      <c r="E291" s="18" t="s">
        <v>180</v>
      </c>
    </row>
    <row r="292" s="29" customFormat="1" ht="41" spans="2:5">
      <c r="B292" s="19" t="s">
        <v>421</v>
      </c>
      <c r="C292" s="20" t="s">
        <v>182</v>
      </c>
      <c r="D292" s="21">
        <v>15</v>
      </c>
      <c r="E292" s="22">
        <v>466666.477479</v>
      </c>
    </row>
    <row r="293" s="29" customFormat="1" ht="28" spans="2:5">
      <c r="B293" s="19" t="s">
        <v>421</v>
      </c>
      <c r="C293" s="16" t="s">
        <v>183</v>
      </c>
      <c r="D293" s="23">
        <v>15</v>
      </c>
      <c r="E293" s="24">
        <v>466666.477479</v>
      </c>
    </row>
    <row r="294" s="29" customFormat="1" ht="41" spans="2:5">
      <c r="B294" s="19" t="s">
        <v>273</v>
      </c>
      <c r="C294" s="20" t="s">
        <v>182</v>
      </c>
      <c r="D294" s="21">
        <v>50</v>
      </c>
      <c r="E294" s="22">
        <v>1258919.243243</v>
      </c>
    </row>
    <row r="295" s="29" customFormat="1" ht="28" spans="2:5">
      <c r="B295" s="19" t="s">
        <v>273</v>
      </c>
      <c r="C295" s="16" t="s">
        <v>183</v>
      </c>
      <c r="D295" s="23">
        <v>50</v>
      </c>
      <c r="E295" s="24">
        <v>1258919.243243</v>
      </c>
    </row>
    <row r="296" s="29" customFormat="1" ht="41" spans="2:5">
      <c r="B296" s="19" t="s">
        <v>274</v>
      </c>
      <c r="C296" s="20" t="s">
        <v>182</v>
      </c>
      <c r="D296" s="21">
        <v>42</v>
      </c>
      <c r="E296" s="22">
        <v>198786</v>
      </c>
    </row>
    <row r="297" s="29" customFormat="1" ht="28" spans="2:5">
      <c r="B297" s="19" t="s">
        <v>274</v>
      </c>
      <c r="C297" s="16" t="s">
        <v>183</v>
      </c>
      <c r="D297" s="23">
        <v>42</v>
      </c>
      <c r="E297" s="24">
        <v>198786</v>
      </c>
    </row>
    <row r="298" s="29" customFormat="1" ht="41" spans="2:5">
      <c r="B298" s="19" t="s">
        <v>583</v>
      </c>
      <c r="C298" s="20" t="s">
        <v>182</v>
      </c>
      <c r="D298" s="21">
        <v>45</v>
      </c>
      <c r="E298" s="22">
        <v>634054.054054</v>
      </c>
    </row>
    <row r="299" s="29" customFormat="1" ht="28" spans="2:5">
      <c r="B299" s="19" t="s">
        <v>583</v>
      </c>
      <c r="C299" s="16" t="s">
        <v>183</v>
      </c>
      <c r="D299" s="23">
        <v>45</v>
      </c>
      <c r="E299" s="24">
        <v>634054.054054</v>
      </c>
    </row>
    <row r="300" s="29" customFormat="1" ht="41" spans="2:5">
      <c r="B300" s="19" t="s">
        <v>368</v>
      </c>
      <c r="C300" s="20" t="s">
        <v>182</v>
      </c>
      <c r="D300" s="21">
        <v>89</v>
      </c>
      <c r="E300" s="22">
        <v>804684.684685</v>
      </c>
    </row>
    <row r="301" s="29" customFormat="1" ht="28" spans="2:5">
      <c r="B301" s="19" t="s">
        <v>368</v>
      </c>
      <c r="C301" s="16" t="s">
        <v>183</v>
      </c>
      <c r="D301" s="23">
        <v>89</v>
      </c>
      <c r="E301" s="24">
        <v>804684.684685</v>
      </c>
    </row>
    <row r="302" s="29" customFormat="1" ht="41" spans="2:5">
      <c r="B302" s="19" t="s">
        <v>423</v>
      </c>
      <c r="C302" s="20" t="s">
        <v>182</v>
      </c>
      <c r="D302" s="21">
        <v>5</v>
      </c>
      <c r="E302" s="22">
        <v>0</v>
      </c>
    </row>
    <row r="303" s="29" customFormat="1" ht="28.75" spans="2:5">
      <c r="B303" s="19" t="s">
        <v>423</v>
      </c>
      <c r="C303" s="16" t="s">
        <v>183</v>
      </c>
      <c r="D303" s="23">
        <v>5</v>
      </c>
      <c r="E303" s="24">
        <v>0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573</v>
      </c>
      <c r="C307" s="26" t="s">
        <v>573</v>
      </c>
      <c r="D307" s="26" t="s">
        <v>573</v>
      </c>
      <c r="E307" s="26" t="s">
        <v>573</v>
      </c>
    </row>
    <row r="308" s="29" customFormat="1" spans="2:5">
      <c r="B308" s="26" t="s">
        <v>282</v>
      </c>
      <c r="C308" s="26" t="s">
        <v>282</v>
      </c>
      <c r="D308" s="26" t="s">
        <v>282</v>
      </c>
      <c r="E308" s="26" t="s">
        <v>282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663</v>
      </c>
      <c r="C311" s="13" t="s">
        <v>663</v>
      </c>
      <c r="D311" s="13" t="s">
        <v>663</v>
      </c>
      <c r="E311" s="13" t="s">
        <v>663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41" spans="2:5">
      <c r="B314" s="19" t="s">
        <v>683</v>
      </c>
      <c r="C314" s="20" t="s">
        <v>182</v>
      </c>
      <c r="D314" s="21">
        <v>1</v>
      </c>
      <c r="E314" s="22">
        <v>686000</v>
      </c>
    </row>
    <row r="315" s="29" customFormat="1" spans="2:5">
      <c r="B315" s="19" t="s">
        <v>683</v>
      </c>
      <c r="C315" s="16" t="s">
        <v>183</v>
      </c>
      <c r="D315" s="23">
        <v>1</v>
      </c>
      <c r="E315" s="24">
        <v>686000</v>
      </c>
    </row>
    <row r="316" s="29" customFormat="1" ht="41" spans="2:5">
      <c r="B316" s="19" t="s">
        <v>684</v>
      </c>
      <c r="C316" s="20" t="s">
        <v>182</v>
      </c>
      <c r="D316" s="21">
        <v>1</v>
      </c>
      <c r="E316" s="22">
        <v>1400000</v>
      </c>
    </row>
    <row r="317" s="29" customFormat="1" ht="28" spans="2:5">
      <c r="B317" s="19" t="s">
        <v>684</v>
      </c>
      <c r="C317" s="16" t="s">
        <v>183</v>
      </c>
      <c r="D317" s="23">
        <v>1</v>
      </c>
      <c r="E317" s="24">
        <v>1400000</v>
      </c>
    </row>
    <row r="318" s="29" customFormat="1" ht="41" spans="2:5">
      <c r="B318" s="19" t="s">
        <v>685</v>
      </c>
      <c r="C318" s="20" t="s">
        <v>182</v>
      </c>
      <c r="D318" s="21">
        <v>1</v>
      </c>
      <c r="E318" s="22">
        <v>376000</v>
      </c>
    </row>
    <row r="319" s="29" customFormat="1" ht="28" spans="2:5">
      <c r="B319" s="19" t="s">
        <v>685</v>
      </c>
      <c r="C319" s="16" t="s">
        <v>183</v>
      </c>
      <c r="D319" s="23">
        <v>1</v>
      </c>
      <c r="E319" s="24">
        <v>376000</v>
      </c>
    </row>
    <row r="320" s="29" customFormat="1" ht="41" spans="2:5">
      <c r="B320" s="19" t="s">
        <v>686</v>
      </c>
      <c r="C320" s="20" t="s">
        <v>182</v>
      </c>
      <c r="D320" s="21">
        <v>1</v>
      </c>
      <c r="E320" s="22">
        <v>620000</v>
      </c>
    </row>
    <row r="321" s="29" customFormat="1" ht="41" spans="2:5">
      <c r="B321" s="19" t="s">
        <v>686</v>
      </c>
      <c r="C321" s="16" t="s">
        <v>183</v>
      </c>
      <c r="D321" s="23">
        <v>1</v>
      </c>
      <c r="E321" s="24">
        <v>620000</v>
      </c>
    </row>
    <row r="322" s="29" customFormat="1" ht="41" spans="2:5">
      <c r="B322" s="19" t="s">
        <v>687</v>
      </c>
      <c r="C322" s="20" t="s">
        <v>182</v>
      </c>
      <c r="D322" s="21">
        <v>1</v>
      </c>
      <c r="E322" s="22">
        <v>525000</v>
      </c>
    </row>
    <row r="323" s="29" customFormat="1" ht="41" spans="2:5">
      <c r="B323" s="19" t="s">
        <v>687</v>
      </c>
      <c r="C323" s="16" t="s">
        <v>183</v>
      </c>
      <c r="D323" s="23">
        <v>1</v>
      </c>
      <c r="E323" s="24">
        <v>525000</v>
      </c>
    </row>
    <row r="324" s="29" customFormat="1" ht="41" spans="2:5">
      <c r="B324" s="19" t="s">
        <v>688</v>
      </c>
      <c r="C324" s="20" t="s">
        <v>182</v>
      </c>
      <c r="D324" s="21">
        <v>1</v>
      </c>
      <c r="E324" s="22">
        <v>0</v>
      </c>
    </row>
    <row r="325" s="29" customFormat="1" ht="28.75" spans="2:5">
      <c r="B325" s="19" t="s">
        <v>688</v>
      </c>
      <c r="C325" s="16" t="s">
        <v>183</v>
      </c>
      <c r="D325" s="23">
        <v>1</v>
      </c>
      <c r="E325" s="24">
        <v>0</v>
      </c>
    </row>
    <row r="326" s="29" customFormat="1" spans="2:5">
      <c r="B326" s="25"/>
      <c r="C326" s="25"/>
      <c r="D326" s="25"/>
      <c r="E326" s="25"/>
    </row>
    <row r="327" s="29" customFormat="1" ht="36" spans="2:5">
      <c r="B327" s="26" t="s">
        <v>189</v>
      </c>
      <c r="C327" s="26" t="s">
        <v>189</v>
      </c>
      <c r="D327" s="26" t="s">
        <v>189</v>
      </c>
      <c r="E327" s="26" t="s">
        <v>189</v>
      </c>
    </row>
    <row r="328" s="29" customFormat="1" spans="2:5">
      <c r="B328" s="26"/>
      <c r="C328" s="26"/>
      <c r="D328" s="26"/>
      <c r="E328" s="26"/>
    </row>
    <row r="329" s="29" customFormat="1" ht="36" spans="2:5">
      <c r="B329" s="26" t="s">
        <v>573</v>
      </c>
      <c r="C329" s="26" t="s">
        <v>573</v>
      </c>
      <c r="D329" s="26" t="s">
        <v>573</v>
      </c>
      <c r="E329" s="26" t="s">
        <v>573</v>
      </c>
    </row>
    <row r="330" s="29" customFormat="1" spans="2:5">
      <c r="B330" s="26" t="s">
        <v>289</v>
      </c>
      <c r="C330" s="26" t="s">
        <v>289</v>
      </c>
      <c r="D330" s="26" t="s">
        <v>289</v>
      </c>
      <c r="E330" s="26" t="s">
        <v>289</v>
      </c>
    </row>
    <row r="331" s="29" customFormat="1" ht="124" spans="2:5">
      <c r="B331" s="11" t="s">
        <v>173</v>
      </c>
      <c r="C331" s="11" t="s">
        <v>173</v>
      </c>
      <c r="D331" s="11" t="s">
        <v>173</v>
      </c>
      <c r="E331" s="11" t="s">
        <v>173</v>
      </c>
    </row>
    <row r="332" s="29" customFormat="1" ht="156" spans="2:5">
      <c r="B332" s="12" t="s">
        <v>174</v>
      </c>
      <c r="C332" s="12" t="s">
        <v>174</v>
      </c>
      <c r="D332" s="12" t="s">
        <v>174</v>
      </c>
      <c r="E332" s="12" t="s">
        <v>174</v>
      </c>
    </row>
    <row r="333" s="29" customFormat="1" ht="68" spans="2:5">
      <c r="B333" s="13" t="s">
        <v>663</v>
      </c>
      <c r="C333" s="13" t="s">
        <v>663</v>
      </c>
      <c r="D333" s="13" t="s">
        <v>663</v>
      </c>
      <c r="E333" s="13" t="s">
        <v>663</v>
      </c>
    </row>
    <row r="334" s="29" customFormat="1" ht="22" spans="2:5">
      <c r="B334" s="14" t="s">
        <v>176</v>
      </c>
      <c r="C334" s="14" t="s">
        <v>176</v>
      </c>
      <c r="D334" s="14" t="s">
        <v>176</v>
      </c>
      <c r="E334" s="14" t="s">
        <v>176</v>
      </c>
    </row>
    <row r="335" s="29" customFormat="1" spans="2:5">
      <c r="B335" s="15" t="s">
        <v>177</v>
      </c>
      <c r="C335" s="16" t="s">
        <v>178</v>
      </c>
      <c r="D335" s="17" t="s">
        <v>179</v>
      </c>
      <c r="E335" s="18" t="s">
        <v>180</v>
      </c>
    </row>
    <row r="336" s="29" customFormat="1" ht="41" spans="2:5">
      <c r="B336" s="19" t="s">
        <v>424</v>
      </c>
      <c r="C336" s="20" t="s">
        <v>182</v>
      </c>
      <c r="D336" s="21">
        <v>91</v>
      </c>
      <c r="E336" s="22">
        <v>115315.315315</v>
      </c>
    </row>
    <row r="337" s="29" customFormat="1" ht="28" spans="2:5">
      <c r="B337" s="19" t="s">
        <v>424</v>
      </c>
      <c r="C337" s="16" t="s">
        <v>183</v>
      </c>
      <c r="D337" s="23">
        <v>91</v>
      </c>
      <c r="E337" s="24">
        <v>115315.315315</v>
      </c>
    </row>
    <row r="338" s="29" customFormat="1" ht="41" spans="2:5">
      <c r="B338" s="19" t="s">
        <v>689</v>
      </c>
      <c r="C338" s="20" t="s">
        <v>182</v>
      </c>
      <c r="D338" s="21">
        <v>1</v>
      </c>
      <c r="E338" s="22">
        <v>118919</v>
      </c>
    </row>
    <row r="339" s="29" customFormat="1" spans="2:5">
      <c r="B339" s="19" t="s">
        <v>689</v>
      </c>
      <c r="C339" s="16" t="s">
        <v>183</v>
      </c>
      <c r="D339" s="23">
        <v>1</v>
      </c>
      <c r="E339" s="24">
        <v>118919</v>
      </c>
    </row>
    <row r="340" s="29" customFormat="1" ht="41" spans="2:5">
      <c r="B340" s="19" t="s">
        <v>690</v>
      </c>
      <c r="C340" s="20" t="s">
        <v>182</v>
      </c>
      <c r="D340" s="21">
        <v>1</v>
      </c>
      <c r="E340" s="22">
        <v>107207.207207</v>
      </c>
    </row>
    <row r="341" s="29" customFormat="1" spans="2:5">
      <c r="B341" s="19" t="s">
        <v>690</v>
      </c>
      <c r="C341" s="16" t="s">
        <v>183</v>
      </c>
      <c r="D341" s="23">
        <v>1</v>
      </c>
      <c r="E341" s="24">
        <v>107207.207207</v>
      </c>
    </row>
    <row r="342" s="29" customFormat="1" ht="41" spans="2:5">
      <c r="B342" s="19" t="s">
        <v>691</v>
      </c>
      <c r="C342" s="20" t="s">
        <v>182</v>
      </c>
      <c r="D342" s="21">
        <v>1</v>
      </c>
      <c r="E342" s="22">
        <v>105405.405405</v>
      </c>
    </row>
    <row r="343" s="29" customFormat="1" spans="2:5">
      <c r="B343" s="19" t="s">
        <v>691</v>
      </c>
      <c r="C343" s="16" t="s">
        <v>183</v>
      </c>
      <c r="D343" s="23">
        <v>1</v>
      </c>
      <c r="E343" s="24">
        <v>105405.405405</v>
      </c>
    </row>
    <row r="344" s="29" customFormat="1" ht="41" spans="2:5">
      <c r="B344" s="19" t="s">
        <v>425</v>
      </c>
      <c r="C344" s="20" t="s">
        <v>182</v>
      </c>
      <c r="D344" s="21">
        <v>1</v>
      </c>
      <c r="E344" s="22">
        <v>0</v>
      </c>
    </row>
    <row r="345" s="29" customFormat="1" spans="2:5">
      <c r="B345" s="19" t="s">
        <v>425</v>
      </c>
      <c r="C345" s="16" t="s">
        <v>183</v>
      </c>
      <c r="D345" s="23">
        <v>1</v>
      </c>
      <c r="E345" s="24">
        <v>0</v>
      </c>
    </row>
    <row r="346" s="29" customFormat="1" ht="41" spans="2:5">
      <c r="B346" s="19" t="s">
        <v>692</v>
      </c>
      <c r="C346" s="20" t="s">
        <v>182</v>
      </c>
      <c r="D346" s="21">
        <v>1</v>
      </c>
      <c r="E346" s="22">
        <v>75000</v>
      </c>
    </row>
    <row r="347" s="29" customFormat="1" ht="28.75" spans="2:5">
      <c r="B347" s="19" t="s">
        <v>692</v>
      </c>
      <c r="C347" s="16" t="s">
        <v>183</v>
      </c>
      <c r="D347" s="23">
        <v>1</v>
      </c>
      <c r="E347" s="24">
        <v>75000</v>
      </c>
    </row>
    <row r="348" s="29" customFormat="1" spans="2:5">
      <c r="B348" s="25"/>
      <c r="C348" s="25"/>
      <c r="D348" s="25"/>
      <c r="E348" s="25"/>
    </row>
    <row r="349" s="29" customFormat="1" ht="36" spans="2:5">
      <c r="B349" s="26" t="s">
        <v>189</v>
      </c>
      <c r="C349" s="26" t="s">
        <v>189</v>
      </c>
      <c r="D349" s="26" t="s">
        <v>189</v>
      </c>
      <c r="E349" s="26" t="s">
        <v>189</v>
      </c>
    </row>
    <row r="350" s="29" customFormat="1" spans="2:5">
      <c r="B350" s="26"/>
      <c r="C350" s="26"/>
      <c r="D350" s="26"/>
      <c r="E350" s="26"/>
    </row>
    <row r="351" s="29" customFormat="1" ht="36" spans="2:5">
      <c r="B351" s="26" t="s">
        <v>573</v>
      </c>
      <c r="C351" s="26" t="s">
        <v>573</v>
      </c>
      <c r="D351" s="26" t="s">
        <v>573</v>
      </c>
      <c r="E351" s="26" t="s">
        <v>573</v>
      </c>
    </row>
    <row r="352" s="29" customFormat="1" spans="2:5">
      <c r="B352" s="26" t="s">
        <v>296</v>
      </c>
      <c r="C352" s="26" t="s">
        <v>296</v>
      </c>
      <c r="D352" s="26" t="s">
        <v>296</v>
      </c>
      <c r="E352" s="26" t="s">
        <v>296</v>
      </c>
    </row>
    <row r="353" s="29" customFormat="1" ht="124" spans="2:5">
      <c r="B353" s="11" t="s">
        <v>173</v>
      </c>
      <c r="C353" s="11" t="s">
        <v>173</v>
      </c>
      <c r="D353" s="11" t="s">
        <v>173</v>
      </c>
      <c r="E353" s="11" t="s">
        <v>173</v>
      </c>
    </row>
    <row r="354" s="29" customFormat="1" ht="156" spans="2:5">
      <c r="B354" s="12" t="s">
        <v>174</v>
      </c>
      <c r="C354" s="12" t="s">
        <v>174</v>
      </c>
      <c r="D354" s="12" t="s">
        <v>174</v>
      </c>
      <c r="E354" s="12" t="s">
        <v>174</v>
      </c>
    </row>
    <row r="355" s="29" customFormat="1" ht="68" spans="2:5">
      <c r="B355" s="13" t="s">
        <v>663</v>
      </c>
      <c r="C355" s="13" t="s">
        <v>663</v>
      </c>
      <c r="D355" s="13" t="s">
        <v>663</v>
      </c>
      <c r="E355" s="13" t="s">
        <v>663</v>
      </c>
    </row>
    <row r="356" s="29" customFormat="1" ht="22" spans="2:5">
      <c r="B356" s="14" t="s">
        <v>176</v>
      </c>
      <c r="C356" s="14" t="s">
        <v>176</v>
      </c>
      <c r="D356" s="14" t="s">
        <v>176</v>
      </c>
      <c r="E356" s="14" t="s">
        <v>176</v>
      </c>
    </row>
    <row r="357" s="29" customFormat="1" spans="2:5">
      <c r="B357" s="15" t="s">
        <v>177</v>
      </c>
      <c r="C357" s="16" t="s">
        <v>178</v>
      </c>
      <c r="D357" s="17" t="s">
        <v>179</v>
      </c>
      <c r="E357" s="18" t="s">
        <v>180</v>
      </c>
    </row>
    <row r="358" s="29" customFormat="1" ht="41" spans="2:5">
      <c r="B358" s="19" t="s">
        <v>426</v>
      </c>
      <c r="C358" s="20" t="s">
        <v>182</v>
      </c>
      <c r="D358" s="21">
        <v>70</v>
      </c>
      <c r="E358" s="22">
        <v>0</v>
      </c>
    </row>
    <row r="359" s="29" customFormat="1" spans="2:5">
      <c r="B359" s="19" t="s">
        <v>426</v>
      </c>
      <c r="C359" s="16" t="s">
        <v>183</v>
      </c>
      <c r="D359" s="23">
        <v>70</v>
      </c>
      <c r="E359" s="24">
        <v>0</v>
      </c>
    </row>
    <row r="360" s="29" customFormat="1" ht="41" spans="2:5">
      <c r="B360" s="19" t="s">
        <v>498</v>
      </c>
      <c r="C360" s="20" t="s">
        <v>182</v>
      </c>
      <c r="D360" s="21">
        <v>4</v>
      </c>
      <c r="E360" s="22">
        <v>0</v>
      </c>
    </row>
    <row r="361" s="29" customFormat="1" spans="2:5">
      <c r="B361" s="19" t="s">
        <v>498</v>
      </c>
      <c r="C361" s="16" t="s">
        <v>183</v>
      </c>
      <c r="D361" s="23">
        <v>4</v>
      </c>
      <c r="E361" s="24">
        <v>0</v>
      </c>
    </row>
    <row r="362" s="29" customFormat="1" ht="41" spans="2:5">
      <c r="B362" s="19" t="s">
        <v>427</v>
      </c>
      <c r="C362" s="20" t="s">
        <v>182</v>
      </c>
      <c r="D362" s="21">
        <v>25</v>
      </c>
      <c r="E362" s="22">
        <v>0</v>
      </c>
    </row>
    <row r="363" s="29" customFormat="1" spans="2:5">
      <c r="B363" s="19" t="s">
        <v>427</v>
      </c>
      <c r="C363" s="16" t="s">
        <v>183</v>
      </c>
      <c r="D363" s="23">
        <v>25</v>
      </c>
      <c r="E363" s="24">
        <v>0</v>
      </c>
    </row>
    <row r="364" s="29" customFormat="1" ht="41" spans="2:5">
      <c r="B364" s="19" t="s">
        <v>428</v>
      </c>
      <c r="C364" s="20" t="s">
        <v>182</v>
      </c>
      <c r="D364" s="21">
        <v>8</v>
      </c>
      <c r="E364" s="22">
        <v>0</v>
      </c>
    </row>
    <row r="365" s="29" customFormat="1" spans="2:5">
      <c r="B365" s="19" t="s">
        <v>428</v>
      </c>
      <c r="C365" s="16" t="s">
        <v>183</v>
      </c>
      <c r="D365" s="23">
        <v>8</v>
      </c>
      <c r="E365" s="24">
        <v>0</v>
      </c>
    </row>
    <row r="366" s="29" customFormat="1" ht="41" spans="2:5">
      <c r="B366" s="19" t="s">
        <v>429</v>
      </c>
      <c r="C366" s="20" t="s">
        <v>182</v>
      </c>
      <c r="D366" s="21">
        <v>96</v>
      </c>
      <c r="E366" s="22">
        <v>0</v>
      </c>
    </row>
    <row r="367" s="29" customFormat="1" spans="2:5">
      <c r="B367" s="19" t="s">
        <v>429</v>
      </c>
      <c r="C367" s="16" t="s">
        <v>183</v>
      </c>
      <c r="D367" s="23">
        <v>96</v>
      </c>
      <c r="E367" s="24">
        <v>0</v>
      </c>
    </row>
    <row r="368" s="29" customFormat="1" ht="41" spans="2:5">
      <c r="B368" s="19" t="s">
        <v>430</v>
      </c>
      <c r="C368" s="20" t="s">
        <v>182</v>
      </c>
      <c r="D368" s="21">
        <v>5</v>
      </c>
      <c r="E368" s="22">
        <v>0</v>
      </c>
    </row>
    <row r="369" s="29" customFormat="1" ht="17.55" spans="2:5">
      <c r="B369" s="19" t="s">
        <v>430</v>
      </c>
      <c r="C369" s="16" t="s">
        <v>183</v>
      </c>
      <c r="D369" s="23">
        <v>5</v>
      </c>
      <c r="E369" s="24">
        <v>0</v>
      </c>
    </row>
    <row r="370" s="29" customFormat="1" spans="2:5">
      <c r="B370" s="25"/>
      <c r="C370" s="25"/>
      <c r="D370" s="25"/>
      <c r="E370" s="25"/>
    </row>
    <row r="371" s="29" customFormat="1" ht="36" spans="2:5">
      <c r="B371" s="26" t="s">
        <v>189</v>
      </c>
      <c r="C371" s="26" t="s">
        <v>189</v>
      </c>
      <c r="D371" s="26" t="s">
        <v>189</v>
      </c>
      <c r="E371" s="26" t="s">
        <v>189</v>
      </c>
    </row>
    <row r="372" s="29" customFormat="1" spans="2:5">
      <c r="B372" s="26"/>
      <c r="C372" s="26"/>
      <c r="D372" s="26"/>
      <c r="E372" s="26"/>
    </row>
    <row r="373" s="29" customFormat="1" ht="36" spans="2:5">
      <c r="B373" s="26" t="s">
        <v>573</v>
      </c>
      <c r="C373" s="26" t="s">
        <v>573</v>
      </c>
      <c r="D373" s="26" t="s">
        <v>573</v>
      </c>
      <c r="E373" s="26" t="s">
        <v>573</v>
      </c>
    </row>
    <row r="374" s="29" customFormat="1" spans="2:5">
      <c r="B374" s="26" t="s">
        <v>303</v>
      </c>
      <c r="C374" s="26" t="s">
        <v>303</v>
      </c>
      <c r="D374" s="26" t="s">
        <v>303</v>
      </c>
      <c r="E374" s="26" t="s">
        <v>303</v>
      </c>
    </row>
    <row r="375" s="29" customFormat="1" ht="124" spans="2:5">
      <c r="B375" s="11" t="s">
        <v>173</v>
      </c>
      <c r="C375" s="11" t="s">
        <v>173</v>
      </c>
      <c r="D375" s="11" t="s">
        <v>173</v>
      </c>
      <c r="E375" s="11" t="s">
        <v>173</v>
      </c>
    </row>
    <row r="376" s="29" customFormat="1" ht="156" spans="2:5">
      <c r="B376" s="12" t="s">
        <v>174</v>
      </c>
      <c r="C376" s="12" t="s">
        <v>174</v>
      </c>
      <c r="D376" s="12" t="s">
        <v>174</v>
      </c>
      <c r="E376" s="12" t="s">
        <v>174</v>
      </c>
    </row>
    <row r="377" s="29" customFormat="1" ht="68" spans="2:5">
      <c r="B377" s="13" t="s">
        <v>663</v>
      </c>
      <c r="C377" s="13" t="s">
        <v>663</v>
      </c>
      <c r="D377" s="13" t="s">
        <v>663</v>
      </c>
      <c r="E377" s="13" t="s">
        <v>663</v>
      </c>
    </row>
    <row r="378" s="29" customFormat="1" ht="22" spans="2:5">
      <c r="B378" s="14" t="s">
        <v>176</v>
      </c>
      <c r="C378" s="14" t="s">
        <v>176</v>
      </c>
      <c r="D378" s="14" t="s">
        <v>176</v>
      </c>
      <c r="E378" s="14" t="s">
        <v>176</v>
      </c>
    </row>
    <row r="379" s="29" customFormat="1" spans="2:5">
      <c r="B379" s="15" t="s">
        <v>177</v>
      </c>
      <c r="C379" s="16" t="s">
        <v>178</v>
      </c>
      <c r="D379" s="17" t="s">
        <v>179</v>
      </c>
      <c r="E379" s="18" t="s">
        <v>180</v>
      </c>
    </row>
    <row r="380" s="29" customFormat="1" ht="41" spans="2:5">
      <c r="B380" s="19" t="s">
        <v>431</v>
      </c>
      <c r="C380" s="20" t="s">
        <v>182</v>
      </c>
      <c r="D380" s="21">
        <v>25</v>
      </c>
      <c r="E380" s="22">
        <v>0</v>
      </c>
    </row>
    <row r="381" s="29" customFormat="1" spans="2:5">
      <c r="B381" s="19" t="s">
        <v>431</v>
      </c>
      <c r="C381" s="16" t="s">
        <v>183</v>
      </c>
      <c r="D381" s="23">
        <v>25</v>
      </c>
      <c r="E381" s="24">
        <v>0</v>
      </c>
    </row>
    <row r="382" s="29" customFormat="1" ht="41" spans="2:5">
      <c r="B382" s="19" t="s">
        <v>432</v>
      </c>
      <c r="C382" s="20" t="s">
        <v>182</v>
      </c>
      <c r="D382" s="21">
        <v>6</v>
      </c>
      <c r="E382" s="22">
        <v>0</v>
      </c>
    </row>
    <row r="383" s="29" customFormat="1" spans="2:5">
      <c r="B383" s="19" t="s">
        <v>432</v>
      </c>
      <c r="C383" s="16" t="s">
        <v>183</v>
      </c>
      <c r="D383" s="23">
        <v>6</v>
      </c>
      <c r="E383" s="24">
        <v>0</v>
      </c>
    </row>
    <row r="384" s="29" customFormat="1" ht="41" spans="2:5">
      <c r="B384" s="19" t="s">
        <v>433</v>
      </c>
      <c r="C384" s="20" t="s">
        <v>182</v>
      </c>
      <c r="D384" s="21">
        <v>7</v>
      </c>
      <c r="E384" s="22">
        <v>0</v>
      </c>
    </row>
    <row r="385" s="29" customFormat="1" spans="2:5">
      <c r="B385" s="19" t="s">
        <v>433</v>
      </c>
      <c r="C385" s="16" t="s">
        <v>183</v>
      </c>
      <c r="D385" s="23">
        <v>7</v>
      </c>
      <c r="E385" s="24">
        <v>0</v>
      </c>
    </row>
    <row r="386" s="29" customFormat="1" ht="41" spans="2:5">
      <c r="B386" s="19" t="s">
        <v>434</v>
      </c>
      <c r="C386" s="20" t="s">
        <v>182</v>
      </c>
      <c r="D386" s="21">
        <v>56</v>
      </c>
      <c r="E386" s="22">
        <v>0</v>
      </c>
    </row>
    <row r="387" s="29" customFormat="1" spans="2:5">
      <c r="B387" s="19" t="s">
        <v>434</v>
      </c>
      <c r="C387" s="16" t="s">
        <v>183</v>
      </c>
      <c r="D387" s="23">
        <v>56</v>
      </c>
      <c r="E387" s="24">
        <v>0</v>
      </c>
    </row>
    <row r="388" s="29" customFormat="1" ht="41" spans="2:5">
      <c r="B388" s="19" t="s">
        <v>435</v>
      </c>
      <c r="C388" s="20" t="s">
        <v>182</v>
      </c>
      <c r="D388" s="21">
        <v>22</v>
      </c>
      <c r="E388" s="22">
        <v>0</v>
      </c>
    </row>
    <row r="389" s="29" customFormat="1" spans="2:5">
      <c r="B389" s="19" t="s">
        <v>435</v>
      </c>
      <c r="C389" s="16" t="s">
        <v>183</v>
      </c>
      <c r="D389" s="23">
        <v>22</v>
      </c>
      <c r="E389" s="24">
        <v>0</v>
      </c>
    </row>
    <row r="390" s="29" customFormat="1" ht="41" spans="2:5">
      <c r="B390" s="19" t="s">
        <v>436</v>
      </c>
      <c r="C390" s="20" t="s">
        <v>182</v>
      </c>
      <c r="D390" s="21">
        <v>12</v>
      </c>
      <c r="E390" s="22">
        <v>0</v>
      </c>
    </row>
    <row r="391" s="29" customFormat="1" ht="17.55" spans="2:5">
      <c r="B391" s="19" t="s">
        <v>436</v>
      </c>
      <c r="C391" s="16" t="s">
        <v>183</v>
      </c>
      <c r="D391" s="23">
        <v>12</v>
      </c>
      <c r="E391" s="24">
        <v>0</v>
      </c>
    </row>
    <row r="392" s="29" customFormat="1" spans="2:5">
      <c r="B392" s="25"/>
      <c r="C392" s="25"/>
      <c r="D392" s="25"/>
      <c r="E392" s="25"/>
    </row>
    <row r="393" s="29" customFormat="1" ht="36" spans="2:5">
      <c r="B393" s="26" t="s">
        <v>189</v>
      </c>
      <c r="C393" s="26" t="s">
        <v>189</v>
      </c>
      <c r="D393" s="26" t="s">
        <v>189</v>
      </c>
      <c r="E393" s="26" t="s">
        <v>189</v>
      </c>
    </row>
    <row r="394" s="29" customFormat="1" spans="2:5">
      <c r="B394" s="26"/>
      <c r="C394" s="26"/>
      <c r="D394" s="26"/>
      <c r="E394" s="26"/>
    </row>
    <row r="395" s="29" customFormat="1" ht="36" spans="2:5">
      <c r="B395" s="26" t="s">
        <v>573</v>
      </c>
      <c r="C395" s="26" t="s">
        <v>573</v>
      </c>
      <c r="D395" s="26" t="s">
        <v>573</v>
      </c>
      <c r="E395" s="26" t="s">
        <v>573</v>
      </c>
    </row>
    <row r="396" s="29" customFormat="1" spans="2:5">
      <c r="B396" s="26" t="s">
        <v>310</v>
      </c>
      <c r="C396" s="26" t="s">
        <v>310</v>
      </c>
      <c r="D396" s="26" t="s">
        <v>310</v>
      </c>
      <c r="E396" s="26" t="s">
        <v>310</v>
      </c>
    </row>
    <row r="397" s="29" customFormat="1" ht="124" spans="2:5">
      <c r="B397" s="11" t="s">
        <v>173</v>
      </c>
      <c r="C397" s="11" t="s">
        <v>173</v>
      </c>
      <c r="D397" s="11" t="s">
        <v>173</v>
      </c>
      <c r="E397" s="11" t="s">
        <v>173</v>
      </c>
    </row>
    <row r="398" s="29" customFormat="1" ht="156" spans="2:5">
      <c r="B398" s="12" t="s">
        <v>174</v>
      </c>
      <c r="C398" s="12" t="s">
        <v>174</v>
      </c>
      <c r="D398" s="12" t="s">
        <v>174</v>
      </c>
      <c r="E398" s="12" t="s">
        <v>174</v>
      </c>
    </row>
    <row r="399" s="29" customFormat="1" ht="68" spans="2:5">
      <c r="B399" s="13" t="s">
        <v>663</v>
      </c>
      <c r="C399" s="13" t="s">
        <v>663</v>
      </c>
      <c r="D399" s="13" t="s">
        <v>663</v>
      </c>
      <c r="E399" s="13" t="s">
        <v>663</v>
      </c>
    </row>
    <row r="400" s="29" customFormat="1" ht="22" spans="2:5">
      <c r="B400" s="14" t="s">
        <v>176</v>
      </c>
      <c r="C400" s="14" t="s">
        <v>176</v>
      </c>
      <c r="D400" s="14" t="s">
        <v>176</v>
      </c>
      <c r="E400" s="14" t="s">
        <v>176</v>
      </c>
    </row>
    <row r="401" s="29" customFormat="1" spans="2:5">
      <c r="B401" s="15" t="s">
        <v>177</v>
      </c>
      <c r="C401" s="16" t="s">
        <v>178</v>
      </c>
      <c r="D401" s="17" t="s">
        <v>179</v>
      </c>
      <c r="E401" s="18" t="s">
        <v>180</v>
      </c>
    </row>
    <row r="402" s="29" customFormat="1" ht="41" spans="2:5">
      <c r="B402" s="19" t="s">
        <v>587</v>
      </c>
      <c r="C402" s="20" t="s">
        <v>182</v>
      </c>
      <c r="D402" s="21">
        <v>1</v>
      </c>
      <c r="E402" s="22">
        <v>0</v>
      </c>
    </row>
    <row r="403" s="29" customFormat="1" spans="2:5">
      <c r="B403" s="19" t="s">
        <v>587</v>
      </c>
      <c r="C403" s="16" t="s">
        <v>183</v>
      </c>
      <c r="D403" s="23">
        <v>1</v>
      </c>
      <c r="E403" s="24">
        <v>0</v>
      </c>
    </row>
    <row r="404" s="29" customFormat="1" ht="41" spans="2:5">
      <c r="B404" s="19" t="s">
        <v>437</v>
      </c>
      <c r="C404" s="20" t="s">
        <v>182</v>
      </c>
      <c r="D404" s="21">
        <v>4</v>
      </c>
      <c r="E404" s="22">
        <v>0</v>
      </c>
    </row>
    <row r="405" s="29" customFormat="1" spans="2:5">
      <c r="B405" s="19" t="s">
        <v>437</v>
      </c>
      <c r="C405" s="16" t="s">
        <v>183</v>
      </c>
      <c r="D405" s="23">
        <v>4</v>
      </c>
      <c r="E405" s="24">
        <v>0</v>
      </c>
    </row>
    <row r="406" s="29" customFormat="1" ht="41" spans="2:5">
      <c r="B406" s="19" t="s">
        <v>438</v>
      </c>
      <c r="C406" s="20" t="s">
        <v>182</v>
      </c>
      <c r="D406" s="21">
        <v>7</v>
      </c>
      <c r="E406" s="22">
        <v>0</v>
      </c>
    </row>
    <row r="407" s="29" customFormat="1" spans="2:5">
      <c r="B407" s="19" t="s">
        <v>438</v>
      </c>
      <c r="C407" s="16" t="s">
        <v>183</v>
      </c>
      <c r="D407" s="23">
        <v>7</v>
      </c>
      <c r="E407" s="24">
        <v>0</v>
      </c>
    </row>
    <row r="408" s="29" customFormat="1" ht="41" spans="2:5">
      <c r="B408" s="19" t="s">
        <v>439</v>
      </c>
      <c r="C408" s="20" t="s">
        <v>182</v>
      </c>
      <c r="D408" s="21">
        <v>1</v>
      </c>
      <c r="E408" s="22">
        <v>0</v>
      </c>
    </row>
    <row r="409" s="29" customFormat="1" spans="2:5">
      <c r="B409" s="19" t="s">
        <v>439</v>
      </c>
      <c r="C409" s="16" t="s">
        <v>183</v>
      </c>
      <c r="D409" s="23">
        <v>1</v>
      </c>
      <c r="E409" s="24">
        <v>0</v>
      </c>
    </row>
    <row r="410" s="29" customFormat="1" ht="41" spans="2:5">
      <c r="B410" s="19" t="s">
        <v>440</v>
      </c>
      <c r="C410" s="20" t="s">
        <v>182</v>
      </c>
      <c r="D410" s="21">
        <v>97</v>
      </c>
      <c r="E410" s="22">
        <v>0</v>
      </c>
    </row>
    <row r="411" s="29" customFormat="1" spans="2:5">
      <c r="B411" s="19" t="s">
        <v>440</v>
      </c>
      <c r="C411" s="16" t="s">
        <v>183</v>
      </c>
      <c r="D411" s="23">
        <v>97</v>
      </c>
      <c r="E411" s="24">
        <v>0</v>
      </c>
    </row>
    <row r="412" s="29" customFormat="1" ht="41" spans="2:5">
      <c r="B412" s="19" t="s">
        <v>441</v>
      </c>
      <c r="C412" s="20" t="s">
        <v>182</v>
      </c>
      <c r="D412" s="21">
        <v>4</v>
      </c>
      <c r="E412" s="22">
        <v>0</v>
      </c>
    </row>
    <row r="413" s="29" customFormat="1" ht="17.55" spans="2:5">
      <c r="B413" s="19" t="s">
        <v>441</v>
      </c>
      <c r="C413" s="16" t="s">
        <v>183</v>
      </c>
      <c r="D413" s="23">
        <v>4</v>
      </c>
      <c r="E413" s="24">
        <v>0</v>
      </c>
    </row>
    <row r="414" s="29" customFormat="1" spans="2:5">
      <c r="B414" s="25"/>
      <c r="C414" s="25"/>
      <c r="D414" s="25"/>
      <c r="E414" s="25"/>
    </row>
    <row r="415" s="29" customFormat="1" ht="36" spans="2:5">
      <c r="B415" s="26" t="s">
        <v>189</v>
      </c>
      <c r="C415" s="26" t="s">
        <v>189</v>
      </c>
      <c r="D415" s="26" t="s">
        <v>189</v>
      </c>
      <c r="E415" s="26" t="s">
        <v>189</v>
      </c>
    </row>
    <row r="416" s="29" customFormat="1" spans="2:5">
      <c r="B416" s="26"/>
      <c r="C416" s="26"/>
      <c r="D416" s="26"/>
      <c r="E416" s="26"/>
    </row>
    <row r="417" s="29" customFormat="1" ht="36" spans="2:5">
      <c r="B417" s="26" t="s">
        <v>573</v>
      </c>
      <c r="C417" s="26" t="s">
        <v>573</v>
      </c>
      <c r="D417" s="26" t="s">
        <v>573</v>
      </c>
      <c r="E417" s="26" t="s">
        <v>573</v>
      </c>
    </row>
    <row r="418" s="29" customFormat="1" spans="2:5">
      <c r="B418" s="26" t="s">
        <v>317</v>
      </c>
      <c r="C418" s="26" t="s">
        <v>317</v>
      </c>
      <c r="D418" s="26" t="s">
        <v>317</v>
      </c>
      <c r="E418" s="26" t="s">
        <v>317</v>
      </c>
    </row>
    <row r="419" s="29" customFormat="1" ht="124" spans="2:5">
      <c r="B419" s="11" t="s">
        <v>173</v>
      </c>
      <c r="C419" s="11" t="s">
        <v>173</v>
      </c>
      <c r="D419" s="11" t="s">
        <v>173</v>
      </c>
      <c r="E419" s="11" t="s">
        <v>173</v>
      </c>
    </row>
    <row r="420" s="29" customFormat="1" ht="156" spans="2:5">
      <c r="B420" s="12" t="s">
        <v>174</v>
      </c>
      <c r="C420" s="12" t="s">
        <v>174</v>
      </c>
      <c r="D420" s="12" t="s">
        <v>174</v>
      </c>
      <c r="E420" s="12" t="s">
        <v>174</v>
      </c>
    </row>
    <row r="421" s="29" customFormat="1" ht="68" spans="2:5">
      <c r="B421" s="13" t="s">
        <v>663</v>
      </c>
      <c r="C421" s="13" t="s">
        <v>663</v>
      </c>
      <c r="D421" s="13" t="s">
        <v>663</v>
      </c>
      <c r="E421" s="13" t="s">
        <v>663</v>
      </c>
    </row>
    <row r="422" s="29" customFormat="1" ht="22" spans="2:5">
      <c r="B422" s="14" t="s">
        <v>176</v>
      </c>
      <c r="C422" s="14" t="s">
        <v>176</v>
      </c>
      <c r="D422" s="14" t="s">
        <v>176</v>
      </c>
      <c r="E422" s="14" t="s">
        <v>176</v>
      </c>
    </row>
    <row r="423" s="29" customFormat="1" spans="2:5">
      <c r="B423" s="15" t="s">
        <v>177</v>
      </c>
      <c r="C423" s="16" t="s">
        <v>178</v>
      </c>
      <c r="D423" s="17" t="s">
        <v>179</v>
      </c>
      <c r="E423" s="18" t="s">
        <v>180</v>
      </c>
    </row>
    <row r="424" s="29" customFormat="1" ht="41" spans="2:5">
      <c r="B424" s="19" t="s">
        <v>442</v>
      </c>
      <c r="C424" s="20" t="s">
        <v>182</v>
      </c>
      <c r="D424" s="21">
        <v>1</v>
      </c>
      <c r="E424" s="22">
        <v>0</v>
      </c>
    </row>
    <row r="425" s="29" customFormat="1" spans="2:5">
      <c r="B425" s="19" t="s">
        <v>442</v>
      </c>
      <c r="C425" s="16" t="s">
        <v>183</v>
      </c>
      <c r="D425" s="23">
        <v>1</v>
      </c>
      <c r="E425" s="24">
        <v>0</v>
      </c>
    </row>
    <row r="426" s="29" customFormat="1" ht="41" spans="2:5">
      <c r="B426" s="19" t="s">
        <v>443</v>
      </c>
      <c r="C426" s="20" t="s">
        <v>182</v>
      </c>
      <c r="D426" s="21">
        <v>3</v>
      </c>
      <c r="E426" s="22">
        <v>0</v>
      </c>
    </row>
    <row r="427" s="29" customFormat="1" spans="2:5">
      <c r="B427" s="19" t="s">
        <v>443</v>
      </c>
      <c r="C427" s="16" t="s">
        <v>183</v>
      </c>
      <c r="D427" s="23">
        <v>3</v>
      </c>
      <c r="E427" s="24">
        <v>0</v>
      </c>
    </row>
    <row r="428" s="29" customFormat="1" ht="41" spans="2:5">
      <c r="B428" s="19" t="s">
        <v>444</v>
      </c>
      <c r="C428" s="20" t="s">
        <v>182</v>
      </c>
      <c r="D428" s="21">
        <v>31</v>
      </c>
      <c r="E428" s="22">
        <v>0</v>
      </c>
    </row>
    <row r="429" s="29" customFormat="1" spans="2:5">
      <c r="B429" s="19" t="s">
        <v>444</v>
      </c>
      <c r="C429" s="16" t="s">
        <v>183</v>
      </c>
      <c r="D429" s="23">
        <v>31</v>
      </c>
      <c r="E429" s="24">
        <v>0</v>
      </c>
    </row>
    <row r="430" s="29" customFormat="1" ht="41" spans="2:5">
      <c r="B430" s="19" t="s">
        <v>693</v>
      </c>
      <c r="C430" s="20" t="s">
        <v>182</v>
      </c>
      <c r="D430" s="21">
        <v>1</v>
      </c>
      <c r="E430" s="22">
        <v>1250000</v>
      </c>
    </row>
    <row r="431" s="29" customFormat="1" ht="28" spans="2:5">
      <c r="B431" s="19" t="s">
        <v>693</v>
      </c>
      <c r="C431" s="16" t="s">
        <v>183</v>
      </c>
      <c r="D431" s="23">
        <v>1</v>
      </c>
      <c r="E431" s="24">
        <v>1250000</v>
      </c>
    </row>
    <row r="432" s="29" customFormat="1" ht="41" spans="2:5">
      <c r="B432" s="19" t="s">
        <v>588</v>
      </c>
      <c r="C432" s="20" t="s">
        <v>182</v>
      </c>
      <c r="D432" s="21">
        <v>3</v>
      </c>
      <c r="E432" s="22">
        <v>0</v>
      </c>
    </row>
    <row r="433" s="29" customFormat="1" spans="2:5">
      <c r="B433" s="19" t="s">
        <v>588</v>
      </c>
      <c r="C433" s="16" t="s">
        <v>183</v>
      </c>
      <c r="D433" s="23">
        <v>3</v>
      </c>
      <c r="E433" s="24">
        <v>0</v>
      </c>
    </row>
    <row r="434" s="29" customFormat="1" ht="41" spans="2:5">
      <c r="B434" s="19" t="s">
        <v>445</v>
      </c>
      <c r="C434" s="20" t="s">
        <v>182</v>
      </c>
      <c r="D434" s="21">
        <v>1</v>
      </c>
      <c r="E434" s="22">
        <v>0</v>
      </c>
    </row>
    <row r="435" s="29" customFormat="1" ht="17.55" spans="2:5">
      <c r="B435" s="19" t="s">
        <v>445</v>
      </c>
      <c r="C435" s="16" t="s">
        <v>183</v>
      </c>
      <c r="D435" s="23">
        <v>1</v>
      </c>
      <c r="E435" s="24">
        <v>0</v>
      </c>
    </row>
    <row r="436" s="29" customFormat="1" spans="2:5">
      <c r="B436" s="25"/>
      <c r="C436" s="25"/>
      <c r="D436" s="25"/>
      <c r="E436" s="25"/>
    </row>
    <row r="437" s="29" customFormat="1" ht="36" spans="2:5">
      <c r="B437" s="26" t="s">
        <v>189</v>
      </c>
      <c r="C437" s="26" t="s">
        <v>189</v>
      </c>
      <c r="D437" s="26" t="s">
        <v>189</v>
      </c>
      <c r="E437" s="26" t="s">
        <v>189</v>
      </c>
    </row>
    <row r="438" s="29" customFormat="1" spans="2:5">
      <c r="B438" s="26"/>
      <c r="C438" s="26"/>
      <c r="D438" s="26"/>
      <c r="E438" s="26"/>
    </row>
    <row r="439" s="29" customFormat="1" ht="36" spans="2:5">
      <c r="B439" s="26" t="s">
        <v>573</v>
      </c>
      <c r="C439" s="26" t="s">
        <v>573</v>
      </c>
      <c r="D439" s="26" t="s">
        <v>573</v>
      </c>
      <c r="E439" s="26" t="s">
        <v>573</v>
      </c>
    </row>
    <row r="440" s="29" customFormat="1" spans="2:5">
      <c r="B440" s="26" t="s">
        <v>324</v>
      </c>
      <c r="C440" s="26" t="s">
        <v>324</v>
      </c>
      <c r="D440" s="26" t="s">
        <v>324</v>
      </c>
      <c r="E440" s="26" t="s">
        <v>324</v>
      </c>
    </row>
    <row r="441" s="29" customFormat="1" ht="124" spans="2:5">
      <c r="B441" s="11" t="s">
        <v>173</v>
      </c>
      <c r="C441" s="11" t="s">
        <v>173</v>
      </c>
      <c r="D441" s="11" t="s">
        <v>173</v>
      </c>
      <c r="E441" s="11" t="s">
        <v>173</v>
      </c>
    </row>
    <row r="442" s="29" customFormat="1" ht="156" spans="2:5">
      <c r="B442" s="12" t="s">
        <v>174</v>
      </c>
      <c r="C442" s="12" t="s">
        <v>174</v>
      </c>
      <c r="D442" s="12" t="s">
        <v>174</v>
      </c>
      <c r="E442" s="12" t="s">
        <v>174</v>
      </c>
    </row>
    <row r="443" s="29" customFormat="1" ht="68" spans="2:5">
      <c r="B443" s="13" t="s">
        <v>663</v>
      </c>
      <c r="C443" s="13" t="s">
        <v>663</v>
      </c>
      <c r="D443" s="13" t="s">
        <v>663</v>
      </c>
      <c r="E443" s="13" t="s">
        <v>663</v>
      </c>
    </row>
    <row r="444" s="29" customFormat="1" ht="22" spans="2:5">
      <c r="B444" s="14" t="s">
        <v>176</v>
      </c>
      <c r="C444" s="14" t="s">
        <v>176</v>
      </c>
      <c r="D444" s="14" t="s">
        <v>176</v>
      </c>
      <c r="E444" s="14" t="s">
        <v>176</v>
      </c>
    </row>
    <row r="445" s="29" customFormat="1" spans="2:5">
      <c r="B445" s="15" t="s">
        <v>177</v>
      </c>
      <c r="C445" s="16" t="s">
        <v>178</v>
      </c>
      <c r="D445" s="17" t="s">
        <v>179</v>
      </c>
      <c r="E445" s="18" t="s">
        <v>180</v>
      </c>
    </row>
    <row r="446" s="29" customFormat="1" ht="41" spans="2:5">
      <c r="B446" s="19" t="s">
        <v>500</v>
      </c>
      <c r="C446" s="20" t="s">
        <v>182</v>
      </c>
      <c r="D446" s="21">
        <v>6</v>
      </c>
      <c r="E446" s="22">
        <v>0</v>
      </c>
    </row>
    <row r="447" s="29" customFormat="1" spans="2:5">
      <c r="B447" s="19" t="s">
        <v>500</v>
      </c>
      <c r="C447" s="16" t="s">
        <v>183</v>
      </c>
      <c r="D447" s="23">
        <v>6</v>
      </c>
      <c r="E447" s="24">
        <v>0</v>
      </c>
    </row>
    <row r="448" s="29" customFormat="1" ht="41" spans="2:5">
      <c r="B448" s="19" t="s">
        <v>694</v>
      </c>
      <c r="C448" s="20" t="s">
        <v>182</v>
      </c>
      <c r="D448" s="21">
        <v>4</v>
      </c>
      <c r="E448" s="22">
        <v>652252.252252</v>
      </c>
    </row>
    <row r="449" s="29" customFormat="1" ht="28" spans="2:5">
      <c r="B449" s="19" t="s">
        <v>694</v>
      </c>
      <c r="C449" s="16" t="s">
        <v>183</v>
      </c>
      <c r="D449" s="23">
        <v>4</v>
      </c>
      <c r="E449" s="24">
        <v>652252.252252</v>
      </c>
    </row>
    <row r="450" s="29" customFormat="1" ht="41" spans="2:5">
      <c r="B450" s="19" t="s">
        <v>695</v>
      </c>
      <c r="C450" s="20" t="s">
        <v>182</v>
      </c>
      <c r="D450" s="21">
        <v>4</v>
      </c>
      <c r="E450" s="22">
        <v>204000</v>
      </c>
    </row>
    <row r="451" s="29" customFormat="1" ht="28" spans="2:5">
      <c r="B451" s="19" t="s">
        <v>695</v>
      </c>
      <c r="C451" s="16" t="s">
        <v>183</v>
      </c>
      <c r="D451" s="23">
        <v>4</v>
      </c>
      <c r="E451" s="24">
        <v>204000</v>
      </c>
    </row>
    <row r="452" s="29" customFormat="1" ht="41" spans="2:5">
      <c r="B452" s="19" t="s">
        <v>696</v>
      </c>
      <c r="C452" s="20" t="s">
        <v>182</v>
      </c>
      <c r="D452" s="21">
        <v>4</v>
      </c>
      <c r="E452" s="22">
        <v>1804000</v>
      </c>
    </row>
    <row r="453" s="29" customFormat="1" ht="41" spans="2:5">
      <c r="B453" s="19" t="s">
        <v>696</v>
      </c>
      <c r="C453" s="16" t="s">
        <v>183</v>
      </c>
      <c r="D453" s="23">
        <v>4</v>
      </c>
      <c r="E453" s="24">
        <v>1804000</v>
      </c>
    </row>
    <row r="454" s="29" customFormat="1" ht="41" spans="2:5">
      <c r="B454" s="19" t="s">
        <v>697</v>
      </c>
      <c r="C454" s="20" t="s">
        <v>182</v>
      </c>
      <c r="D454" s="21">
        <v>3</v>
      </c>
      <c r="E454" s="22">
        <v>459459.459459</v>
      </c>
    </row>
    <row r="455" s="29" customFormat="1" ht="28" spans="2:5">
      <c r="B455" s="19" t="s">
        <v>697</v>
      </c>
      <c r="C455" s="16" t="s">
        <v>183</v>
      </c>
      <c r="D455" s="23">
        <v>3</v>
      </c>
      <c r="E455" s="24">
        <v>459459.459459</v>
      </c>
    </row>
    <row r="456" s="29" customFormat="1" ht="41" spans="2:5">
      <c r="B456" s="19" t="s">
        <v>698</v>
      </c>
      <c r="C456" s="20" t="s">
        <v>182</v>
      </c>
      <c r="D456" s="21">
        <v>4</v>
      </c>
      <c r="E456" s="22">
        <v>432600</v>
      </c>
    </row>
    <row r="457" s="29" customFormat="1" ht="17.55" spans="2:5">
      <c r="B457" s="19" t="s">
        <v>698</v>
      </c>
      <c r="C457" s="16" t="s">
        <v>183</v>
      </c>
      <c r="D457" s="23">
        <v>4</v>
      </c>
      <c r="E457" s="24">
        <v>432600</v>
      </c>
    </row>
    <row r="458" s="29" customFormat="1" spans="2:5">
      <c r="B458" s="25"/>
      <c r="C458" s="25"/>
      <c r="D458" s="25"/>
      <c r="E458" s="25"/>
    </row>
    <row r="459" s="29" customFormat="1" ht="36" spans="2:5">
      <c r="B459" s="26" t="s">
        <v>189</v>
      </c>
      <c r="C459" s="26" t="s">
        <v>189</v>
      </c>
      <c r="D459" s="26" t="s">
        <v>189</v>
      </c>
      <c r="E459" s="26" t="s">
        <v>189</v>
      </c>
    </row>
    <row r="460" s="29" customFormat="1" spans="2:5">
      <c r="B460" s="26"/>
      <c r="C460" s="26"/>
      <c r="D460" s="26"/>
      <c r="E460" s="26"/>
    </row>
    <row r="461" s="29" customFormat="1" ht="36" spans="2:5">
      <c r="B461" s="26" t="s">
        <v>573</v>
      </c>
      <c r="C461" s="26" t="s">
        <v>573</v>
      </c>
      <c r="D461" s="26" t="s">
        <v>573</v>
      </c>
      <c r="E461" s="26" t="s">
        <v>573</v>
      </c>
    </row>
    <row r="462" s="29" customFormat="1" spans="2:5">
      <c r="B462" s="26" t="s">
        <v>331</v>
      </c>
      <c r="C462" s="26" t="s">
        <v>331</v>
      </c>
      <c r="D462" s="26" t="s">
        <v>331</v>
      </c>
      <c r="E462" s="26" t="s">
        <v>331</v>
      </c>
    </row>
    <row r="463" s="29" customFormat="1" ht="124" spans="2:5">
      <c r="B463" s="11" t="s">
        <v>173</v>
      </c>
      <c r="C463" s="11" t="s">
        <v>173</v>
      </c>
      <c r="D463" s="11" t="s">
        <v>173</v>
      </c>
      <c r="E463" s="11" t="s">
        <v>173</v>
      </c>
    </row>
    <row r="464" s="29" customFormat="1" ht="156" spans="2:5">
      <c r="B464" s="12" t="s">
        <v>174</v>
      </c>
      <c r="C464" s="12" t="s">
        <v>174</v>
      </c>
      <c r="D464" s="12" t="s">
        <v>174</v>
      </c>
      <c r="E464" s="12" t="s">
        <v>174</v>
      </c>
    </row>
    <row r="465" s="29" customFormat="1" ht="68" spans="2:5">
      <c r="B465" s="13" t="s">
        <v>663</v>
      </c>
      <c r="C465" s="13" t="s">
        <v>663</v>
      </c>
      <c r="D465" s="13" t="s">
        <v>663</v>
      </c>
      <c r="E465" s="13" t="s">
        <v>663</v>
      </c>
    </row>
    <row r="466" s="29" customFormat="1" ht="22" spans="2:5">
      <c r="B466" s="14" t="s">
        <v>176</v>
      </c>
      <c r="C466" s="14" t="s">
        <v>176</v>
      </c>
      <c r="D466" s="14" t="s">
        <v>176</v>
      </c>
      <c r="E466" s="14" t="s">
        <v>176</v>
      </c>
    </row>
    <row r="467" s="29" customFormat="1" spans="2:5">
      <c r="B467" s="15" t="s">
        <v>177</v>
      </c>
      <c r="C467" s="16" t="s">
        <v>178</v>
      </c>
      <c r="D467" s="17" t="s">
        <v>179</v>
      </c>
      <c r="E467" s="18" t="s">
        <v>180</v>
      </c>
    </row>
    <row r="468" s="29" customFormat="1" ht="41" spans="2:5">
      <c r="B468" s="19" t="s">
        <v>699</v>
      </c>
      <c r="C468" s="20" t="s">
        <v>182</v>
      </c>
      <c r="D468" s="21">
        <v>4</v>
      </c>
      <c r="E468" s="22">
        <v>204000</v>
      </c>
    </row>
    <row r="469" s="29" customFormat="1" ht="28" spans="2:5">
      <c r="B469" s="19" t="s">
        <v>699</v>
      </c>
      <c r="C469" s="16" t="s">
        <v>183</v>
      </c>
      <c r="D469" s="23">
        <v>4</v>
      </c>
      <c r="E469" s="24">
        <v>204000</v>
      </c>
    </row>
    <row r="470" s="29" customFormat="1" ht="41" spans="2:5">
      <c r="B470" s="19" t="s">
        <v>502</v>
      </c>
      <c r="C470" s="20" t="s">
        <v>182</v>
      </c>
      <c r="D470" s="21">
        <v>97</v>
      </c>
      <c r="E470" s="22">
        <v>9121621.180173</v>
      </c>
    </row>
    <row r="471" s="29" customFormat="1" ht="28" spans="2:5">
      <c r="B471" s="19" t="s">
        <v>502</v>
      </c>
      <c r="C471" s="16" t="s">
        <v>183</v>
      </c>
      <c r="D471" s="23">
        <v>97</v>
      </c>
      <c r="E471" s="24">
        <v>9121621.180173</v>
      </c>
    </row>
    <row r="472" s="29" customFormat="1" ht="41" spans="2:5">
      <c r="B472" s="19" t="s">
        <v>280</v>
      </c>
      <c r="C472" s="20" t="s">
        <v>182</v>
      </c>
      <c r="D472" s="21">
        <v>4</v>
      </c>
      <c r="E472" s="22">
        <v>2424144.207207</v>
      </c>
    </row>
    <row r="473" s="29" customFormat="1" ht="28" spans="2:5">
      <c r="B473" s="19" t="s">
        <v>280</v>
      </c>
      <c r="C473" s="16" t="s">
        <v>183</v>
      </c>
      <c r="D473" s="23">
        <v>4</v>
      </c>
      <c r="E473" s="24">
        <v>2424144.207207</v>
      </c>
    </row>
    <row r="474" s="29" customFormat="1" ht="41" spans="2:5">
      <c r="B474" s="19" t="s">
        <v>283</v>
      </c>
      <c r="C474" s="20" t="s">
        <v>182</v>
      </c>
      <c r="D474" s="21">
        <v>4</v>
      </c>
      <c r="E474" s="22">
        <v>3746036.036036</v>
      </c>
    </row>
    <row r="475" s="29" customFormat="1" ht="28" spans="2:5">
      <c r="B475" s="19" t="s">
        <v>283</v>
      </c>
      <c r="C475" s="16" t="s">
        <v>183</v>
      </c>
      <c r="D475" s="23">
        <v>4</v>
      </c>
      <c r="E475" s="24">
        <v>3746036.036036</v>
      </c>
    </row>
    <row r="476" s="29" customFormat="1" ht="41" spans="2:5">
      <c r="B476" s="19" t="s">
        <v>292</v>
      </c>
      <c r="C476" s="20" t="s">
        <v>182</v>
      </c>
      <c r="D476" s="21">
        <v>2</v>
      </c>
      <c r="E476" s="22">
        <v>1229730.081081</v>
      </c>
    </row>
    <row r="477" s="29" customFormat="1" ht="28" spans="2:5">
      <c r="B477" s="19" t="s">
        <v>292</v>
      </c>
      <c r="C477" s="16" t="s">
        <v>183</v>
      </c>
      <c r="D477" s="23">
        <v>2</v>
      </c>
      <c r="E477" s="24">
        <v>1229730.081081</v>
      </c>
    </row>
    <row r="478" s="29" customFormat="1" ht="41" spans="2:5">
      <c r="B478" s="19" t="s">
        <v>505</v>
      </c>
      <c r="C478" s="20" t="s">
        <v>182</v>
      </c>
      <c r="D478" s="21">
        <v>5</v>
      </c>
      <c r="E478" s="22">
        <v>0</v>
      </c>
    </row>
    <row r="479" s="29" customFormat="1" ht="17.55" spans="2:5">
      <c r="B479" s="19" t="s">
        <v>505</v>
      </c>
      <c r="C479" s="16" t="s">
        <v>183</v>
      </c>
      <c r="D479" s="23">
        <v>5</v>
      </c>
      <c r="E479" s="24">
        <v>0</v>
      </c>
    </row>
    <row r="480" s="29" customFormat="1" spans="2:5">
      <c r="B480" s="25"/>
      <c r="C480" s="25"/>
      <c r="D480" s="25"/>
      <c r="E480" s="25"/>
    </row>
    <row r="481" s="29" customFormat="1" ht="36" spans="2:5">
      <c r="B481" s="26" t="s">
        <v>189</v>
      </c>
      <c r="C481" s="26" t="s">
        <v>189</v>
      </c>
      <c r="D481" s="26" t="s">
        <v>189</v>
      </c>
      <c r="E481" s="26" t="s">
        <v>189</v>
      </c>
    </row>
    <row r="482" s="29" customFormat="1" spans="2:5">
      <c r="B482" s="26"/>
      <c r="C482" s="26"/>
      <c r="D482" s="26"/>
      <c r="E482" s="26"/>
    </row>
    <row r="483" s="29" customFormat="1" ht="36" spans="2:5">
      <c r="B483" s="26" t="s">
        <v>573</v>
      </c>
      <c r="C483" s="26" t="s">
        <v>573</v>
      </c>
      <c r="D483" s="26" t="s">
        <v>573</v>
      </c>
      <c r="E483" s="26" t="s">
        <v>573</v>
      </c>
    </row>
    <row r="484" s="29" customFormat="1" spans="2:5">
      <c r="B484" s="26" t="s">
        <v>338</v>
      </c>
      <c r="C484" s="26" t="s">
        <v>338</v>
      </c>
      <c r="D484" s="26" t="s">
        <v>338</v>
      </c>
      <c r="E484" s="26" t="s">
        <v>338</v>
      </c>
    </row>
    <row r="485" s="29" customFormat="1" ht="124" spans="2:5">
      <c r="B485" s="11" t="s">
        <v>173</v>
      </c>
      <c r="C485" s="11" t="s">
        <v>173</v>
      </c>
      <c r="D485" s="11" t="s">
        <v>173</v>
      </c>
      <c r="E485" s="11" t="s">
        <v>173</v>
      </c>
    </row>
    <row r="486" s="29" customFormat="1" ht="156" spans="2:5">
      <c r="B486" s="12" t="s">
        <v>174</v>
      </c>
      <c r="C486" s="12" t="s">
        <v>174</v>
      </c>
      <c r="D486" s="12" t="s">
        <v>174</v>
      </c>
      <c r="E486" s="12" t="s">
        <v>174</v>
      </c>
    </row>
    <row r="487" s="29" customFormat="1" ht="68" spans="2:5">
      <c r="B487" s="13" t="s">
        <v>663</v>
      </c>
      <c r="C487" s="13" t="s">
        <v>663</v>
      </c>
      <c r="D487" s="13" t="s">
        <v>663</v>
      </c>
      <c r="E487" s="13" t="s">
        <v>663</v>
      </c>
    </row>
    <row r="488" s="29" customFormat="1" ht="22" spans="2:5">
      <c r="B488" s="14" t="s">
        <v>176</v>
      </c>
      <c r="C488" s="14" t="s">
        <v>176</v>
      </c>
      <c r="D488" s="14" t="s">
        <v>176</v>
      </c>
      <c r="E488" s="14" t="s">
        <v>176</v>
      </c>
    </row>
    <row r="489" s="29" customFormat="1" spans="2:5">
      <c r="B489" s="15" t="s">
        <v>177</v>
      </c>
      <c r="C489" s="16" t="s">
        <v>178</v>
      </c>
      <c r="D489" s="17" t="s">
        <v>179</v>
      </c>
      <c r="E489" s="18" t="s">
        <v>180</v>
      </c>
    </row>
    <row r="490" s="29" customFormat="1" ht="41" spans="2:5">
      <c r="B490" s="19" t="s">
        <v>700</v>
      </c>
      <c r="C490" s="20" t="s">
        <v>182</v>
      </c>
      <c r="D490" s="21">
        <v>1</v>
      </c>
      <c r="E490" s="22">
        <v>195495.495495</v>
      </c>
    </row>
    <row r="491" s="29" customFormat="1" spans="2:5">
      <c r="B491" s="19" t="s">
        <v>700</v>
      </c>
      <c r="C491" s="16" t="s">
        <v>183</v>
      </c>
      <c r="D491" s="23">
        <v>1</v>
      </c>
      <c r="E491" s="24">
        <v>195495.495495</v>
      </c>
    </row>
    <row r="492" s="29" customFormat="1" ht="41" spans="2:5">
      <c r="B492" s="19" t="s">
        <v>701</v>
      </c>
      <c r="C492" s="20" t="s">
        <v>182</v>
      </c>
      <c r="D492" s="21">
        <v>1</v>
      </c>
      <c r="E492" s="22">
        <v>0</v>
      </c>
    </row>
    <row r="493" s="29" customFormat="1" spans="2:5">
      <c r="B493" s="19" t="s">
        <v>701</v>
      </c>
      <c r="C493" s="16" t="s">
        <v>183</v>
      </c>
      <c r="D493" s="23">
        <v>1</v>
      </c>
      <c r="E493" s="24">
        <v>0</v>
      </c>
    </row>
    <row r="494" s="29" customFormat="1" ht="41" spans="2:5">
      <c r="B494" s="19" t="s">
        <v>702</v>
      </c>
      <c r="C494" s="20" t="s">
        <v>182</v>
      </c>
      <c r="D494" s="21">
        <v>1</v>
      </c>
      <c r="E494" s="22">
        <v>0</v>
      </c>
    </row>
    <row r="495" s="29" customFormat="1" spans="2:5">
      <c r="B495" s="19" t="s">
        <v>702</v>
      </c>
      <c r="C495" s="16" t="s">
        <v>183</v>
      </c>
      <c r="D495" s="23">
        <v>1</v>
      </c>
      <c r="E495" s="24">
        <v>0</v>
      </c>
    </row>
    <row r="496" s="29" customFormat="1" ht="41" spans="2:5">
      <c r="B496" s="19" t="s">
        <v>703</v>
      </c>
      <c r="C496" s="20" t="s">
        <v>182</v>
      </c>
      <c r="D496" s="21">
        <v>1</v>
      </c>
      <c r="E496" s="22">
        <v>0</v>
      </c>
    </row>
    <row r="497" s="29" customFormat="1" spans="2:5">
      <c r="B497" s="19" t="s">
        <v>703</v>
      </c>
      <c r="C497" s="16" t="s">
        <v>183</v>
      </c>
      <c r="D497" s="23">
        <v>1</v>
      </c>
      <c r="E497" s="24">
        <v>0</v>
      </c>
    </row>
    <row r="498" s="29" customFormat="1" ht="41" spans="2:5">
      <c r="B498" s="19" t="s">
        <v>299</v>
      </c>
      <c r="C498" s="20" t="s">
        <v>182</v>
      </c>
      <c r="D498" s="21">
        <v>79</v>
      </c>
      <c r="E498" s="22">
        <v>37837.837838</v>
      </c>
    </row>
    <row r="499" s="29" customFormat="1" ht="28" spans="2:5">
      <c r="B499" s="19" t="s">
        <v>299</v>
      </c>
      <c r="C499" s="16" t="s">
        <v>183</v>
      </c>
      <c r="D499" s="23">
        <v>79</v>
      </c>
      <c r="E499" s="24">
        <v>37837.837838</v>
      </c>
    </row>
    <row r="500" s="29" customFormat="1" ht="41" spans="2:5">
      <c r="B500" s="19" t="s">
        <v>371</v>
      </c>
      <c r="C500" s="20" t="s">
        <v>182</v>
      </c>
      <c r="D500" s="21">
        <v>55</v>
      </c>
      <c r="E500" s="22">
        <v>46846.846847</v>
      </c>
    </row>
    <row r="501" s="29" customFormat="1" ht="28.75" spans="2:5">
      <c r="B501" s="19" t="s">
        <v>371</v>
      </c>
      <c r="C501" s="16" t="s">
        <v>183</v>
      </c>
      <c r="D501" s="23">
        <v>55</v>
      </c>
      <c r="E501" s="24">
        <v>46846.846847</v>
      </c>
    </row>
    <row r="502" s="29" customFormat="1" spans="2:5">
      <c r="B502" s="25"/>
      <c r="C502" s="25"/>
      <c r="D502" s="25"/>
      <c r="E502" s="25"/>
    </row>
    <row r="503" s="29" customFormat="1" ht="36" spans="2:5">
      <c r="B503" s="26" t="s">
        <v>189</v>
      </c>
      <c r="C503" s="26" t="s">
        <v>189</v>
      </c>
      <c r="D503" s="26" t="s">
        <v>189</v>
      </c>
      <c r="E503" s="26" t="s">
        <v>189</v>
      </c>
    </row>
    <row r="504" s="29" customFormat="1" spans="2:5">
      <c r="B504" s="26"/>
      <c r="C504" s="26"/>
      <c r="D504" s="26"/>
      <c r="E504" s="26"/>
    </row>
    <row r="505" s="29" customFormat="1" ht="36" spans="2:5">
      <c r="B505" s="26" t="s">
        <v>573</v>
      </c>
      <c r="C505" s="26" t="s">
        <v>573</v>
      </c>
      <c r="D505" s="26" t="s">
        <v>573</v>
      </c>
      <c r="E505" s="26" t="s">
        <v>573</v>
      </c>
    </row>
    <row r="506" s="29" customFormat="1" spans="2:5">
      <c r="B506" s="26" t="s">
        <v>342</v>
      </c>
      <c r="C506" s="26" t="s">
        <v>342</v>
      </c>
      <c r="D506" s="26" t="s">
        <v>342</v>
      </c>
      <c r="E506" s="26" t="s">
        <v>342</v>
      </c>
    </row>
    <row r="507" s="29" customFormat="1" ht="124" spans="2:5">
      <c r="B507" s="11" t="s">
        <v>173</v>
      </c>
      <c r="C507" s="11" t="s">
        <v>173</v>
      </c>
      <c r="D507" s="11" t="s">
        <v>173</v>
      </c>
      <c r="E507" s="11" t="s">
        <v>173</v>
      </c>
    </row>
    <row r="508" s="29" customFormat="1" ht="156" spans="2:5">
      <c r="B508" s="12" t="s">
        <v>174</v>
      </c>
      <c r="C508" s="12" t="s">
        <v>174</v>
      </c>
      <c r="D508" s="12" t="s">
        <v>174</v>
      </c>
      <c r="E508" s="12" t="s">
        <v>174</v>
      </c>
    </row>
    <row r="509" s="29" customFormat="1" ht="68" spans="2:5">
      <c r="B509" s="13" t="s">
        <v>663</v>
      </c>
      <c r="C509" s="13" t="s">
        <v>663</v>
      </c>
      <c r="D509" s="13" t="s">
        <v>663</v>
      </c>
      <c r="E509" s="13" t="s">
        <v>663</v>
      </c>
    </row>
    <row r="510" s="29" customFormat="1" ht="22" spans="2:5">
      <c r="B510" s="14" t="s">
        <v>176</v>
      </c>
      <c r="C510" s="14" t="s">
        <v>176</v>
      </c>
      <c r="D510" s="14" t="s">
        <v>176</v>
      </c>
      <c r="E510" s="14" t="s">
        <v>176</v>
      </c>
    </row>
    <row r="511" s="29" customFormat="1" spans="2:5">
      <c r="B511" s="15" t="s">
        <v>177</v>
      </c>
      <c r="C511" s="16" t="s">
        <v>178</v>
      </c>
      <c r="D511" s="17" t="s">
        <v>179</v>
      </c>
      <c r="E511" s="18" t="s">
        <v>180</v>
      </c>
    </row>
    <row r="512" s="29" customFormat="1" ht="41" spans="2:5">
      <c r="B512" s="19" t="s">
        <v>372</v>
      </c>
      <c r="C512" s="20" t="s">
        <v>182</v>
      </c>
      <c r="D512" s="21">
        <v>1</v>
      </c>
      <c r="E512" s="22">
        <v>0</v>
      </c>
    </row>
    <row r="513" s="29" customFormat="1" spans="2:5">
      <c r="B513" s="19" t="s">
        <v>372</v>
      </c>
      <c r="C513" s="16" t="s">
        <v>183</v>
      </c>
      <c r="D513" s="23">
        <v>1</v>
      </c>
      <c r="E513" s="24">
        <v>0</v>
      </c>
    </row>
    <row r="514" s="29" customFormat="1" ht="41" spans="2:5">
      <c r="B514" s="19" t="s">
        <v>373</v>
      </c>
      <c r="C514" s="20" t="s">
        <v>182</v>
      </c>
      <c r="D514" s="21">
        <v>96</v>
      </c>
      <c r="E514" s="22">
        <v>536036.036035</v>
      </c>
    </row>
    <row r="515" s="29" customFormat="1" ht="28" spans="2:5">
      <c r="B515" s="19" t="s">
        <v>373</v>
      </c>
      <c r="C515" s="16" t="s">
        <v>183</v>
      </c>
      <c r="D515" s="23">
        <v>96</v>
      </c>
      <c r="E515" s="24">
        <v>536036.036035</v>
      </c>
    </row>
    <row r="516" s="29" customFormat="1" ht="41" spans="2:5">
      <c r="B516" s="19" t="s">
        <v>374</v>
      </c>
      <c r="C516" s="20" t="s">
        <v>182</v>
      </c>
      <c r="D516" s="21">
        <v>7</v>
      </c>
      <c r="E516" s="22">
        <v>0</v>
      </c>
    </row>
    <row r="517" s="29" customFormat="1" ht="28" spans="2:5">
      <c r="B517" s="19" t="s">
        <v>374</v>
      </c>
      <c r="C517" s="16" t="s">
        <v>183</v>
      </c>
      <c r="D517" s="23">
        <v>7</v>
      </c>
      <c r="E517" s="24">
        <v>0</v>
      </c>
    </row>
    <row r="518" s="29" customFormat="1" ht="41" spans="2:5">
      <c r="B518" s="19" t="s">
        <v>300</v>
      </c>
      <c r="C518" s="20" t="s">
        <v>182</v>
      </c>
      <c r="D518" s="21">
        <v>7</v>
      </c>
      <c r="E518" s="22">
        <v>0</v>
      </c>
    </row>
    <row r="519" s="29" customFormat="1" spans="2:5">
      <c r="B519" s="19" t="s">
        <v>300</v>
      </c>
      <c r="C519" s="16" t="s">
        <v>183</v>
      </c>
      <c r="D519" s="23">
        <v>7</v>
      </c>
      <c r="E519" s="24">
        <v>0</v>
      </c>
    </row>
    <row r="520" s="29" customFormat="1" ht="41" spans="2:5">
      <c r="B520" s="19" t="s">
        <v>375</v>
      </c>
      <c r="C520" s="20" t="s">
        <v>182</v>
      </c>
      <c r="D520" s="21">
        <v>96</v>
      </c>
      <c r="E520" s="22">
        <v>342342.315313</v>
      </c>
    </row>
    <row r="521" s="29" customFormat="1" spans="2:5">
      <c r="B521" s="19" t="s">
        <v>375</v>
      </c>
      <c r="C521" s="16" t="s">
        <v>183</v>
      </c>
      <c r="D521" s="23">
        <v>96</v>
      </c>
      <c r="E521" s="24">
        <v>342342.315313</v>
      </c>
    </row>
    <row r="522" s="29" customFormat="1" ht="41" spans="2:5">
      <c r="B522" s="19" t="s">
        <v>302</v>
      </c>
      <c r="C522" s="20" t="s">
        <v>182</v>
      </c>
      <c r="D522" s="21">
        <v>109</v>
      </c>
      <c r="E522" s="22">
        <v>2345130.594643</v>
      </c>
    </row>
    <row r="523" s="29" customFormat="1" ht="17.55" spans="2:5">
      <c r="B523" s="19" t="s">
        <v>302</v>
      </c>
      <c r="C523" s="16" t="s">
        <v>183</v>
      </c>
      <c r="D523" s="23">
        <v>109</v>
      </c>
      <c r="E523" s="24">
        <v>2345130.594643</v>
      </c>
    </row>
    <row r="524" s="29" customFormat="1" spans="2:5">
      <c r="B524" s="25"/>
      <c r="C524" s="25"/>
      <c r="D524" s="25"/>
      <c r="E524" s="25"/>
    </row>
    <row r="525" s="29" customFormat="1" ht="36" spans="2:5">
      <c r="B525" s="26" t="s">
        <v>189</v>
      </c>
      <c r="C525" s="26" t="s">
        <v>189</v>
      </c>
      <c r="D525" s="26" t="s">
        <v>189</v>
      </c>
      <c r="E525" s="26" t="s">
        <v>189</v>
      </c>
    </row>
    <row r="526" s="29" customFormat="1" spans="2:5">
      <c r="B526" s="26"/>
      <c r="C526" s="26"/>
      <c r="D526" s="26"/>
      <c r="E526" s="26"/>
    </row>
    <row r="527" s="29" customFormat="1" ht="36" spans="2:5">
      <c r="B527" s="26" t="s">
        <v>573</v>
      </c>
      <c r="C527" s="26" t="s">
        <v>573</v>
      </c>
      <c r="D527" s="26" t="s">
        <v>573</v>
      </c>
      <c r="E527" s="26" t="s">
        <v>573</v>
      </c>
    </row>
    <row r="528" s="29" customFormat="1" spans="2:5">
      <c r="B528" s="26" t="s">
        <v>476</v>
      </c>
      <c r="C528" s="26" t="s">
        <v>476</v>
      </c>
      <c r="D528" s="26" t="s">
        <v>476</v>
      </c>
      <c r="E528" s="26" t="s">
        <v>476</v>
      </c>
    </row>
    <row r="529" s="29" customFormat="1" ht="124" spans="2:5">
      <c r="B529" s="11" t="s">
        <v>173</v>
      </c>
      <c r="C529" s="11" t="s">
        <v>173</v>
      </c>
      <c r="D529" s="11" t="s">
        <v>173</v>
      </c>
      <c r="E529" s="11" t="s">
        <v>173</v>
      </c>
    </row>
    <row r="530" s="29" customFormat="1" ht="156" spans="2:5">
      <c r="B530" s="12" t="s">
        <v>174</v>
      </c>
      <c r="C530" s="12" t="s">
        <v>174</v>
      </c>
      <c r="D530" s="12" t="s">
        <v>174</v>
      </c>
      <c r="E530" s="12" t="s">
        <v>174</v>
      </c>
    </row>
    <row r="531" s="29" customFormat="1" ht="68" spans="2:5">
      <c r="B531" s="13" t="s">
        <v>663</v>
      </c>
      <c r="C531" s="13" t="s">
        <v>663</v>
      </c>
      <c r="D531" s="13" t="s">
        <v>663</v>
      </c>
      <c r="E531" s="13" t="s">
        <v>663</v>
      </c>
    </row>
    <row r="532" s="29" customFormat="1" ht="22" spans="2:5">
      <c r="B532" s="14" t="s">
        <v>176</v>
      </c>
      <c r="C532" s="14" t="s">
        <v>176</v>
      </c>
      <c r="D532" s="14" t="s">
        <v>176</v>
      </c>
      <c r="E532" s="14" t="s">
        <v>176</v>
      </c>
    </row>
    <row r="533" s="29" customFormat="1" spans="2:5">
      <c r="B533" s="15" t="s">
        <v>177</v>
      </c>
      <c r="C533" s="16" t="s">
        <v>178</v>
      </c>
      <c r="D533" s="17" t="s">
        <v>179</v>
      </c>
      <c r="E533" s="18" t="s">
        <v>180</v>
      </c>
    </row>
    <row r="534" s="29" customFormat="1" ht="41" spans="2:5">
      <c r="B534" s="19" t="s">
        <v>704</v>
      </c>
      <c r="C534" s="20" t="s">
        <v>182</v>
      </c>
      <c r="D534" s="21">
        <v>1</v>
      </c>
      <c r="E534" s="22">
        <v>9009.009009</v>
      </c>
    </row>
    <row r="535" s="29" customFormat="1" ht="28" spans="2:5">
      <c r="B535" s="19" t="s">
        <v>704</v>
      </c>
      <c r="C535" s="16" t="s">
        <v>183</v>
      </c>
      <c r="D535" s="23">
        <v>1</v>
      </c>
      <c r="E535" s="24">
        <v>9009.009009</v>
      </c>
    </row>
    <row r="536" s="29" customFormat="1" ht="41" spans="2:5">
      <c r="B536" s="19" t="s">
        <v>705</v>
      </c>
      <c r="C536" s="20" t="s">
        <v>182</v>
      </c>
      <c r="D536" s="21">
        <v>1</v>
      </c>
      <c r="E536" s="22">
        <v>531000</v>
      </c>
    </row>
    <row r="537" s="29" customFormat="1" ht="28" spans="2:5">
      <c r="B537" s="19" t="s">
        <v>705</v>
      </c>
      <c r="C537" s="16" t="s">
        <v>183</v>
      </c>
      <c r="D537" s="23">
        <v>1</v>
      </c>
      <c r="E537" s="24">
        <v>531000</v>
      </c>
    </row>
    <row r="538" s="29" customFormat="1" ht="41" spans="2:5">
      <c r="B538" s="19" t="s">
        <v>706</v>
      </c>
      <c r="C538" s="20" t="s">
        <v>182</v>
      </c>
      <c r="D538" s="21">
        <v>1</v>
      </c>
      <c r="E538" s="22">
        <v>1163963.963964</v>
      </c>
    </row>
    <row r="539" s="29" customFormat="1" spans="2:5">
      <c r="B539" s="19" t="s">
        <v>706</v>
      </c>
      <c r="C539" s="16" t="s">
        <v>183</v>
      </c>
      <c r="D539" s="23">
        <v>1</v>
      </c>
      <c r="E539" s="24">
        <v>1163963.963964</v>
      </c>
    </row>
    <row r="540" s="29" customFormat="1" ht="41" spans="2:5">
      <c r="B540" s="19" t="s">
        <v>707</v>
      </c>
      <c r="C540" s="20" t="s">
        <v>182</v>
      </c>
      <c r="D540" s="21">
        <v>1</v>
      </c>
      <c r="E540" s="22">
        <v>302000</v>
      </c>
    </row>
    <row r="541" s="29" customFormat="1" ht="28" spans="2:5">
      <c r="B541" s="19" t="s">
        <v>707</v>
      </c>
      <c r="C541" s="16" t="s">
        <v>183</v>
      </c>
      <c r="D541" s="23">
        <v>1</v>
      </c>
      <c r="E541" s="24">
        <v>302000</v>
      </c>
    </row>
    <row r="542" s="29" customFormat="1" ht="41" spans="2:5">
      <c r="B542" s="19" t="s">
        <v>708</v>
      </c>
      <c r="C542" s="20" t="s">
        <v>182</v>
      </c>
      <c r="D542" s="21">
        <v>3</v>
      </c>
      <c r="E542" s="22">
        <v>801000</v>
      </c>
    </row>
    <row r="543" s="29" customFormat="1" ht="28" spans="2:5">
      <c r="B543" s="19" t="s">
        <v>708</v>
      </c>
      <c r="C543" s="16" t="s">
        <v>183</v>
      </c>
      <c r="D543" s="23">
        <v>3</v>
      </c>
      <c r="E543" s="24">
        <v>801000</v>
      </c>
    </row>
    <row r="544" s="29" customFormat="1" ht="41" spans="2:5">
      <c r="B544" s="19" t="s">
        <v>709</v>
      </c>
      <c r="C544" s="20" t="s">
        <v>182</v>
      </c>
      <c r="D544" s="21">
        <v>1</v>
      </c>
      <c r="E544" s="22">
        <v>922000</v>
      </c>
    </row>
    <row r="545" s="29" customFormat="1" ht="28.75" spans="2:5">
      <c r="B545" s="19" t="s">
        <v>709</v>
      </c>
      <c r="C545" s="16" t="s">
        <v>183</v>
      </c>
      <c r="D545" s="23">
        <v>1</v>
      </c>
      <c r="E545" s="24">
        <v>922000</v>
      </c>
    </row>
    <row r="546" s="29" customFormat="1" spans="2:5">
      <c r="B546" s="25"/>
      <c r="C546" s="25"/>
      <c r="D546" s="25"/>
      <c r="E546" s="25"/>
    </row>
    <row r="547" s="29" customFormat="1" ht="36" spans="2:5">
      <c r="B547" s="26" t="s">
        <v>189</v>
      </c>
      <c r="C547" s="26" t="s">
        <v>189</v>
      </c>
      <c r="D547" s="26" t="s">
        <v>189</v>
      </c>
      <c r="E547" s="26" t="s">
        <v>189</v>
      </c>
    </row>
    <row r="548" s="29" customFormat="1" spans="2:5">
      <c r="B548" s="26"/>
      <c r="C548" s="26"/>
      <c r="D548" s="26"/>
      <c r="E548" s="26"/>
    </row>
    <row r="549" s="29" customFormat="1" ht="36" spans="2:5">
      <c r="B549" s="26" t="s">
        <v>573</v>
      </c>
      <c r="C549" s="26" t="s">
        <v>573</v>
      </c>
      <c r="D549" s="26" t="s">
        <v>573</v>
      </c>
      <c r="E549" s="26" t="s">
        <v>573</v>
      </c>
    </row>
    <row r="550" s="29" customFormat="1" spans="2:5">
      <c r="B550" s="26" t="s">
        <v>480</v>
      </c>
      <c r="C550" s="26" t="s">
        <v>480</v>
      </c>
      <c r="D550" s="26" t="s">
        <v>480</v>
      </c>
      <c r="E550" s="26" t="s">
        <v>480</v>
      </c>
    </row>
    <row r="551" s="29" customFormat="1" ht="124" spans="2:5">
      <c r="B551" s="11" t="s">
        <v>173</v>
      </c>
      <c r="C551" s="11" t="s">
        <v>173</v>
      </c>
      <c r="D551" s="11" t="s">
        <v>173</v>
      </c>
      <c r="E551" s="11" t="s">
        <v>173</v>
      </c>
    </row>
    <row r="552" s="29" customFormat="1" ht="156" spans="2:5">
      <c r="B552" s="12" t="s">
        <v>174</v>
      </c>
      <c r="C552" s="12" t="s">
        <v>174</v>
      </c>
      <c r="D552" s="12" t="s">
        <v>174</v>
      </c>
      <c r="E552" s="12" t="s">
        <v>174</v>
      </c>
    </row>
    <row r="553" s="29" customFormat="1" ht="68" spans="2:5">
      <c r="B553" s="13" t="s">
        <v>663</v>
      </c>
      <c r="C553" s="13" t="s">
        <v>663</v>
      </c>
      <c r="D553" s="13" t="s">
        <v>663</v>
      </c>
      <c r="E553" s="13" t="s">
        <v>663</v>
      </c>
    </row>
    <row r="554" s="29" customFormat="1" ht="22" spans="2:5">
      <c r="B554" s="14" t="s">
        <v>176</v>
      </c>
      <c r="C554" s="14" t="s">
        <v>176</v>
      </c>
      <c r="D554" s="14" t="s">
        <v>176</v>
      </c>
      <c r="E554" s="14" t="s">
        <v>176</v>
      </c>
    </row>
    <row r="555" s="29" customFormat="1" spans="2:5">
      <c r="B555" s="15" t="s">
        <v>177</v>
      </c>
      <c r="C555" s="16" t="s">
        <v>178</v>
      </c>
      <c r="D555" s="17" t="s">
        <v>179</v>
      </c>
      <c r="E555" s="18" t="s">
        <v>180</v>
      </c>
    </row>
    <row r="556" s="29" customFormat="1" ht="41" spans="2:5">
      <c r="B556" s="19" t="s">
        <v>710</v>
      </c>
      <c r="C556" s="20" t="s">
        <v>182</v>
      </c>
      <c r="D556" s="21">
        <v>1</v>
      </c>
      <c r="E556" s="22">
        <v>267000</v>
      </c>
    </row>
    <row r="557" s="29" customFormat="1" ht="28" spans="2:5">
      <c r="B557" s="19" t="s">
        <v>710</v>
      </c>
      <c r="C557" s="16" t="s">
        <v>183</v>
      </c>
      <c r="D557" s="23">
        <v>1</v>
      </c>
      <c r="E557" s="24">
        <v>267000</v>
      </c>
    </row>
    <row r="558" s="29" customFormat="1" ht="41" spans="2:5">
      <c r="B558" s="19" t="s">
        <v>711</v>
      </c>
      <c r="C558" s="20" t="s">
        <v>182</v>
      </c>
      <c r="D558" s="21">
        <v>1</v>
      </c>
      <c r="E558" s="22">
        <v>350000</v>
      </c>
    </row>
    <row r="559" s="29" customFormat="1" ht="28" spans="2:5">
      <c r="B559" s="19" t="s">
        <v>711</v>
      </c>
      <c r="C559" s="16" t="s">
        <v>183</v>
      </c>
      <c r="D559" s="23">
        <v>1</v>
      </c>
      <c r="E559" s="24">
        <v>350000</v>
      </c>
    </row>
    <row r="560" s="29" customFormat="1" ht="41" spans="2:5">
      <c r="B560" s="19" t="s">
        <v>712</v>
      </c>
      <c r="C560" s="20" t="s">
        <v>182</v>
      </c>
      <c r="D560" s="21">
        <v>1</v>
      </c>
      <c r="E560" s="22">
        <v>150000</v>
      </c>
    </row>
    <row r="561" s="29" customFormat="1" ht="28" spans="2:5">
      <c r="B561" s="19" t="s">
        <v>712</v>
      </c>
      <c r="C561" s="16" t="s">
        <v>183</v>
      </c>
      <c r="D561" s="23">
        <v>1</v>
      </c>
      <c r="E561" s="24">
        <v>150000</v>
      </c>
    </row>
    <row r="562" s="29" customFormat="1" ht="41" spans="2:5">
      <c r="B562" s="19" t="s">
        <v>713</v>
      </c>
      <c r="C562" s="20" t="s">
        <v>182</v>
      </c>
      <c r="D562" s="21">
        <v>1</v>
      </c>
      <c r="E562" s="22">
        <v>374000</v>
      </c>
    </row>
    <row r="563" s="29" customFormat="1" ht="28" spans="2:5">
      <c r="B563" s="19" t="s">
        <v>713</v>
      </c>
      <c r="C563" s="16" t="s">
        <v>183</v>
      </c>
      <c r="D563" s="23">
        <v>1</v>
      </c>
      <c r="E563" s="24">
        <v>374000</v>
      </c>
    </row>
    <row r="564" s="29" customFormat="1" ht="41" spans="2:5">
      <c r="B564" s="19" t="s">
        <v>714</v>
      </c>
      <c r="C564" s="20" t="s">
        <v>182</v>
      </c>
      <c r="D564" s="21">
        <v>1</v>
      </c>
      <c r="E564" s="22">
        <v>304000</v>
      </c>
    </row>
    <row r="565" s="29" customFormat="1" ht="28" spans="2:5">
      <c r="B565" s="19" t="s">
        <v>714</v>
      </c>
      <c r="C565" s="16" t="s">
        <v>183</v>
      </c>
      <c r="D565" s="23">
        <v>1</v>
      </c>
      <c r="E565" s="24">
        <v>304000</v>
      </c>
    </row>
    <row r="566" s="29" customFormat="1" ht="41" spans="2:5">
      <c r="B566" s="19" t="s">
        <v>715</v>
      </c>
      <c r="C566" s="20" t="s">
        <v>182</v>
      </c>
      <c r="D566" s="21">
        <v>1</v>
      </c>
      <c r="E566" s="22">
        <v>123000</v>
      </c>
    </row>
    <row r="567" s="29" customFormat="1" ht="28.75" spans="2:5">
      <c r="B567" s="19" t="s">
        <v>715</v>
      </c>
      <c r="C567" s="16" t="s">
        <v>183</v>
      </c>
      <c r="D567" s="23">
        <v>1</v>
      </c>
      <c r="E567" s="24">
        <v>123000</v>
      </c>
    </row>
    <row r="568" s="29" customFormat="1" spans="2:5">
      <c r="B568" s="25"/>
      <c r="C568" s="25"/>
      <c r="D568" s="25"/>
      <c r="E568" s="25"/>
    </row>
    <row r="569" s="29" customFormat="1" ht="36" spans="2:5">
      <c r="B569" s="26" t="s">
        <v>189</v>
      </c>
      <c r="C569" s="26" t="s">
        <v>189</v>
      </c>
      <c r="D569" s="26" t="s">
        <v>189</v>
      </c>
      <c r="E569" s="26" t="s">
        <v>189</v>
      </c>
    </row>
    <row r="570" s="29" customFormat="1" spans="2:5">
      <c r="B570" s="26"/>
      <c r="C570" s="26"/>
      <c r="D570" s="26"/>
      <c r="E570" s="26"/>
    </row>
    <row r="571" s="29" customFormat="1" ht="36" spans="2:5">
      <c r="B571" s="26" t="s">
        <v>573</v>
      </c>
      <c r="C571" s="26" t="s">
        <v>573</v>
      </c>
      <c r="D571" s="26" t="s">
        <v>573</v>
      </c>
      <c r="E571" s="26" t="s">
        <v>573</v>
      </c>
    </row>
    <row r="572" s="29" customFormat="1" spans="2:5">
      <c r="B572" s="26" t="s">
        <v>523</v>
      </c>
      <c r="C572" s="26" t="s">
        <v>523</v>
      </c>
      <c r="D572" s="26" t="s">
        <v>523</v>
      </c>
      <c r="E572" s="26" t="s">
        <v>523</v>
      </c>
    </row>
    <row r="573" s="29" customFormat="1" ht="124" spans="2:5">
      <c r="B573" s="11" t="s">
        <v>173</v>
      </c>
      <c r="C573" s="11" t="s">
        <v>173</v>
      </c>
      <c r="D573" s="11" t="s">
        <v>173</v>
      </c>
      <c r="E573" s="11" t="s">
        <v>173</v>
      </c>
    </row>
    <row r="574" s="29" customFormat="1" ht="156" spans="2:5">
      <c r="B574" s="12" t="s">
        <v>174</v>
      </c>
      <c r="C574" s="12" t="s">
        <v>174</v>
      </c>
      <c r="D574" s="12" t="s">
        <v>174</v>
      </c>
      <c r="E574" s="12" t="s">
        <v>174</v>
      </c>
    </row>
    <row r="575" s="29" customFormat="1" ht="68" spans="2:5">
      <c r="B575" s="13" t="s">
        <v>663</v>
      </c>
      <c r="C575" s="13" t="s">
        <v>663</v>
      </c>
      <c r="D575" s="13" t="s">
        <v>663</v>
      </c>
      <c r="E575" s="13" t="s">
        <v>663</v>
      </c>
    </row>
    <row r="576" s="29" customFormat="1" ht="22" spans="2:5">
      <c r="B576" s="14" t="s">
        <v>176</v>
      </c>
      <c r="C576" s="14" t="s">
        <v>176</v>
      </c>
      <c r="D576" s="14" t="s">
        <v>176</v>
      </c>
      <c r="E576" s="14" t="s">
        <v>176</v>
      </c>
    </row>
    <row r="577" s="29" customFormat="1" spans="2:5">
      <c r="B577" s="15" t="s">
        <v>177</v>
      </c>
      <c r="C577" s="16" t="s">
        <v>178</v>
      </c>
      <c r="D577" s="17" t="s">
        <v>179</v>
      </c>
      <c r="E577" s="18" t="s">
        <v>180</v>
      </c>
    </row>
    <row r="578" s="29" customFormat="1" ht="41" spans="2:5">
      <c r="B578" s="19" t="s">
        <v>716</v>
      </c>
      <c r="C578" s="20" t="s">
        <v>182</v>
      </c>
      <c r="D578" s="21">
        <v>1</v>
      </c>
      <c r="E578" s="22">
        <v>1089000</v>
      </c>
    </row>
    <row r="579" s="29" customFormat="1" ht="28" spans="2:5">
      <c r="B579" s="19" t="s">
        <v>716</v>
      </c>
      <c r="C579" s="16" t="s">
        <v>183</v>
      </c>
      <c r="D579" s="23">
        <v>1</v>
      </c>
      <c r="E579" s="24">
        <v>1089000</v>
      </c>
    </row>
    <row r="580" s="29" customFormat="1" ht="41" spans="2:5">
      <c r="B580" s="19" t="s">
        <v>717</v>
      </c>
      <c r="C580" s="20" t="s">
        <v>182</v>
      </c>
      <c r="D580" s="21">
        <v>1</v>
      </c>
      <c r="E580" s="22">
        <v>289000</v>
      </c>
    </row>
    <row r="581" s="29" customFormat="1" ht="28" spans="2:5">
      <c r="B581" s="19" t="s">
        <v>717</v>
      </c>
      <c r="C581" s="16" t="s">
        <v>183</v>
      </c>
      <c r="D581" s="23">
        <v>1</v>
      </c>
      <c r="E581" s="24">
        <v>289000</v>
      </c>
    </row>
    <row r="582" s="29" customFormat="1" ht="41" spans="2:5">
      <c r="B582" s="19" t="s">
        <v>718</v>
      </c>
      <c r="C582" s="20" t="s">
        <v>182</v>
      </c>
      <c r="D582" s="21">
        <v>1</v>
      </c>
      <c r="E582" s="22">
        <v>338000</v>
      </c>
    </row>
    <row r="583" s="29" customFormat="1" ht="28" spans="2:5">
      <c r="B583" s="19" t="s">
        <v>718</v>
      </c>
      <c r="C583" s="16" t="s">
        <v>183</v>
      </c>
      <c r="D583" s="23">
        <v>1</v>
      </c>
      <c r="E583" s="24">
        <v>338000</v>
      </c>
    </row>
    <row r="584" s="29" customFormat="1" ht="41" spans="2:5">
      <c r="B584" s="19" t="s">
        <v>719</v>
      </c>
      <c r="C584" s="20" t="s">
        <v>182</v>
      </c>
      <c r="D584" s="21">
        <v>1</v>
      </c>
      <c r="E584" s="22">
        <v>101000</v>
      </c>
    </row>
    <row r="585" s="29" customFormat="1" ht="28" spans="2:5">
      <c r="B585" s="19" t="s">
        <v>719</v>
      </c>
      <c r="C585" s="16" t="s">
        <v>183</v>
      </c>
      <c r="D585" s="23">
        <v>1</v>
      </c>
      <c r="E585" s="24">
        <v>101000</v>
      </c>
    </row>
    <row r="586" s="29" customFormat="1" ht="41" spans="2:5">
      <c r="B586" s="19" t="s">
        <v>720</v>
      </c>
      <c r="C586" s="20" t="s">
        <v>182</v>
      </c>
      <c r="D586" s="21">
        <v>1</v>
      </c>
      <c r="E586" s="22">
        <v>0</v>
      </c>
    </row>
    <row r="587" s="29" customFormat="1" ht="28" spans="2:5">
      <c r="B587" s="19" t="s">
        <v>720</v>
      </c>
      <c r="C587" s="16" t="s">
        <v>183</v>
      </c>
      <c r="D587" s="23">
        <v>1</v>
      </c>
      <c r="E587" s="24">
        <v>0</v>
      </c>
    </row>
    <row r="588" s="29" customFormat="1" ht="41" spans="2:5">
      <c r="B588" s="19" t="s">
        <v>721</v>
      </c>
      <c r="C588" s="20" t="s">
        <v>182</v>
      </c>
      <c r="D588" s="21">
        <v>13</v>
      </c>
      <c r="E588" s="22">
        <v>0</v>
      </c>
    </row>
    <row r="589" s="29" customFormat="1" ht="28.75" spans="2:5">
      <c r="B589" s="19" t="s">
        <v>721</v>
      </c>
      <c r="C589" s="16" t="s">
        <v>183</v>
      </c>
      <c r="D589" s="23">
        <v>13</v>
      </c>
      <c r="E589" s="24">
        <v>0</v>
      </c>
    </row>
    <row r="590" s="29" customFormat="1" spans="2:5">
      <c r="B590" s="25"/>
      <c r="C590" s="25"/>
      <c r="D590" s="25"/>
      <c r="E590" s="25"/>
    </row>
    <row r="591" s="29" customFormat="1" ht="36" spans="2:5">
      <c r="B591" s="26" t="s">
        <v>189</v>
      </c>
      <c r="C591" s="26" t="s">
        <v>189</v>
      </c>
      <c r="D591" s="26" t="s">
        <v>189</v>
      </c>
      <c r="E591" s="26" t="s">
        <v>189</v>
      </c>
    </row>
    <row r="592" s="29" customFormat="1" spans="2:5">
      <c r="B592" s="26"/>
      <c r="C592" s="26"/>
      <c r="D592" s="26"/>
      <c r="E592" s="26"/>
    </row>
    <row r="593" s="29" customFormat="1" ht="36" spans="2:5">
      <c r="B593" s="26" t="s">
        <v>573</v>
      </c>
      <c r="C593" s="26" t="s">
        <v>573</v>
      </c>
      <c r="D593" s="26" t="s">
        <v>573</v>
      </c>
      <c r="E593" s="26" t="s">
        <v>573</v>
      </c>
    </row>
    <row r="594" s="29" customFormat="1" spans="2:5">
      <c r="B594" s="26" t="s">
        <v>529</v>
      </c>
      <c r="C594" s="26" t="s">
        <v>529</v>
      </c>
      <c r="D594" s="26" t="s">
        <v>529</v>
      </c>
      <c r="E594" s="26" t="s">
        <v>529</v>
      </c>
    </row>
    <row r="595" s="29" customFormat="1" ht="124" spans="2:5">
      <c r="B595" s="11" t="s">
        <v>173</v>
      </c>
      <c r="C595" s="11" t="s">
        <v>173</v>
      </c>
      <c r="D595" s="11" t="s">
        <v>173</v>
      </c>
      <c r="E595" s="11" t="s">
        <v>173</v>
      </c>
    </row>
    <row r="596" s="29" customFormat="1" ht="156" spans="2:5">
      <c r="B596" s="12" t="s">
        <v>174</v>
      </c>
      <c r="C596" s="12" t="s">
        <v>174</v>
      </c>
      <c r="D596" s="12" t="s">
        <v>174</v>
      </c>
      <c r="E596" s="12" t="s">
        <v>174</v>
      </c>
    </row>
    <row r="597" s="29" customFormat="1" ht="68" spans="2:5">
      <c r="B597" s="13" t="s">
        <v>663</v>
      </c>
      <c r="C597" s="13" t="s">
        <v>663</v>
      </c>
      <c r="D597" s="13" t="s">
        <v>663</v>
      </c>
      <c r="E597" s="13" t="s">
        <v>663</v>
      </c>
    </row>
    <row r="598" s="29" customFormat="1" ht="22" spans="2:5">
      <c r="B598" s="14" t="s">
        <v>176</v>
      </c>
      <c r="C598" s="14" t="s">
        <v>176</v>
      </c>
      <c r="D598" s="14" t="s">
        <v>176</v>
      </c>
      <c r="E598" s="14" t="s">
        <v>176</v>
      </c>
    </row>
    <row r="599" s="29" customFormat="1" spans="2:5">
      <c r="B599" s="15" t="s">
        <v>177</v>
      </c>
      <c r="C599" s="16" t="s">
        <v>178</v>
      </c>
      <c r="D599" s="17" t="s">
        <v>179</v>
      </c>
      <c r="E599" s="18" t="s">
        <v>180</v>
      </c>
    </row>
    <row r="600" s="29" customFormat="1" ht="41" spans="2:5">
      <c r="B600" s="19" t="s">
        <v>722</v>
      </c>
      <c r="C600" s="20" t="s">
        <v>182</v>
      </c>
      <c r="D600" s="21">
        <v>1</v>
      </c>
      <c r="E600" s="22">
        <v>825000</v>
      </c>
    </row>
    <row r="601" s="29" customFormat="1" ht="28" spans="2:5">
      <c r="B601" s="19" t="s">
        <v>722</v>
      </c>
      <c r="C601" s="16" t="s">
        <v>183</v>
      </c>
      <c r="D601" s="23">
        <v>1</v>
      </c>
      <c r="E601" s="24">
        <v>825000</v>
      </c>
    </row>
    <row r="602" s="29" customFormat="1" ht="41" spans="2:5">
      <c r="B602" s="19" t="s">
        <v>513</v>
      </c>
      <c r="C602" s="20" t="s">
        <v>182</v>
      </c>
      <c r="D602" s="21">
        <v>180</v>
      </c>
      <c r="E602" s="22">
        <v>0</v>
      </c>
    </row>
    <row r="603" s="29" customFormat="1" spans="2:5">
      <c r="B603" s="19" t="s">
        <v>513</v>
      </c>
      <c r="C603" s="16" t="s">
        <v>183</v>
      </c>
      <c r="D603" s="23">
        <v>180</v>
      </c>
      <c r="E603" s="24">
        <v>0</v>
      </c>
    </row>
    <row r="604" s="29" customFormat="1" ht="41" spans="2:5">
      <c r="B604" s="19" t="s">
        <v>514</v>
      </c>
      <c r="C604" s="20" t="s">
        <v>182</v>
      </c>
      <c r="D604" s="21">
        <v>75</v>
      </c>
      <c r="E604" s="22">
        <v>3175675.342317</v>
      </c>
    </row>
    <row r="605" s="29" customFormat="1" ht="28" spans="2:5">
      <c r="B605" s="19" t="s">
        <v>514</v>
      </c>
      <c r="C605" s="16" t="s">
        <v>183</v>
      </c>
      <c r="D605" s="23">
        <v>75</v>
      </c>
      <c r="E605" s="24">
        <v>3175675.342317</v>
      </c>
    </row>
    <row r="606" s="29" customFormat="1" ht="41" spans="2:5">
      <c r="B606" s="19" t="s">
        <v>723</v>
      </c>
      <c r="C606" s="20" t="s">
        <v>182</v>
      </c>
      <c r="D606" s="21">
        <v>1</v>
      </c>
      <c r="E606" s="22">
        <v>532000</v>
      </c>
    </row>
    <row r="607" s="29" customFormat="1" ht="28" spans="2:5">
      <c r="B607" s="19" t="s">
        <v>723</v>
      </c>
      <c r="C607" s="16" t="s">
        <v>183</v>
      </c>
      <c r="D607" s="23">
        <v>1</v>
      </c>
      <c r="E607" s="24">
        <v>532000</v>
      </c>
    </row>
    <row r="608" s="29" customFormat="1" ht="41" spans="2:5">
      <c r="B608" s="19" t="s">
        <v>724</v>
      </c>
      <c r="C608" s="20" t="s">
        <v>182</v>
      </c>
      <c r="D608" s="21">
        <v>1</v>
      </c>
      <c r="E608" s="22">
        <v>138000</v>
      </c>
    </row>
    <row r="609" s="29" customFormat="1" spans="2:5">
      <c r="B609" s="19" t="s">
        <v>724</v>
      </c>
      <c r="C609" s="16" t="s">
        <v>183</v>
      </c>
      <c r="D609" s="23">
        <v>1</v>
      </c>
      <c r="E609" s="24">
        <v>138000</v>
      </c>
    </row>
    <row r="610" s="29" customFormat="1" ht="41" spans="2:5">
      <c r="B610" s="19" t="s">
        <v>725</v>
      </c>
      <c r="C610" s="20" t="s">
        <v>182</v>
      </c>
      <c r="D610" s="21">
        <v>1</v>
      </c>
      <c r="E610" s="22">
        <v>0</v>
      </c>
    </row>
    <row r="611" s="29" customFormat="1" ht="28.75" spans="2:5">
      <c r="B611" s="19" t="s">
        <v>725</v>
      </c>
      <c r="C611" s="16" t="s">
        <v>183</v>
      </c>
      <c r="D611" s="23">
        <v>1</v>
      </c>
      <c r="E611" s="24">
        <v>0</v>
      </c>
    </row>
    <row r="612" s="29" customFormat="1" spans="2:5">
      <c r="B612" s="25"/>
      <c r="C612" s="25"/>
      <c r="D612" s="25"/>
      <c r="E612" s="25"/>
    </row>
    <row r="613" s="29" customFormat="1" ht="36" spans="2:5">
      <c r="B613" s="26" t="s">
        <v>189</v>
      </c>
      <c r="C613" s="26" t="s">
        <v>189</v>
      </c>
      <c r="D613" s="26" t="s">
        <v>189</v>
      </c>
      <c r="E613" s="26" t="s">
        <v>189</v>
      </c>
    </row>
    <row r="614" s="29" customFormat="1" spans="2:5">
      <c r="B614" s="26"/>
      <c r="C614" s="26"/>
      <c r="D614" s="26"/>
      <c r="E614" s="26"/>
    </row>
    <row r="615" s="29" customFormat="1" ht="36" spans="2:5">
      <c r="B615" s="26" t="s">
        <v>573</v>
      </c>
      <c r="C615" s="26" t="s">
        <v>573</v>
      </c>
      <c r="D615" s="26" t="s">
        <v>573</v>
      </c>
      <c r="E615" s="26" t="s">
        <v>573</v>
      </c>
    </row>
    <row r="616" s="29" customFormat="1" spans="2:5">
      <c r="B616" s="26" t="s">
        <v>533</v>
      </c>
      <c r="C616" s="26" t="s">
        <v>533</v>
      </c>
      <c r="D616" s="26" t="s">
        <v>533</v>
      </c>
      <c r="E616" s="26" t="s">
        <v>533</v>
      </c>
    </row>
    <row r="617" s="29" customFormat="1" ht="124" spans="2:5">
      <c r="B617" s="11" t="s">
        <v>173</v>
      </c>
      <c r="C617" s="11" t="s">
        <v>173</v>
      </c>
      <c r="D617" s="11" t="s">
        <v>173</v>
      </c>
      <c r="E617" s="11" t="s">
        <v>173</v>
      </c>
    </row>
    <row r="618" s="29" customFormat="1" ht="156" spans="2:5">
      <c r="B618" s="12" t="s">
        <v>174</v>
      </c>
      <c r="C618" s="12" t="s">
        <v>174</v>
      </c>
      <c r="D618" s="12" t="s">
        <v>174</v>
      </c>
      <c r="E618" s="12" t="s">
        <v>174</v>
      </c>
    </row>
    <row r="619" s="29" customFormat="1" ht="68" spans="2:5">
      <c r="B619" s="13" t="s">
        <v>663</v>
      </c>
      <c r="C619" s="13" t="s">
        <v>663</v>
      </c>
      <c r="D619" s="13" t="s">
        <v>663</v>
      </c>
      <c r="E619" s="13" t="s">
        <v>663</v>
      </c>
    </row>
    <row r="620" s="29" customFormat="1" ht="22" spans="2:5">
      <c r="B620" s="14" t="s">
        <v>176</v>
      </c>
      <c r="C620" s="14" t="s">
        <v>176</v>
      </c>
      <c r="D620" s="14" t="s">
        <v>176</v>
      </c>
      <c r="E620" s="14" t="s">
        <v>176</v>
      </c>
    </row>
    <row r="621" s="29" customFormat="1" spans="2:5">
      <c r="B621" s="15" t="s">
        <v>177</v>
      </c>
      <c r="C621" s="16" t="s">
        <v>178</v>
      </c>
      <c r="D621" s="17" t="s">
        <v>179</v>
      </c>
      <c r="E621" s="18" t="s">
        <v>180</v>
      </c>
    </row>
    <row r="622" s="29" customFormat="1" ht="41" spans="2:5">
      <c r="B622" s="19" t="s">
        <v>616</v>
      </c>
      <c r="C622" s="20" t="s">
        <v>182</v>
      </c>
      <c r="D622" s="21">
        <v>4</v>
      </c>
      <c r="E622" s="22">
        <v>3221621.216215</v>
      </c>
    </row>
    <row r="623" s="29" customFormat="1" ht="28" spans="2:5">
      <c r="B623" s="19" t="s">
        <v>616</v>
      </c>
      <c r="C623" s="16" t="s">
        <v>183</v>
      </c>
      <c r="D623" s="23">
        <v>4</v>
      </c>
      <c r="E623" s="24">
        <v>3221621.216215</v>
      </c>
    </row>
    <row r="624" s="29" customFormat="1" ht="41" spans="2:5">
      <c r="B624" s="19" t="s">
        <v>726</v>
      </c>
      <c r="C624" s="20" t="s">
        <v>182</v>
      </c>
      <c r="D624" s="21">
        <v>2</v>
      </c>
      <c r="E624" s="22">
        <v>1630270.405405</v>
      </c>
    </row>
    <row r="625" s="29" customFormat="1" ht="28" spans="2:5">
      <c r="B625" s="19" t="s">
        <v>726</v>
      </c>
      <c r="C625" s="16" t="s">
        <v>183</v>
      </c>
      <c r="D625" s="23">
        <v>2</v>
      </c>
      <c r="E625" s="24">
        <v>1630270.405405</v>
      </c>
    </row>
    <row r="626" s="29" customFormat="1" ht="41" spans="2:5">
      <c r="B626" s="19" t="s">
        <v>381</v>
      </c>
      <c r="C626" s="20" t="s">
        <v>182</v>
      </c>
      <c r="D626" s="21">
        <v>2</v>
      </c>
      <c r="E626" s="22">
        <v>1745945.945946</v>
      </c>
    </row>
    <row r="627" s="29" customFormat="1" ht="28" spans="2:5">
      <c r="B627" s="19" t="s">
        <v>381</v>
      </c>
      <c r="C627" s="16" t="s">
        <v>183</v>
      </c>
      <c r="D627" s="23">
        <v>2</v>
      </c>
      <c r="E627" s="24">
        <v>1745945.945946</v>
      </c>
    </row>
    <row r="628" s="29" customFormat="1" ht="41" spans="2:5">
      <c r="B628" s="19" t="s">
        <v>727</v>
      </c>
      <c r="C628" s="20" t="s">
        <v>182</v>
      </c>
      <c r="D628" s="21">
        <v>2</v>
      </c>
      <c r="E628" s="22">
        <v>2636666</v>
      </c>
    </row>
    <row r="629" s="29" customFormat="1" ht="28" spans="2:5">
      <c r="B629" s="19" t="s">
        <v>727</v>
      </c>
      <c r="C629" s="16" t="s">
        <v>183</v>
      </c>
      <c r="D629" s="23">
        <v>2</v>
      </c>
      <c r="E629" s="24">
        <v>2636666</v>
      </c>
    </row>
    <row r="630" s="29" customFormat="1" ht="41" spans="2:5">
      <c r="B630" s="19" t="s">
        <v>728</v>
      </c>
      <c r="C630" s="20" t="s">
        <v>182</v>
      </c>
      <c r="D630" s="21">
        <v>1</v>
      </c>
      <c r="E630" s="22">
        <v>100900.900901</v>
      </c>
    </row>
    <row r="631" s="29" customFormat="1" ht="41" spans="2:5">
      <c r="B631" s="19" t="s">
        <v>728</v>
      </c>
      <c r="C631" s="16" t="s">
        <v>183</v>
      </c>
      <c r="D631" s="23">
        <v>1</v>
      </c>
      <c r="E631" s="24">
        <v>100900.900901</v>
      </c>
    </row>
    <row r="632" s="29" customFormat="1" ht="41" spans="2:5">
      <c r="B632" s="19" t="s">
        <v>316</v>
      </c>
      <c r="C632" s="20" t="s">
        <v>182</v>
      </c>
      <c r="D632" s="21">
        <v>4</v>
      </c>
      <c r="E632" s="22">
        <v>331531.531532</v>
      </c>
    </row>
    <row r="633" s="29" customFormat="1" ht="28.75" spans="2:5">
      <c r="B633" s="19" t="s">
        <v>316</v>
      </c>
      <c r="C633" s="16" t="s">
        <v>183</v>
      </c>
      <c r="D633" s="23">
        <v>4</v>
      </c>
      <c r="E633" s="24">
        <v>331531.531532</v>
      </c>
    </row>
    <row r="634" s="29" customFormat="1" spans="2:5">
      <c r="B634" s="25"/>
      <c r="C634" s="25"/>
      <c r="D634" s="25"/>
      <c r="E634" s="25"/>
    </row>
    <row r="635" s="29" customFormat="1" ht="36" spans="2:5">
      <c r="B635" s="26" t="s">
        <v>189</v>
      </c>
      <c r="C635" s="26" t="s">
        <v>189</v>
      </c>
      <c r="D635" s="26" t="s">
        <v>189</v>
      </c>
      <c r="E635" s="26" t="s">
        <v>189</v>
      </c>
    </row>
    <row r="636" s="29" customFormat="1" spans="2:5">
      <c r="B636" s="26"/>
      <c r="C636" s="26"/>
      <c r="D636" s="26"/>
      <c r="E636" s="26"/>
    </row>
    <row r="637" s="29" customFormat="1" ht="36" spans="2:5">
      <c r="B637" s="26" t="s">
        <v>573</v>
      </c>
      <c r="C637" s="26" t="s">
        <v>573</v>
      </c>
      <c r="D637" s="26" t="s">
        <v>573</v>
      </c>
      <c r="E637" s="26" t="s">
        <v>573</v>
      </c>
    </row>
    <row r="638" s="29" customFormat="1" spans="2:5">
      <c r="B638" s="26" t="s">
        <v>540</v>
      </c>
      <c r="C638" s="26" t="s">
        <v>540</v>
      </c>
      <c r="D638" s="26" t="s">
        <v>540</v>
      </c>
      <c r="E638" s="26" t="s">
        <v>540</v>
      </c>
    </row>
    <row r="639" s="29" customFormat="1" ht="124" spans="2:5">
      <c r="B639" s="11" t="s">
        <v>173</v>
      </c>
      <c r="C639" s="11" t="s">
        <v>173</v>
      </c>
      <c r="D639" s="11" t="s">
        <v>173</v>
      </c>
      <c r="E639" s="11" t="s">
        <v>173</v>
      </c>
    </row>
    <row r="640" s="29" customFormat="1" ht="156" spans="2:5">
      <c r="B640" s="12" t="s">
        <v>174</v>
      </c>
      <c r="C640" s="12" t="s">
        <v>174</v>
      </c>
      <c r="D640" s="12" t="s">
        <v>174</v>
      </c>
      <c r="E640" s="12" t="s">
        <v>174</v>
      </c>
    </row>
    <row r="641" s="29" customFormat="1" ht="68" spans="2:5">
      <c r="B641" s="13" t="s">
        <v>663</v>
      </c>
      <c r="C641" s="13" t="s">
        <v>663</v>
      </c>
      <c r="D641" s="13" t="s">
        <v>663</v>
      </c>
      <c r="E641" s="13" t="s">
        <v>663</v>
      </c>
    </row>
    <row r="642" s="29" customFormat="1" ht="22" spans="2:5">
      <c r="B642" s="14" t="s">
        <v>176</v>
      </c>
      <c r="C642" s="14" t="s">
        <v>176</v>
      </c>
      <c r="D642" s="14" t="s">
        <v>176</v>
      </c>
      <c r="E642" s="14" t="s">
        <v>176</v>
      </c>
    </row>
    <row r="643" s="29" customFormat="1" spans="2:5">
      <c r="B643" s="15" t="s">
        <v>177</v>
      </c>
      <c r="C643" s="16" t="s">
        <v>178</v>
      </c>
      <c r="D643" s="17" t="s">
        <v>179</v>
      </c>
      <c r="E643" s="18" t="s">
        <v>180</v>
      </c>
    </row>
    <row r="644" s="29" customFormat="1" ht="41" spans="2:5">
      <c r="B644" s="19" t="s">
        <v>383</v>
      </c>
      <c r="C644" s="20" t="s">
        <v>182</v>
      </c>
      <c r="D644" s="21">
        <v>17</v>
      </c>
      <c r="E644" s="22">
        <v>536037.072078</v>
      </c>
    </row>
    <row r="645" s="29" customFormat="1" ht="28" spans="2:5">
      <c r="B645" s="19" t="s">
        <v>383</v>
      </c>
      <c r="C645" s="16" t="s">
        <v>183</v>
      </c>
      <c r="D645" s="23">
        <v>17</v>
      </c>
      <c r="E645" s="24">
        <v>536037.072078</v>
      </c>
    </row>
    <row r="646" s="29" customFormat="1" ht="41" spans="2:5">
      <c r="B646" s="19" t="s">
        <v>384</v>
      </c>
      <c r="C646" s="20" t="s">
        <v>182</v>
      </c>
      <c r="D646" s="21">
        <v>5</v>
      </c>
      <c r="E646" s="22">
        <v>414414.414415</v>
      </c>
    </row>
    <row r="647" s="29" customFormat="1" ht="28" spans="2:5">
      <c r="B647" s="19" t="s">
        <v>384</v>
      </c>
      <c r="C647" s="16" t="s">
        <v>183</v>
      </c>
      <c r="D647" s="23">
        <v>5</v>
      </c>
      <c r="E647" s="24">
        <v>414414.414415</v>
      </c>
    </row>
    <row r="648" s="29" customFormat="1" ht="41" spans="2:5">
      <c r="B648" s="19" t="s">
        <v>518</v>
      </c>
      <c r="C648" s="20" t="s">
        <v>182</v>
      </c>
      <c r="D648" s="21">
        <v>12</v>
      </c>
      <c r="E648" s="22">
        <v>378379.972976</v>
      </c>
    </row>
    <row r="649" s="29" customFormat="1" ht="28" spans="2:5">
      <c r="B649" s="19" t="s">
        <v>518</v>
      </c>
      <c r="C649" s="16" t="s">
        <v>183</v>
      </c>
      <c r="D649" s="23">
        <v>12</v>
      </c>
      <c r="E649" s="24">
        <v>378379.972976</v>
      </c>
    </row>
    <row r="650" s="29" customFormat="1" ht="41" spans="2:5">
      <c r="B650" s="19" t="s">
        <v>455</v>
      </c>
      <c r="C650" s="20" t="s">
        <v>182</v>
      </c>
      <c r="D650" s="21">
        <v>298</v>
      </c>
      <c r="E650" s="22">
        <v>0</v>
      </c>
    </row>
    <row r="651" s="29" customFormat="1" spans="2:5">
      <c r="B651" s="19" t="s">
        <v>455</v>
      </c>
      <c r="C651" s="16" t="s">
        <v>183</v>
      </c>
      <c r="D651" s="23">
        <v>298</v>
      </c>
      <c r="E651" s="24">
        <v>0</v>
      </c>
    </row>
    <row r="652" s="29" customFormat="1" ht="41" spans="2:5">
      <c r="B652" s="19" t="s">
        <v>729</v>
      </c>
      <c r="C652" s="20" t="s">
        <v>182</v>
      </c>
      <c r="D652" s="21">
        <v>1</v>
      </c>
      <c r="E652" s="22">
        <v>0</v>
      </c>
    </row>
    <row r="653" s="29" customFormat="1" ht="28" spans="2:5">
      <c r="B653" s="19" t="s">
        <v>729</v>
      </c>
      <c r="C653" s="16" t="s">
        <v>183</v>
      </c>
      <c r="D653" s="23">
        <v>1</v>
      </c>
      <c r="E653" s="24">
        <v>0</v>
      </c>
    </row>
    <row r="654" s="29" customFormat="1" ht="41" spans="2:5">
      <c r="B654" s="19" t="s">
        <v>730</v>
      </c>
      <c r="C654" s="20" t="s">
        <v>182</v>
      </c>
      <c r="D654" s="21">
        <v>1</v>
      </c>
      <c r="E654" s="22">
        <v>195045.045045</v>
      </c>
    </row>
    <row r="655" s="29" customFormat="1" ht="28.75" spans="2:5">
      <c r="B655" s="19" t="s">
        <v>730</v>
      </c>
      <c r="C655" s="16" t="s">
        <v>183</v>
      </c>
      <c r="D655" s="23">
        <v>1</v>
      </c>
      <c r="E655" s="24">
        <v>195045.045045</v>
      </c>
    </row>
    <row r="656" s="29" customFormat="1" spans="2:5">
      <c r="B656" s="25"/>
      <c r="C656" s="25"/>
      <c r="D656" s="25"/>
      <c r="E656" s="25"/>
    </row>
    <row r="657" s="29" customFormat="1" ht="36" spans="2:5">
      <c r="B657" s="26" t="s">
        <v>189</v>
      </c>
      <c r="C657" s="26" t="s">
        <v>189</v>
      </c>
      <c r="D657" s="26" t="s">
        <v>189</v>
      </c>
      <c r="E657" s="26" t="s">
        <v>189</v>
      </c>
    </row>
    <row r="658" s="29" customFormat="1" spans="2:5">
      <c r="B658" s="26"/>
      <c r="C658" s="26"/>
      <c r="D658" s="26"/>
      <c r="E658" s="26"/>
    </row>
    <row r="659" s="29" customFormat="1" ht="36" spans="2:5">
      <c r="B659" s="26" t="s">
        <v>573</v>
      </c>
      <c r="C659" s="26" t="s">
        <v>573</v>
      </c>
      <c r="D659" s="26" t="s">
        <v>573</v>
      </c>
      <c r="E659" s="26" t="s">
        <v>573</v>
      </c>
    </row>
    <row r="660" s="29" customFormat="1" spans="2:5">
      <c r="B660" s="26" t="s">
        <v>547</v>
      </c>
      <c r="C660" s="26" t="s">
        <v>547</v>
      </c>
      <c r="D660" s="26" t="s">
        <v>547</v>
      </c>
      <c r="E660" s="26" t="s">
        <v>547</v>
      </c>
    </row>
    <row r="661" s="29" customFormat="1" ht="124" spans="2:5">
      <c r="B661" s="11" t="s">
        <v>173</v>
      </c>
      <c r="C661" s="11" t="s">
        <v>173</v>
      </c>
      <c r="D661" s="11" t="s">
        <v>173</v>
      </c>
      <c r="E661" s="11" t="s">
        <v>173</v>
      </c>
    </row>
    <row r="662" s="29" customFormat="1" ht="156" spans="2:5">
      <c r="B662" s="12" t="s">
        <v>174</v>
      </c>
      <c r="C662" s="12" t="s">
        <v>174</v>
      </c>
      <c r="D662" s="12" t="s">
        <v>174</v>
      </c>
      <c r="E662" s="12" t="s">
        <v>174</v>
      </c>
    </row>
    <row r="663" s="29" customFormat="1" ht="68" spans="2:5">
      <c r="B663" s="13" t="s">
        <v>663</v>
      </c>
      <c r="C663" s="13" t="s">
        <v>663</v>
      </c>
      <c r="D663" s="13" t="s">
        <v>663</v>
      </c>
      <c r="E663" s="13" t="s">
        <v>663</v>
      </c>
    </row>
    <row r="664" s="29" customFormat="1" ht="22" spans="2:5">
      <c r="B664" s="14" t="s">
        <v>176</v>
      </c>
      <c r="C664" s="14" t="s">
        <v>176</v>
      </c>
      <c r="D664" s="14" t="s">
        <v>176</v>
      </c>
      <c r="E664" s="14" t="s">
        <v>176</v>
      </c>
    </row>
    <row r="665" s="29" customFormat="1" spans="2:5">
      <c r="B665" s="15" t="s">
        <v>177</v>
      </c>
      <c r="C665" s="16" t="s">
        <v>178</v>
      </c>
      <c r="D665" s="17" t="s">
        <v>179</v>
      </c>
      <c r="E665" s="18" t="s">
        <v>180</v>
      </c>
    </row>
    <row r="666" s="29" customFormat="1" ht="41" spans="2:5">
      <c r="B666" s="19" t="s">
        <v>731</v>
      </c>
      <c r="C666" s="20" t="s">
        <v>182</v>
      </c>
      <c r="D666" s="21">
        <v>1</v>
      </c>
      <c r="E666" s="22">
        <v>458000</v>
      </c>
    </row>
    <row r="667" s="29" customFormat="1" ht="28" spans="2:5">
      <c r="B667" s="19" t="s">
        <v>731</v>
      </c>
      <c r="C667" s="16" t="s">
        <v>183</v>
      </c>
      <c r="D667" s="23">
        <v>1</v>
      </c>
      <c r="E667" s="24">
        <v>458000</v>
      </c>
    </row>
    <row r="668" s="29" customFormat="1" ht="41" spans="2:5">
      <c r="B668" s="19" t="s">
        <v>732</v>
      </c>
      <c r="C668" s="20" t="s">
        <v>182</v>
      </c>
      <c r="D668" s="21">
        <v>1</v>
      </c>
      <c r="E668" s="22">
        <v>425000</v>
      </c>
    </row>
    <row r="669" s="29" customFormat="1" ht="28" spans="2:5">
      <c r="B669" s="19" t="s">
        <v>732</v>
      </c>
      <c r="C669" s="16" t="s">
        <v>183</v>
      </c>
      <c r="D669" s="23">
        <v>1</v>
      </c>
      <c r="E669" s="24">
        <v>425000</v>
      </c>
    </row>
    <row r="670" s="29" customFormat="1" ht="41" spans="2:5">
      <c r="B670" s="19" t="s">
        <v>733</v>
      </c>
      <c r="C670" s="20" t="s">
        <v>182</v>
      </c>
      <c r="D670" s="21">
        <v>2</v>
      </c>
      <c r="E670" s="22">
        <v>169261.261261</v>
      </c>
    </row>
    <row r="671" s="29" customFormat="1" ht="28" spans="2:5">
      <c r="B671" s="19" t="s">
        <v>733</v>
      </c>
      <c r="C671" s="16" t="s">
        <v>183</v>
      </c>
      <c r="D671" s="23">
        <v>2</v>
      </c>
      <c r="E671" s="24">
        <v>169261.261261</v>
      </c>
    </row>
    <row r="672" s="29" customFormat="1" ht="41" spans="2:5">
      <c r="B672" s="19" t="s">
        <v>318</v>
      </c>
      <c r="C672" s="20" t="s">
        <v>182</v>
      </c>
      <c r="D672" s="21">
        <v>5</v>
      </c>
      <c r="E672" s="22">
        <v>0</v>
      </c>
    </row>
    <row r="673" s="29" customFormat="1" ht="28" spans="2:5">
      <c r="B673" s="19" t="s">
        <v>318</v>
      </c>
      <c r="C673" s="16" t="s">
        <v>183</v>
      </c>
      <c r="D673" s="23">
        <v>5</v>
      </c>
      <c r="E673" s="24">
        <v>0</v>
      </c>
    </row>
    <row r="674" s="29" customFormat="1" ht="41" spans="2:5">
      <c r="B674" s="19" t="s">
        <v>458</v>
      </c>
      <c r="C674" s="20" t="s">
        <v>182</v>
      </c>
      <c r="D674" s="21">
        <v>4</v>
      </c>
      <c r="E674" s="22">
        <v>0</v>
      </c>
    </row>
    <row r="675" s="29" customFormat="1" spans="2:5">
      <c r="B675" s="19" t="s">
        <v>458</v>
      </c>
      <c r="C675" s="16" t="s">
        <v>183</v>
      </c>
      <c r="D675" s="23">
        <v>4</v>
      </c>
      <c r="E675" s="24">
        <v>0</v>
      </c>
    </row>
    <row r="676" s="29" customFormat="1" ht="41" spans="2:5">
      <c r="B676" s="19" t="s">
        <v>320</v>
      </c>
      <c r="C676" s="20" t="s">
        <v>182</v>
      </c>
      <c r="D676" s="21">
        <v>64</v>
      </c>
      <c r="E676" s="22">
        <v>0</v>
      </c>
    </row>
    <row r="677" s="29" customFormat="1" ht="28.75" spans="2:5">
      <c r="B677" s="19" t="s">
        <v>320</v>
      </c>
      <c r="C677" s="16" t="s">
        <v>183</v>
      </c>
      <c r="D677" s="23">
        <v>64</v>
      </c>
      <c r="E677" s="24">
        <v>0</v>
      </c>
    </row>
    <row r="678" s="29" customFormat="1" spans="2:5">
      <c r="B678" s="25"/>
      <c r="C678" s="25"/>
      <c r="D678" s="25"/>
      <c r="E678" s="25"/>
    </row>
    <row r="679" s="29" customFormat="1" ht="36" spans="2:5">
      <c r="B679" s="26" t="s">
        <v>189</v>
      </c>
      <c r="C679" s="26" t="s">
        <v>189</v>
      </c>
      <c r="D679" s="26" t="s">
        <v>189</v>
      </c>
      <c r="E679" s="26" t="s">
        <v>189</v>
      </c>
    </row>
    <row r="680" s="29" customFormat="1" spans="2:5">
      <c r="B680" s="26"/>
      <c r="C680" s="26"/>
      <c r="D680" s="26"/>
      <c r="E680" s="26"/>
    </row>
    <row r="681" s="29" customFormat="1" ht="36" spans="2:5">
      <c r="B681" s="26" t="s">
        <v>573</v>
      </c>
      <c r="C681" s="26" t="s">
        <v>573</v>
      </c>
      <c r="D681" s="26" t="s">
        <v>573</v>
      </c>
      <c r="E681" s="26" t="s">
        <v>573</v>
      </c>
    </row>
    <row r="682" s="29" customFormat="1" spans="2:5">
      <c r="B682" s="26" t="s">
        <v>554</v>
      </c>
      <c r="C682" s="26" t="s">
        <v>554</v>
      </c>
      <c r="D682" s="26" t="s">
        <v>554</v>
      </c>
      <c r="E682" s="26" t="s">
        <v>554</v>
      </c>
    </row>
    <row r="683" s="29" customFormat="1" ht="124" spans="2:5">
      <c r="B683" s="11" t="s">
        <v>173</v>
      </c>
      <c r="C683" s="11" t="s">
        <v>173</v>
      </c>
      <c r="D683" s="11" t="s">
        <v>173</v>
      </c>
      <c r="E683" s="11" t="s">
        <v>173</v>
      </c>
    </row>
    <row r="684" s="29" customFormat="1" ht="156" spans="2:5">
      <c r="B684" s="12" t="s">
        <v>174</v>
      </c>
      <c r="C684" s="12" t="s">
        <v>174</v>
      </c>
      <c r="D684" s="12" t="s">
        <v>174</v>
      </c>
      <c r="E684" s="12" t="s">
        <v>174</v>
      </c>
    </row>
    <row r="685" s="29" customFormat="1" ht="68" spans="2:5">
      <c r="B685" s="13" t="s">
        <v>663</v>
      </c>
      <c r="C685" s="13" t="s">
        <v>663</v>
      </c>
      <c r="D685" s="13" t="s">
        <v>663</v>
      </c>
      <c r="E685" s="13" t="s">
        <v>663</v>
      </c>
    </row>
    <row r="686" s="29" customFormat="1" ht="22" spans="2:5">
      <c r="B686" s="14" t="s">
        <v>176</v>
      </c>
      <c r="C686" s="14" t="s">
        <v>176</v>
      </c>
      <c r="D686" s="14" t="s">
        <v>176</v>
      </c>
      <c r="E686" s="14" t="s">
        <v>176</v>
      </c>
    </row>
    <row r="687" s="29" customFormat="1" spans="2:5">
      <c r="B687" s="15" t="s">
        <v>177</v>
      </c>
      <c r="C687" s="16" t="s">
        <v>178</v>
      </c>
      <c r="D687" s="17" t="s">
        <v>179</v>
      </c>
      <c r="E687" s="18" t="s">
        <v>180</v>
      </c>
    </row>
    <row r="688" s="29" customFormat="1" ht="41" spans="2:5">
      <c r="B688" s="19" t="s">
        <v>321</v>
      </c>
      <c r="C688" s="20" t="s">
        <v>182</v>
      </c>
      <c r="D688" s="21">
        <v>5</v>
      </c>
      <c r="E688" s="22">
        <v>0</v>
      </c>
    </row>
    <row r="689" s="29" customFormat="1" ht="28" spans="2:5">
      <c r="B689" s="19" t="s">
        <v>321</v>
      </c>
      <c r="C689" s="16" t="s">
        <v>183</v>
      </c>
      <c r="D689" s="23">
        <v>5</v>
      </c>
      <c r="E689" s="24">
        <v>0</v>
      </c>
    </row>
    <row r="690" s="29" customFormat="1" ht="41" spans="2:5">
      <c r="B690" s="19" t="s">
        <v>322</v>
      </c>
      <c r="C690" s="20" t="s">
        <v>182</v>
      </c>
      <c r="D690" s="21">
        <v>232</v>
      </c>
      <c r="E690" s="22">
        <v>584793.18919</v>
      </c>
    </row>
    <row r="691" s="29" customFormat="1" ht="28" spans="2:5">
      <c r="B691" s="19" t="s">
        <v>322</v>
      </c>
      <c r="C691" s="16" t="s">
        <v>183</v>
      </c>
      <c r="D691" s="23">
        <v>232</v>
      </c>
      <c r="E691" s="24">
        <v>584793.18919</v>
      </c>
    </row>
    <row r="692" s="29" customFormat="1" ht="41" spans="2:5">
      <c r="B692" s="19" t="s">
        <v>323</v>
      </c>
      <c r="C692" s="20" t="s">
        <v>182</v>
      </c>
      <c r="D692" s="21">
        <v>7</v>
      </c>
      <c r="E692" s="22">
        <v>803424.144144</v>
      </c>
    </row>
    <row r="693" s="29" customFormat="1" ht="28" spans="2:5">
      <c r="B693" s="19" t="s">
        <v>323</v>
      </c>
      <c r="C693" s="16" t="s">
        <v>183</v>
      </c>
      <c r="D693" s="23">
        <v>7</v>
      </c>
      <c r="E693" s="24">
        <v>803424.144144</v>
      </c>
    </row>
    <row r="694" s="29" customFormat="1" ht="41" spans="2:5">
      <c r="B694" s="19" t="s">
        <v>325</v>
      </c>
      <c r="C694" s="20" t="s">
        <v>182</v>
      </c>
      <c r="D694" s="21">
        <v>108</v>
      </c>
      <c r="E694" s="22">
        <v>6572972.270273</v>
      </c>
    </row>
    <row r="695" s="29" customFormat="1" ht="28" spans="2:5">
      <c r="B695" s="19" t="s">
        <v>325</v>
      </c>
      <c r="C695" s="16" t="s">
        <v>183</v>
      </c>
      <c r="D695" s="23">
        <v>108</v>
      </c>
      <c r="E695" s="24">
        <v>6572972.270273</v>
      </c>
    </row>
    <row r="696" s="29" customFormat="1" ht="41" spans="2:5">
      <c r="B696" s="19" t="s">
        <v>326</v>
      </c>
      <c r="C696" s="20" t="s">
        <v>182</v>
      </c>
      <c r="D696" s="21">
        <v>79</v>
      </c>
      <c r="E696" s="22">
        <v>1301351.486485</v>
      </c>
    </row>
    <row r="697" s="29" customFormat="1" ht="28" spans="2:5">
      <c r="B697" s="19" t="s">
        <v>326</v>
      </c>
      <c r="C697" s="16" t="s">
        <v>183</v>
      </c>
      <c r="D697" s="23">
        <v>79</v>
      </c>
      <c r="E697" s="24">
        <v>1301351.486485</v>
      </c>
    </row>
    <row r="698" s="29" customFormat="1" ht="41" spans="2:5">
      <c r="B698" s="19" t="s">
        <v>734</v>
      </c>
      <c r="C698" s="20" t="s">
        <v>182</v>
      </c>
      <c r="D698" s="21">
        <v>2</v>
      </c>
      <c r="E698" s="22">
        <v>783783.783784</v>
      </c>
    </row>
    <row r="699" s="29" customFormat="1" ht="28.75" spans="2:5">
      <c r="B699" s="19" t="s">
        <v>734</v>
      </c>
      <c r="C699" s="16" t="s">
        <v>183</v>
      </c>
      <c r="D699" s="23">
        <v>2</v>
      </c>
      <c r="E699" s="24">
        <v>783783.783784</v>
      </c>
    </row>
    <row r="700" s="29" customFormat="1" spans="2:5">
      <c r="B700" s="25"/>
      <c r="C700" s="25"/>
      <c r="D700" s="25"/>
      <c r="E700" s="25"/>
    </row>
    <row r="701" s="29" customFormat="1" ht="36" spans="2:5">
      <c r="B701" s="26" t="s">
        <v>189</v>
      </c>
      <c r="C701" s="26" t="s">
        <v>189</v>
      </c>
      <c r="D701" s="26" t="s">
        <v>189</v>
      </c>
      <c r="E701" s="26" t="s">
        <v>189</v>
      </c>
    </row>
    <row r="702" s="29" customFormat="1" spans="2:5">
      <c r="B702" s="26"/>
      <c r="C702" s="26"/>
      <c r="D702" s="26"/>
      <c r="E702" s="26"/>
    </row>
    <row r="703" s="29" customFormat="1" ht="36" spans="2:5">
      <c r="B703" s="26" t="s">
        <v>573</v>
      </c>
      <c r="C703" s="26" t="s">
        <v>573</v>
      </c>
      <c r="D703" s="26" t="s">
        <v>573</v>
      </c>
      <c r="E703" s="26" t="s">
        <v>573</v>
      </c>
    </row>
    <row r="704" s="29" customFormat="1" spans="2:5">
      <c r="B704" s="26" t="s">
        <v>561</v>
      </c>
      <c r="C704" s="26" t="s">
        <v>561</v>
      </c>
      <c r="D704" s="26" t="s">
        <v>561</v>
      </c>
      <c r="E704" s="26" t="s">
        <v>561</v>
      </c>
    </row>
    <row r="705" s="29" customFormat="1" ht="124" spans="2:5">
      <c r="B705" s="11" t="s">
        <v>173</v>
      </c>
      <c r="C705" s="11" t="s">
        <v>173</v>
      </c>
      <c r="D705" s="11" t="s">
        <v>173</v>
      </c>
      <c r="E705" s="11" t="s">
        <v>173</v>
      </c>
    </row>
    <row r="706" s="29" customFormat="1" ht="156" spans="2:5">
      <c r="B706" s="12" t="s">
        <v>174</v>
      </c>
      <c r="C706" s="12" t="s">
        <v>174</v>
      </c>
      <c r="D706" s="12" t="s">
        <v>174</v>
      </c>
      <c r="E706" s="12" t="s">
        <v>174</v>
      </c>
    </row>
    <row r="707" s="29" customFormat="1" ht="68" spans="2:5">
      <c r="B707" s="13" t="s">
        <v>663</v>
      </c>
      <c r="C707" s="13" t="s">
        <v>663</v>
      </c>
      <c r="D707" s="13" t="s">
        <v>663</v>
      </c>
      <c r="E707" s="13" t="s">
        <v>663</v>
      </c>
    </row>
    <row r="708" s="29" customFormat="1" ht="22" spans="2:5">
      <c r="B708" s="14" t="s">
        <v>176</v>
      </c>
      <c r="C708" s="14" t="s">
        <v>176</v>
      </c>
      <c r="D708" s="14" t="s">
        <v>176</v>
      </c>
      <c r="E708" s="14" t="s">
        <v>176</v>
      </c>
    </row>
    <row r="709" s="29" customFormat="1" spans="2:5">
      <c r="B709" s="15" t="s">
        <v>177</v>
      </c>
      <c r="C709" s="16" t="s">
        <v>178</v>
      </c>
      <c r="D709" s="17" t="s">
        <v>179</v>
      </c>
      <c r="E709" s="18" t="s">
        <v>180</v>
      </c>
    </row>
    <row r="710" s="29" customFormat="1" ht="41" spans="2:5">
      <c r="B710" s="19" t="s">
        <v>735</v>
      </c>
      <c r="C710" s="20" t="s">
        <v>182</v>
      </c>
      <c r="D710" s="21">
        <v>2</v>
      </c>
      <c r="E710" s="22">
        <v>1032432.432432</v>
      </c>
    </row>
    <row r="711" s="29" customFormat="1" ht="28" spans="2:5">
      <c r="B711" s="19" t="s">
        <v>735</v>
      </c>
      <c r="C711" s="16" t="s">
        <v>183</v>
      </c>
      <c r="D711" s="23">
        <v>2</v>
      </c>
      <c r="E711" s="24">
        <v>1032432.432432</v>
      </c>
    </row>
    <row r="712" s="29" customFormat="1" ht="41" spans="2:5">
      <c r="B712" s="19" t="s">
        <v>736</v>
      </c>
      <c r="C712" s="20" t="s">
        <v>182</v>
      </c>
      <c r="D712" s="21">
        <v>1</v>
      </c>
      <c r="E712" s="22">
        <v>581981.981982</v>
      </c>
    </row>
    <row r="713" s="29" customFormat="1" ht="28" spans="2:5">
      <c r="B713" s="19" t="s">
        <v>736</v>
      </c>
      <c r="C713" s="16" t="s">
        <v>183</v>
      </c>
      <c r="D713" s="23">
        <v>1</v>
      </c>
      <c r="E713" s="24">
        <v>581981.981982</v>
      </c>
    </row>
    <row r="714" s="29" customFormat="1" ht="41" spans="2:5">
      <c r="B714" s="19" t="s">
        <v>737</v>
      </c>
      <c r="C714" s="20" t="s">
        <v>182</v>
      </c>
      <c r="D714" s="21">
        <v>1</v>
      </c>
      <c r="E714" s="22">
        <v>581981.981982</v>
      </c>
    </row>
    <row r="715" s="29" customFormat="1" ht="28" spans="2:5">
      <c r="B715" s="19" t="s">
        <v>737</v>
      </c>
      <c r="C715" s="16" t="s">
        <v>183</v>
      </c>
      <c r="D715" s="23">
        <v>1</v>
      </c>
      <c r="E715" s="24">
        <v>581981.981982</v>
      </c>
    </row>
    <row r="716" s="29" customFormat="1" ht="41" spans="2:5">
      <c r="B716" s="19" t="s">
        <v>738</v>
      </c>
      <c r="C716" s="20" t="s">
        <v>182</v>
      </c>
      <c r="D716" s="21">
        <v>1</v>
      </c>
      <c r="E716" s="22">
        <v>934234.234234</v>
      </c>
    </row>
    <row r="717" s="29" customFormat="1" ht="28" spans="2:5">
      <c r="B717" s="19" t="s">
        <v>738</v>
      </c>
      <c r="C717" s="16" t="s">
        <v>183</v>
      </c>
      <c r="D717" s="23">
        <v>1</v>
      </c>
      <c r="E717" s="24">
        <v>934234.234234</v>
      </c>
    </row>
    <row r="718" s="29" customFormat="1" ht="41" spans="2:5">
      <c r="B718" s="19" t="s">
        <v>739</v>
      </c>
      <c r="C718" s="20" t="s">
        <v>182</v>
      </c>
      <c r="D718" s="21">
        <v>1</v>
      </c>
      <c r="E718" s="22">
        <v>934234.234234</v>
      </c>
    </row>
    <row r="719" s="29" customFormat="1" ht="28" spans="2:5">
      <c r="B719" s="19" t="s">
        <v>739</v>
      </c>
      <c r="C719" s="16" t="s">
        <v>183</v>
      </c>
      <c r="D719" s="23">
        <v>1</v>
      </c>
      <c r="E719" s="24">
        <v>934234.234234</v>
      </c>
    </row>
    <row r="720" s="29" customFormat="1" ht="41" spans="2:5">
      <c r="B720" s="19" t="s">
        <v>328</v>
      </c>
      <c r="C720" s="20" t="s">
        <v>182</v>
      </c>
      <c r="D720" s="21">
        <v>4</v>
      </c>
      <c r="E720" s="22">
        <v>534053.810811</v>
      </c>
    </row>
    <row r="721" s="29" customFormat="1" ht="28.75" spans="2:5">
      <c r="B721" s="19" t="s">
        <v>328</v>
      </c>
      <c r="C721" s="16" t="s">
        <v>183</v>
      </c>
      <c r="D721" s="23">
        <v>4</v>
      </c>
      <c r="E721" s="24">
        <v>534053.810811</v>
      </c>
    </row>
    <row r="722" s="29" customFormat="1" spans="2:5">
      <c r="B722" s="25"/>
      <c r="C722" s="25"/>
      <c r="D722" s="25"/>
      <c r="E722" s="25"/>
    </row>
    <row r="723" s="29" customFormat="1" ht="36" spans="2:5">
      <c r="B723" s="26" t="s">
        <v>189</v>
      </c>
      <c r="C723" s="26" t="s">
        <v>189</v>
      </c>
      <c r="D723" s="26" t="s">
        <v>189</v>
      </c>
      <c r="E723" s="26" t="s">
        <v>189</v>
      </c>
    </row>
    <row r="724" s="29" customFormat="1" spans="2:5">
      <c r="B724" s="26"/>
      <c r="C724" s="26"/>
      <c r="D724" s="26"/>
      <c r="E724" s="26"/>
    </row>
    <row r="725" s="29" customFormat="1" ht="36" spans="2:5">
      <c r="B725" s="26" t="s">
        <v>573</v>
      </c>
      <c r="C725" s="26" t="s">
        <v>573</v>
      </c>
      <c r="D725" s="26" t="s">
        <v>573</v>
      </c>
      <c r="E725" s="26" t="s">
        <v>573</v>
      </c>
    </row>
    <row r="726" s="29" customFormat="1" spans="2:5">
      <c r="B726" s="26" t="s">
        <v>566</v>
      </c>
      <c r="C726" s="26" t="s">
        <v>566</v>
      </c>
      <c r="D726" s="26" t="s">
        <v>566</v>
      </c>
      <c r="E726" s="26" t="s">
        <v>566</v>
      </c>
    </row>
    <row r="727" s="29" customFormat="1" ht="124" spans="2:5">
      <c r="B727" s="11" t="s">
        <v>173</v>
      </c>
      <c r="C727" s="11" t="s">
        <v>173</v>
      </c>
      <c r="D727" s="11" t="s">
        <v>173</v>
      </c>
      <c r="E727" s="11" t="s">
        <v>173</v>
      </c>
    </row>
    <row r="728" s="29" customFormat="1" ht="156" spans="2:5">
      <c r="B728" s="12" t="s">
        <v>174</v>
      </c>
      <c r="C728" s="12" t="s">
        <v>174</v>
      </c>
      <c r="D728" s="12" t="s">
        <v>174</v>
      </c>
      <c r="E728" s="12" t="s">
        <v>174</v>
      </c>
    </row>
    <row r="729" s="29" customFormat="1" ht="68" spans="2:5">
      <c r="B729" s="13" t="s">
        <v>663</v>
      </c>
      <c r="C729" s="13" t="s">
        <v>663</v>
      </c>
      <c r="D729" s="13" t="s">
        <v>663</v>
      </c>
      <c r="E729" s="13" t="s">
        <v>663</v>
      </c>
    </row>
    <row r="730" s="29" customFormat="1" ht="22" spans="2:5">
      <c r="B730" s="14" t="s">
        <v>176</v>
      </c>
      <c r="C730" s="14" t="s">
        <v>176</v>
      </c>
      <c r="D730" s="14" t="s">
        <v>176</v>
      </c>
      <c r="E730" s="14" t="s">
        <v>176</v>
      </c>
    </row>
    <row r="731" s="29" customFormat="1" spans="2:5">
      <c r="B731" s="15" t="s">
        <v>177</v>
      </c>
      <c r="C731" s="16" t="s">
        <v>178</v>
      </c>
      <c r="D731" s="17" t="s">
        <v>179</v>
      </c>
      <c r="E731" s="18" t="s">
        <v>180</v>
      </c>
    </row>
    <row r="732" s="29" customFormat="1" ht="41" spans="2:5">
      <c r="B732" s="19" t="s">
        <v>329</v>
      </c>
      <c r="C732" s="20" t="s">
        <v>182</v>
      </c>
      <c r="D732" s="21">
        <v>8</v>
      </c>
      <c r="E732" s="22">
        <v>0</v>
      </c>
    </row>
    <row r="733" s="29" customFormat="1" ht="28" spans="2:5">
      <c r="B733" s="19" t="s">
        <v>329</v>
      </c>
      <c r="C733" s="16" t="s">
        <v>183</v>
      </c>
      <c r="D733" s="23">
        <v>8</v>
      </c>
      <c r="E733" s="24">
        <v>0</v>
      </c>
    </row>
    <row r="734" s="29" customFormat="1" ht="41" spans="2:5">
      <c r="B734" s="19" t="s">
        <v>464</v>
      </c>
      <c r="C734" s="20" t="s">
        <v>182</v>
      </c>
      <c r="D734" s="21">
        <v>4</v>
      </c>
      <c r="E734" s="22">
        <v>0</v>
      </c>
    </row>
    <row r="735" s="29" customFormat="1" ht="28" spans="2:5">
      <c r="B735" s="19" t="s">
        <v>464</v>
      </c>
      <c r="C735" s="16" t="s">
        <v>183</v>
      </c>
      <c r="D735" s="23">
        <v>4</v>
      </c>
      <c r="E735" s="24">
        <v>0</v>
      </c>
    </row>
    <row r="736" s="29" customFormat="1" ht="41" spans="2:5">
      <c r="B736" s="19" t="s">
        <v>468</v>
      </c>
      <c r="C736" s="20" t="s">
        <v>182</v>
      </c>
      <c r="D736" s="21">
        <v>2</v>
      </c>
      <c r="E736" s="22">
        <v>174504.504505</v>
      </c>
    </row>
    <row r="737" s="29" customFormat="1" spans="2:5">
      <c r="B737" s="19" t="s">
        <v>468</v>
      </c>
      <c r="C737" s="16" t="s">
        <v>183</v>
      </c>
      <c r="D737" s="23">
        <v>2</v>
      </c>
      <c r="E737" s="24">
        <v>174504.504505</v>
      </c>
    </row>
    <row r="738" s="29" customFormat="1" ht="41" spans="2:5">
      <c r="B738" s="19" t="s">
        <v>522</v>
      </c>
      <c r="C738" s="20" t="s">
        <v>182</v>
      </c>
      <c r="D738" s="21">
        <v>8</v>
      </c>
      <c r="E738" s="22">
        <v>0</v>
      </c>
    </row>
    <row r="739" s="29" customFormat="1" spans="2:5">
      <c r="B739" s="19" t="s">
        <v>522</v>
      </c>
      <c r="C739" s="16" t="s">
        <v>183</v>
      </c>
      <c r="D739" s="23">
        <v>8</v>
      </c>
      <c r="E739" s="24">
        <v>0</v>
      </c>
    </row>
    <row r="740" s="29" customFormat="1" ht="41" spans="2:5">
      <c r="B740" s="19" t="s">
        <v>334</v>
      </c>
      <c r="C740" s="20" t="s">
        <v>182</v>
      </c>
      <c r="D740" s="21">
        <v>68</v>
      </c>
      <c r="E740" s="22">
        <v>380630.630631</v>
      </c>
    </row>
    <row r="741" s="29" customFormat="1" ht="28" spans="2:5">
      <c r="B741" s="19" t="s">
        <v>334</v>
      </c>
      <c r="C741" s="16" t="s">
        <v>183</v>
      </c>
      <c r="D741" s="23">
        <v>68</v>
      </c>
      <c r="E741" s="24">
        <v>380630.630631</v>
      </c>
    </row>
    <row r="742" s="29" customFormat="1" ht="41" spans="2:5">
      <c r="B742" s="19" t="s">
        <v>740</v>
      </c>
      <c r="C742" s="20" t="s">
        <v>182</v>
      </c>
      <c r="D742" s="21">
        <v>4</v>
      </c>
      <c r="E742" s="22">
        <v>1258000</v>
      </c>
    </row>
    <row r="743" s="29" customFormat="1" ht="28.75" spans="2:5">
      <c r="B743" s="19" t="s">
        <v>740</v>
      </c>
      <c r="C743" s="16" t="s">
        <v>183</v>
      </c>
      <c r="D743" s="23">
        <v>4</v>
      </c>
      <c r="E743" s="24">
        <v>1258000</v>
      </c>
    </row>
    <row r="744" s="29" customFormat="1" spans="2:5">
      <c r="B744" s="25"/>
      <c r="C744" s="25"/>
      <c r="D744" s="25"/>
      <c r="E744" s="25"/>
    </row>
    <row r="745" s="29" customFormat="1" ht="36" spans="2:5">
      <c r="B745" s="26" t="s">
        <v>189</v>
      </c>
      <c r="C745" s="26" t="s">
        <v>189</v>
      </c>
      <c r="D745" s="26" t="s">
        <v>189</v>
      </c>
      <c r="E745" s="26" t="s">
        <v>189</v>
      </c>
    </row>
    <row r="746" s="29" customFormat="1" spans="2:5">
      <c r="B746" s="26"/>
      <c r="C746" s="26"/>
      <c r="D746" s="26"/>
      <c r="E746" s="26"/>
    </row>
    <row r="747" s="29" customFormat="1" ht="36" spans="2:5">
      <c r="B747" s="26" t="s">
        <v>573</v>
      </c>
      <c r="C747" s="26" t="s">
        <v>573</v>
      </c>
      <c r="D747" s="26" t="s">
        <v>573</v>
      </c>
      <c r="E747" s="26" t="s">
        <v>573</v>
      </c>
    </row>
    <row r="748" s="29" customFormat="1" spans="2:5">
      <c r="B748" s="26" t="s">
        <v>645</v>
      </c>
      <c r="C748" s="26" t="s">
        <v>645</v>
      </c>
      <c r="D748" s="26" t="s">
        <v>645</v>
      </c>
      <c r="E748" s="26" t="s">
        <v>645</v>
      </c>
    </row>
    <row r="749" s="29" customFormat="1" ht="124" spans="2:5">
      <c r="B749" s="11" t="s">
        <v>173</v>
      </c>
      <c r="C749" s="11" t="s">
        <v>173</v>
      </c>
      <c r="D749" s="11" t="s">
        <v>173</v>
      </c>
      <c r="E749" s="11" t="s">
        <v>173</v>
      </c>
    </row>
    <row r="750" s="29" customFormat="1" ht="156" spans="2:5">
      <c r="B750" s="12" t="s">
        <v>174</v>
      </c>
      <c r="C750" s="12" t="s">
        <v>174</v>
      </c>
      <c r="D750" s="12" t="s">
        <v>174</v>
      </c>
      <c r="E750" s="12" t="s">
        <v>174</v>
      </c>
    </row>
    <row r="751" s="29" customFormat="1" ht="68" spans="2:5">
      <c r="B751" s="13" t="s">
        <v>663</v>
      </c>
      <c r="C751" s="13" t="s">
        <v>663</v>
      </c>
      <c r="D751" s="13" t="s">
        <v>663</v>
      </c>
      <c r="E751" s="13" t="s">
        <v>663</v>
      </c>
    </row>
    <row r="752" s="29" customFormat="1" ht="22" spans="2:5">
      <c r="B752" s="14" t="s">
        <v>176</v>
      </c>
      <c r="C752" s="14" t="s">
        <v>176</v>
      </c>
      <c r="D752" s="14" t="s">
        <v>176</v>
      </c>
      <c r="E752" s="14" t="s">
        <v>176</v>
      </c>
    </row>
    <row r="753" s="29" customFormat="1" spans="2:5">
      <c r="B753" s="15" t="s">
        <v>177</v>
      </c>
      <c r="C753" s="16" t="s">
        <v>178</v>
      </c>
      <c r="D753" s="17" t="s">
        <v>179</v>
      </c>
      <c r="E753" s="18" t="s">
        <v>180</v>
      </c>
    </row>
    <row r="754" s="29" customFormat="1" ht="41" spans="2:5">
      <c r="B754" s="19" t="s">
        <v>741</v>
      </c>
      <c r="C754" s="20" t="s">
        <v>182</v>
      </c>
      <c r="D754" s="21">
        <v>4</v>
      </c>
      <c r="E754" s="22">
        <v>1214400</v>
      </c>
    </row>
    <row r="755" s="29" customFormat="1" ht="28" spans="2:5">
      <c r="B755" s="19" t="s">
        <v>741</v>
      </c>
      <c r="C755" s="16" t="s">
        <v>183</v>
      </c>
      <c r="D755" s="23">
        <v>4</v>
      </c>
      <c r="E755" s="24">
        <v>1214400</v>
      </c>
    </row>
    <row r="756" s="29" customFormat="1" ht="41" spans="2:5">
      <c r="B756" s="19" t="s">
        <v>742</v>
      </c>
      <c r="C756" s="20" t="s">
        <v>182</v>
      </c>
      <c r="D756" s="21">
        <v>3</v>
      </c>
      <c r="E756" s="22">
        <v>1083000</v>
      </c>
    </row>
    <row r="757" s="29" customFormat="1" ht="28" spans="2:5">
      <c r="B757" s="19" t="s">
        <v>742</v>
      </c>
      <c r="C757" s="16" t="s">
        <v>183</v>
      </c>
      <c r="D757" s="23">
        <v>3</v>
      </c>
      <c r="E757" s="24">
        <v>1083000</v>
      </c>
    </row>
    <row r="758" s="29" customFormat="1" ht="41" spans="2:5">
      <c r="B758" s="19" t="s">
        <v>743</v>
      </c>
      <c r="C758" s="20" t="s">
        <v>182</v>
      </c>
      <c r="D758" s="21">
        <v>4</v>
      </c>
      <c r="E758" s="22">
        <v>470000</v>
      </c>
    </row>
    <row r="759" s="29" customFormat="1" ht="28" spans="2:5">
      <c r="B759" s="19" t="s">
        <v>743</v>
      </c>
      <c r="C759" s="16" t="s">
        <v>183</v>
      </c>
      <c r="D759" s="23">
        <v>4</v>
      </c>
      <c r="E759" s="24">
        <v>470000</v>
      </c>
    </row>
    <row r="760" s="29" customFormat="1" ht="41" spans="2:5">
      <c r="B760" s="19" t="s">
        <v>744</v>
      </c>
      <c r="C760" s="20" t="s">
        <v>182</v>
      </c>
      <c r="D760" s="21">
        <v>1</v>
      </c>
      <c r="E760" s="22">
        <v>0</v>
      </c>
    </row>
    <row r="761" s="29" customFormat="1" ht="28" spans="2:5">
      <c r="B761" s="19" t="s">
        <v>744</v>
      </c>
      <c r="C761" s="16" t="s">
        <v>183</v>
      </c>
      <c r="D761" s="23">
        <v>1</v>
      </c>
      <c r="E761" s="24">
        <v>0</v>
      </c>
    </row>
    <row r="762" s="29" customFormat="1" ht="41" spans="2:5">
      <c r="B762" s="19" t="s">
        <v>745</v>
      </c>
      <c r="C762" s="20" t="s">
        <v>182</v>
      </c>
      <c r="D762" s="21">
        <v>1</v>
      </c>
      <c r="E762" s="22">
        <v>125000</v>
      </c>
    </row>
    <row r="763" s="29" customFormat="1" ht="28" spans="2:5">
      <c r="B763" s="19" t="s">
        <v>745</v>
      </c>
      <c r="C763" s="16" t="s">
        <v>183</v>
      </c>
      <c r="D763" s="23">
        <v>1</v>
      </c>
      <c r="E763" s="24">
        <v>125000</v>
      </c>
    </row>
    <row r="764" s="29" customFormat="1" ht="41" spans="2:5">
      <c r="B764" s="19" t="s">
        <v>628</v>
      </c>
      <c r="C764" s="20" t="s">
        <v>182</v>
      </c>
      <c r="D764" s="21">
        <v>8</v>
      </c>
      <c r="E764" s="22">
        <v>50450.198198</v>
      </c>
    </row>
    <row r="765" s="29" customFormat="1" ht="17.55" spans="2:5">
      <c r="B765" s="19" t="s">
        <v>628</v>
      </c>
      <c r="C765" s="16" t="s">
        <v>183</v>
      </c>
      <c r="D765" s="23">
        <v>8</v>
      </c>
      <c r="E765" s="24">
        <v>50450.198198</v>
      </c>
    </row>
    <row r="766" s="29" customFormat="1" spans="2:5">
      <c r="B766" s="25"/>
      <c r="C766" s="25"/>
      <c r="D766" s="25"/>
      <c r="E766" s="25"/>
    </row>
    <row r="767" s="29" customFormat="1" ht="36" spans="2:5">
      <c r="B767" s="26" t="s">
        <v>189</v>
      </c>
      <c r="C767" s="26" t="s">
        <v>189</v>
      </c>
      <c r="D767" s="26" t="s">
        <v>189</v>
      </c>
      <c r="E767" s="26" t="s">
        <v>189</v>
      </c>
    </row>
    <row r="768" s="29" customFormat="1" spans="2:5">
      <c r="B768" s="26"/>
      <c r="C768" s="26"/>
      <c r="D768" s="26"/>
      <c r="E768" s="26"/>
    </row>
    <row r="769" s="29" customFormat="1" ht="36" spans="2:5">
      <c r="B769" s="26" t="s">
        <v>573</v>
      </c>
      <c r="C769" s="26" t="s">
        <v>573</v>
      </c>
      <c r="D769" s="26" t="s">
        <v>573</v>
      </c>
      <c r="E769" s="26" t="s">
        <v>573</v>
      </c>
    </row>
    <row r="770" s="29" customFormat="1" spans="2:5">
      <c r="B770" s="26" t="s">
        <v>652</v>
      </c>
      <c r="C770" s="26" t="s">
        <v>652</v>
      </c>
      <c r="D770" s="26" t="s">
        <v>652</v>
      </c>
      <c r="E770" s="26" t="s">
        <v>652</v>
      </c>
    </row>
    <row r="771" s="29" customFormat="1" ht="124" spans="2:5">
      <c r="B771" s="11" t="s">
        <v>173</v>
      </c>
      <c r="C771" s="11" t="s">
        <v>173</v>
      </c>
      <c r="D771" s="11" t="s">
        <v>173</v>
      </c>
      <c r="E771" s="11" t="s">
        <v>173</v>
      </c>
    </row>
    <row r="772" s="29" customFormat="1" ht="156" spans="2:5">
      <c r="B772" s="12" t="s">
        <v>174</v>
      </c>
      <c r="C772" s="12" t="s">
        <v>174</v>
      </c>
      <c r="D772" s="12" t="s">
        <v>174</v>
      </c>
      <c r="E772" s="12" t="s">
        <v>174</v>
      </c>
    </row>
    <row r="773" s="29" customFormat="1" ht="68" spans="2:5">
      <c r="B773" s="13" t="s">
        <v>663</v>
      </c>
      <c r="C773" s="13" t="s">
        <v>663</v>
      </c>
      <c r="D773" s="13" t="s">
        <v>663</v>
      </c>
      <c r="E773" s="13" t="s">
        <v>663</v>
      </c>
    </row>
    <row r="774" s="29" customFormat="1" ht="22" spans="2:5">
      <c r="B774" s="14" t="s">
        <v>176</v>
      </c>
      <c r="C774" s="14" t="s">
        <v>176</v>
      </c>
      <c r="D774" s="14" t="s">
        <v>176</v>
      </c>
      <c r="E774" s="14" t="s">
        <v>176</v>
      </c>
    </row>
    <row r="775" s="29" customFormat="1" spans="2:5">
      <c r="B775" s="15" t="s">
        <v>177</v>
      </c>
      <c r="C775" s="16" t="s">
        <v>178</v>
      </c>
      <c r="D775" s="17" t="s">
        <v>179</v>
      </c>
      <c r="E775" s="18" t="s">
        <v>180</v>
      </c>
    </row>
    <row r="776" s="29" customFormat="1" ht="41" spans="2:5">
      <c r="B776" s="19" t="s">
        <v>336</v>
      </c>
      <c r="C776" s="20" t="s">
        <v>182</v>
      </c>
      <c r="D776" s="21">
        <v>40</v>
      </c>
      <c r="E776" s="22">
        <v>0</v>
      </c>
    </row>
    <row r="777" s="29" customFormat="1" spans="2:5">
      <c r="B777" s="19" t="s">
        <v>336</v>
      </c>
      <c r="C777" s="16" t="s">
        <v>183</v>
      </c>
      <c r="D777" s="23">
        <v>40</v>
      </c>
      <c r="E777" s="24">
        <v>0</v>
      </c>
    </row>
    <row r="778" s="29" customFormat="1" ht="41" spans="2:5">
      <c r="B778" s="19" t="s">
        <v>470</v>
      </c>
      <c r="C778" s="20" t="s">
        <v>182</v>
      </c>
      <c r="D778" s="21">
        <v>43</v>
      </c>
      <c r="E778" s="22">
        <v>0</v>
      </c>
    </row>
    <row r="779" s="29" customFormat="1" ht="28" spans="2:5">
      <c r="B779" s="19" t="s">
        <v>470</v>
      </c>
      <c r="C779" s="16" t="s">
        <v>183</v>
      </c>
      <c r="D779" s="23">
        <v>43</v>
      </c>
      <c r="E779" s="24">
        <v>0</v>
      </c>
    </row>
    <row r="780" s="29" customFormat="1" ht="41" spans="2:5">
      <c r="B780" s="19" t="s">
        <v>746</v>
      </c>
      <c r="C780" s="20" t="s">
        <v>182</v>
      </c>
      <c r="D780" s="21">
        <v>1</v>
      </c>
      <c r="E780" s="22">
        <v>746000</v>
      </c>
    </row>
    <row r="781" s="29" customFormat="1" ht="28" spans="2:5">
      <c r="B781" s="19" t="s">
        <v>746</v>
      </c>
      <c r="C781" s="16" t="s">
        <v>183</v>
      </c>
      <c r="D781" s="23">
        <v>1</v>
      </c>
      <c r="E781" s="24">
        <v>746000</v>
      </c>
    </row>
    <row r="782" s="29" customFormat="1" ht="41" spans="2:5">
      <c r="B782" s="19" t="s">
        <v>531</v>
      </c>
      <c r="C782" s="20" t="s">
        <v>182</v>
      </c>
      <c r="D782" s="21">
        <v>7</v>
      </c>
      <c r="E782" s="22">
        <v>0</v>
      </c>
    </row>
    <row r="783" s="29" customFormat="1" spans="2:5">
      <c r="B783" s="19" t="s">
        <v>531</v>
      </c>
      <c r="C783" s="16" t="s">
        <v>183</v>
      </c>
      <c r="D783" s="23">
        <v>7</v>
      </c>
      <c r="E783" s="24">
        <v>0</v>
      </c>
    </row>
    <row r="784" s="29" customFormat="1" ht="41" spans="2:5">
      <c r="B784" s="19" t="s">
        <v>747</v>
      </c>
      <c r="C784" s="20" t="s">
        <v>182</v>
      </c>
      <c r="D784" s="21">
        <v>1</v>
      </c>
      <c r="E784" s="22">
        <v>62000</v>
      </c>
    </row>
    <row r="785" s="29" customFormat="1" ht="28" spans="2:5">
      <c r="B785" s="19" t="s">
        <v>747</v>
      </c>
      <c r="C785" s="16" t="s">
        <v>183</v>
      </c>
      <c r="D785" s="23">
        <v>1</v>
      </c>
      <c r="E785" s="24">
        <v>62000</v>
      </c>
    </row>
    <row r="786" s="29" customFormat="1" ht="41" spans="2:5">
      <c r="B786" s="19" t="s">
        <v>748</v>
      </c>
      <c r="C786" s="20" t="s">
        <v>182</v>
      </c>
      <c r="D786" s="21">
        <v>2</v>
      </c>
      <c r="E786" s="22">
        <v>15000</v>
      </c>
    </row>
    <row r="787" s="29" customFormat="1" ht="17.55" spans="2:5">
      <c r="B787" s="19" t="s">
        <v>748</v>
      </c>
      <c r="C787" s="16" t="s">
        <v>183</v>
      </c>
      <c r="D787" s="23">
        <v>2</v>
      </c>
      <c r="E787" s="24">
        <v>15000</v>
      </c>
    </row>
    <row r="788" s="29" customFormat="1" spans="2:5">
      <c r="B788" s="25"/>
      <c r="C788" s="25"/>
      <c r="D788" s="25"/>
      <c r="E788" s="25"/>
    </row>
    <row r="789" s="29" customFormat="1" ht="36" spans="2:5">
      <c r="B789" s="26" t="s">
        <v>189</v>
      </c>
      <c r="C789" s="26" t="s">
        <v>189</v>
      </c>
      <c r="D789" s="26" t="s">
        <v>189</v>
      </c>
      <c r="E789" s="26" t="s">
        <v>189</v>
      </c>
    </row>
    <row r="790" s="29" customFormat="1" spans="2:5">
      <c r="B790" s="26"/>
      <c r="C790" s="26"/>
      <c r="D790" s="26"/>
      <c r="E790" s="26"/>
    </row>
    <row r="791" s="29" customFormat="1" ht="36" spans="2:5">
      <c r="B791" s="26" t="s">
        <v>573</v>
      </c>
      <c r="C791" s="26" t="s">
        <v>573</v>
      </c>
      <c r="D791" s="26" t="s">
        <v>573</v>
      </c>
      <c r="E791" s="26" t="s">
        <v>573</v>
      </c>
    </row>
    <row r="792" s="29" customFormat="1" spans="2:5">
      <c r="B792" s="26" t="s">
        <v>659</v>
      </c>
      <c r="C792" s="26" t="s">
        <v>659</v>
      </c>
      <c r="D792" s="26" t="s">
        <v>659</v>
      </c>
      <c r="E792" s="26" t="s">
        <v>659</v>
      </c>
    </row>
    <row r="793" s="29" customFormat="1" ht="124" spans="2:5">
      <c r="B793" s="11" t="s">
        <v>173</v>
      </c>
      <c r="C793" s="11" t="s">
        <v>173</v>
      </c>
      <c r="D793" s="11" t="s">
        <v>173</v>
      </c>
      <c r="E793" s="11" t="s">
        <v>173</v>
      </c>
    </row>
    <row r="794" s="29" customFormat="1" ht="156" spans="2:5">
      <c r="B794" s="12" t="s">
        <v>174</v>
      </c>
      <c r="C794" s="12" t="s">
        <v>174</v>
      </c>
      <c r="D794" s="12" t="s">
        <v>174</v>
      </c>
      <c r="E794" s="12" t="s">
        <v>174</v>
      </c>
    </row>
    <row r="795" s="29" customFormat="1" ht="68" spans="2:5">
      <c r="B795" s="13" t="s">
        <v>663</v>
      </c>
      <c r="C795" s="13" t="s">
        <v>663</v>
      </c>
      <c r="D795" s="13" t="s">
        <v>663</v>
      </c>
      <c r="E795" s="13" t="s">
        <v>663</v>
      </c>
    </row>
    <row r="796" s="29" customFormat="1" ht="22" spans="2:5">
      <c r="B796" s="14" t="s">
        <v>176</v>
      </c>
      <c r="C796" s="14" t="s">
        <v>176</v>
      </c>
      <c r="D796" s="14" t="s">
        <v>176</v>
      </c>
      <c r="E796" s="14" t="s">
        <v>176</v>
      </c>
    </row>
    <row r="797" s="29" customFormat="1" spans="2:5">
      <c r="B797" s="15" t="s">
        <v>177</v>
      </c>
      <c r="C797" s="16" t="s">
        <v>178</v>
      </c>
      <c r="D797" s="17" t="s">
        <v>179</v>
      </c>
      <c r="E797" s="18" t="s">
        <v>180</v>
      </c>
    </row>
    <row r="798" s="29" customFormat="1" ht="41" spans="2:5">
      <c r="B798" s="19" t="s">
        <v>749</v>
      </c>
      <c r="C798" s="20" t="s">
        <v>182</v>
      </c>
      <c r="D798" s="21">
        <v>1</v>
      </c>
      <c r="E798" s="22">
        <v>230000</v>
      </c>
    </row>
    <row r="799" s="29" customFormat="1" ht="28" spans="2:5">
      <c r="B799" s="19" t="s">
        <v>749</v>
      </c>
      <c r="C799" s="16" t="s">
        <v>183</v>
      </c>
      <c r="D799" s="23">
        <v>1</v>
      </c>
      <c r="E799" s="24">
        <v>230000</v>
      </c>
    </row>
    <row r="800" s="29" customFormat="1" ht="41" spans="2:5">
      <c r="B800" s="19" t="s">
        <v>750</v>
      </c>
      <c r="C800" s="20" t="s">
        <v>182</v>
      </c>
      <c r="D800" s="21">
        <v>1</v>
      </c>
      <c r="E800" s="22">
        <v>23000</v>
      </c>
    </row>
    <row r="801" s="29" customFormat="1" spans="2:5">
      <c r="B801" s="19" t="s">
        <v>750</v>
      </c>
      <c r="C801" s="16" t="s">
        <v>183</v>
      </c>
      <c r="D801" s="23">
        <v>1</v>
      </c>
      <c r="E801" s="24">
        <v>23000</v>
      </c>
    </row>
    <row r="802" s="29" customFormat="1" ht="41" spans="2:5">
      <c r="B802" s="19" t="s">
        <v>751</v>
      </c>
      <c r="C802" s="20" t="s">
        <v>182</v>
      </c>
      <c r="D802" s="21">
        <v>32</v>
      </c>
      <c r="E802" s="22">
        <v>232112.320555</v>
      </c>
    </row>
    <row r="803" s="29" customFormat="1" spans="2:5">
      <c r="B803" s="19" t="s">
        <v>751</v>
      </c>
      <c r="C803" s="16" t="s">
        <v>183</v>
      </c>
      <c r="D803" s="23">
        <v>32</v>
      </c>
      <c r="E803" s="24">
        <v>232112.320555</v>
      </c>
    </row>
    <row r="804" s="29" customFormat="1" ht="41" spans="2:5">
      <c r="B804" s="19" t="s">
        <v>752</v>
      </c>
      <c r="C804" s="20" t="s">
        <v>182</v>
      </c>
      <c r="D804" s="21">
        <v>19</v>
      </c>
      <c r="E804" s="22">
        <v>138556.160278</v>
      </c>
    </row>
    <row r="805" s="29" customFormat="1" spans="2:5">
      <c r="B805" s="19" t="s">
        <v>752</v>
      </c>
      <c r="C805" s="16" t="s">
        <v>183</v>
      </c>
      <c r="D805" s="23">
        <v>19</v>
      </c>
      <c r="E805" s="24">
        <v>138556.160278</v>
      </c>
    </row>
    <row r="806" s="29" customFormat="1" ht="41" spans="2:5">
      <c r="B806" s="19" t="s">
        <v>753</v>
      </c>
      <c r="C806" s="20" t="s">
        <v>182</v>
      </c>
      <c r="D806" s="21">
        <v>19</v>
      </c>
      <c r="E806" s="22">
        <v>138556.160278</v>
      </c>
    </row>
    <row r="807" s="29" customFormat="1" spans="2:5">
      <c r="B807" s="19" t="s">
        <v>753</v>
      </c>
      <c r="C807" s="16" t="s">
        <v>183</v>
      </c>
      <c r="D807" s="23">
        <v>19</v>
      </c>
      <c r="E807" s="24">
        <v>138556.160278</v>
      </c>
    </row>
    <row r="808" s="29" customFormat="1" ht="41" spans="2:5">
      <c r="B808" s="19" t="s">
        <v>754</v>
      </c>
      <c r="C808" s="20" t="s">
        <v>182</v>
      </c>
      <c r="D808" s="21">
        <v>1</v>
      </c>
      <c r="E808" s="22">
        <v>600000</v>
      </c>
    </row>
    <row r="809" s="29" customFormat="1" ht="28.75" spans="2:5">
      <c r="B809" s="19" t="s">
        <v>754</v>
      </c>
      <c r="C809" s="16" t="s">
        <v>183</v>
      </c>
      <c r="D809" s="23">
        <v>1</v>
      </c>
      <c r="E809" s="24">
        <v>600000</v>
      </c>
    </row>
    <row r="810" s="29" customFormat="1" spans="2:5">
      <c r="B810" s="25"/>
      <c r="C810" s="25"/>
      <c r="D810" s="25"/>
      <c r="E810" s="25"/>
    </row>
    <row r="811" s="29" customFormat="1" ht="36" spans="2:5">
      <c r="B811" s="26" t="s">
        <v>189</v>
      </c>
      <c r="C811" s="26" t="s">
        <v>189</v>
      </c>
      <c r="D811" s="26" t="s">
        <v>189</v>
      </c>
      <c r="E811" s="26" t="s">
        <v>189</v>
      </c>
    </row>
    <row r="812" s="29" customFormat="1" spans="2:5">
      <c r="B812" s="26"/>
      <c r="C812" s="26"/>
      <c r="D812" s="26"/>
      <c r="E812" s="26"/>
    </row>
    <row r="813" s="29" customFormat="1" ht="36" spans="2:5">
      <c r="B813" s="26" t="s">
        <v>573</v>
      </c>
      <c r="C813" s="26" t="s">
        <v>573</v>
      </c>
      <c r="D813" s="26" t="s">
        <v>573</v>
      </c>
      <c r="E813" s="26" t="s">
        <v>573</v>
      </c>
    </row>
    <row r="814" s="29" customFormat="1" spans="2:5">
      <c r="B814" s="26" t="s">
        <v>662</v>
      </c>
      <c r="C814" s="26" t="s">
        <v>662</v>
      </c>
      <c r="D814" s="26" t="s">
        <v>662</v>
      </c>
      <c r="E814" s="26" t="s">
        <v>662</v>
      </c>
    </row>
    <row r="815" s="29" customFormat="1" ht="124" spans="2:5">
      <c r="B815" s="11" t="s">
        <v>173</v>
      </c>
      <c r="C815" s="11" t="s">
        <v>173</v>
      </c>
      <c r="D815" s="11" t="s">
        <v>173</v>
      </c>
      <c r="E815" s="11" t="s">
        <v>173</v>
      </c>
    </row>
    <row r="816" s="29" customFormat="1" ht="156" spans="2:5">
      <c r="B816" s="12" t="s">
        <v>174</v>
      </c>
      <c r="C816" s="12" t="s">
        <v>174</v>
      </c>
      <c r="D816" s="12" t="s">
        <v>174</v>
      </c>
      <c r="E816" s="12" t="s">
        <v>174</v>
      </c>
    </row>
    <row r="817" s="29" customFormat="1" ht="68" spans="2:5">
      <c r="B817" s="13" t="s">
        <v>663</v>
      </c>
      <c r="C817" s="13" t="s">
        <v>663</v>
      </c>
      <c r="D817" s="13" t="s">
        <v>663</v>
      </c>
      <c r="E817" s="13" t="s">
        <v>663</v>
      </c>
    </row>
    <row r="818" s="29" customFormat="1" ht="22" spans="2:5">
      <c r="B818" s="14" t="s">
        <v>176</v>
      </c>
      <c r="C818" s="14" t="s">
        <v>176</v>
      </c>
      <c r="D818" s="14" t="s">
        <v>176</v>
      </c>
      <c r="E818" s="14" t="s">
        <v>176</v>
      </c>
    </row>
    <row r="819" s="29" customFormat="1" spans="2:5">
      <c r="B819" s="15" t="s">
        <v>177</v>
      </c>
      <c r="C819" s="16" t="s">
        <v>178</v>
      </c>
      <c r="D819" s="17" t="s">
        <v>179</v>
      </c>
      <c r="E819" s="18" t="s">
        <v>180</v>
      </c>
    </row>
    <row r="820" s="29" customFormat="1" ht="41" spans="2:5">
      <c r="B820" s="19" t="s">
        <v>631</v>
      </c>
      <c r="C820" s="20" t="s">
        <v>182</v>
      </c>
      <c r="D820" s="21">
        <v>1</v>
      </c>
      <c r="E820" s="22">
        <v>0</v>
      </c>
    </row>
    <row r="821" s="29" customFormat="1" ht="28" spans="2:5">
      <c r="B821" s="19" t="s">
        <v>631</v>
      </c>
      <c r="C821" s="16" t="s">
        <v>183</v>
      </c>
      <c r="D821" s="23">
        <v>1</v>
      </c>
      <c r="E821" s="24">
        <v>0</v>
      </c>
    </row>
    <row r="822" s="29" customFormat="1" ht="41" spans="2:5">
      <c r="B822" s="19" t="s">
        <v>472</v>
      </c>
      <c r="C822" s="20" t="s">
        <v>182</v>
      </c>
      <c r="D822" s="21">
        <v>1</v>
      </c>
      <c r="E822" s="22">
        <v>0</v>
      </c>
    </row>
    <row r="823" s="29" customFormat="1" ht="28" spans="2:5">
      <c r="B823" s="19" t="s">
        <v>472</v>
      </c>
      <c r="C823" s="16" t="s">
        <v>183</v>
      </c>
      <c r="D823" s="23">
        <v>1</v>
      </c>
      <c r="E823" s="24">
        <v>0</v>
      </c>
    </row>
    <row r="824" s="29" customFormat="1" ht="41" spans="2:5">
      <c r="B824" s="19" t="s">
        <v>755</v>
      </c>
      <c r="C824" s="20" t="s">
        <v>182</v>
      </c>
      <c r="D824" s="21">
        <v>4</v>
      </c>
      <c r="E824" s="22">
        <v>0</v>
      </c>
    </row>
    <row r="825" s="29" customFormat="1" spans="2:5">
      <c r="B825" s="19" t="s">
        <v>755</v>
      </c>
      <c r="C825" s="16" t="s">
        <v>183</v>
      </c>
      <c r="D825" s="23">
        <v>4</v>
      </c>
      <c r="E825" s="24">
        <v>0</v>
      </c>
    </row>
    <row r="826" s="29" customFormat="1" ht="41" spans="2:5">
      <c r="B826" s="19" t="s">
        <v>756</v>
      </c>
      <c r="C826" s="20" t="s">
        <v>182</v>
      </c>
      <c r="D826" s="21">
        <v>1</v>
      </c>
      <c r="E826" s="22">
        <v>577000</v>
      </c>
    </row>
    <row r="827" s="29" customFormat="1" ht="28" spans="2:5">
      <c r="B827" s="19" t="s">
        <v>756</v>
      </c>
      <c r="C827" s="16" t="s">
        <v>183</v>
      </c>
      <c r="D827" s="23">
        <v>1</v>
      </c>
      <c r="E827" s="24">
        <v>577000</v>
      </c>
    </row>
    <row r="828" s="29" customFormat="1" ht="41" spans="2:5">
      <c r="B828" s="19" t="s">
        <v>757</v>
      </c>
      <c r="C828" s="20" t="s">
        <v>182</v>
      </c>
      <c r="D828" s="21">
        <v>1</v>
      </c>
      <c r="E828" s="22">
        <v>145945.945946</v>
      </c>
    </row>
    <row r="829" s="29" customFormat="1" ht="28" spans="2:5">
      <c r="B829" s="19" t="s">
        <v>757</v>
      </c>
      <c r="C829" s="16" t="s">
        <v>183</v>
      </c>
      <c r="D829" s="23">
        <v>1</v>
      </c>
      <c r="E829" s="24">
        <v>145945.945946</v>
      </c>
    </row>
    <row r="830" s="29" customFormat="1" ht="41" spans="2:5">
      <c r="B830" s="19" t="s">
        <v>632</v>
      </c>
      <c r="C830" s="20" t="s">
        <v>182</v>
      </c>
      <c r="D830" s="21">
        <v>1</v>
      </c>
      <c r="E830" s="22">
        <v>574774.981982</v>
      </c>
    </row>
    <row r="831" s="29" customFormat="1" ht="28.75" spans="2:5">
      <c r="B831" s="19" t="s">
        <v>632</v>
      </c>
      <c r="C831" s="16" t="s">
        <v>183</v>
      </c>
      <c r="D831" s="23">
        <v>1</v>
      </c>
      <c r="E831" s="24">
        <v>574774.981982</v>
      </c>
    </row>
    <row r="832" s="29" customFormat="1" spans="2:5">
      <c r="B832" s="25"/>
      <c r="C832" s="25"/>
      <c r="D832" s="25"/>
      <c r="E832" s="25"/>
    </row>
    <row r="833" s="29" customFormat="1" ht="36" spans="2:5">
      <c r="B833" s="26" t="s">
        <v>189</v>
      </c>
      <c r="C833" s="26" t="s">
        <v>189</v>
      </c>
      <c r="D833" s="26" t="s">
        <v>189</v>
      </c>
      <c r="E833" s="26" t="s">
        <v>189</v>
      </c>
    </row>
    <row r="834" s="29" customFormat="1" spans="2:5">
      <c r="B834" s="26"/>
      <c r="C834" s="26"/>
      <c r="D834" s="26"/>
      <c r="E834" s="26"/>
    </row>
    <row r="835" s="29" customFormat="1" ht="36" spans="2:5">
      <c r="B835" s="26" t="s">
        <v>573</v>
      </c>
      <c r="C835" s="26" t="s">
        <v>573</v>
      </c>
      <c r="D835" s="26" t="s">
        <v>573</v>
      </c>
      <c r="E835" s="26" t="s">
        <v>573</v>
      </c>
    </row>
    <row r="836" s="29" customFormat="1" spans="2:5">
      <c r="B836" s="26" t="s">
        <v>758</v>
      </c>
      <c r="C836" s="26" t="s">
        <v>758</v>
      </c>
      <c r="D836" s="26" t="s">
        <v>758</v>
      </c>
      <c r="E836" s="26" t="s">
        <v>758</v>
      </c>
    </row>
    <row r="837" s="29" customFormat="1" ht="124" spans="2:5">
      <c r="B837" s="11" t="s">
        <v>173</v>
      </c>
      <c r="C837" s="11" t="s">
        <v>173</v>
      </c>
      <c r="D837" s="11" t="s">
        <v>173</v>
      </c>
      <c r="E837" s="11" t="s">
        <v>173</v>
      </c>
    </row>
    <row r="838" s="29" customFormat="1" ht="156" spans="2:5">
      <c r="B838" s="12" t="s">
        <v>174</v>
      </c>
      <c r="C838" s="12" t="s">
        <v>174</v>
      </c>
      <c r="D838" s="12" t="s">
        <v>174</v>
      </c>
      <c r="E838" s="12" t="s">
        <v>174</v>
      </c>
    </row>
    <row r="839" s="29" customFormat="1" ht="68" spans="2:5">
      <c r="B839" s="13" t="s">
        <v>663</v>
      </c>
      <c r="C839" s="13" t="s">
        <v>663</v>
      </c>
      <c r="D839" s="13" t="s">
        <v>663</v>
      </c>
      <c r="E839" s="13" t="s">
        <v>663</v>
      </c>
    </row>
    <row r="840" s="29" customFormat="1" ht="22" spans="2:5">
      <c r="B840" s="14" t="s">
        <v>176</v>
      </c>
      <c r="C840" s="14" t="s">
        <v>176</v>
      </c>
      <c r="D840" s="14" t="s">
        <v>176</v>
      </c>
      <c r="E840" s="14" t="s">
        <v>176</v>
      </c>
    </row>
    <row r="841" s="29" customFormat="1" spans="2:5">
      <c r="B841" s="15" t="s">
        <v>177</v>
      </c>
      <c r="C841" s="16" t="s">
        <v>178</v>
      </c>
      <c r="D841" s="17" t="s">
        <v>179</v>
      </c>
      <c r="E841" s="18" t="s">
        <v>180</v>
      </c>
    </row>
    <row r="842" s="29" customFormat="1" ht="41" spans="2:5">
      <c r="B842" s="19" t="s">
        <v>633</v>
      </c>
      <c r="C842" s="20" t="s">
        <v>182</v>
      </c>
      <c r="D842" s="21">
        <v>7</v>
      </c>
      <c r="E842" s="22">
        <v>924594.45045</v>
      </c>
    </row>
    <row r="843" s="29" customFormat="1" ht="28" spans="2:5">
      <c r="B843" s="19" t="s">
        <v>633</v>
      </c>
      <c r="C843" s="16" t="s">
        <v>183</v>
      </c>
      <c r="D843" s="23">
        <v>7</v>
      </c>
      <c r="E843" s="24">
        <v>924594.45045</v>
      </c>
    </row>
    <row r="844" s="29" customFormat="1" ht="41" spans="2:5">
      <c r="B844" s="19" t="s">
        <v>634</v>
      </c>
      <c r="C844" s="20" t="s">
        <v>182</v>
      </c>
      <c r="D844" s="21">
        <v>8</v>
      </c>
      <c r="E844" s="22">
        <v>3939818.477477</v>
      </c>
    </row>
    <row r="845" s="29" customFormat="1" ht="28" spans="2:5">
      <c r="B845" s="19" t="s">
        <v>634</v>
      </c>
      <c r="C845" s="16" t="s">
        <v>183</v>
      </c>
      <c r="D845" s="23">
        <v>8</v>
      </c>
      <c r="E845" s="24">
        <v>3939818.477477</v>
      </c>
    </row>
    <row r="846" s="29" customFormat="1" ht="41" spans="2:5">
      <c r="B846" s="19" t="s">
        <v>635</v>
      </c>
      <c r="C846" s="20" t="s">
        <v>182</v>
      </c>
      <c r="D846" s="21">
        <v>19</v>
      </c>
      <c r="E846" s="22">
        <v>1919999.693694</v>
      </c>
    </row>
    <row r="847" s="29" customFormat="1" ht="28" spans="2:5">
      <c r="B847" s="19" t="s">
        <v>635</v>
      </c>
      <c r="C847" s="16" t="s">
        <v>183</v>
      </c>
      <c r="D847" s="23">
        <v>19</v>
      </c>
      <c r="E847" s="24">
        <v>1919999.693694</v>
      </c>
    </row>
    <row r="848" s="29" customFormat="1" ht="41" spans="2:5">
      <c r="B848" s="19" t="s">
        <v>636</v>
      </c>
      <c r="C848" s="20" t="s">
        <v>182</v>
      </c>
      <c r="D848" s="21">
        <v>20</v>
      </c>
      <c r="E848" s="22">
        <v>2324324.324325</v>
      </c>
    </row>
    <row r="849" s="29" customFormat="1" ht="28" spans="2:5">
      <c r="B849" s="19" t="s">
        <v>636</v>
      </c>
      <c r="C849" s="16" t="s">
        <v>183</v>
      </c>
      <c r="D849" s="23">
        <v>20</v>
      </c>
      <c r="E849" s="24">
        <v>2324324.324325</v>
      </c>
    </row>
    <row r="850" s="29" customFormat="1" ht="41" spans="2:5">
      <c r="B850" s="19" t="s">
        <v>538</v>
      </c>
      <c r="C850" s="20" t="s">
        <v>182</v>
      </c>
      <c r="D850" s="21">
        <v>371</v>
      </c>
      <c r="E850" s="22">
        <v>0</v>
      </c>
    </row>
    <row r="851" s="29" customFormat="1" ht="28" spans="2:5">
      <c r="B851" s="19" t="s">
        <v>538</v>
      </c>
      <c r="C851" s="16" t="s">
        <v>183</v>
      </c>
      <c r="D851" s="23">
        <v>371</v>
      </c>
      <c r="E851" s="24">
        <v>0</v>
      </c>
    </row>
    <row r="852" s="29" customFormat="1" ht="41" spans="2:5">
      <c r="B852" s="19" t="s">
        <v>759</v>
      </c>
      <c r="C852" s="20" t="s">
        <v>182</v>
      </c>
      <c r="D852" s="21">
        <v>1</v>
      </c>
      <c r="E852" s="22">
        <v>361000</v>
      </c>
    </row>
    <row r="853" s="29" customFormat="1" ht="28.75" spans="2:5">
      <c r="B853" s="19" t="s">
        <v>759</v>
      </c>
      <c r="C853" s="16" t="s">
        <v>183</v>
      </c>
      <c r="D853" s="23">
        <v>1</v>
      </c>
      <c r="E853" s="24">
        <v>361000</v>
      </c>
    </row>
    <row r="854" s="29" customFormat="1" spans="2:5">
      <c r="B854" s="25"/>
      <c r="C854" s="25"/>
      <c r="D854" s="25"/>
      <c r="E854" s="25"/>
    </row>
    <row r="855" s="29" customFormat="1" ht="36" spans="2:5">
      <c r="B855" s="26" t="s">
        <v>189</v>
      </c>
      <c r="C855" s="26" t="s">
        <v>189</v>
      </c>
      <c r="D855" s="26" t="s">
        <v>189</v>
      </c>
      <c r="E855" s="26" t="s">
        <v>189</v>
      </c>
    </row>
    <row r="856" s="29" customFormat="1" spans="2:5">
      <c r="B856" s="26"/>
      <c r="C856" s="26"/>
      <c r="D856" s="26"/>
      <c r="E856" s="26"/>
    </row>
    <row r="857" s="29" customFormat="1" ht="36" spans="2:5">
      <c r="B857" s="26" t="s">
        <v>573</v>
      </c>
      <c r="C857" s="26" t="s">
        <v>573</v>
      </c>
      <c r="D857" s="26" t="s">
        <v>573</v>
      </c>
      <c r="E857" s="26" t="s">
        <v>573</v>
      </c>
    </row>
    <row r="858" s="29" customFormat="1" spans="2:5">
      <c r="B858" s="26" t="s">
        <v>760</v>
      </c>
      <c r="C858" s="26" t="s">
        <v>760</v>
      </c>
      <c r="D858" s="26" t="s">
        <v>760</v>
      </c>
      <c r="E858" s="26" t="s">
        <v>760</v>
      </c>
    </row>
    <row r="859" s="29" customFormat="1" ht="124" spans="2:5">
      <c r="B859" s="11" t="s">
        <v>173</v>
      </c>
      <c r="C859" s="11" t="s">
        <v>173</v>
      </c>
      <c r="D859" s="11" t="s">
        <v>173</v>
      </c>
      <c r="E859" s="11" t="s">
        <v>173</v>
      </c>
    </row>
    <row r="860" s="29" customFormat="1" ht="156" spans="2:5">
      <c r="B860" s="12" t="s">
        <v>174</v>
      </c>
      <c r="C860" s="12" t="s">
        <v>174</v>
      </c>
      <c r="D860" s="12" t="s">
        <v>174</v>
      </c>
      <c r="E860" s="12" t="s">
        <v>174</v>
      </c>
    </row>
    <row r="861" s="29" customFormat="1" ht="68" spans="2:5">
      <c r="B861" s="13" t="s">
        <v>663</v>
      </c>
      <c r="C861" s="13" t="s">
        <v>663</v>
      </c>
      <c r="D861" s="13" t="s">
        <v>663</v>
      </c>
      <c r="E861" s="13" t="s">
        <v>663</v>
      </c>
    </row>
    <row r="862" s="29" customFormat="1" ht="22" spans="2:5">
      <c r="B862" s="14" t="s">
        <v>176</v>
      </c>
      <c r="C862" s="14" t="s">
        <v>176</v>
      </c>
      <c r="D862" s="14" t="s">
        <v>176</v>
      </c>
      <c r="E862" s="14" t="s">
        <v>176</v>
      </c>
    </row>
    <row r="863" s="29" customFormat="1" spans="2:5">
      <c r="B863" s="15" t="s">
        <v>177</v>
      </c>
      <c r="C863" s="16" t="s">
        <v>178</v>
      </c>
      <c r="D863" s="17" t="s">
        <v>179</v>
      </c>
      <c r="E863" s="18" t="s">
        <v>180</v>
      </c>
    </row>
    <row r="864" s="29" customFormat="1" ht="41" spans="2:5">
      <c r="B864" s="19" t="s">
        <v>761</v>
      </c>
      <c r="C864" s="20" t="s">
        <v>182</v>
      </c>
      <c r="D864" s="21">
        <v>1</v>
      </c>
      <c r="E864" s="22">
        <v>361000</v>
      </c>
    </row>
    <row r="865" s="29" customFormat="1" ht="28" spans="2:5">
      <c r="B865" s="19" t="s">
        <v>761</v>
      </c>
      <c r="C865" s="16" t="s">
        <v>183</v>
      </c>
      <c r="D865" s="23">
        <v>1</v>
      </c>
      <c r="E865" s="24">
        <v>361000</v>
      </c>
    </row>
    <row r="866" s="29" customFormat="1" ht="41" spans="2:5">
      <c r="B866" s="19" t="s">
        <v>762</v>
      </c>
      <c r="C866" s="20" t="s">
        <v>182</v>
      </c>
      <c r="D866" s="21">
        <v>1</v>
      </c>
      <c r="E866" s="22">
        <v>1085000</v>
      </c>
    </row>
    <row r="867" s="29" customFormat="1" ht="28" spans="2:5">
      <c r="B867" s="19" t="s">
        <v>762</v>
      </c>
      <c r="C867" s="16" t="s">
        <v>183</v>
      </c>
      <c r="D867" s="23">
        <v>1</v>
      </c>
      <c r="E867" s="24">
        <v>1085000</v>
      </c>
    </row>
    <row r="868" s="29" customFormat="1" ht="41" spans="2:5">
      <c r="B868" s="19" t="s">
        <v>763</v>
      </c>
      <c r="C868" s="20" t="s">
        <v>182</v>
      </c>
      <c r="D868" s="21">
        <v>1</v>
      </c>
      <c r="E868" s="22">
        <v>884000</v>
      </c>
    </row>
    <row r="869" s="29" customFormat="1" ht="28" spans="2:5">
      <c r="B869" s="19" t="s">
        <v>763</v>
      </c>
      <c r="C869" s="16" t="s">
        <v>183</v>
      </c>
      <c r="D869" s="23">
        <v>1</v>
      </c>
      <c r="E869" s="24">
        <v>884000</v>
      </c>
    </row>
    <row r="870" s="29" customFormat="1" ht="41" spans="2:5">
      <c r="B870" s="19" t="s">
        <v>764</v>
      </c>
      <c r="C870" s="20" t="s">
        <v>182</v>
      </c>
      <c r="D870" s="21">
        <v>1</v>
      </c>
      <c r="E870" s="22">
        <v>866000</v>
      </c>
    </row>
    <row r="871" s="29" customFormat="1" ht="28" spans="2:5">
      <c r="B871" s="19" t="s">
        <v>764</v>
      </c>
      <c r="C871" s="16" t="s">
        <v>183</v>
      </c>
      <c r="D871" s="23">
        <v>1</v>
      </c>
      <c r="E871" s="24">
        <v>866000</v>
      </c>
    </row>
    <row r="872" s="29" customFormat="1" ht="41" spans="2:5">
      <c r="B872" s="19" t="s">
        <v>765</v>
      </c>
      <c r="C872" s="20" t="s">
        <v>182</v>
      </c>
      <c r="D872" s="21">
        <v>1</v>
      </c>
      <c r="E872" s="22">
        <v>72500</v>
      </c>
    </row>
    <row r="873" s="29" customFormat="1" ht="28" spans="2:5">
      <c r="B873" s="19" t="s">
        <v>765</v>
      </c>
      <c r="C873" s="16" t="s">
        <v>183</v>
      </c>
      <c r="D873" s="23">
        <v>1</v>
      </c>
      <c r="E873" s="24">
        <v>72500</v>
      </c>
    </row>
    <row r="874" s="29" customFormat="1" ht="41" spans="2:5">
      <c r="B874" s="19" t="s">
        <v>766</v>
      </c>
      <c r="C874" s="20" t="s">
        <v>182</v>
      </c>
      <c r="D874" s="21">
        <v>1</v>
      </c>
      <c r="E874" s="22">
        <v>419000</v>
      </c>
    </row>
    <row r="875" s="29" customFormat="1" ht="28.75" spans="2:5">
      <c r="B875" s="19" t="s">
        <v>766</v>
      </c>
      <c r="C875" s="16" t="s">
        <v>183</v>
      </c>
      <c r="D875" s="23">
        <v>1</v>
      </c>
      <c r="E875" s="24">
        <v>419000</v>
      </c>
    </row>
    <row r="876" s="29" customFormat="1" spans="2:5">
      <c r="B876" s="25"/>
      <c r="C876" s="25"/>
      <c r="D876" s="25"/>
      <c r="E876" s="25"/>
    </row>
    <row r="877" s="29" customFormat="1" ht="36" spans="2:5">
      <c r="B877" s="26" t="s">
        <v>189</v>
      </c>
      <c r="C877" s="26" t="s">
        <v>189</v>
      </c>
      <c r="D877" s="26" t="s">
        <v>189</v>
      </c>
      <c r="E877" s="26" t="s">
        <v>189</v>
      </c>
    </row>
    <row r="878" s="29" customFormat="1" spans="2:5">
      <c r="B878" s="26"/>
      <c r="C878" s="26"/>
      <c r="D878" s="26"/>
      <c r="E878" s="26"/>
    </row>
    <row r="879" s="29" customFormat="1" ht="36" spans="2:5">
      <c r="B879" s="26" t="s">
        <v>573</v>
      </c>
      <c r="C879" s="26" t="s">
        <v>573</v>
      </c>
      <c r="D879" s="26" t="s">
        <v>573</v>
      </c>
      <c r="E879" s="26" t="s">
        <v>573</v>
      </c>
    </row>
    <row r="880" s="29" customFormat="1" spans="2:5">
      <c r="B880" s="26" t="s">
        <v>767</v>
      </c>
      <c r="C880" s="26" t="s">
        <v>767</v>
      </c>
      <c r="D880" s="26" t="s">
        <v>767</v>
      </c>
      <c r="E880" s="26" t="s">
        <v>767</v>
      </c>
    </row>
    <row r="881" s="29" customFormat="1" ht="124" spans="2:5">
      <c r="B881" s="11" t="s">
        <v>173</v>
      </c>
      <c r="C881" s="11" t="s">
        <v>173</v>
      </c>
      <c r="D881" s="11" t="s">
        <v>173</v>
      </c>
      <c r="E881" s="11" t="s">
        <v>173</v>
      </c>
    </row>
    <row r="882" s="29" customFormat="1" ht="156" spans="2:5">
      <c r="B882" s="12" t="s">
        <v>174</v>
      </c>
      <c r="C882" s="12" t="s">
        <v>174</v>
      </c>
      <c r="D882" s="12" t="s">
        <v>174</v>
      </c>
      <c r="E882" s="12" t="s">
        <v>174</v>
      </c>
    </row>
    <row r="883" s="29" customFormat="1" ht="68" spans="2:5">
      <c r="B883" s="13" t="s">
        <v>663</v>
      </c>
      <c r="C883" s="13" t="s">
        <v>663</v>
      </c>
      <c r="D883" s="13" t="s">
        <v>663</v>
      </c>
      <c r="E883" s="13" t="s">
        <v>663</v>
      </c>
    </row>
    <row r="884" s="29" customFormat="1" ht="22" spans="2:5">
      <c r="B884" s="14" t="s">
        <v>176</v>
      </c>
      <c r="C884" s="14" t="s">
        <v>176</v>
      </c>
      <c r="D884" s="14" t="s">
        <v>176</v>
      </c>
      <c r="E884" s="14" t="s">
        <v>176</v>
      </c>
    </row>
    <row r="885" s="29" customFormat="1" spans="2:5">
      <c r="B885" s="15" t="s">
        <v>177</v>
      </c>
      <c r="C885" s="16" t="s">
        <v>178</v>
      </c>
      <c r="D885" s="17" t="s">
        <v>179</v>
      </c>
      <c r="E885" s="18" t="s">
        <v>180</v>
      </c>
    </row>
    <row r="886" s="29" customFormat="1" ht="41" spans="2:5">
      <c r="B886" s="19" t="s">
        <v>768</v>
      </c>
      <c r="C886" s="20" t="s">
        <v>182</v>
      </c>
      <c r="D886" s="21">
        <v>1</v>
      </c>
      <c r="E886" s="22">
        <v>387000</v>
      </c>
    </row>
    <row r="887" s="29" customFormat="1" ht="28" spans="2:5">
      <c r="B887" s="19" t="s">
        <v>768</v>
      </c>
      <c r="C887" s="16" t="s">
        <v>183</v>
      </c>
      <c r="D887" s="23">
        <v>1</v>
      </c>
      <c r="E887" s="24">
        <v>387000</v>
      </c>
    </row>
    <row r="888" s="29" customFormat="1" ht="41" spans="2:5">
      <c r="B888" s="19" t="s">
        <v>646</v>
      </c>
      <c r="C888" s="20" t="s">
        <v>182</v>
      </c>
      <c r="D888" s="21">
        <v>1</v>
      </c>
      <c r="E888" s="22">
        <v>0</v>
      </c>
    </row>
    <row r="889" s="29" customFormat="1" ht="28" spans="2:5">
      <c r="B889" s="19" t="s">
        <v>646</v>
      </c>
      <c r="C889" s="16" t="s">
        <v>183</v>
      </c>
      <c r="D889" s="23">
        <v>1</v>
      </c>
      <c r="E889" s="24">
        <v>0</v>
      </c>
    </row>
    <row r="890" s="29" customFormat="1" ht="41" spans="2:5">
      <c r="B890" s="19" t="s">
        <v>769</v>
      </c>
      <c r="C890" s="20" t="s">
        <v>182</v>
      </c>
      <c r="D890" s="21">
        <v>1</v>
      </c>
      <c r="E890" s="22">
        <v>0</v>
      </c>
    </row>
    <row r="891" s="29" customFormat="1" ht="28" spans="2:5">
      <c r="B891" s="19" t="s">
        <v>769</v>
      </c>
      <c r="C891" s="16" t="s">
        <v>183</v>
      </c>
      <c r="D891" s="23">
        <v>1</v>
      </c>
      <c r="E891" s="24">
        <v>0</v>
      </c>
    </row>
    <row r="892" s="29" customFormat="1" ht="41" spans="2:5">
      <c r="B892" s="19" t="s">
        <v>770</v>
      </c>
      <c r="C892" s="20" t="s">
        <v>182</v>
      </c>
      <c r="D892" s="21">
        <v>1</v>
      </c>
      <c r="E892" s="22">
        <v>425000</v>
      </c>
    </row>
    <row r="893" s="29" customFormat="1" ht="28" spans="2:5">
      <c r="B893" s="19" t="s">
        <v>770</v>
      </c>
      <c r="C893" s="16" t="s">
        <v>183</v>
      </c>
      <c r="D893" s="23">
        <v>1</v>
      </c>
      <c r="E893" s="24">
        <v>425000</v>
      </c>
    </row>
    <row r="894" s="29" customFormat="1" ht="41" spans="2:5">
      <c r="B894" s="19" t="s">
        <v>771</v>
      </c>
      <c r="C894" s="20" t="s">
        <v>182</v>
      </c>
      <c r="D894" s="21">
        <v>1</v>
      </c>
      <c r="E894" s="22">
        <v>421000</v>
      </c>
    </row>
    <row r="895" s="29" customFormat="1" ht="28" spans="2:5">
      <c r="B895" s="19" t="s">
        <v>771</v>
      </c>
      <c r="C895" s="16" t="s">
        <v>183</v>
      </c>
      <c r="D895" s="23">
        <v>1</v>
      </c>
      <c r="E895" s="24">
        <v>421000</v>
      </c>
    </row>
    <row r="896" s="29" customFormat="1" ht="41" spans="2:5">
      <c r="B896" s="19" t="s">
        <v>772</v>
      </c>
      <c r="C896" s="20" t="s">
        <v>182</v>
      </c>
      <c r="D896" s="21">
        <v>1</v>
      </c>
      <c r="E896" s="22">
        <v>289000</v>
      </c>
    </row>
    <row r="897" s="29" customFormat="1" ht="28.75" spans="2:5">
      <c r="B897" s="19" t="s">
        <v>772</v>
      </c>
      <c r="C897" s="16" t="s">
        <v>183</v>
      </c>
      <c r="D897" s="23">
        <v>1</v>
      </c>
      <c r="E897" s="24">
        <v>289000</v>
      </c>
    </row>
    <row r="898" s="29" customFormat="1" spans="2:5">
      <c r="B898" s="25"/>
      <c r="C898" s="25"/>
      <c r="D898" s="25"/>
      <c r="E898" s="25"/>
    </row>
    <row r="899" s="29" customFormat="1" ht="36" spans="2:5">
      <c r="B899" s="26" t="s">
        <v>189</v>
      </c>
      <c r="C899" s="26" t="s">
        <v>189</v>
      </c>
      <c r="D899" s="26" t="s">
        <v>189</v>
      </c>
      <c r="E899" s="26" t="s">
        <v>189</v>
      </c>
    </row>
    <row r="900" s="29" customFormat="1" spans="2:5">
      <c r="B900" s="26"/>
      <c r="C900" s="26"/>
      <c r="D900" s="26"/>
      <c r="E900" s="26"/>
    </row>
    <row r="901" s="29" customFormat="1" ht="36" spans="2:5">
      <c r="B901" s="26" t="s">
        <v>573</v>
      </c>
      <c r="C901" s="26" t="s">
        <v>573</v>
      </c>
      <c r="D901" s="26" t="s">
        <v>573</v>
      </c>
      <c r="E901" s="26" t="s">
        <v>573</v>
      </c>
    </row>
    <row r="902" s="29" customFormat="1" spans="2:5">
      <c r="B902" s="26" t="s">
        <v>773</v>
      </c>
      <c r="C902" s="26" t="s">
        <v>773</v>
      </c>
      <c r="D902" s="26" t="s">
        <v>773</v>
      </c>
      <c r="E902" s="26" t="s">
        <v>773</v>
      </c>
    </row>
    <row r="903" s="29" customFormat="1" ht="124" spans="2:5">
      <c r="B903" s="11" t="s">
        <v>173</v>
      </c>
      <c r="C903" s="11" t="s">
        <v>173</v>
      </c>
      <c r="D903" s="11" t="s">
        <v>173</v>
      </c>
      <c r="E903" s="11" t="s">
        <v>173</v>
      </c>
    </row>
    <row r="904" s="29" customFormat="1" ht="156" spans="2:5">
      <c r="B904" s="12" t="s">
        <v>174</v>
      </c>
      <c r="C904" s="12" t="s">
        <v>174</v>
      </c>
      <c r="D904" s="12" t="s">
        <v>174</v>
      </c>
      <c r="E904" s="12" t="s">
        <v>174</v>
      </c>
    </row>
    <row r="905" s="29" customFormat="1" ht="68" spans="2:5">
      <c r="B905" s="13" t="s">
        <v>663</v>
      </c>
      <c r="C905" s="13" t="s">
        <v>663</v>
      </c>
      <c r="D905" s="13" t="s">
        <v>663</v>
      </c>
      <c r="E905" s="13" t="s">
        <v>663</v>
      </c>
    </row>
    <row r="906" s="29" customFormat="1" ht="22" spans="2:5">
      <c r="B906" s="14" t="s">
        <v>176</v>
      </c>
      <c r="C906" s="14" t="s">
        <v>176</v>
      </c>
      <c r="D906" s="14" t="s">
        <v>176</v>
      </c>
      <c r="E906" s="14" t="s">
        <v>176</v>
      </c>
    </row>
    <row r="907" s="29" customFormat="1" spans="2:5">
      <c r="B907" s="15" t="s">
        <v>177</v>
      </c>
      <c r="C907" s="16" t="s">
        <v>178</v>
      </c>
      <c r="D907" s="17" t="s">
        <v>179</v>
      </c>
      <c r="E907" s="18" t="s">
        <v>180</v>
      </c>
    </row>
    <row r="908" s="29" customFormat="1" ht="41" spans="2:5">
      <c r="B908" s="19" t="s">
        <v>774</v>
      </c>
      <c r="C908" s="20" t="s">
        <v>182</v>
      </c>
      <c r="D908" s="21">
        <v>1</v>
      </c>
      <c r="E908" s="22">
        <v>260000</v>
      </c>
    </row>
    <row r="909" s="29" customFormat="1" ht="41" spans="2:5">
      <c r="B909" s="19" t="s">
        <v>774</v>
      </c>
      <c r="C909" s="16" t="s">
        <v>183</v>
      </c>
      <c r="D909" s="23">
        <v>1</v>
      </c>
      <c r="E909" s="24">
        <v>260000</v>
      </c>
    </row>
    <row r="910" s="29" customFormat="1" ht="41" spans="2:5">
      <c r="B910" s="19" t="s">
        <v>775</v>
      </c>
      <c r="C910" s="20" t="s">
        <v>182</v>
      </c>
      <c r="D910" s="21">
        <v>1</v>
      </c>
      <c r="E910" s="22">
        <v>188000</v>
      </c>
    </row>
    <row r="911" s="29" customFormat="1" ht="41" spans="2:5">
      <c r="B911" s="19" t="s">
        <v>775</v>
      </c>
      <c r="C911" s="16" t="s">
        <v>183</v>
      </c>
      <c r="D911" s="23">
        <v>1</v>
      </c>
      <c r="E911" s="24">
        <v>188000</v>
      </c>
    </row>
    <row r="912" s="29" customFormat="1" ht="41" spans="2:5">
      <c r="B912" s="19" t="s">
        <v>776</v>
      </c>
      <c r="C912" s="20" t="s">
        <v>182</v>
      </c>
      <c r="D912" s="21">
        <v>1</v>
      </c>
      <c r="E912" s="22">
        <v>210000</v>
      </c>
    </row>
    <row r="913" s="29" customFormat="1" ht="41" spans="2:5">
      <c r="B913" s="19" t="s">
        <v>776</v>
      </c>
      <c r="C913" s="16" t="s">
        <v>183</v>
      </c>
      <c r="D913" s="23">
        <v>1</v>
      </c>
      <c r="E913" s="24">
        <v>210000</v>
      </c>
    </row>
    <row r="914" s="29" customFormat="1" ht="41" spans="2:5">
      <c r="B914" s="19" t="s">
        <v>777</v>
      </c>
      <c r="C914" s="20" t="s">
        <v>182</v>
      </c>
      <c r="D914" s="21">
        <v>1</v>
      </c>
      <c r="E914" s="22">
        <v>469000</v>
      </c>
    </row>
    <row r="915" s="29" customFormat="1" ht="28" spans="2:5">
      <c r="B915" s="19" t="s">
        <v>777</v>
      </c>
      <c r="C915" s="16" t="s">
        <v>183</v>
      </c>
      <c r="D915" s="23">
        <v>1</v>
      </c>
      <c r="E915" s="24">
        <v>469000</v>
      </c>
    </row>
    <row r="916" s="29" customFormat="1" ht="41" spans="2:5">
      <c r="B916" s="19" t="s">
        <v>778</v>
      </c>
      <c r="C916" s="20" t="s">
        <v>182</v>
      </c>
      <c r="D916" s="21">
        <v>1</v>
      </c>
      <c r="E916" s="22">
        <v>0</v>
      </c>
    </row>
    <row r="917" s="29" customFormat="1" ht="28" spans="2:5">
      <c r="B917" s="19" t="s">
        <v>778</v>
      </c>
      <c r="C917" s="16" t="s">
        <v>183</v>
      </c>
      <c r="D917" s="23">
        <v>1</v>
      </c>
      <c r="E917" s="24">
        <v>0</v>
      </c>
    </row>
    <row r="918" s="29" customFormat="1" ht="41" spans="2:5">
      <c r="B918" s="19" t="s">
        <v>779</v>
      </c>
      <c r="C918" s="20" t="s">
        <v>182</v>
      </c>
      <c r="D918" s="21">
        <v>1</v>
      </c>
      <c r="E918" s="22">
        <v>0</v>
      </c>
    </row>
    <row r="919" s="29" customFormat="1" ht="28.75" spans="2:5">
      <c r="B919" s="19" t="s">
        <v>779</v>
      </c>
      <c r="C919" s="16" t="s">
        <v>183</v>
      </c>
      <c r="D919" s="23">
        <v>1</v>
      </c>
      <c r="E919" s="24">
        <v>0</v>
      </c>
    </row>
    <row r="920" s="29" customFormat="1" spans="2:5">
      <c r="B920" s="25"/>
      <c r="C920" s="25"/>
      <c r="D920" s="25"/>
      <c r="E920" s="25"/>
    </row>
    <row r="921" s="29" customFormat="1" ht="36" spans="2:5">
      <c r="B921" s="26" t="s">
        <v>189</v>
      </c>
      <c r="C921" s="26" t="s">
        <v>189</v>
      </c>
      <c r="D921" s="26" t="s">
        <v>189</v>
      </c>
      <c r="E921" s="26" t="s">
        <v>189</v>
      </c>
    </row>
    <row r="922" s="29" customFormat="1" spans="2:5">
      <c r="B922" s="26"/>
      <c r="C922" s="26"/>
      <c r="D922" s="26"/>
      <c r="E922" s="26"/>
    </row>
    <row r="923" s="29" customFormat="1" ht="36" spans="2:5">
      <c r="B923" s="26" t="s">
        <v>573</v>
      </c>
      <c r="C923" s="26" t="s">
        <v>573</v>
      </c>
      <c r="D923" s="26" t="s">
        <v>573</v>
      </c>
      <c r="E923" s="26" t="s">
        <v>573</v>
      </c>
    </row>
    <row r="924" s="29" customFormat="1" spans="2:5">
      <c r="B924" s="26" t="s">
        <v>780</v>
      </c>
      <c r="C924" s="26" t="s">
        <v>780</v>
      </c>
      <c r="D924" s="26" t="s">
        <v>780</v>
      </c>
      <c r="E924" s="26" t="s">
        <v>780</v>
      </c>
    </row>
    <row r="925" s="29" customFormat="1" ht="124" spans="2:5">
      <c r="B925" s="11" t="s">
        <v>173</v>
      </c>
      <c r="C925" s="11" t="s">
        <v>173</v>
      </c>
      <c r="D925" s="11" t="s">
        <v>173</v>
      </c>
      <c r="E925" s="11" t="s">
        <v>173</v>
      </c>
    </row>
    <row r="926" s="29" customFormat="1" ht="156" spans="2:5">
      <c r="B926" s="12" t="s">
        <v>174</v>
      </c>
      <c r="C926" s="12" t="s">
        <v>174</v>
      </c>
      <c r="D926" s="12" t="s">
        <v>174</v>
      </c>
      <c r="E926" s="12" t="s">
        <v>174</v>
      </c>
    </row>
    <row r="927" s="29" customFormat="1" ht="68" spans="2:5">
      <c r="B927" s="13" t="s">
        <v>663</v>
      </c>
      <c r="C927" s="13" t="s">
        <v>663</v>
      </c>
      <c r="D927" s="13" t="s">
        <v>663</v>
      </c>
      <c r="E927" s="13" t="s">
        <v>663</v>
      </c>
    </row>
    <row r="928" s="29" customFormat="1" ht="22" spans="2:5">
      <c r="B928" s="14" t="s">
        <v>176</v>
      </c>
      <c r="C928" s="14" t="s">
        <v>176</v>
      </c>
      <c r="D928" s="14" t="s">
        <v>176</v>
      </c>
      <c r="E928" s="14" t="s">
        <v>176</v>
      </c>
    </row>
    <row r="929" s="29" customFormat="1" spans="2:5">
      <c r="B929" s="15" t="s">
        <v>177</v>
      </c>
      <c r="C929" s="16" t="s">
        <v>178</v>
      </c>
      <c r="D929" s="17" t="s">
        <v>179</v>
      </c>
      <c r="E929" s="18" t="s">
        <v>180</v>
      </c>
    </row>
    <row r="930" s="29" customFormat="1" ht="41" spans="2:5">
      <c r="B930" s="19" t="s">
        <v>781</v>
      </c>
      <c r="C930" s="20" t="s">
        <v>182</v>
      </c>
      <c r="D930" s="21">
        <v>1</v>
      </c>
      <c r="E930" s="22">
        <v>0</v>
      </c>
    </row>
    <row r="931" s="29" customFormat="1" ht="28" spans="2:5">
      <c r="B931" s="19" t="s">
        <v>781</v>
      </c>
      <c r="C931" s="16" t="s">
        <v>183</v>
      </c>
      <c r="D931" s="23">
        <v>1</v>
      </c>
      <c r="E931" s="24">
        <v>0</v>
      </c>
    </row>
    <row r="932" s="29" customFormat="1" ht="41" spans="2:5">
      <c r="B932" s="19" t="s">
        <v>782</v>
      </c>
      <c r="C932" s="20" t="s">
        <v>182</v>
      </c>
      <c r="D932" s="21">
        <v>2</v>
      </c>
      <c r="E932" s="22">
        <v>800000</v>
      </c>
    </row>
    <row r="933" s="29" customFormat="1" ht="28" spans="2:5">
      <c r="B933" s="19" t="s">
        <v>782</v>
      </c>
      <c r="C933" s="16" t="s">
        <v>183</v>
      </c>
      <c r="D933" s="23">
        <v>2</v>
      </c>
      <c r="E933" s="24">
        <v>800000</v>
      </c>
    </row>
    <row r="934" s="29" customFormat="1" ht="41" spans="2:5">
      <c r="B934" s="19" t="s">
        <v>783</v>
      </c>
      <c r="C934" s="20" t="s">
        <v>182</v>
      </c>
      <c r="D934" s="21">
        <v>1</v>
      </c>
      <c r="E934" s="22">
        <v>178000</v>
      </c>
    </row>
    <row r="935" s="29" customFormat="1" spans="2:5">
      <c r="B935" s="19" t="s">
        <v>783</v>
      </c>
      <c r="C935" s="16" t="s">
        <v>183</v>
      </c>
      <c r="D935" s="23">
        <v>1</v>
      </c>
      <c r="E935" s="24">
        <v>178000</v>
      </c>
    </row>
    <row r="936" s="29" customFormat="1" ht="41" spans="2:5">
      <c r="B936" s="19" t="s">
        <v>784</v>
      </c>
      <c r="C936" s="20" t="s">
        <v>182</v>
      </c>
      <c r="D936" s="21">
        <v>1</v>
      </c>
      <c r="E936" s="22">
        <v>145000</v>
      </c>
    </row>
    <row r="937" s="29" customFormat="1" spans="2:5">
      <c r="B937" s="19" t="s">
        <v>784</v>
      </c>
      <c r="C937" s="16" t="s">
        <v>183</v>
      </c>
      <c r="D937" s="23">
        <v>1</v>
      </c>
      <c r="E937" s="24">
        <v>145000</v>
      </c>
    </row>
    <row r="938" s="29" customFormat="1" ht="41" spans="2:5">
      <c r="B938" s="19" t="s">
        <v>785</v>
      </c>
      <c r="C938" s="20" t="s">
        <v>182</v>
      </c>
      <c r="D938" s="21">
        <v>1</v>
      </c>
      <c r="E938" s="22">
        <v>300000</v>
      </c>
    </row>
    <row r="939" s="29" customFormat="1" ht="28" spans="2:5">
      <c r="B939" s="19" t="s">
        <v>785</v>
      </c>
      <c r="C939" s="16" t="s">
        <v>183</v>
      </c>
      <c r="D939" s="23">
        <v>1</v>
      </c>
      <c r="E939" s="24">
        <v>300000</v>
      </c>
    </row>
    <row r="940" s="29" customFormat="1" ht="41" spans="2:5">
      <c r="B940" s="19" t="s">
        <v>786</v>
      </c>
      <c r="C940" s="20" t="s">
        <v>182</v>
      </c>
      <c r="D940" s="21">
        <v>4</v>
      </c>
      <c r="E940" s="22">
        <v>1372000</v>
      </c>
    </row>
    <row r="941" s="29" customFormat="1" ht="28.75" spans="2:5">
      <c r="B941" s="19" t="s">
        <v>786</v>
      </c>
      <c r="C941" s="16" t="s">
        <v>183</v>
      </c>
      <c r="D941" s="23">
        <v>4</v>
      </c>
      <c r="E941" s="24">
        <v>1372000</v>
      </c>
    </row>
    <row r="942" s="29" customFormat="1" spans="2:5">
      <c r="B942" s="25"/>
      <c r="C942" s="25"/>
      <c r="D942" s="25"/>
      <c r="E942" s="25"/>
    </row>
    <row r="943" s="29" customFormat="1" ht="36" spans="2:5">
      <c r="B943" s="26" t="s">
        <v>189</v>
      </c>
      <c r="C943" s="26" t="s">
        <v>189</v>
      </c>
      <c r="D943" s="26" t="s">
        <v>189</v>
      </c>
      <c r="E943" s="26" t="s">
        <v>189</v>
      </c>
    </row>
    <row r="944" s="29" customFormat="1" spans="2:5">
      <c r="B944" s="26"/>
      <c r="C944" s="26"/>
      <c r="D944" s="26"/>
      <c r="E944" s="26"/>
    </row>
    <row r="945" s="29" customFormat="1" ht="36" spans="2:5">
      <c r="B945" s="26" t="s">
        <v>573</v>
      </c>
      <c r="C945" s="26" t="s">
        <v>573</v>
      </c>
      <c r="D945" s="26" t="s">
        <v>573</v>
      </c>
      <c r="E945" s="26" t="s">
        <v>573</v>
      </c>
    </row>
    <row r="946" s="29" customFormat="1" spans="2:5">
      <c r="B946" s="26" t="s">
        <v>787</v>
      </c>
      <c r="C946" s="26" t="s">
        <v>787</v>
      </c>
      <c r="D946" s="26" t="s">
        <v>787</v>
      </c>
      <c r="E946" s="26" t="s">
        <v>787</v>
      </c>
    </row>
    <row r="947" s="29" customFormat="1" ht="124" spans="2:5">
      <c r="B947" s="11" t="s">
        <v>173</v>
      </c>
      <c r="C947" s="11" t="s">
        <v>173</v>
      </c>
      <c r="D947" s="11" t="s">
        <v>173</v>
      </c>
      <c r="E947" s="11" t="s">
        <v>173</v>
      </c>
    </row>
    <row r="948" s="29" customFormat="1" ht="156" spans="2:5">
      <c r="B948" s="12" t="s">
        <v>174</v>
      </c>
      <c r="C948" s="12" t="s">
        <v>174</v>
      </c>
      <c r="D948" s="12" t="s">
        <v>174</v>
      </c>
      <c r="E948" s="12" t="s">
        <v>174</v>
      </c>
    </row>
    <row r="949" s="29" customFormat="1" ht="68" spans="2:5">
      <c r="B949" s="13" t="s">
        <v>663</v>
      </c>
      <c r="C949" s="13" t="s">
        <v>663</v>
      </c>
      <c r="D949" s="13" t="s">
        <v>663</v>
      </c>
      <c r="E949" s="13" t="s">
        <v>663</v>
      </c>
    </row>
    <row r="950" s="29" customFormat="1" ht="22" spans="2:5">
      <c r="B950" s="14" t="s">
        <v>176</v>
      </c>
      <c r="C950" s="14" t="s">
        <v>176</v>
      </c>
      <c r="D950" s="14" t="s">
        <v>176</v>
      </c>
      <c r="E950" s="14" t="s">
        <v>176</v>
      </c>
    </row>
    <row r="951" s="29" customFormat="1" spans="2:5">
      <c r="B951" s="15" t="s">
        <v>177</v>
      </c>
      <c r="C951" s="16" t="s">
        <v>178</v>
      </c>
      <c r="D951" s="17" t="s">
        <v>179</v>
      </c>
      <c r="E951" s="18" t="s">
        <v>180</v>
      </c>
    </row>
    <row r="952" s="29" customFormat="1" ht="41" spans="2:5">
      <c r="B952" s="19" t="s">
        <v>788</v>
      </c>
      <c r="C952" s="20" t="s">
        <v>182</v>
      </c>
      <c r="D952" s="21">
        <v>1</v>
      </c>
      <c r="E952" s="22">
        <v>1185000</v>
      </c>
    </row>
    <row r="953" s="29" customFormat="1" ht="28" spans="2:5">
      <c r="B953" s="19" t="s">
        <v>788</v>
      </c>
      <c r="C953" s="16" t="s">
        <v>183</v>
      </c>
      <c r="D953" s="23">
        <v>1</v>
      </c>
      <c r="E953" s="24">
        <v>1185000</v>
      </c>
    </row>
    <row r="954" s="29" customFormat="1" ht="41" spans="2:5">
      <c r="B954" s="19" t="s">
        <v>789</v>
      </c>
      <c r="C954" s="20" t="s">
        <v>182</v>
      </c>
      <c r="D954" s="21">
        <v>1</v>
      </c>
      <c r="E954" s="22">
        <v>361000</v>
      </c>
    </row>
    <row r="955" s="29" customFormat="1" ht="28" spans="2:5">
      <c r="B955" s="19" t="s">
        <v>789</v>
      </c>
      <c r="C955" s="16" t="s">
        <v>183</v>
      </c>
      <c r="D955" s="23">
        <v>1</v>
      </c>
      <c r="E955" s="24">
        <v>361000</v>
      </c>
    </row>
    <row r="956" s="29" customFormat="1" ht="41" spans="2:5">
      <c r="B956" s="19" t="s">
        <v>790</v>
      </c>
      <c r="C956" s="20" t="s">
        <v>182</v>
      </c>
      <c r="D956" s="21">
        <v>1</v>
      </c>
      <c r="E956" s="22">
        <v>181000</v>
      </c>
    </row>
    <row r="957" s="29" customFormat="1" ht="28" spans="2:5">
      <c r="B957" s="19" t="s">
        <v>790</v>
      </c>
      <c r="C957" s="16" t="s">
        <v>183</v>
      </c>
      <c r="D957" s="23">
        <v>1</v>
      </c>
      <c r="E957" s="24">
        <v>181000</v>
      </c>
    </row>
    <row r="958" s="29" customFormat="1" ht="41" spans="2:5">
      <c r="B958" s="19" t="s">
        <v>791</v>
      </c>
      <c r="C958" s="20" t="s">
        <v>182</v>
      </c>
      <c r="D958" s="21">
        <v>1</v>
      </c>
      <c r="E958" s="22">
        <v>0</v>
      </c>
    </row>
    <row r="959" s="29" customFormat="1" ht="28" spans="2:5">
      <c r="B959" s="19" t="s">
        <v>791</v>
      </c>
      <c r="C959" s="16" t="s">
        <v>183</v>
      </c>
      <c r="D959" s="23">
        <v>1</v>
      </c>
      <c r="E959" s="24">
        <v>0</v>
      </c>
    </row>
    <row r="960" s="29" customFormat="1" ht="41" spans="2:5">
      <c r="B960" s="19" t="s">
        <v>792</v>
      </c>
      <c r="C960" s="20" t="s">
        <v>182</v>
      </c>
      <c r="D960" s="21">
        <v>1</v>
      </c>
      <c r="E960" s="22">
        <v>119000</v>
      </c>
    </row>
    <row r="961" s="29" customFormat="1" spans="2:5">
      <c r="B961" s="19" t="s">
        <v>792</v>
      </c>
      <c r="C961" s="16" t="s">
        <v>183</v>
      </c>
      <c r="D961" s="23">
        <v>1</v>
      </c>
      <c r="E961" s="24">
        <v>119000</v>
      </c>
    </row>
    <row r="962" s="29" customFormat="1" ht="41" spans="2:5">
      <c r="B962" s="19" t="s">
        <v>793</v>
      </c>
      <c r="C962" s="20" t="s">
        <v>182</v>
      </c>
      <c r="D962" s="21">
        <v>1</v>
      </c>
      <c r="E962" s="22">
        <v>166000</v>
      </c>
    </row>
    <row r="963" s="29" customFormat="1" ht="17.55" spans="2:5">
      <c r="B963" s="19" t="s">
        <v>793</v>
      </c>
      <c r="C963" s="16" t="s">
        <v>183</v>
      </c>
      <c r="D963" s="23">
        <v>1</v>
      </c>
      <c r="E963" s="24">
        <v>166000</v>
      </c>
    </row>
    <row r="964" s="29" customFormat="1" spans="2:5">
      <c r="B964" s="25"/>
      <c r="C964" s="25"/>
      <c r="D964" s="25"/>
      <c r="E964" s="25"/>
    </row>
    <row r="965" s="29" customFormat="1" ht="36" spans="2:5">
      <c r="B965" s="26" t="s">
        <v>189</v>
      </c>
      <c r="C965" s="26" t="s">
        <v>189</v>
      </c>
      <c r="D965" s="26" t="s">
        <v>189</v>
      </c>
      <c r="E965" s="26" t="s">
        <v>189</v>
      </c>
    </row>
    <row r="966" s="29" customFormat="1" spans="2:5">
      <c r="B966" s="26"/>
      <c r="C966" s="26"/>
      <c r="D966" s="26"/>
      <c r="E966" s="26"/>
    </row>
    <row r="967" s="29" customFormat="1" ht="36" spans="2:5">
      <c r="B967" s="26" t="s">
        <v>573</v>
      </c>
      <c r="C967" s="26" t="s">
        <v>573</v>
      </c>
      <c r="D967" s="26" t="s">
        <v>573</v>
      </c>
      <c r="E967" s="26" t="s">
        <v>573</v>
      </c>
    </row>
    <row r="968" s="29" customFormat="1" spans="2:5">
      <c r="B968" s="26" t="s">
        <v>794</v>
      </c>
      <c r="C968" s="26" t="s">
        <v>794</v>
      </c>
      <c r="D968" s="26" t="s">
        <v>794</v>
      </c>
      <c r="E968" s="26" t="s">
        <v>794</v>
      </c>
    </row>
    <row r="969" s="29" customFormat="1" ht="124" spans="2:5">
      <c r="B969" s="11" t="s">
        <v>173</v>
      </c>
      <c r="C969" s="11" t="s">
        <v>173</v>
      </c>
      <c r="D969" s="11" t="s">
        <v>173</v>
      </c>
      <c r="E969" s="11" t="s">
        <v>173</v>
      </c>
    </row>
    <row r="970" s="29" customFormat="1" ht="156" spans="2:5">
      <c r="B970" s="12" t="s">
        <v>174</v>
      </c>
      <c r="C970" s="12" t="s">
        <v>174</v>
      </c>
      <c r="D970" s="12" t="s">
        <v>174</v>
      </c>
      <c r="E970" s="12" t="s">
        <v>174</v>
      </c>
    </row>
    <row r="971" s="29" customFormat="1" ht="68" spans="2:5">
      <c r="B971" s="13" t="s">
        <v>663</v>
      </c>
      <c r="C971" s="13" t="s">
        <v>663</v>
      </c>
      <c r="D971" s="13" t="s">
        <v>663</v>
      </c>
      <c r="E971" s="13" t="s">
        <v>663</v>
      </c>
    </row>
    <row r="972" s="29" customFormat="1" ht="22" spans="2:5">
      <c r="B972" s="14" t="s">
        <v>176</v>
      </c>
      <c r="C972" s="14" t="s">
        <v>176</v>
      </c>
      <c r="D972" s="14" t="s">
        <v>176</v>
      </c>
      <c r="E972" s="14" t="s">
        <v>176</v>
      </c>
    </row>
    <row r="973" s="29" customFormat="1" spans="2:5">
      <c r="B973" s="15" t="s">
        <v>177</v>
      </c>
      <c r="C973" s="16" t="s">
        <v>178</v>
      </c>
      <c r="D973" s="17" t="s">
        <v>179</v>
      </c>
      <c r="E973" s="18" t="s">
        <v>180</v>
      </c>
    </row>
    <row r="974" s="29" customFormat="1" ht="41" spans="2:5">
      <c r="B974" s="19" t="s">
        <v>795</v>
      </c>
      <c r="C974" s="20" t="s">
        <v>182</v>
      </c>
      <c r="D974" s="21">
        <v>1</v>
      </c>
      <c r="E974" s="22">
        <v>437000</v>
      </c>
    </row>
    <row r="975" s="29" customFormat="1" spans="2:5">
      <c r="B975" s="19" t="s">
        <v>795</v>
      </c>
      <c r="C975" s="16" t="s">
        <v>183</v>
      </c>
      <c r="D975" s="23">
        <v>1</v>
      </c>
      <c r="E975" s="24">
        <v>437000</v>
      </c>
    </row>
    <row r="976" s="29" customFormat="1" ht="41" spans="2:5">
      <c r="B976" s="19" t="s">
        <v>796</v>
      </c>
      <c r="C976" s="20" t="s">
        <v>182</v>
      </c>
      <c r="D976" s="21">
        <v>1</v>
      </c>
      <c r="E976" s="22">
        <v>0</v>
      </c>
    </row>
    <row r="977" s="29" customFormat="1" spans="2:5">
      <c r="B977" s="19" t="s">
        <v>796</v>
      </c>
      <c r="C977" s="16" t="s">
        <v>183</v>
      </c>
      <c r="D977" s="23">
        <v>1</v>
      </c>
      <c r="E977" s="24">
        <v>0</v>
      </c>
    </row>
    <row r="978" s="29" customFormat="1" ht="17.55" spans="2:5">
      <c r="B978" s="28" t="s">
        <v>341</v>
      </c>
      <c r="C978" s="28" t="s">
        <v>341</v>
      </c>
      <c r="D978" s="23">
        <v>3963</v>
      </c>
      <c r="E978" s="24">
        <v>151615693.353186</v>
      </c>
    </row>
    <row r="979" s="29" customFormat="1" spans="2:5">
      <c r="B979" s="25"/>
      <c r="C979" s="25"/>
      <c r="D979" s="25"/>
      <c r="E979" s="25"/>
    </row>
    <row r="980" s="29" customFormat="1" ht="36" spans="2:5">
      <c r="B980" s="26" t="s">
        <v>189</v>
      </c>
      <c r="C980" s="26" t="s">
        <v>189</v>
      </c>
      <c r="D980" s="26" t="s">
        <v>189</v>
      </c>
      <c r="E980" s="26" t="s">
        <v>189</v>
      </c>
    </row>
    <row r="981" s="29" customFormat="1" spans="2:5">
      <c r="B981" s="26"/>
      <c r="C981" s="26"/>
      <c r="D981" s="26"/>
      <c r="E981" s="26"/>
    </row>
    <row r="982" s="29" customFormat="1" ht="36" spans="2:5">
      <c r="B982" s="26" t="s">
        <v>573</v>
      </c>
      <c r="C982" s="26" t="s">
        <v>573</v>
      </c>
      <c r="D982" s="26" t="s">
        <v>573</v>
      </c>
      <c r="E982" s="26" t="s">
        <v>573</v>
      </c>
    </row>
    <row r="983" s="29" customFormat="1" spans="2:5">
      <c r="B983" s="26" t="s">
        <v>797</v>
      </c>
      <c r="C983" s="26" t="s">
        <v>797</v>
      </c>
      <c r="D983" s="26" t="s">
        <v>797</v>
      </c>
      <c r="E983" s="26" t="s">
        <v>797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6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798</v>
      </c>
      <c r="C3" s="13" t="s">
        <v>798</v>
      </c>
      <c r="D3" s="13" t="s">
        <v>798</v>
      </c>
      <c r="E3" s="13" t="s">
        <v>798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799</v>
      </c>
      <c r="C6" s="20" t="s">
        <v>182</v>
      </c>
      <c r="D6" s="21">
        <v>2</v>
      </c>
      <c r="E6" s="22">
        <v>722000</v>
      </c>
      <c r="F6" s="30"/>
      <c r="G6" s="30"/>
    </row>
    <row r="7" s="29" customFormat="1" ht="41" spans="1:7">
      <c r="A7" s="30" t="s">
        <v>172</v>
      </c>
      <c r="B7" s="19" t="s">
        <v>799</v>
      </c>
      <c r="C7" s="16" t="s">
        <v>183</v>
      </c>
      <c r="D7" s="23">
        <v>2</v>
      </c>
      <c r="E7" s="24">
        <v>722000</v>
      </c>
      <c r="F7" s="30"/>
      <c r="G7" s="30"/>
    </row>
    <row r="8" s="29" customFormat="1" ht="41" spans="1:7">
      <c r="A8" s="30" t="s">
        <v>172</v>
      </c>
      <c r="B8" s="19" t="s">
        <v>800</v>
      </c>
      <c r="C8" s="20" t="s">
        <v>182</v>
      </c>
      <c r="D8" s="21">
        <v>2</v>
      </c>
      <c r="E8" s="22">
        <v>525000</v>
      </c>
      <c r="F8" s="30"/>
      <c r="G8" s="30"/>
    </row>
    <row r="9" s="29" customFormat="1" ht="28" spans="1:7">
      <c r="A9" s="30" t="s">
        <v>172</v>
      </c>
      <c r="B9" s="19" t="s">
        <v>800</v>
      </c>
      <c r="C9" s="16" t="s">
        <v>183</v>
      </c>
      <c r="D9" s="23">
        <v>2</v>
      </c>
      <c r="E9" s="24">
        <v>525000</v>
      </c>
      <c r="F9" s="30"/>
      <c r="G9" s="30"/>
    </row>
    <row r="10" s="29" customFormat="1" ht="41" spans="1:7">
      <c r="A10" s="30" t="s">
        <v>172</v>
      </c>
      <c r="B10" s="19" t="s">
        <v>801</v>
      </c>
      <c r="C10" s="20" t="s">
        <v>182</v>
      </c>
      <c r="D10" s="21">
        <v>2</v>
      </c>
      <c r="E10" s="22">
        <v>722000</v>
      </c>
      <c r="F10" s="30"/>
      <c r="G10" s="30"/>
    </row>
    <row r="11" s="29" customFormat="1" ht="28" spans="1:7">
      <c r="A11" s="30" t="s">
        <v>172</v>
      </c>
      <c r="B11" s="19" t="s">
        <v>801</v>
      </c>
      <c r="C11" s="16" t="s">
        <v>183</v>
      </c>
      <c r="D11" s="23">
        <v>2</v>
      </c>
      <c r="E11" s="24">
        <v>722000</v>
      </c>
      <c r="F11" s="30"/>
      <c r="G11" s="30"/>
    </row>
    <row r="12" s="29" customFormat="1" ht="41" spans="1:7">
      <c r="A12" s="30" t="s">
        <v>172</v>
      </c>
      <c r="B12" s="19" t="s">
        <v>802</v>
      </c>
      <c r="C12" s="20" t="s">
        <v>182</v>
      </c>
      <c r="D12" s="21">
        <v>1</v>
      </c>
      <c r="E12" s="22">
        <v>1100000</v>
      </c>
      <c r="F12" s="30"/>
      <c r="G12" s="30"/>
    </row>
    <row r="13" s="29" customFormat="1" ht="28" spans="1:7">
      <c r="A13" s="30" t="s">
        <v>172</v>
      </c>
      <c r="B13" s="19" t="s">
        <v>802</v>
      </c>
      <c r="C13" s="16" t="s">
        <v>183</v>
      </c>
      <c r="D13" s="23">
        <v>1</v>
      </c>
      <c r="E13" s="24">
        <v>1100000</v>
      </c>
      <c r="F13" s="30"/>
      <c r="G13" s="30"/>
    </row>
    <row r="14" s="29" customFormat="1" ht="41" spans="1:7">
      <c r="A14" s="30" t="s">
        <v>172</v>
      </c>
      <c r="B14" s="19" t="s">
        <v>803</v>
      </c>
      <c r="C14" s="20" t="s">
        <v>182</v>
      </c>
      <c r="D14" s="21">
        <v>5</v>
      </c>
      <c r="E14" s="22">
        <v>0</v>
      </c>
      <c r="F14" s="30"/>
      <c r="G14" s="30"/>
    </row>
    <row r="15" s="29" customFormat="1" ht="28" spans="1:7">
      <c r="A15" s="30" t="s">
        <v>172</v>
      </c>
      <c r="B15" s="19" t="s">
        <v>803</v>
      </c>
      <c r="C15" s="20" t="s">
        <v>804</v>
      </c>
      <c r="D15" s="21">
        <v>1</v>
      </c>
      <c r="E15" s="22">
        <v>0</v>
      </c>
      <c r="F15" s="30"/>
      <c r="G15" s="30"/>
    </row>
    <row r="16" s="29" customFormat="1" spans="1:7">
      <c r="A16" s="30" t="s">
        <v>172</v>
      </c>
      <c r="B16" s="19" t="s">
        <v>803</v>
      </c>
      <c r="C16" s="16" t="s">
        <v>183</v>
      </c>
      <c r="D16" s="23">
        <v>6</v>
      </c>
      <c r="E16" s="24">
        <v>0</v>
      </c>
      <c r="F16" s="30"/>
      <c r="G16" s="30"/>
    </row>
    <row r="17" s="29" customFormat="1" ht="41" spans="1:7">
      <c r="A17" s="30" t="s">
        <v>172</v>
      </c>
      <c r="B17" s="19" t="s">
        <v>805</v>
      </c>
      <c r="C17" s="20" t="s">
        <v>182</v>
      </c>
      <c r="D17" s="21">
        <v>2</v>
      </c>
      <c r="E17" s="22">
        <v>44000</v>
      </c>
      <c r="F17" s="30"/>
      <c r="G17" s="30"/>
    </row>
    <row r="18" s="29" customFormat="1" ht="17.55" spans="1:7">
      <c r="A18" s="30" t="s">
        <v>172</v>
      </c>
      <c r="B18" s="19" t="s">
        <v>805</v>
      </c>
      <c r="C18" s="16" t="s">
        <v>183</v>
      </c>
      <c r="D18" s="23">
        <v>2</v>
      </c>
      <c r="E18" s="24">
        <v>44000</v>
      </c>
      <c r="F18" s="30"/>
      <c r="G18" s="30"/>
    </row>
    <row r="19" s="29" customFormat="1" spans="1:7">
      <c r="A19" s="30" t="s">
        <v>172</v>
      </c>
      <c r="B19" s="25"/>
      <c r="C19" s="25"/>
      <c r="D19" s="25"/>
      <c r="E19" s="25"/>
      <c r="F19" s="30"/>
      <c r="G19" s="30"/>
    </row>
    <row r="20" s="29" customFormat="1" ht="36" spans="1:7">
      <c r="A20" s="30" t="s">
        <v>172</v>
      </c>
      <c r="B20" s="26" t="s">
        <v>189</v>
      </c>
      <c r="C20" s="26" t="s">
        <v>189</v>
      </c>
      <c r="D20" s="26" t="s">
        <v>189</v>
      </c>
      <c r="E20" s="26" t="s">
        <v>189</v>
      </c>
      <c r="F20" s="30"/>
      <c r="G20" s="30"/>
    </row>
    <row r="21" s="29" customFormat="1" spans="1:7">
      <c r="A21" s="30" t="s">
        <v>172</v>
      </c>
      <c r="B21" s="26"/>
      <c r="C21" s="26"/>
      <c r="D21" s="26"/>
      <c r="E21" s="26"/>
      <c r="F21" s="30"/>
      <c r="G21" s="30"/>
    </row>
    <row r="22" s="29" customFormat="1" ht="36" spans="1:7">
      <c r="A22" s="30" t="s">
        <v>172</v>
      </c>
      <c r="B22" s="26" t="s">
        <v>806</v>
      </c>
      <c r="C22" s="26" t="s">
        <v>806</v>
      </c>
      <c r="D22" s="26" t="s">
        <v>806</v>
      </c>
      <c r="E22" s="26" t="s">
        <v>806</v>
      </c>
      <c r="F22" s="30"/>
      <c r="G22" s="30"/>
    </row>
    <row r="23" s="29" customFormat="1" spans="1:7">
      <c r="A23" s="30" t="s">
        <v>172</v>
      </c>
      <c r="B23" s="26" t="s">
        <v>191</v>
      </c>
      <c r="C23" s="26" t="s">
        <v>191</v>
      </c>
      <c r="D23" s="26" t="s">
        <v>191</v>
      </c>
      <c r="E23" s="26" t="s">
        <v>191</v>
      </c>
      <c r="F23" s="30"/>
      <c r="G23" s="30"/>
    </row>
    <row r="24" s="29" customFormat="1" ht="124" spans="1:7">
      <c r="A24" s="30" t="s">
        <v>172</v>
      </c>
      <c r="B24" s="11" t="s">
        <v>173</v>
      </c>
      <c r="C24" s="11" t="s">
        <v>173</v>
      </c>
      <c r="D24" s="11" t="s">
        <v>173</v>
      </c>
      <c r="E24" s="11" t="s">
        <v>173</v>
      </c>
      <c r="F24" s="30"/>
      <c r="G24" s="30"/>
    </row>
    <row r="25" s="29" customFormat="1" ht="156" spans="1:7">
      <c r="A25" s="30" t="s">
        <v>172</v>
      </c>
      <c r="B25" s="12" t="s">
        <v>174</v>
      </c>
      <c r="C25" s="12" t="s">
        <v>174</v>
      </c>
      <c r="D25" s="12" t="s">
        <v>174</v>
      </c>
      <c r="E25" s="12" t="s">
        <v>174</v>
      </c>
      <c r="F25" s="30"/>
      <c r="G25" s="30"/>
    </row>
    <row r="26" s="29" customFormat="1" ht="68" spans="1:7">
      <c r="A26" s="30" t="s">
        <v>172</v>
      </c>
      <c r="B26" s="13" t="s">
        <v>798</v>
      </c>
      <c r="C26" s="13" t="s">
        <v>798</v>
      </c>
      <c r="D26" s="13" t="s">
        <v>798</v>
      </c>
      <c r="E26" s="13" t="s">
        <v>798</v>
      </c>
      <c r="F26" s="30"/>
      <c r="G26" s="30"/>
    </row>
    <row r="27" s="29" customFormat="1" ht="22" spans="1:7">
      <c r="A27" s="30" t="s">
        <v>172</v>
      </c>
      <c r="B27" s="14" t="s">
        <v>176</v>
      </c>
      <c r="C27" s="14" t="s">
        <v>176</v>
      </c>
      <c r="D27" s="14" t="s">
        <v>176</v>
      </c>
      <c r="E27" s="14" t="s">
        <v>176</v>
      </c>
      <c r="F27" s="30"/>
      <c r="G27" s="30"/>
    </row>
    <row r="28" s="29" customFormat="1" spans="1:7">
      <c r="A28" s="30" t="s">
        <v>172</v>
      </c>
      <c r="B28" s="15" t="s">
        <v>177</v>
      </c>
      <c r="C28" s="16" t="s">
        <v>178</v>
      </c>
      <c r="D28" s="17" t="s">
        <v>179</v>
      </c>
      <c r="E28" s="18" t="s">
        <v>180</v>
      </c>
      <c r="F28" s="30"/>
      <c r="G28" s="30"/>
    </row>
    <row r="29" s="29" customFormat="1" ht="41" spans="1:7">
      <c r="A29" s="30" t="s">
        <v>172</v>
      </c>
      <c r="B29" s="19" t="s">
        <v>807</v>
      </c>
      <c r="C29" s="20" t="s">
        <v>182</v>
      </c>
      <c r="D29" s="21">
        <v>2</v>
      </c>
      <c r="E29" s="22">
        <v>50000</v>
      </c>
      <c r="F29" s="30"/>
      <c r="G29" s="30"/>
    </row>
    <row r="30" s="29" customFormat="1" spans="1:7">
      <c r="A30" s="30" t="s">
        <v>172</v>
      </c>
      <c r="B30" s="19" t="s">
        <v>807</v>
      </c>
      <c r="C30" s="16" t="s">
        <v>183</v>
      </c>
      <c r="D30" s="23">
        <v>2</v>
      </c>
      <c r="E30" s="24">
        <v>50000</v>
      </c>
      <c r="F30" s="30"/>
      <c r="G30" s="30"/>
    </row>
    <row r="31" s="29" customFormat="1" ht="41" spans="1:7">
      <c r="A31" s="30" t="s">
        <v>172</v>
      </c>
      <c r="B31" s="19" t="s">
        <v>808</v>
      </c>
      <c r="C31" s="20" t="s">
        <v>182</v>
      </c>
      <c r="D31" s="21">
        <v>1</v>
      </c>
      <c r="E31" s="22">
        <v>85586</v>
      </c>
      <c r="F31" s="30"/>
      <c r="G31" s="30"/>
    </row>
    <row r="32" s="29" customFormat="1" ht="28" spans="1:7">
      <c r="A32" s="30" t="s">
        <v>172</v>
      </c>
      <c r="B32" s="19" t="s">
        <v>808</v>
      </c>
      <c r="C32" s="20" t="s">
        <v>804</v>
      </c>
      <c r="D32" s="21">
        <v>2</v>
      </c>
      <c r="E32" s="22">
        <v>171171.171172</v>
      </c>
      <c r="F32" s="30"/>
      <c r="G32" s="30"/>
    </row>
    <row r="33" s="29" customFormat="1" spans="1:7">
      <c r="A33" s="30" t="s">
        <v>172</v>
      </c>
      <c r="B33" s="19" t="s">
        <v>808</v>
      </c>
      <c r="C33" s="16" t="s">
        <v>183</v>
      </c>
      <c r="D33" s="23">
        <v>3</v>
      </c>
      <c r="E33" s="24">
        <v>256757.171172</v>
      </c>
      <c r="F33" s="30"/>
      <c r="G33" s="30"/>
    </row>
    <row r="34" s="29" customFormat="1" ht="41" spans="1:7">
      <c r="A34" s="30" t="s">
        <v>172</v>
      </c>
      <c r="B34" s="19" t="s">
        <v>485</v>
      </c>
      <c r="C34" s="20" t="s">
        <v>182</v>
      </c>
      <c r="D34" s="21">
        <v>2</v>
      </c>
      <c r="E34" s="22">
        <v>486486.243243</v>
      </c>
      <c r="F34" s="30"/>
      <c r="G34" s="30"/>
    </row>
    <row r="35" s="29" customFormat="1" spans="1:7">
      <c r="A35" s="30" t="s">
        <v>172</v>
      </c>
      <c r="B35" s="19" t="s">
        <v>485</v>
      </c>
      <c r="C35" s="16" t="s">
        <v>183</v>
      </c>
      <c r="D35" s="23">
        <v>2</v>
      </c>
      <c r="E35" s="24">
        <v>486486.243243</v>
      </c>
      <c r="F35" s="30"/>
      <c r="G35" s="30"/>
    </row>
    <row r="36" s="29" customFormat="1" ht="28" spans="1:7">
      <c r="A36" s="30" t="s">
        <v>172</v>
      </c>
      <c r="B36" s="19" t="s">
        <v>344</v>
      </c>
      <c r="C36" s="20" t="s">
        <v>804</v>
      </c>
      <c r="D36" s="21">
        <v>3</v>
      </c>
      <c r="E36" s="22">
        <v>343242.882883</v>
      </c>
      <c r="F36" s="30"/>
      <c r="G36" s="30"/>
    </row>
    <row r="37" s="29" customFormat="1" spans="1:7">
      <c r="A37" s="30" t="s">
        <v>172</v>
      </c>
      <c r="B37" s="19" t="s">
        <v>344</v>
      </c>
      <c r="C37" s="16" t="s">
        <v>183</v>
      </c>
      <c r="D37" s="23">
        <v>3</v>
      </c>
      <c r="E37" s="24">
        <v>343242.882883</v>
      </c>
      <c r="F37" s="30"/>
      <c r="G37" s="30"/>
    </row>
    <row r="38" s="29" customFormat="1" ht="41" spans="1:7">
      <c r="A38" s="30" t="s">
        <v>172</v>
      </c>
      <c r="B38" s="19" t="s">
        <v>396</v>
      </c>
      <c r="C38" s="20" t="s">
        <v>182</v>
      </c>
      <c r="D38" s="21">
        <v>1</v>
      </c>
      <c r="E38" s="22">
        <v>313513.513514</v>
      </c>
      <c r="F38" s="30"/>
      <c r="G38" s="30"/>
    </row>
    <row r="39" s="29" customFormat="1" spans="1:7">
      <c r="A39" s="30" t="s">
        <v>172</v>
      </c>
      <c r="B39" s="19" t="s">
        <v>396</v>
      </c>
      <c r="C39" s="16" t="s">
        <v>183</v>
      </c>
      <c r="D39" s="23">
        <v>1</v>
      </c>
      <c r="E39" s="24">
        <v>313513.513514</v>
      </c>
      <c r="F39" s="30"/>
      <c r="G39" s="30"/>
    </row>
    <row r="40" s="29" customFormat="1" ht="41" spans="1:7">
      <c r="A40" s="30" t="s">
        <v>172</v>
      </c>
      <c r="B40" s="19" t="s">
        <v>809</v>
      </c>
      <c r="C40" s="20" t="s">
        <v>182</v>
      </c>
      <c r="D40" s="21">
        <v>1</v>
      </c>
      <c r="E40" s="22">
        <v>3720721</v>
      </c>
      <c r="F40" s="30"/>
      <c r="G40" s="30"/>
    </row>
    <row r="41" s="29" customFormat="1" ht="28.75" spans="1:7">
      <c r="A41" s="30" t="s">
        <v>172</v>
      </c>
      <c r="B41" s="19" t="s">
        <v>809</v>
      </c>
      <c r="C41" s="16" t="s">
        <v>183</v>
      </c>
      <c r="D41" s="23">
        <v>1</v>
      </c>
      <c r="E41" s="24">
        <v>3720721</v>
      </c>
      <c r="F41" s="30"/>
      <c r="G41" s="30"/>
    </row>
    <row r="42" s="29" customFormat="1" spans="1:7">
      <c r="A42" s="30" t="s">
        <v>172</v>
      </c>
      <c r="B42" s="25"/>
      <c r="C42" s="25"/>
      <c r="D42" s="25"/>
      <c r="E42" s="25"/>
      <c r="F42" s="30"/>
      <c r="G42" s="30"/>
    </row>
    <row r="43" s="29" customFormat="1" ht="36" spans="1:7">
      <c r="A43" s="30" t="s">
        <v>172</v>
      </c>
      <c r="B43" s="26" t="s">
        <v>189</v>
      </c>
      <c r="C43" s="26" t="s">
        <v>189</v>
      </c>
      <c r="D43" s="26" t="s">
        <v>189</v>
      </c>
      <c r="E43" s="26" t="s">
        <v>189</v>
      </c>
      <c r="F43" s="30"/>
      <c r="G43" s="30"/>
    </row>
    <row r="44" s="29" customFormat="1" spans="1:7">
      <c r="A44" s="30" t="s">
        <v>172</v>
      </c>
      <c r="B44" s="26"/>
      <c r="C44" s="26"/>
      <c r="D44" s="26"/>
      <c r="E44" s="26"/>
      <c r="F44" s="30"/>
      <c r="G44" s="30"/>
    </row>
    <row r="45" s="29" customFormat="1" ht="36" spans="1:7">
      <c r="A45" s="30" t="s">
        <v>172</v>
      </c>
      <c r="B45" s="26" t="s">
        <v>806</v>
      </c>
      <c r="C45" s="26" t="s">
        <v>806</v>
      </c>
      <c r="D45" s="26" t="s">
        <v>806</v>
      </c>
      <c r="E45" s="26" t="s">
        <v>806</v>
      </c>
      <c r="F45" s="30"/>
      <c r="G45" s="30"/>
    </row>
    <row r="46" s="29" customFormat="1" spans="1:7">
      <c r="A46" s="30" t="s">
        <v>172</v>
      </c>
      <c r="B46" s="26" t="s">
        <v>198</v>
      </c>
      <c r="C46" s="26" t="s">
        <v>198</v>
      </c>
      <c r="D46" s="26" t="s">
        <v>198</v>
      </c>
      <c r="E46" s="26" t="s">
        <v>198</v>
      </c>
      <c r="F46" s="30"/>
      <c r="G46" s="30"/>
    </row>
    <row r="47" s="29" customFormat="1" ht="124" spans="1:7">
      <c r="A47" s="30" t="s">
        <v>172</v>
      </c>
      <c r="B47" s="11" t="s">
        <v>173</v>
      </c>
      <c r="C47" s="11" t="s">
        <v>173</v>
      </c>
      <c r="D47" s="11" t="s">
        <v>173</v>
      </c>
      <c r="E47" s="11" t="s">
        <v>173</v>
      </c>
    </row>
    <row r="48" s="29" customFormat="1" ht="156" spans="1:7">
      <c r="A48" s="30" t="s">
        <v>172</v>
      </c>
      <c r="B48" s="12" t="s">
        <v>174</v>
      </c>
      <c r="C48" s="12" t="s">
        <v>174</v>
      </c>
      <c r="D48" s="12" t="s">
        <v>174</v>
      </c>
      <c r="E48" s="12" t="s">
        <v>174</v>
      </c>
    </row>
    <row r="49" s="29" customFormat="1" ht="68" spans="1:5">
      <c r="A49" s="30" t="s">
        <v>172</v>
      </c>
      <c r="B49" s="13" t="s">
        <v>798</v>
      </c>
      <c r="C49" s="13" t="s">
        <v>798</v>
      </c>
      <c r="D49" s="13" t="s">
        <v>798</v>
      </c>
      <c r="E49" s="13" t="s">
        <v>798</v>
      </c>
    </row>
    <row r="50" s="29" customFormat="1" ht="22" spans="1:5">
      <c r="A50" s="30" t="s">
        <v>172</v>
      </c>
      <c r="B50" s="14" t="s">
        <v>176</v>
      </c>
      <c r="C50" s="14" t="s">
        <v>176</v>
      </c>
      <c r="D50" s="14" t="s">
        <v>176</v>
      </c>
      <c r="E50" s="14" t="s">
        <v>176</v>
      </c>
    </row>
    <row r="51" s="29" customFormat="1" spans="1:5">
      <c r="B51" s="15" t="s">
        <v>177</v>
      </c>
      <c r="C51" s="16" t="s">
        <v>178</v>
      </c>
      <c r="D51" s="17" t="s">
        <v>179</v>
      </c>
      <c r="E51" s="18" t="s">
        <v>180</v>
      </c>
    </row>
    <row r="52" s="29" customFormat="1" ht="41" spans="1:5">
      <c r="B52" s="19" t="s">
        <v>810</v>
      </c>
      <c r="C52" s="20" t="s">
        <v>182</v>
      </c>
      <c r="D52" s="21">
        <v>1</v>
      </c>
      <c r="E52" s="22">
        <v>377477.477477</v>
      </c>
    </row>
    <row r="53" s="29" customFormat="1" ht="28" spans="1:5">
      <c r="B53" s="19" t="s">
        <v>810</v>
      </c>
      <c r="C53" s="16" t="s">
        <v>183</v>
      </c>
      <c r="D53" s="23">
        <v>1</v>
      </c>
      <c r="E53" s="24">
        <v>377477.477477</v>
      </c>
    </row>
    <row r="54" s="29" customFormat="1" ht="41" spans="1:5">
      <c r="B54" s="19" t="s">
        <v>811</v>
      </c>
      <c r="C54" s="20" t="s">
        <v>182</v>
      </c>
      <c r="D54" s="21">
        <v>2</v>
      </c>
      <c r="E54" s="22">
        <v>524324.324324</v>
      </c>
    </row>
    <row r="55" s="29" customFormat="1" spans="1:5">
      <c r="B55" s="19" t="s">
        <v>811</v>
      </c>
      <c r="C55" s="16" t="s">
        <v>183</v>
      </c>
      <c r="D55" s="23">
        <v>2</v>
      </c>
      <c r="E55" s="24">
        <v>524324.324324</v>
      </c>
    </row>
    <row r="56" s="29" customFormat="1" ht="41" spans="1:5">
      <c r="B56" s="19" t="s">
        <v>812</v>
      </c>
      <c r="C56" s="20" t="s">
        <v>182</v>
      </c>
      <c r="D56" s="21">
        <v>1</v>
      </c>
      <c r="E56" s="22">
        <v>398197.990991</v>
      </c>
    </row>
    <row r="57" s="29" customFormat="1" ht="28" spans="1:5">
      <c r="B57" s="19" t="s">
        <v>812</v>
      </c>
      <c r="C57" s="16" t="s">
        <v>183</v>
      </c>
      <c r="D57" s="23">
        <v>1</v>
      </c>
      <c r="E57" s="24">
        <v>398197.990991</v>
      </c>
    </row>
    <row r="58" s="29" customFormat="1" ht="41" spans="1:5">
      <c r="B58" s="19" t="s">
        <v>813</v>
      </c>
      <c r="C58" s="20" t="s">
        <v>182</v>
      </c>
      <c r="D58" s="21">
        <v>1</v>
      </c>
      <c r="E58" s="22">
        <v>345945.945946</v>
      </c>
    </row>
    <row r="59" s="29" customFormat="1" spans="1:5">
      <c r="B59" s="19" t="s">
        <v>813</v>
      </c>
      <c r="C59" s="16" t="s">
        <v>183</v>
      </c>
      <c r="D59" s="23">
        <v>1</v>
      </c>
      <c r="E59" s="24">
        <v>345945.945946</v>
      </c>
    </row>
    <row r="60" s="29" customFormat="1" ht="41" spans="1:5">
      <c r="B60" s="19" t="s">
        <v>814</v>
      </c>
      <c r="C60" s="20" t="s">
        <v>182</v>
      </c>
      <c r="D60" s="21">
        <v>1</v>
      </c>
      <c r="E60" s="22">
        <v>348648.648649</v>
      </c>
    </row>
    <row r="61" s="29" customFormat="1" spans="1:5">
      <c r="B61" s="19" t="s">
        <v>814</v>
      </c>
      <c r="C61" s="16" t="s">
        <v>183</v>
      </c>
      <c r="D61" s="23">
        <v>1</v>
      </c>
      <c r="E61" s="24">
        <v>348648.648649</v>
      </c>
    </row>
    <row r="62" s="29" customFormat="1" ht="41" spans="1:5">
      <c r="B62" s="19" t="s">
        <v>815</v>
      </c>
      <c r="C62" s="20" t="s">
        <v>182</v>
      </c>
      <c r="D62" s="21">
        <v>1</v>
      </c>
      <c r="E62" s="22">
        <v>0</v>
      </c>
    </row>
    <row r="63" s="29" customFormat="1" ht="17.55" spans="1:5">
      <c r="B63" s="19" t="s">
        <v>815</v>
      </c>
      <c r="C63" s="16" t="s">
        <v>183</v>
      </c>
      <c r="D63" s="23">
        <v>1</v>
      </c>
      <c r="E63" s="24">
        <v>0</v>
      </c>
    </row>
    <row r="64" s="29" customFormat="1" spans="1:5">
      <c r="B64" s="25"/>
      <c r="C64" s="25"/>
      <c r="D64" s="25"/>
      <c r="E64" s="25"/>
    </row>
    <row r="65" s="29" customFormat="1" ht="36" spans="2:5">
      <c r="B65" s="26" t="s">
        <v>189</v>
      </c>
      <c r="C65" s="26" t="s">
        <v>189</v>
      </c>
      <c r="D65" s="26" t="s">
        <v>189</v>
      </c>
      <c r="E65" s="26" t="s">
        <v>189</v>
      </c>
    </row>
    <row r="66" s="29" customFormat="1" spans="2:5">
      <c r="B66" s="26"/>
      <c r="C66" s="26"/>
      <c r="D66" s="26"/>
      <c r="E66" s="26"/>
    </row>
    <row r="67" s="29" customFormat="1" ht="36" spans="2:5">
      <c r="B67" s="26" t="s">
        <v>806</v>
      </c>
      <c r="C67" s="26" t="s">
        <v>806</v>
      </c>
      <c r="D67" s="26" t="s">
        <v>806</v>
      </c>
      <c r="E67" s="26" t="s">
        <v>806</v>
      </c>
    </row>
    <row r="68" s="29" customFormat="1" spans="2:5">
      <c r="B68" s="26" t="s">
        <v>205</v>
      </c>
      <c r="C68" s="26" t="s">
        <v>205</v>
      </c>
      <c r="D68" s="26" t="s">
        <v>205</v>
      </c>
      <c r="E68" s="26" t="s">
        <v>205</v>
      </c>
    </row>
    <row r="69" s="29" customFormat="1" ht="124" spans="2:5">
      <c r="B69" s="11" t="s">
        <v>173</v>
      </c>
      <c r="C69" s="11" t="s">
        <v>173</v>
      </c>
      <c r="D69" s="11" t="s">
        <v>173</v>
      </c>
      <c r="E69" s="11" t="s">
        <v>173</v>
      </c>
    </row>
    <row r="70" s="29" customFormat="1" ht="156" spans="2:5">
      <c r="B70" s="12" t="s">
        <v>174</v>
      </c>
      <c r="C70" s="12" t="s">
        <v>174</v>
      </c>
      <c r="D70" s="12" t="s">
        <v>174</v>
      </c>
      <c r="E70" s="12" t="s">
        <v>174</v>
      </c>
    </row>
    <row r="71" s="29" customFormat="1" ht="68" spans="2:5">
      <c r="B71" s="13" t="s">
        <v>798</v>
      </c>
      <c r="C71" s="13" t="s">
        <v>798</v>
      </c>
      <c r="D71" s="13" t="s">
        <v>798</v>
      </c>
      <c r="E71" s="13" t="s">
        <v>798</v>
      </c>
    </row>
    <row r="72" s="29" customFormat="1" ht="22" spans="2:5">
      <c r="B72" s="14" t="s">
        <v>176</v>
      </c>
      <c r="C72" s="14" t="s">
        <v>176</v>
      </c>
      <c r="D72" s="14" t="s">
        <v>176</v>
      </c>
      <c r="E72" s="14" t="s">
        <v>176</v>
      </c>
    </row>
    <row r="73" s="29" customFormat="1" spans="2:5">
      <c r="B73" s="15" t="s">
        <v>177</v>
      </c>
      <c r="C73" s="16" t="s">
        <v>178</v>
      </c>
      <c r="D73" s="17" t="s">
        <v>179</v>
      </c>
      <c r="E73" s="18" t="s">
        <v>180</v>
      </c>
    </row>
    <row r="74" s="29" customFormat="1" ht="41" spans="2:5">
      <c r="B74" s="19" t="s">
        <v>403</v>
      </c>
      <c r="C74" s="20" t="s">
        <v>182</v>
      </c>
      <c r="D74" s="21">
        <v>1</v>
      </c>
      <c r="E74" s="22">
        <v>228829</v>
      </c>
    </row>
    <row r="75" s="29" customFormat="1" spans="2:5">
      <c r="B75" s="19" t="s">
        <v>403</v>
      </c>
      <c r="C75" s="16" t="s">
        <v>183</v>
      </c>
      <c r="D75" s="23">
        <v>1</v>
      </c>
      <c r="E75" s="24">
        <v>228829</v>
      </c>
    </row>
    <row r="76" s="29" customFormat="1" ht="41" spans="2:5">
      <c r="B76" s="19" t="s">
        <v>816</v>
      </c>
      <c r="C76" s="20" t="s">
        <v>182</v>
      </c>
      <c r="D76" s="21">
        <v>1</v>
      </c>
      <c r="E76" s="22">
        <v>0</v>
      </c>
    </row>
    <row r="77" s="29" customFormat="1" spans="2:5">
      <c r="B77" s="19" t="s">
        <v>816</v>
      </c>
      <c r="C77" s="16" t="s">
        <v>183</v>
      </c>
      <c r="D77" s="23">
        <v>1</v>
      </c>
      <c r="E77" s="24">
        <v>0</v>
      </c>
    </row>
    <row r="78" s="29" customFormat="1" ht="28" spans="2:5">
      <c r="B78" s="19" t="s">
        <v>187</v>
      </c>
      <c r="C78" s="20" t="s">
        <v>804</v>
      </c>
      <c r="D78" s="21">
        <v>3</v>
      </c>
      <c r="E78" s="22">
        <v>270270.27027</v>
      </c>
    </row>
    <row r="79" s="29" customFormat="1" spans="2:5">
      <c r="B79" s="19" t="s">
        <v>187</v>
      </c>
      <c r="C79" s="16" t="s">
        <v>183</v>
      </c>
      <c r="D79" s="23">
        <v>3</v>
      </c>
      <c r="E79" s="24">
        <v>270270.27027</v>
      </c>
    </row>
    <row r="80" s="29" customFormat="1" ht="41" spans="2:5">
      <c r="B80" s="19" t="s">
        <v>406</v>
      </c>
      <c r="C80" s="20" t="s">
        <v>182</v>
      </c>
      <c r="D80" s="21">
        <v>1</v>
      </c>
      <c r="E80" s="22">
        <v>206306.306306</v>
      </c>
    </row>
    <row r="81" s="29" customFormat="1" ht="28" spans="2:5">
      <c r="B81" s="19" t="s">
        <v>406</v>
      </c>
      <c r="C81" s="20" t="s">
        <v>804</v>
      </c>
      <c r="D81" s="21">
        <v>5</v>
      </c>
      <c r="E81" s="22">
        <v>1031531.53153</v>
      </c>
    </row>
    <row r="82" s="29" customFormat="1" spans="2:5">
      <c r="B82" s="19" t="s">
        <v>406</v>
      </c>
      <c r="C82" s="16" t="s">
        <v>183</v>
      </c>
      <c r="D82" s="23">
        <v>6</v>
      </c>
      <c r="E82" s="24">
        <v>1237837.837836</v>
      </c>
    </row>
    <row r="83" s="29" customFormat="1" ht="41" spans="2:5">
      <c r="B83" s="19" t="s">
        <v>351</v>
      </c>
      <c r="C83" s="20" t="s">
        <v>182</v>
      </c>
      <c r="D83" s="21">
        <v>1</v>
      </c>
      <c r="E83" s="22">
        <v>138739</v>
      </c>
    </row>
    <row r="84" s="29" customFormat="1" ht="28" spans="2:5">
      <c r="B84" s="19" t="s">
        <v>351</v>
      </c>
      <c r="C84" s="20" t="s">
        <v>804</v>
      </c>
      <c r="D84" s="21">
        <v>1</v>
      </c>
      <c r="E84" s="22">
        <v>138738.279279</v>
      </c>
    </row>
    <row r="85" s="29" customFormat="1" spans="2:5">
      <c r="B85" s="19" t="s">
        <v>351</v>
      </c>
      <c r="C85" s="16" t="s">
        <v>183</v>
      </c>
      <c r="D85" s="23">
        <v>2</v>
      </c>
      <c r="E85" s="24">
        <v>277477.279279</v>
      </c>
    </row>
    <row r="86" s="29" customFormat="1" ht="41" spans="2:5">
      <c r="B86" s="19" t="s">
        <v>188</v>
      </c>
      <c r="C86" s="20" t="s">
        <v>182</v>
      </c>
      <c r="D86" s="21">
        <v>1</v>
      </c>
      <c r="E86" s="22">
        <v>86486</v>
      </c>
    </row>
    <row r="87" s="29" customFormat="1" ht="28.75" spans="2:5">
      <c r="B87" s="19" t="s">
        <v>188</v>
      </c>
      <c r="C87" s="16" t="s">
        <v>183</v>
      </c>
      <c r="D87" s="23">
        <v>1</v>
      </c>
      <c r="E87" s="24">
        <v>86486</v>
      </c>
    </row>
    <row r="88" s="29" customFormat="1" spans="2:5">
      <c r="B88" s="25"/>
      <c r="C88" s="25"/>
      <c r="D88" s="25"/>
      <c r="E88" s="25"/>
    </row>
    <row r="89" s="29" customFormat="1" ht="36" spans="2:5">
      <c r="B89" s="26" t="s">
        <v>189</v>
      </c>
      <c r="C89" s="26" t="s">
        <v>189</v>
      </c>
      <c r="D89" s="26" t="s">
        <v>189</v>
      </c>
      <c r="E89" s="26" t="s">
        <v>189</v>
      </c>
    </row>
    <row r="90" s="29" customFormat="1" spans="2:5">
      <c r="B90" s="26"/>
      <c r="C90" s="26"/>
      <c r="D90" s="26"/>
      <c r="E90" s="26"/>
    </row>
    <row r="91" s="29" customFormat="1" ht="36" spans="2:5">
      <c r="B91" s="26" t="s">
        <v>806</v>
      </c>
      <c r="C91" s="26" t="s">
        <v>806</v>
      </c>
      <c r="D91" s="26" t="s">
        <v>806</v>
      </c>
      <c r="E91" s="26" t="s">
        <v>806</v>
      </c>
    </row>
    <row r="92" s="29" customFormat="1" spans="2:5">
      <c r="B92" s="26" t="s">
        <v>212</v>
      </c>
      <c r="C92" s="26" t="s">
        <v>212</v>
      </c>
      <c r="D92" s="26" t="s">
        <v>212</v>
      </c>
      <c r="E92" s="26" t="s">
        <v>212</v>
      </c>
    </row>
    <row r="93" s="29" customFormat="1" ht="124" spans="2:5">
      <c r="B93" s="11" t="s">
        <v>173</v>
      </c>
      <c r="C93" s="11" t="s">
        <v>173</v>
      </c>
      <c r="D93" s="11" t="s">
        <v>173</v>
      </c>
      <c r="E93" s="11" t="s">
        <v>173</v>
      </c>
    </row>
    <row r="94" s="29" customFormat="1" ht="156" spans="2:5">
      <c r="B94" s="12" t="s">
        <v>174</v>
      </c>
      <c r="C94" s="12" t="s">
        <v>174</v>
      </c>
      <c r="D94" s="12" t="s">
        <v>174</v>
      </c>
      <c r="E94" s="12" t="s">
        <v>174</v>
      </c>
    </row>
    <row r="95" s="29" customFormat="1" ht="68" spans="2:5">
      <c r="B95" s="13" t="s">
        <v>798</v>
      </c>
      <c r="C95" s="13" t="s">
        <v>798</v>
      </c>
      <c r="D95" s="13" t="s">
        <v>798</v>
      </c>
      <c r="E95" s="13" t="s">
        <v>798</v>
      </c>
    </row>
    <row r="96" s="29" customFormat="1" ht="22" spans="2:5">
      <c r="B96" s="14" t="s">
        <v>176</v>
      </c>
      <c r="C96" s="14" t="s">
        <v>176</v>
      </c>
      <c r="D96" s="14" t="s">
        <v>176</v>
      </c>
      <c r="E96" s="14" t="s">
        <v>176</v>
      </c>
    </row>
    <row r="97" s="29" customFormat="1" spans="2:5">
      <c r="B97" s="15" t="s">
        <v>177</v>
      </c>
      <c r="C97" s="16" t="s">
        <v>178</v>
      </c>
      <c r="D97" s="17" t="s">
        <v>179</v>
      </c>
      <c r="E97" s="18" t="s">
        <v>180</v>
      </c>
    </row>
    <row r="98" s="29" customFormat="1" ht="41" spans="2:5">
      <c r="B98" s="19" t="s">
        <v>407</v>
      </c>
      <c r="C98" s="20" t="s">
        <v>182</v>
      </c>
      <c r="D98" s="21">
        <v>1</v>
      </c>
      <c r="E98" s="22">
        <v>79279.279279</v>
      </c>
    </row>
    <row r="99" s="29" customFormat="1" ht="28" spans="2:5">
      <c r="B99" s="19" t="s">
        <v>407</v>
      </c>
      <c r="C99" s="16" t="s">
        <v>183</v>
      </c>
      <c r="D99" s="23">
        <v>1</v>
      </c>
      <c r="E99" s="24">
        <v>79279.279279</v>
      </c>
    </row>
    <row r="100" s="29" customFormat="1" ht="41" spans="2:5">
      <c r="B100" s="19" t="s">
        <v>817</v>
      </c>
      <c r="C100" s="20" t="s">
        <v>182</v>
      </c>
      <c r="D100" s="21">
        <v>2</v>
      </c>
      <c r="E100" s="22">
        <v>665855.855855</v>
      </c>
    </row>
    <row r="101" s="29" customFormat="1" ht="28" spans="2:5">
      <c r="B101" s="19" t="s">
        <v>817</v>
      </c>
      <c r="C101" s="16" t="s">
        <v>183</v>
      </c>
      <c r="D101" s="23">
        <v>2</v>
      </c>
      <c r="E101" s="24">
        <v>665855.855855</v>
      </c>
    </row>
    <row r="102" s="29" customFormat="1" ht="41" spans="2:5">
      <c r="B102" s="19" t="s">
        <v>408</v>
      </c>
      <c r="C102" s="20" t="s">
        <v>182</v>
      </c>
      <c r="D102" s="21">
        <v>6</v>
      </c>
      <c r="E102" s="22">
        <v>37837.846847</v>
      </c>
    </row>
    <row r="103" s="29" customFormat="1" ht="28" spans="2:5">
      <c r="B103" s="19" t="s">
        <v>408</v>
      </c>
      <c r="C103" s="20" t="s">
        <v>804</v>
      </c>
      <c r="D103" s="21">
        <v>2</v>
      </c>
      <c r="E103" s="22">
        <v>12612.612613</v>
      </c>
    </row>
    <row r="104" s="29" customFormat="1" ht="28" spans="2:5">
      <c r="B104" s="19" t="s">
        <v>408</v>
      </c>
      <c r="C104" s="16" t="s">
        <v>183</v>
      </c>
      <c r="D104" s="23">
        <v>8</v>
      </c>
      <c r="E104" s="24">
        <v>50450.45946</v>
      </c>
    </row>
    <row r="105" s="29" customFormat="1" ht="41" spans="2:5">
      <c r="B105" s="19" t="s">
        <v>818</v>
      </c>
      <c r="C105" s="20" t="s">
        <v>182</v>
      </c>
      <c r="D105" s="21">
        <v>1</v>
      </c>
      <c r="E105" s="22">
        <v>9009.009009</v>
      </c>
    </row>
    <row r="106" s="29" customFormat="1" ht="28" spans="2:5">
      <c r="B106" s="19" t="s">
        <v>818</v>
      </c>
      <c r="C106" s="16" t="s">
        <v>183</v>
      </c>
      <c r="D106" s="23">
        <v>1</v>
      </c>
      <c r="E106" s="24">
        <v>9009.009009</v>
      </c>
    </row>
    <row r="107" s="29" customFormat="1" ht="41" spans="2:5">
      <c r="B107" s="19" t="s">
        <v>409</v>
      </c>
      <c r="C107" s="20" t="s">
        <v>182</v>
      </c>
      <c r="D107" s="21">
        <v>3</v>
      </c>
      <c r="E107" s="22">
        <v>18919.306306</v>
      </c>
    </row>
    <row r="108" s="29" customFormat="1" ht="28" spans="2:5">
      <c r="B108" s="19" t="s">
        <v>409</v>
      </c>
      <c r="C108" s="16" t="s">
        <v>183</v>
      </c>
      <c r="D108" s="23">
        <v>3</v>
      </c>
      <c r="E108" s="24">
        <v>18919.306306</v>
      </c>
    </row>
    <row r="109" s="29" customFormat="1" ht="41" spans="2:5">
      <c r="B109" s="19" t="s">
        <v>489</v>
      </c>
      <c r="C109" s="20" t="s">
        <v>182</v>
      </c>
      <c r="D109" s="21">
        <v>2</v>
      </c>
      <c r="E109" s="22">
        <v>46846.846846</v>
      </c>
    </row>
    <row r="110" s="29" customFormat="1" ht="28.75" spans="2:5">
      <c r="B110" s="19" t="s">
        <v>489</v>
      </c>
      <c r="C110" s="16" t="s">
        <v>183</v>
      </c>
      <c r="D110" s="23">
        <v>2</v>
      </c>
      <c r="E110" s="24">
        <v>46846.846846</v>
      </c>
    </row>
    <row r="111" s="29" customFormat="1" spans="2:5">
      <c r="B111" s="25"/>
      <c r="C111" s="25"/>
      <c r="D111" s="25"/>
      <c r="E111" s="25"/>
    </row>
    <row r="112" s="29" customFormat="1" ht="36" spans="2:5">
      <c r="B112" s="26" t="s">
        <v>189</v>
      </c>
      <c r="C112" s="26" t="s">
        <v>189</v>
      </c>
      <c r="D112" s="26" t="s">
        <v>189</v>
      </c>
      <c r="E112" s="26" t="s">
        <v>189</v>
      </c>
    </row>
    <row r="113" s="29" customFormat="1" spans="2:5">
      <c r="B113" s="26"/>
      <c r="C113" s="26"/>
      <c r="D113" s="26"/>
      <c r="E113" s="26"/>
    </row>
    <row r="114" s="29" customFormat="1" ht="36" spans="2:5">
      <c r="B114" s="26" t="s">
        <v>806</v>
      </c>
      <c r="C114" s="26" t="s">
        <v>806</v>
      </c>
      <c r="D114" s="26" t="s">
        <v>806</v>
      </c>
      <c r="E114" s="26" t="s">
        <v>806</v>
      </c>
    </row>
    <row r="115" s="29" customFormat="1" spans="2:5">
      <c r="B115" s="26" t="s">
        <v>219</v>
      </c>
      <c r="C115" s="26" t="s">
        <v>219</v>
      </c>
      <c r="D115" s="26" t="s">
        <v>219</v>
      </c>
      <c r="E115" s="26" t="s">
        <v>219</v>
      </c>
    </row>
    <row r="116" s="29" customFormat="1" ht="124" spans="2:5">
      <c r="B116" s="11" t="s">
        <v>173</v>
      </c>
      <c r="C116" s="11" t="s">
        <v>173</v>
      </c>
      <c r="D116" s="11" t="s">
        <v>173</v>
      </c>
      <c r="E116" s="11" t="s">
        <v>173</v>
      </c>
    </row>
    <row r="117" s="29" customFormat="1" ht="156" spans="2:5">
      <c r="B117" s="12" t="s">
        <v>174</v>
      </c>
      <c r="C117" s="12" t="s">
        <v>174</v>
      </c>
      <c r="D117" s="12" t="s">
        <v>174</v>
      </c>
      <c r="E117" s="12" t="s">
        <v>174</v>
      </c>
    </row>
    <row r="118" s="29" customFormat="1" ht="68" spans="2:5">
      <c r="B118" s="13" t="s">
        <v>798</v>
      </c>
      <c r="C118" s="13" t="s">
        <v>798</v>
      </c>
      <c r="D118" s="13" t="s">
        <v>798</v>
      </c>
      <c r="E118" s="13" t="s">
        <v>798</v>
      </c>
    </row>
    <row r="119" s="29" customFormat="1" ht="22" spans="2:5">
      <c r="B119" s="14" t="s">
        <v>176</v>
      </c>
      <c r="C119" s="14" t="s">
        <v>176</v>
      </c>
      <c r="D119" s="14" t="s">
        <v>176</v>
      </c>
      <c r="E119" s="14" t="s">
        <v>176</v>
      </c>
    </row>
    <row r="120" s="29" customFormat="1" spans="2:5">
      <c r="B120" s="15" t="s">
        <v>177</v>
      </c>
      <c r="C120" s="16" t="s">
        <v>178</v>
      </c>
      <c r="D120" s="17" t="s">
        <v>179</v>
      </c>
      <c r="E120" s="18" t="s">
        <v>180</v>
      </c>
    </row>
    <row r="121" s="29" customFormat="1" ht="41" spans="2:5">
      <c r="B121" s="19" t="s">
        <v>353</v>
      </c>
      <c r="C121" s="20" t="s">
        <v>182</v>
      </c>
      <c r="D121" s="21">
        <v>1</v>
      </c>
      <c r="E121" s="22">
        <v>16216.216216</v>
      </c>
    </row>
    <row r="122" s="29" customFormat="1" ht="28" spans="2:5">
      <c r="B122" s="19" t="s">
        <v>353</v>
      </c>
      <c r="C122" s="16" t="s">
        <v>183</v>
      </c>
      <c r="D122" s="23">
        <v>1</v>
      </c>
      <c r="E122" s="24">
        <v>16216.216216</v>
      </c>
    </row>
    <row r="123" s="29" customFormat="1" ht="41" spans="2:5">
      <c r="B123" s="19" t="s">
        <v>354</v>
      </c>
      <c r="C123" s="20" t="s">
        <v>182</v>
      </c>
      <c r="D123" s="21">
        <v>12</v>
      </c>
      <c r="E123" s="22">
        <v>54056.03604</v>
      </c>
    </row>
    <row r="124" s="29" customFormat="1" ht="28" spans="2:5">
      <c r="B124" s="19" t="s">
        <v>354</v>
      </c>
      <c r="C124" s="16" t="s">
        <v>183</v>
      </c>
      <c r="D124" s="23">
        <v>12</v>
      </c>
      <c r="E124" s="24">
        <v>54056.03604</v>
      </c>
    </row>
    <row r="125" s="29" customFormat="1" ht="41" spans="2:5">
      <c r="B125" s="19" t="s">
        <v>194</v>
      </c>
      <c r="C125" s="20" t="s">
        <v>182</v>
      </c>
      <c r="D125" s="21">
        <v>38</v>
      </c>
      <c r="E125" s="22">
        <v>0</v>
      </c>
    </row>
    <row r="126" s="29" customFormat="1" ht="28" spans="2:5">
      <c r="B126" s="19" t="s">
        <v>194</v>
      </c>
      <c r="C126" s="20" t="s">
        <v>804</v>
      </c>
      <c r="D126" s="21">
        <v>1</v>
      </c>
      <c r="E126" s="22">
        <v>0</v>
      </c>
    </row>
    <row r="127" s="29" customFormat="1" spans="2:5">
      <c r="B127" s="19" t="s">
        <v>194</v>
      </c>
      <c r="C127" s="16" t="s">
        <v>183</v>
      </c>
      <c r="D127" s="23">
        <v>39</v>
      </c>
      <c r="E127" s="24">
        <v>0</v>
      </c>
    </row>
    <row r="128" s="29" customFormat="1" ht="41" spans="2:5">
      <c r="B128" s="19" t="s">
        <v>195</v>
      </c>
      <c r="C128" s="20" t="s">
        <v>182</v>
      </c>
      <c r="D128" s="21">
        <v>15</v>
      </c>
      <c r="E128" s="22">
        <v>0</v>
      </c>
    </row>
    <row r="129" s="29" customFormat="1" ht="28" spans="2:5">
      <c r="B129" s="19" t="s">
        <v>195</v>
      </c>
      <c r="C129" s="20" t="s">
        <v>804</v>
      </c>
      <c r="D129" s="21">
        <v>17</v>
      </c>
      <c r="E129" s="22">
        <v>41441.441441</v>
      </c>
    </row>
    <row r="130" s="29" customFormat="1" spans="2:5">
      <c r="B130" s="19" t="s">
        <v>195</v>
      </c>
      <c r="C130" s="16" t="s">
        <v>183</v>
      </c>
      <c r="D130" s="23">
        <v>32</v>
      </c>
      <c r="E130" s="24">
        <v>41441.441441</v>
      </c>
    </row>
    <row r="131" s="29" customFormat="1" ht="41" spans="2:5">
      <c r="B131" s="19" t="s">
        <v>196</v>
      </c>
      <c r="C131" s="20" t="s">
        <v>182</v>
      </c>
      <c r="D131" s="21">
        <v>5</v>
      </c>
      <c r="E131" s="22">
        <v>0</v>
      </c>
    </row>
    <row r="132" s="29" customFormat="1" ht="28" spans="2:5">
      <c r="B132" s="19" t="s">
        <v>196</v>
      </c>
      <c r="C132" s="20" t="s">
        <v>804</v>
      </c>
      <c r="D132" s="21">
        <v>6</v>
      </c>
      <c r="E132" s="22">
        <v>0</v>
      </c>
    </row>
    <row r="133" s="29" customFormat="1" ht="17.55" spans="2:5">
      <c r="B133" s="19" t="s">
        <v>196</v>
      </c>
      <c r="C133" s="16" t="s">
        <v>183</v>
      </c>
      <c r="D133" s="23">
        <v>11</v>
      </c>
      <c r="E133" s="24">
        <v>0</v>
      </c>
    </row>
    <row r="134" s="29" customFormat="1" spans="2:5">
      <c r="B134" s="25"/>
      <c r="C134" s="25"/>
      <c r="D134" s="25"/>
      <c r="E134" s="25"/>
    </row>
    <row r="135" s="29" customFormat="1" ht="36" spans="2:5">
      <c r="B135" s="26" t="s">
        <v>189</v>
      </c>
      <c r="C135" s="26" t="s">
        <v>189</v>
      </c>
      <c r="D135" s="26" t="s">
        <v>189</v>
      </c>
      <c r="E135" s="26" t="s">
        <v>189</v>
      </c>
    </row>
    <row r="136" s="29" customFormat="1" spans="2:5">
      <c r="B136" s="26"/>
      <c r="C136" s="26"/>
      <c r="D136" s="26"/>
      <c r="E136" s="26"/>
    </row>
    <row r="137" s="29" customFormat="1" ht="36" spans="2:5">
      <c r="B137" s="26" t="s">
        <v>806</v>
      </c>
      <c r="C137" s="26" t="s">
        <v>806</v>
      </c>
      <c r="D137" s="26" t="s">
        <v>806</v>
      </c>
      <c r="E137" s="26" t="s">
        <v>806</v>
      </c>
    </row>
    <row r="138" s="29" customFormat="1" spans="2:5">
      <c r="B138" s="26" t="s">
        <v>226</v>
      </c>
      <c r="C138" s="26" t="s">
        <v>226</v>
      </c>
      <c r="D138" s="26" t="s">
        <v>226</v>
      </c>
      <c r="E138" s="26" t="s">
        <v>226</v>
      </c>
    </row>
    <row r="139" s="29" customFormat="1" ht="124" spans="2:5">
      <c r="B139" s="11" t="s">
        <v>173</v>
      </c>
      <c r="C139" s="11" t="s">
        <v>173</v>
      </c>
      <c r="D139" s="11" t="s">
        <v>173</v>
      </c>
      <c r="E139" s="11" t="s">
        <v>173</v>
      </c>
    </row>
    <row r="140" s="29" customFormat="1" ht="156" spans="2:5">
      <c r="B140" s="12" t="s">
        <v>174</v>
      </c>
      <c r="C140" s="12" t="s">
        <v>174</v>
      </c>
      <c r="D140" s="12" t="s">
        <v>174</v>
      </c>
      <c r="E140" s="12" t="s">
        <v>174</v>
      </c>
    </row>
    <row r="141" s="29" customFormat="1" ht="68" spans="2:5">
      <c r="B141" s="13" t="s">
        <v>798</v>
      </c>
      <c r="C141" s="13" t="s">
        <v>798</v>
      </c>
      <c r="D141" s="13" t="s">
        <v>798</v>
      </c>
      <c r="E141" s="13" t="s">
        <v>798</v>
      </c>
    </row>
    <row r="142" s="29" customFormat="1" ht="22" spans="2:5">
      <c r="B142" s="14" t="s">
        <v>176</v>
      </c>
      <c r="C142" s="14" t="s">
        <v>176</v>
      </c>
      <c r="D142" s="14" t="s">
        <v>176</v>
      </c>
      <c r="E142" s="14" t="s">
        <v>176</v>
      </c>
    </row>
    <row r="143" s="29" customFormat="1" spans="2:5">
      <c r="B143" s="15" t="s">
        <v>177</v>
      </c>
      <c r="C143" s="16" t="s">
        <v>178</v>
      </c>
      <c r="D143" s="17" t="s">
        <v>179</v>
      </c>
      <c r="E143" s="18" t="s">
        <v>180</v>
      </c>
    </row>
    <row r="144" s="29" customFormat="1" ht="41" spans="2:5">
      <c r="B144" s="19" t="s">
        <v>197</v>
      </c>
      <c r="C144" s="20" t="s">
        <v>182</v>
      </c>
      <c r="D144" s="21">
        <v>20</v>
      </c>
      <c r="E144" s="22">
        <v>0</v>
      </c>
    </row>
    <row r="145" s="29" customFormat="1" spans="2:5">
      <c r="B145" s="19" t="s">
        <v>197</v>
      </c>
      <c r="C145" s="16" t="s">
        <v>183</v>
      </c>
      <c r="D145" s="23">
        <v>20</v>
      </c>
      <c r="E145" s="24">
        <v>0</v>
      </c>
    </row>
    <row r="146" s="29" customFormat="1" ht="28" spans="2:5">
      <c r="B146" s="19" t="s">
        <v>410</v>
      </c>
      <c r="C146" s="20" t="s">
        <v>804</v>
      </c>
      <c r="D146" s="21">
        <v>2</v>
      </c>
      <c r="E146" s="22">
        <v>0</v>
      </c>
    </row>
    <row r="147" s="29" customFormat="1" spans="2:5">
      <c r="B147" s="19" t="s">
        <v>410</v>
      </c>
      <c r="C147" s="16" t="s">
        <v>183</v>
      </c>
      <c r="D147" s="23">
        <v>2</v>
      </c>
      <c r="E147" s="24">
        <v>0</v>
      </c>
    </row>
    <row r="148" s="29" customFormat="1" ht="41" spans="2:5">
      <c r="B148" s="19" t="s">
        <v>199</v>
      </c>
      <c r="C148" s="20" t="s">
        <v>182</v>
      </c>
      <c r="D148" s="21">
        <v>74</v>
      </c>
      <c r="E148" s="22">
        <v>129729.729729</v>
      </c>
    </row>
    <row r="149" s="29" customFormat="1" ht="28" spans="2:5">
      <c r="B149" s="19" t="s">
        <v>199</v>
      </c>
      <c r="C149" s="20" t="s">
        <v>804</v>
      </c>
      <c r="D149" s="21">
        <v>2</v>
      </c>
      <c r="E149" s="22">
        <v>43243.243243</v>
      </c>
    </row>
    <row r="150" s="29" customFormat="1" spans="2:5">
      <c r="B150" s="19" t="s">
        <v>199</v>
      </c>
      <c r="C150" s="16" t="s">
        <v>183</v>
      </c>
      <c r="D150" s="23">
        <v>76</v>
      </c>
      <c r="E150" s="24">
        <v>172972.972972</v>
      </c>
    </row>
    <row r="151" s="29" customFormat="1" ht="41" spans="2:5">
      <c r="B151" s="19" t="s">
        <v>200</v>
      </c>
      <c r="C151" s="20" t="s">
        <v>182</v>
      </c>
      <c r="D151" s="21">
        <v>16</v>
      </c>
      <c r="E151" s="22">
        <v>151351.35135</v>
      </c>
    </row>
    <row r="152" s="29" customFormat="1" ht="28" spans="2:5">
      <c r="B152" s="19" t="s">
        <v>200</v>
      </c>
      <c r="C152" s="20" t="s">
        <v>804</v>
      </c>
      <c r="D152" s="21">
        <v>1</v>
      </c>
      <c r="E152" s="22">
        <v>0</v>
      </c>
    </row>
    <row r="153" s="29" customFormat="1" spans="2:5">
      <c r="B153" s="19" t="s">
        <v>200</v>
      </c>
      <c r="C153" s="16" t="s">
        <v>183</v>
      </c>
      <c r="D153" s="23">
        <v>17</v>
      </c>
      <c r="E153" s="24">
        <v>151351.35135</v>
      </c>
    </row>
    <row r="154" s="29" customFormat="1" ht="41" spans="2:5">
      <c r="B154" s="19" t="s">
        <v>201</v>
      </c>
      <c r="C154" s="20" t="s">
        <v>182</v>
      </c>
      <c r="D154" s="21">
        <v>2</v>
      </c>
      <c r="E154" s="22">
        <v>0</v>
      </c>
    </row>
    <row r="155" s="29" customFormat="1" spans="2:5">
      <c r="B155" s="19" t="s">
        <v>201</v>
      </c>
      <c r="C155" s="16" t="s">
        <v>183</v>
      </c>
      <c r="D155" s="23">
        <v>2</v>
      </c>
      <c r="E155" s="24">
        <v>0</v>
      </c>
    </row>
    <row r="156" s="29" customFormat="1" ht="41" spans="2:5">
      <c r="B156" s="19" t="s">
        <v>819</v>
      </c>
      <c r="C156" s="20" t="s">
        <v>182</v>
      </c>
      <c r="D156" s="21">
        <v>1</v>
      </c>
      <c r="E156" s="22">
        <v>0</v>
      </c>
    </row>
    <row r="157" s="29" customFormat="1" ht="17.55" spans="2:5">
      <c r="B157" s="19" t="s">
        <v>819</v>
      </c>
      <c r="C157" s="16" t="s">
        <v>183</v>
      </c>
      <c r="D157" s="23">
        <v>1</v>
      </c>
      <c r="E157" s="24">
        <v>0</v>
      </c>
    </row>
    <row r="158" s="29" customFormat="1" spans="2:5">
      <c r="B158" s="25"/>
      <c r="C158" s="25"/>
      <c r="D158" s="25"/>
      <c r="E158" s="25"/>
    </row>
    <row r="159" s="29" customFormat="1" ht="36" spans="2:5">
      <c r="B159" s="26" t="s">
        <v>189</v>
      </c>
      <c r="C159" s="26" t="s">
        <v>189</v>
      </c>
      <c r="D159" s="26" t="s">
        <v>189</v>
      </c>
      <c r="E159" s="26" t="s">
        <v>189</v>
      </c>
    </row>
    <row r="160" s="29" customFormat="1" spans="2:5">
      <c r="B160" s="26"/>
      <c r="C160" s="26"/>
      <c r="D160" s="26"/>
      <c r="E160" s="26"/>
    </row>
    <row r="161" s="29" customFormat="1" ht="36" spans="2:5">
      <c r="B161" s="26" t="s">
        <v>806</v>
      </c>
      <c r="C161" s="26" t="s">
        <v>806</v>
      </c>
      <c r="D161" s="26" t="s">
        <v>806</v>
      </c>
      <c r="E161" s="26" t="s">
        <v>806</v>
      </c>
    </row>
    <row r="162" s="29" customFormat="1" spans="2:5">
      <c r="B162" s="26" t="s">
        <v>233</v>
      </c>
      <c r="C162" s="26" t="s">
        <v>233</v>
      </c>
      <c r="D162" s="26" t="s">
        <v>233</v>
      </c>
      <c r="E162" s="26" t="s">
        <v>233</v>
      </c>
    </row>
    <row r="163" s="29" customFormat="1" ht="124" spans="2:5">
      <c r="B163" s="11" t="s">
        <v>173</v>
      </c>
      <c r="C163" s="11" t="s">
        <v>173</v>
      </c>
      <c r="D163" s="11" t="s">
        <v>173</v>
      </c>
      <c r="E163" s="11" t="s">
        <v>173</v>
      </c>
    </row>
    <row r="164" s="29" customFormat="1" ht="156" spans="2:5">
      <c r="B164" s="12" t="s">
        <v>174</v>
      </c>
      <c r="C164" s="12" t="s">
        <v>174</v>
      </c>
      <c r="D164" s="12" t="s">
        <v>174</v>
      </c>
      <c r="E164" s="12" t="s">
        <v>174</v>
      </c>
    </row>
    <row r="165" s="29" customFormat="1" ht="68" spans="2:5">
      <c r="B165" s="13" t="s">
        <v>798</v>
      </c>
      <c r="C165" s="13" t="s">
        <v>798</v>
      </c>
      <c r="D165" s="13" t="s">
        <v>798</v>
      </c>
      <c r="E165" s="13" t="s">
        <v>798</v>
      </c>
    </row>
    <row r="166" s="29" customFormat="1" ht="22" spans="2:5">
      <c r="B166" s="14" t="s">
        <v>176</v>
      </c>
      <c r="C166" s="14" t="s">
        <v>176</v>
      </c>
      <c r="D166" s="14" t="s">
        <v>176</v>
      </c>
      <c r="E166" s="14" t="s">
        <v>176</v>
      </c>
    </row>
    <row r="167" s="29" customFormat="1" spans="2:5">
      <c r="B167" s="15" t="s">
        <v>177</v>
      </c>
      <c r="C167" s="16" t="s">
        <v>178</v>
      </c>
      <c r="D167" s="17" t="s">
        <v>179</v>
      </c>
      <c r="E167" s="18" t="s">
        <v>180</v>
      </c>
    </row>
    <row r="168" s="29" customFormat="1" ht="41" spans="2:5">
      <c r="B168" s="19" t="s">
        <v>411</v>
      </c>
      <c r="C168" s="20" t="s">
        <v>182</v>
      </c>
      <c r="D168" s="21">
        <v>32</v>
      </c>
      <c r="E168" s="22">
        <v>690089.882883</v>
      </c>
    </row>
    <row r="169" s="29" customFormat="1" ht="28" spans="2:5">
      <c r="B169" s="19" t="s">
        <v>411</v>
      </c>
      <c r="C169" s="16" t="s">
        <v>183</v>
      </c>
      <c r="D169" s="23">
        <v>32</v>
      </c>
      <c r="E169" s="24">
        <v>690089.882883</v>
      </c>
    </row>
    <row r="170" s="29" customFormat="1" ht="41" spans="2:5">
      <c r="B170" s="19" t="s">
        <v>412</v>
      </c>
      <c r="C170" s="20" t="s">
        <v>182</v>
      </c>
      <c r="D170" s="21">
        <v>44</v>
      </c>
      <c r="E170" s="22">
        <v>951351.351346</v>
      </c>
    </row>
    <row r="171" s="29" customFormat="1" ht="28" spans="2:5">
      <c r="B171" s="19" t="s">
        <v>412</v>
      </c>
      <c r="C171" s="20" t="s">
        <v>804</v>
      </c>
      <c r="D171" s="21">
        <v>8</v>
      </c>
      <c r="E171" s="22">
        <v>114775</v>
      </c>
    </row>
    <row r="172" s="29" customFormat="1" ht="28" spans="2:5">
      <c r="B172" s="19" t="s">
        <v>412</v>
      </c>
      <c r="C172" s="16" t="s">
        <v>183</v>
      </c>
      <c r="D172" s="23">
        <v>52</v>
      </c>
      <c r="E172" s="24">
        <v>1066126.351346</v>
      </c>
    </row>
    <row r="173" s="29" customFormat="1" ht="41" spans="2:5">
      <c r="B173" s="19" t="s">
        <v>415</v>
      </c>
      <c r="C173" s="20" t="s">
        <v>182</v>
      </c>
      <c r="D173" s="21">
        <v>2</v>
      </c>
      <c r="E173" s="22">
        <v>97297.297298</v>
      </c>
    </row>
    <row r="174" s="29" customFormat="1" ht="28" spans="2:5">
      <c r="B174" s="19" t="s">
        <v>415</v>
      </c>
      <c r="C174" s="16" t="s">
        <v>183</v>
      </c>
      <c r="D174" s="23">
        <v>2</v>
      </c>
      <c r="E174" s="24">
        <v>97297.297298</v>
      </c>
    </row>
    <row r="175" s="29" customFormat="1" ht="41" spans="2:5">
      <c r="B175" s="19" t="s">
        <v>203</v>
      </c>
      <c r="C175" s="20" t="s">
        <v>182</v>
      </c>
      <c r="D175" s="21">
        <v>2</v>
      </c>
      <c r="E175" s="22">
        <v>63242.981982</v>
      </c>
    </row>
    <row r="176" s="29" customFormat="1" ht="28" spans="2:5">
      <c r="B176" s="19" t="s">
        <v>203</v>
      </c>
      <c r="C176" s="16" t="s">
        <v>183</v>
      </c>
      <c r="D176" s="23">
        <v>2</v>
      </c>
      <c r="E176" s="24">
        <v>63242.981982</v>
      </c>
    </row>
    <row r="177" s="29" customFormat="1" ht="41" spans="2:5">
      <c r="B177" s="19" t="s">
        <v>204</v>
      </c>
      <c r="C177" s="20" t="s">
        <v>182</v>
      </c>
      <c r="D177" s="21">
        <v>2</v>
      </c>
      <c r="E177" s="22">
        <v>63243.315315</v>
      </c>
    </row>
    <row r="178" s="29" customFormat="1" ht="28" spans="2:5">
      <c r="B178" s="19" t="s">
        <v>204</v>
      </c>
      <c r="C178" s="16" t="s">
        <v>183</v>
      </c>
      <c r="D178" s="23">
        <v>2</v>
      </c>
      <c r="E178" s="24">
        <v>63243.315315</v>
      </c>
    </row>
    <row r="179" s="29" customFormat="1" ht="41" spans="2:5">
      <c r="B179" s="19" t="s">
        <v>207</v>
      </c>
      <c r="C179" s="20" t="s">
        <v>182</v>
      </c>
      <c r="D179" s="21">
        <v>1</v>
      </c>
      <c r="E179" s="22">
        <v>61261</v>
      </c>
    </row>
    <row r="180" s="29" customFormat="1" ht="28.75" spans="2:5">
      <c r="B180" s="19" t="s">
        <v>207</v>
      </c>
      <c r="C180" s="16" t="s">
        <v>183</v>
      </c>
      <c r="D180" s="23">
        <v>1</v>
      </c>
      <c r="E180" s="24">
        <v>61261</v>
      </c>
    </row>
    <row r="181" s="29" customFormat="1" spans="2:5">
      <c r="B181" s="25"/>
      <c r="C181" s="25"/>
      <c r="D181" s="25"/>
      <c r="E181" s="25"/>
    </row>
    <row r="182" s="29" customFormat="1" ht="36" spans="2:5">
      <c r="B182" s="26" t="s">
        <v>189</v>
      </c>
      <c r="C182" s="26" t="s">
        <v>189</v>
      </c>
      <c r="D182" s="26" t="s">
        <v>189</v>
      </c>
      <c r="E182" s="26" t="s">
        <v>189</v>
      </c>
    </row>
    <row r="183" s="29" customFormat="1" spans="2:5">
      <c r="B183" s="26"/>
      <c r="C183" s="26"/>
      <c r="D183" s="26"/>
      <c r="E183" s="26"/>
    </row>
    <row r="184" s="29" customFormat="1" ht="36" spans="2:5">
      <c r="B184" s="26" t="s">
        <v>806</v>
      </c>
      <c r="C184" s="26" t="s">
        <v>806</v>
      </c>
      <c r="D184" s="26" t="s">
        <v>806</v>
      </c>
      <c r="E184" s="26" t="s">
        <v>806</v>
      </c>
    </row>
    <row r="185" s="29" customFormat="1" spans="2:5">
      <c r="B185" s="26" t="s">
        <v>240</v>
      </c>
      <c r="C185" s="26" t="s">
        <v>240</v>
      </c>
      <c r="D185" s="26" t="s">
        <v>240</v>
      </c>
      <c r="E185" s="26" t="s">
        <v>240</v>
      </c>
    </row>
    <row r="186" s="29" customFormat="1" ht="124" spans="2:5">
      <c r="B186" s="11" t="s">
        <v>173</v>
      </c>
      <c r="C186" s="11" t="s">
        <v>173</v>
      </c>
      <c r="D186" s="11" t="s">
        <v>173</v>
      </c>
      <c r="E186" s="11" t="s">
        <v>173</v>
      </c>
    </row>
    <row r="187" s="29" customFormat="1" ht="156" spans="2:5">
      <c r="B187" s="12" t="s">
        <v>174</v>
      </c>
      <c r="C187" s="12" t="s">
        <v>174</v>
      </c>
      <c r="D187" s="12" t="s">
        <v>174</v>
      </c>
      <c r="E187" s="12" t="s">
        <v>174</v>
      </c>
    </row>
    <row r="188" s="29" customFormat="1" ht="68" spans="2:5">
      <c r="B188" s="13" t="s">
        <v>798</v>
      </c>
      <c r="C188" s="13" t="s">
        <v>798</v>
      </c>
      <c r="D188" s="13" t="s">
        <v>798</v>
      </c>
      <c r="E188" s="13" t="s">
        <v>798</v>
      </c>
    </row>
    <row r="189" s="29" customFormat="1" ht="22" spans="2:5">
      <c r="B189" s="14" t="s">
        <v>176</v>
      </c>
      <c r="C189" s="14" t="s">
        <v>176</v>
      </c>
      <c r="D189" s="14" t="s">
        <v>176</v>
      </c>
      <c r="E189" s="14" t="s">
        <v>176</v>
      </c>
    </row>
    <row r="190" s="29" customFormat="1" spans="2:5">
      <c r="B190" s="15" t="s">
        <v>177</v>
      </c>
      <c r="C190" s="16" t="s">
        <v>178</v>
      </c>
      <c r="D190" s="17" t="s">
        <v>179</v>
      </c>
      <c r="E190" s="18" t="s">
        <v>180</v>
      </c>
    </row>
    <row r="191" s="29" customFormat="1" ht="41" spans="2:5">
      <c r="B191" s="19" t="s">
        <v>208</v>
      </c>
      <c r="C191" s="20" t="s">
        <v>182</v>
      </c>
      <c r="D191" s="21">
        <v>2</v>
      </c>
      <c r="E191" s="22">
        <v>90180.18018</v>
      </c>
    </row>
    <row r="192" s="29" customFormat="1" ht="28" spans="2:5">
      <c r="B192" s="19" t="s">
        <v>208</v>
      </c>
      <c r="C192" s="16" t="s">
        <v>183</v>
      </c>
      <c r="D192" s="23">
        <v>2</v>
      </c>
      <c r="E192" s="24">
        <v>90180.18018</v>
      </c>
    </row>
    <row r="193" s="29" customFormat="1" ht="41" spans="2:5">
      <c r="B193" s="19" t="s">
        <v>360</v>
      </c>
      <c r="C193" s="20" t="s">
        <v>182</v>
      </c>
      <c r="D193" s="21">
        <v>1</v>
      </c>
      <c r="E193" s="22">
        <v>45090.09009</v>
      </c>
    </row>
    <row r="194" s="29" customFormat="1" ht="28" spans="2:5">
      <c r="B194" s="19" t="s">
        <v>360</v>
      </c>
      <c r="C194" s="16" t="s">
        <v>183</v>
      </c>
      <c r="D194" s="23">
        <v>1</v>
      </c>
      <c r="E194" s="24">
        <v>45090.09009</v>
      </c>
    </row>
    <row r="195" s="29" customFormat="1" ht="41" spans="2:5">
      <c r="B195" s="19" t="s">
        <v>361</v>
      </c>
      <c r="C195" s="20" t="s">
        <v>182</v>
      </c>
      <c r="D195" s="21">
        <v>1</v>
      </c>
      <c r="E195" s="22">
        <v>58558.558559</v>
      </c>
    </row>
    <row r="196" s="29" customFormat="1" ht="28" spans="2:5">
      <c r="B196" s="19" t="s">
        <v>361</v>
      </c>
      <c r="C196" s="16" t="s">
        <v>183</v>
      </c>
      <c r="D196" s="23">
        <v>1</v>
      </c>
      <c r="E196" s="24">
        <v>58558.558559</v>
      </c>
    </row>
    <row r="197" s="29" customFormat="1" ht="41" spans="2:5">
      <c r="B197" s="19" t="s">
        <v>211</v>
      </c>
      <c r="C197" s="20" t="s">
        <v>182</v>
      </c>
      <c r="D197" s="21">
        <v>24</v>
      </c>
      <c r="E197" s="22">
        <v>1185631.549554</v>
      </c>
    </row>
    <row r="198" s="29" customFormat="1" ht="28" spans="2:5">
      <c r="B198" s="19" t="s">
        <v>211</v>
      </c>
      <c r="C198" s="20" t="s">
        <v>804</v>
      </c>
      <c r="D198" s="21">
        <v>3</v>
      </c>
      <c r="E198" s="22">
        <v>192027.378378</v>
      </c>
    </row>
    <row r="199" s="29" customFormat="1" ht="28" spans="2:5">
      <c r="B199" s="19" t="s">
        <v>211</v>
      </c>
      <c r="C199" s="16" t="s">
        <v>183</v>
      </c>
      <c r="D199" s="23">
        <v>27</v>
      </c>
      <c r="E199" s="24">
        <v>1377658.927932</v>
      </c>
    </row>
    <row r="200" s="29" customFormat="1" ht="41" spans="2:5">
      <c r="B200" s="19" t="s">
        <v>213</v>
      </c>
      <c r="C200" s="20" t="s">
        <v>182</v>
      </c>
      <c r="D200" s="21">
        <v>52</v>
      </c>
      <c r="E200" s="22">
        <v>2547859.127987</v>
      </c>
    </row>
    <row r="201" s="29" customFormat="1" ht="28" spans="2:5">
      <c r="B201" s="19" t="s">
        <v>213</v>
      </c>
      <c r="C201" s="20" t="s">
        <v>804</v>
      </c>
      <c r="D201" s="21">
        <v>2</v>
      </c>
      <c r="E201" s="22">
        <v>128017.549549</v>
      </c>
    </row>
    <row r="202" s="29" customFormat="1" ht="28.75" spans="2:5">
      <c r="B202" s="19" t="s">
        <v>213</v>
      </c>
      <c r="C202" s="16" t="s">
        <v>183</v>
      </c>
      <c r="D202" s="23">
        <v>54</v>
      </c>
      <c r="E202" s="24">
        <v>2675876.677536</v>
      </c>
    </row>
    <row r="203" s="29" customFormat="1" spans="2:5">
      <c r="B203" s="25"/>
      <c r="C203" s="25"/>
      <c r="D203" s="25"/>
      <c r="E203" s="25"/>
    </row>
    <row r="204" s="29" customFormat="1" ht="36" spans="2:5">
      <c r="B204" s="26" t="s">
        <v>189</v>
      </c>
      <c r="C204" s="26" t="s">
        <v>189</v>
      </c>
      <c r="D204" s="26" t="s">
        <v>189</v>
      </c>
      <c r="E204" s="26" t="s">
        <v>189</v>
      </c>
    </row>
    <row r="205" s="29" customFormat="1" spans="2:5">
      <c r="B205" s="26"/>
      <c r="C205" s="26"/>
      <c r="D205" s="26"/>
      <c r="E205" s="26"/>
    </row>
    <row r="206" s="29" customFormat="1" ht="36" spans="2:5">
      <c r="B206" s="26" t="s">
        <v>806</v>
      </c>
      <c r="C206" s="26" t="s">
        <v>806</v>
      </c>
      <c r="D206" s="26" t="s">
        <v>806</v>
      </c>
      <c r="E206" s="26" t="s">
        <v>806</v>
      </c>
    </row>
    <row r="207" s="29" customFormat="1" spans="2:5">
      <c r="B207" s="26" t="s">
        <v>247</v>
      </c>
      <c r="C207" s="26" t="s">
        <v>247</v>
      </c>
      <c r="D207" s="26" t="s">
        <v>247</v>
      </c>
      <c r="E207" s="26" t="s">
        <v>247</v>
      </c>
    </row>
    <row r="208" s="29" customFormat="1" ht="124" spans="2:5">
      <c r="B208" s="11" t="s">
        <v>173</v>
      </c>
      <c r="C208" s="11" t="s">
        <v>173</v>
      </c>
      <c r="D208" s="11" t="s">
        <v>173</v>
      </c>
      <c r="E208" s="11" t="s">
        <v>173</v>
      </c>
    </row>
    <row r="209" s="29" customFormat="1" ht="156" spans="2:5">
      <c r="B209" s="12" t="s">
        <v>174</v>
      </c>
      <c r="C209" s="12" t="s">
        <v>174</v>
      </c>
      <c r="D209" s="12" t="s">
        <v>174</v>
      </c>
      <c r="E209" s="12" t="s">
        <v>174</v>
      </c>
    </row>
    <row r="210" s="29" customFormat="1" ht="68" spans="2:5">
      <c r="B210" s="13" t="s">
        <v>798</v>
      </c>
      <c r="C210" s="13" t="s">
        <v>798</v>
      </c>
      <c r="D210" s="13" t="s">
        <v>798</v>
      </c>
      <c r="E210" s="13" t="s">
        <v>798</v>
      </c>
    </row>
    <row r="211" s="29" customFormat="1" ht="22" spans="2:5">
      <c r="B211" s="14" t="s">
        <v>176</v>
      </c>
      <c r="C211" s="14" t="s">
        <v>176</v>
      </c>
      <c r="D211" s="14" t="s">
        <v>176</v>
      </c>
      <c r="E211" s="14" t="s">
        <v>176</v>
      </c>
    </row>
    <row r="212" s="29" customFormat="1" spans="2:5">
      <c r="B212" s="15" t="s">
        <v>177</v>
      </c>
      <c r="C212" s="16" t="s">
        <v>178</v>
      </c>
      <c r="D212" s="17" t="s">
        <v>179</v>
      </c>
      <c r="E212" s="18" t="s">
        <v>180</v>
      </c>
    </row>
    <row r="213" s="29" customFormat="1" ht="41" spans="2:5">
      <c r="B213" s="19" t="s">
        <v>214</v>
      </c>
      <c r="C213" s="20" t="s">
        <v>182</v>
      </c>
      <c r="D213" s="21">
        <v>6</v>
      </c>
      <c r="E213" s="22">
        <v>340811.063064</v>
      </c>
    </row>
    <row r="214" s="29" customFormat="1" ht="28" spans="2:5">
      <c r="B214" s="19" t="s">
        <v>214</v>
      </c>
      <c r="C214" s="16" t="s">
        <v>183</v>
      </c>
      <c r="D214" s="23">
        <v>6</v>
      </c>
      <c r="E214" s="24">
        <v>340811.063064</v>
      </c>
    </row>
    <row r="215" s="29" customFormat="1" ht="41" spans="2:5">
      <c r="B215" s="19" t="s">
        <v>215</v>
      </c>
      <c r="C215" s="20" t="s">
        <v>182</v>
      </c>
      <c r="D215" s="21">
        <v>8</v>
      </c>
      <c r="E215" s="22">
        <v>454414.990992</v>
      </c>
    </row>
    <row r="216" s="29" customFormat="1" ht="28" spans="2:5">
      <c r="B216" s="19" t="s">
        <v>215</v>
      </c>
      <c r="C216" s="16" t="s">
        <v>183</v>
      </c>
      <c r="D216" s="23">
        <v>8</v>
      </c>
      <c r="E216" s="24">
        <v>454414.990992</v>
      </c>
    </row>
    <row r="217" s="29" customFormat="1" ht="41" spans="2:5">
      <c r="B217" s="19" t="s">
        <v>364</v>
      </c>
      <c r="C217" s="20" t="s">
        <v>182</v>
      </c>
      <c r="D217" s="21">
        <v>6</v>
      </c>
      <c r="E217" s="22">
        <v>362972.972974</v>
      </c>
    </row>
    <row r="218" s="29" customFormat="1" ht="28" spans="2:5">
      <c r="B218" s="19" t="s">
        <v>364</v>
      </c>
      <c r="C218" s="16" t="s">
        <v>183</v>
      </c>
      <c r="D218" s="23">
        <v>6</v>
      </c>
      <c r="E218" s="24">
        <v>362972.972974</v>
      </c>
    </row>
    <row r="219" s="29" customFormat="1" ht="41" spans="2:5">
      <c r="B219" s="19" t="s">
        <v>217</v>
      </c>
      <c r="C219" s="20" t="s">
        <v>182</v>
      </c>
      <c r="D219" s="21">
        <v>8</v>
      </c>
      <c r="E219" s="22">
        <v>500720.720719</v>
      </c>
    </row>
    <row r="220" s="29" customFormat="1" ht="28" spans="2:5">
      <c r="B220" s="19" t="s">
        <v>217</v>
      </c>
      <c r="C220" s="16" t="s">
        <v>183</v>
      </c>
      <c r="D220" s="23">
        <v>8</v>
      </c>
      <c r="E220" s="24">
        <v>500720.720719</v>
      </c>
    </row>
    <row r="221" s="29" customFormat="1" ht="41" spans="2:5">
      <c r="B221" s="19" t="s">
        <v>218</v>
      </c>
      <c r="C221" s="20" t="s">
        <v>182</v>
      </c>
      <c r="D221" s="21">
        <v>34</v>
      </c>
      <c r="E221" s="22">
        <v>2258198.27027</v>
      </c>
    </row>
    <row r="222" s="29" customFormat="1" ht="28" spans="2:5">
      <c r="B222" s="19" t="s">
        <v>218</v>
      </c>
      <c r="C222" s="20" t="s">
        <v>804</v>
      </c>
      <c r="D222" s="21">
        <v>4</v>
      </c>
      <c r="E222" s="22">
        <v>335495.495496</v>
      </c>
    </row>
    <row r="223" s="29" customFormat="1" ht="28" spans="2:5">
      <c r="B223" s="19" t="s">
        <v>218</v>
      </c>
      <c r="C223" s="16" t="s">
        <v>183</v>
      </c>
      <c r="D223" s="23">
        <v>38</v>
      </c>
      <c r="E223" s="24">
        <v>2593693.765766</v>
      </c>
    </row>
    <row r="224" s="29" customFormat="1" ht="41.75" spans="2:5">
      <c r="B224" s="20" t="s">
        <v>220</v>
      </c>
      <c r="C224" s="20" t="s">
        <v>182</v>
      </c>
      <c r="D224" s="21">
        <v>24</v>
      </c>
      <c r="E224" s="22">
        <v>1579324.324324</v>
      </c>
    </row>
    <row r="225" s="29" customFormat="1" spans="2:5">
      <c r="B225" s="25"/>
      <c r="C225" s="25"/>
      <c r="D225" s="25"/>
      <c r="E225" s="25"/>
    </row>
    <row r="226" s="29" customFormat="1" ht="36" spans="2:5">
      <c r="B226" s="26" t="s">
        <v>189</v>
      </c>
      <c r="C226" s="26" t="s">
        <v>189</v>
      </c>
      <c r="D226" s="26" t="s">
        <v>189</v>
      </c>
      <c r="E226" s="26" t="s">
        <v>189</v>
      </c>
    </row>
    <row r="227" s="29" customFormat="1" spans="2:5">
      <c r="B227" s="26"/>
      <c r="C227" s="26"/>
      <c r="D227" s="26"/>
      <c r="E227" s="26"/>
    </row>
    <row r="228" s="29" customFormat="1" ht="36" spans="2:5">
      <c r="B228" s="26" t="s">
        <v>806</v>
      </c>
      <c r="C228" s="26" t="s">
        <v>806</v>
      </c>
      <c r="D228" s="26" t="s">
        <v>806</v>
      </c>
      <c r="E228" s="26" t="s">
        <v>806</v>
      </c>
    </row>
    <row r="229" s="29" customFormat="1" spans="2:5">
      <c r="B229" s="26" t="s">
        <v>254</v>
      </c>
      <c r="C229" s="26" t="s">
        <v>254</v>
      </c>
      <c r="D229" s="26" t="s">
        <v>254</v>
      </c>
      <c r="E229" s="26" t="s">
        <v>254</v>
      </c>
    </row>
    <row r="230" s="29" customFormat="1" ht="124" spans="2:5">
      <c r="B230" s="11" t="s">
        <v>173</v>
      </c>
      <c r="C230" s="11" t="s">
        <v>173</v>
      </c>
      <c r="D230" s="11" t="s">
        <v>173</v>
      </c>
      <c r="E230" s="11" t="s">
        <v>173</v>
      </c>
    </row>
    <row r="231" s="29" customFormat="1" ht="156" spans="2:5">
      <c r="B231" s="12" t="s">
        <v>174</v>
      </c>
      <c r="C231" s="12" t="s">
        <v>174</v>
      </c>
      <c r="D231" s="12" t="s">
        <v>174</v>
      </c>
      <c r="E231" s="12" t="s">
        <v>174</v>
      </c>
    </row>
    <row r="232" s="29" customFormat="1" ht="68" spans="2:5">
      <c r="B232" s="13" t="s">
        <v>798</v>
      </c>
      <c r="C232" s="13" t="s">
        <v>798</v>
      </c>
      <c r="D232" s="13" t="s">
        <v>798</v>
      </c>
      <c r="E232" s="13" t="s">
        <v>798</v>
      </c>
    </row>
    <row r="233" s="29" customFormat="1" ht="22" spans="2:5">
      <c r="B233" s="14" t="s">
        <v>176</v>
      </c>
      <c r="C233" s="14" t="s">
        <v>176</v>
      </c>
      <c r="D233" s="14" t="s">
        <v>176</v>
      </c>
      <c r="E233" s="14" t="s">
        <v>176</v>
      </c>
    </row>
    <row r="234" s="29" customFormat="1" spans="2:5">
      <c r="B234" s="15" t="s">
        <v>177</v>
      </c>
      <c r="C234" s="16" t="s">
        <v>178</v>
      </c>
      <c r="D234" s="17" t="s">
        <v>179</v>
      </c>
      <c r="E234" s="18" t="s">
        <v>180</v>
      </c>
    </row>
    <row r="235" s="29" customFormat="1" ht="28" spans="2:5">
      <c r="B235" s="19" t="s">
        <v>220</v>
      </c>
      <c r="C235" s="20" t="s">
        <v>804</v>
      </c>
      <c r="D235" s="21">
        <v>2</v>
      </c>
      <c r="E235" s="22">
        <v>148873.873874</v>
      </c>
    </row>
    <row r="236" s="29" customFormat="1" ht="28" spans="2:5">
      <c r="B236" s="19" t="s">
        <v>220</v>
      </c>
      <c r="C236" s="16" t="s">
        <v>183</v>
      </c>
      <c r="D236" s="23">
        <v>26</v>
      </c>
      <c r="E236" s="24">
        <v>1728198.198198</v>
      </c>
    </row>
    <row r="237" s="29" customFormat="1" ht="41" spans="2:5">
      <c r="B237" s="19" t="s">
        <v>221</v>
      </c>
      <c r="C237" s="20" t="s">
        <v>182</v>
      </c>
      <c r="D237" s="21">
        <v>19</v>
      </c>
      <c r="E237" s="22">
        <v>1276637.157728</v>
      </c>
    </row>
    <row r="238" s="29" customFormat="1" ht="28" spans="2:5">
      <c r="B238" s="19" t="s">
        <v>221</v>
      </c>
      <c r="C238" s="16" t="s">
        <v>183</v>
      </c>
      <c r="D238" s="23">
        <v>19</v>
      </c>
      <c r="E238" s="24">
        <v>1276637.157728</v>
      </c>
    </row>
    <row r="239" s="29" customFormat="1" ht="41" spans="2:5">
      <c r="B239" s="19" t="s">
        <v>420</v>
      </c>
      <c r="C239" s="20" t="s">
        <v>182</v>
      </c>
      <c r="D239" s="21">
        <v>1</v>
      </c>
      <c r="E239" s="22">
        <v>76126.126126</v>
      </c>
    </row>
    <row r="240" s="29" customFormat="1" ht="28" spans="2:5">
      <c r="B240" s="19" t="s">
        <v>420</v>
      </c>
      <c r="C240" s="16" t="s">
        <v>183</v>
      </c>
      <c r="D240" s="23">
        <v>1</v>
      </c>
      <c r="E240" s="24">
        <v>76126.126126</v>
      </c>
    </row>
    <row r="241" s="29" customFormat="1" ht="41" spans="2:5">
      <c r="B241" s="19" t="s">
        <v>222</v>
      </c>
      <c r="C241" s="20" t="s">
        <v>182</v>
      </c>
      <c r="D241" s="21">
        <v>10</v>
      </c>
      <c r="E241" s="22">
        <v>835134.828829</v>
      </c>
    </row>
    <row r="242" s="29" customFormat="1" ht="28" spans="2:5">
      <c r="B242" s="19" t="s">
        <v>222</v>
      </c>
      <c r="C242" s="16" t="s">
        <v>183</v>
      </c>
      <c r="D242" s="23">
        <v>10</v>
      </c>
      <c r="E242" s="24">
        <v>835134.828829</v>
      </c>
    </row>
    <row r="243" s="29" customFormat="1" ht="41" spans="2:5">
      <c r="B243" s="19" t="s">
        <v>223</v>
      </c>
      <c r="C243" s="20" t="s">
        <v>182</v>
      </c>
      <c r="D243" s="21">
        <v>2</v>
      </c>
      <c r="E243" s="22">
        <v>178378.378378</v>
      </c>
    </row>
    <row r="244" s="29" customFormat="1" ht="28" spans="2:5">
      <c r="B244" s="19" t="s">
        <v>223</v>
      </c>
      <c r="C244" s="16" t="s">
        <v>183</v>
      </c>
      <c r="D244" s="23">
        <v>2</v>
      </c>
      <c r="E244" s="24">
        <v>178378.378378</v>
      </c>
    </row>
    <row r="245" s="29" customFormat="1" ht="41" spans="2:5">
      <c r="B245" s="19" t="s">
        <v>224</v>
      </c>
      <c r="C245" s="20" t="s">
        <v>182</v>
      </c>
      <c r="D245" s="21">
        <v>5</v>
      </c>
      <c r="E245" s="22">
        <v>486486.405405</v>
      </c>
    </row>
    <row r="246" s="29" customFormat="1" ht="28" spans="2:5">
      <c r="B246" s="19" t="s">
        <v>224</v>
      </c>
      <c r="C246" s="16" t="s">
        <v>183</v>
      </c>
      <c r="D246" s="23">
        <v>5</v>
      </c>
      <c r="E246" s="24">
        <v>486486.405405</v>
      </c>
    </row>
    <row r="247" s="29" customFormat="1" ht="41" spans="2:5">
      <c r="B247" s="19" t="s">
        <v>225</v>
      </c>
      <c r="C247" s="20" t="s">
        <v>182</v>
      </c>
      <c r="D247" s="21">
        <v>5</v>
      </c>
      <c r="E247" s="22">
        <v>468469.081082</v>
      </c>
    </row>
    <row r="248" s="29" customFormat="1" ht="28.75" spans="2:5">
      <c r="B248" s="19" t="s">
        <v>225</v>
      </c>
      <c r="C248" s="16" t="s">
        <v>183</v>
      </c>
      <c r="D248" s="23">
        <v>5</v>
      </c>
      <c r="E248" s="24">
        <v>468469.081082</v>
      </c>
    </row>
    <row r="249" s="29" customFormat="1" spans="2:5">
      <c r="B249" s="25"/>
      <c r="C249" s="25"/>
      <c r="D249" s="25"/>
      <c r="E249" s="25"/>
    </row>
    <row r="250" s="29" customFormat="1" ht="36" spans="2:5">
      <c r="B250" s="26" t="s">
        <v>189</v>
      </c>
      <c r="C250" s="26" t="s">
        <v>189</v>
      </c>
      <c r="D250" s="26" t="s">
        <v>189</v>
      </c>
      <c r="E250" s="26" t="s">
        <v>189</v>
      </c>
    </row>
    <row r="251" s="29" customFormat="1" spans="2:5">
      <c r="B251" s="26"/>
      <c r="C251" s="26"/>
      <c r="D251" s="26"/>
      <c r="E251" s="26"/>
    </row>
    <row r="252" s="29" customFormat="1" ht="36" spans="2:5">
      <c r="B252" s="26" t="s">
        <v>806</v>
      </c>
      <c r="C252" s="26" t="s">
        <v>806</v>
      </c>
      <c r="D252" s="26" t="s">
        <v>806</v>
      </c>
      <c r="E252" s="26" t="s">
        <v>806</v>
      </c>
    </row>
    <row r="253" s="29" customFormat="1" spans="2:5">
      <c r="B253" s="26" t="s">
        <v>261</v>
      </c>
      <c r="C253" s="26" t="s">
        <v>261</v>
      </c>
      <c r="D253" s="26" t="s">
        <v>261</v>
      </c>
      <c r="E253" s="26" t="s">
        <v>261</v>
      </c>
    </row>
    <row r="254" s="29" customFormat="1" ht="124" spans="2:5">
      <c r="B254" s="11" t="s">
        <v>173</v>
      </c>
      <c r="C254" s="11" t="s">
        <v>173</v>
      </c>
      <c r="D254" s="11" t="s">
        <v>173</v>
      </c>
      <c r="E254" s="11" t="s">
        <v>173</v>
      </c>
    </row>
    <row r="255" s="29" customFormat="1" ht="156" spans="2:5">
      <c r="B255" s="12" t="s">
        <v>174</v>
      </c>
      <c r="C255" s="12" t="s">
        <v>174</v>
      </c>
      <c r="D255" s="12" t="s">
        <v>174</v>
      </c>
      <c r="E255" s="12" t="s">
        <v>174</v>
      </c>
    </row>
    <row r="256" s="29" customFormat="1" ht="68" spans="2:5">
      <c r="B256" s="13" t="s">
        <v>798</v>
      </c>
      <c r="C256" s="13" t="s">
        <v>798</v>
      </c>
      <c r="D256" s="13" t="s">
        <v>798</v>
      </c>
      <c r="E256" s="13" t="s">
        <v>798</v>
      </c>
    </row>
    <row r="257" s="29" customFormat="1" ht="22" spans="2:5">
      <c r="B257" s="14" t="s">
        <v>176</v>
      </c>
      <c r="C257" s="14" t="s">
        <v>176</v>
      </c>
      <c r="D257" s="14" t="s">
        <v>176</v>
      </c>
      <c r="E257" s="14" t="s">
        <v>176</v>
      </c>
    </row>
    <row r="258" s="29" customFormat="1" spans="2:5">
      <c r="B258" s="15" t="s">
        <v>177</v>
      </c>
      <c r="C258" s="16" t="s">
        <v>178</v>
      </c>
      <c r="D258" s="17" t="s">
        <v>179</v>
      </c>
      <c r="E258" s="18" t="s">
        <v>180</v>
      </c>
    </row>
    <row r="259" s="29" customFormat="1" ht="41" spans="2:5">
      <c r="B259" s="19" t="s">
        <v>581</v>
      </c>
      <c r="C259" s="20" t="s">
        <v>182</v>
      </c>
      <c r="D259" s="21">
        <v>1</v>
      </c>
      <c r="E259" s="22">
        <v>220000</v>
      </c>
    </row>
    <row r="260" s="29" customFormat="1" spans="2:5">
      <c r="B260" s="19" t="s">
        <v>581</v>
      </c>
      <c r="C260" s="16" t="s">
        <v>183</v>
      </c>
      <c r="D260" s="23">
        <v>1</v>
      </c>
      <c r="E260" s="24">
        <v>220000</v>
      </c>
    </row>
    <row r="261" s="29" customFormat="1" ht="41" spans="2:5">
      <c r="B261" s="19" t="s">
        <v>238</v>
      </c>
      <c r="C261" s="20" t="s">
        <v>182</v>
      </c>
      <c r="D261" s="21">
        <v>2</v>
      </c>
      <c r="E261" s="22">
        <v>4307027.027027</v>
      </c>
    </row>
    <row r="262" s="29" customFormat="1" ht="28" spans="2:5">
      <c r="B262" s="19" t="s">
        <v>238</v>
      </c>
      <c r="C262" s="16" t="s">
        <v>183</v>
      </c>
      <c r="D262" s="23">
        <v>2</v>
      </c>
      <c r="E262" s="24">
        <v>4307027.027027</v>
      </c>
    </row>
    <row r="263" s="29" customFormat="1" ht="41" spans="2:5">
      <c r="B263" s="19" t="s">
        <v>245</v>
      </c>
      <c r="C263" s="20" t="s">
        <v>182</v>
      </c>
      <c r="D263" s="21">
        <v>4</v>
      </c>
      <c r="E263" s="22">
        <v>2772972.972973</v>
      </c>
    </row>
    <row r="264" s="29" customFormat="1" ht="28" spans="2:5">
      <c r="B264" s="19" t="s">
        <v>245</v>
      </c>
      <c r="C264" s="16" t="s">
        <v>183</v>
      </c>
      <c r="D264" s="23">
        <v>4</v>
      </c>
      <c r="E264" s="24">
        <v>2772972.972973</v>
      </c>
    </row>
    <row r="265" s="29" customFormat="1" ht="41" spans="2:5">
      <c r="B265" s="19" t="s">
        <v>249</v>
      </c>
      <c r="C265" s="20" t="s">
        <v>182</v>
      </c>
      <c r="D265" s="21">
        <v>2</v>
      </c>
      <c r="E265" s="22">
        <v>1603603.603604</v>
      </c>
    </row>
    <row r="266" s="29" customFormat="1" ht="28" spans="2:5">
      <c r="B266" s="19" t="s">
        <v>249</v>
      </c>
      <c r="C266" s="16" t="s">
        <v>183</v>
      </c>
      <c r="D266" s="23">
        <v>2</v>
      </c>
      <c r="E266" s="24">
        <v>1603603.603604</v>
      </c>
    </row>
    <row r="267" s="29" customFormat="1" ht="41" spans="2:5">
      <c r="B267" s="19" t="s">
        <v>250</v>
      </c>
      <c r="C267" s="20" t="s">
        <v>182</v>
      </c>
      <c r="D267" s="21">
        <v>4</v>
      </c>
      <c r="E267" s="22">
        <v>4086486.486486</v>
      </c>
    </row>
    <row r="268" s="29" customFormat="1" ht="28" spans="2:5">
      <c r="B268" s="19" t="s">
        <v>250</v>
      </c>
      <c r="C268" s="16" t="s">
        <v>183</v>
      </c>
      <c r="D268" s="23">
        <v>4</v>
      </c>
      <c r="E268" s="24">
        <v>4086486.486486</v>
      </c>
    </row>
    <row r="269" s="29" customFormat="1" ht="41" spans="2:5">
      <c r="B269" s="19" t="s">
        <v>253</v>
      </c>
      <c r="C269" s="20" t="s">
        <v>182</v>
      </c>
      <c r="D269" s="21">
        <v>2</v>
      </c>
      <c r="E269" s="22">
        <v>1711711.711712</v>
      </c>
    </row>
    <row r="270" s="29" customFormat="1" ht="28.75" spans="2:5">
      <c r="B270" s="19" t="s">
        <v>253</v>
      </c>
      <c r="C270" s="16" t="s">
        <v>183</v>
      </c>
      <c r="D270" s="23">
        <v>2</v>
      </c>
      <c r="E270" s="24">
        <v>1711711.711712</v>
      </c>
    </row>
    <row r="271" s="29" customFormat="1" spans="2:5">
      <c r="B271" s="25"/>
      <c r="C271" s="25"/>
      <c r="D271" s="25"/>
      <c r="E271" s="25"/>
    </row>
    <row r="272" s="29" customFormat="1" ht="36" spans="2:5">
      <c r="B272" s="26" t="s">
        <v>189</v>
      </c>
      <c r="C272" s="26" t="s">
        <v>189</v>
      </c>
      <c r="D272" s="26" t="s">
        <v>189</v>
      </c>
      <c r="E272" s="26" t="s">
        <v>189</v>
      </c>
    </row>
    <row r="273" s="29" customFormat="1" spans="2:5">
      <c r="B273" s="26"/>
      <c r="C273" s="26"/>
      <c r="D273" s="26"/>
      <c r="E273" s="26"/>
    </row>
    <row r="274" s="29" customFormat="1" ht="36" spans="2:5">
      <c r="B274" s="26" t="s">
        <v>806</v>
      </c>
      <c r="C274" s="26" t="s">
        <v>806</v>
      </c>
      <c r="D274" s="26" t="s">
        <v>806</v>
      </c>
      <c r="E274" s="26" t="s">
        <v>806</v>
      </c>
    </row>
    <row r="275" s="29" customFormat="1" spans="2:5">
      <c r="B275" s="26" t="s">
        <v>268</v>
      </c>
      <c r="C275" s="26" t="s">
        <v>268</v>
      </c>
      <c r="D275" s="26" t="s">
        <v>268</v>
      </c>
      <c r="E275" s="26" t="s">
        <v>268</v>
      </c>
    </row>
    <row r="276" s="29" customFormat="1" ht="124" spans="2:5">
      <c r="B276" s="11" t="s">
        <v>173</v>
      </c>
      <c r="C276" s="11" t="s">
        <v>173</v>
      </c>
      <c r="D276" s="11" t="s">
        <v>173</v>
      </c>
      <c r="E276" s="11" t="s">
        <v>173</v>
      </c>
    </row>
    <row r="277" s="29" customFormat="1" ht="156" spans="2:5">
      <c r="B277" s="12" t="s">
        <v>174</v>
      </c>
      <c r="C277" s="12" t="s">
        <v>174</v>
      </c>
      <c r="D277" s="12" t="s">
        <v>174</v>
      </c>
      <c r="E277" s="12" t="s">
        <v>174</v>
      </c>
    </row>
    <row r="278" s="29" customFormat="1" ht="68" spans="2:5">
      <c r="B278" s="13" t="s">
        <v>798</v>
      </c>
      <c r="C278" s="13" t="s">
        <v>798</v>
      </c>
      <c r="D278" s="13" t="s">
        <v>798</v>
      </c>
      <c r="E278" s="13" t="s">
        <v>798</v>
      </c>
    </row>
    <row r="279" s="29" customFormat="1" ht="22" spans="2:5">
      <c r="B279" s="14" t="s">
        <v>176</v>
      </c>
      <c r="C279" s="14" t="s">
        <v>176</v>
      </c>
      <c r="D279" s="14" t="s">
        <v>176</v>
      </c>
      <c r="E279" s="14" t="s">
        <v>176</v>
      </c>
    </row>
    <row r="280" s="29" customFormat="1" spans="2:5">
      <c r="B280" s="15" t="s">
        <v>177</v>
      </c>
      <c r="C280" s="16" t="s">
        <v>178</v>
      </c>
      <c r="D280" s="17" t="s">
        <v>179</v>
      </c>
      <c r="E280" s="18" t="s">
        <v>180</v>
      </c>
    </row>
    <row r="281" s="29" customFormat="1" ht="41" spans="2:5">
      <c r="B281" s="19" t="s">
        <v>256</v>
      </c>
      <c r="C281" s="20" t="s">
        <v>182</v>
      </c>
      <c r="D281" s="21">
        <v>2</v>
      </c>
      <c r="E281" s="22">
        <v>1179099</v>
      </c>
    </row>
    <row r="282" s="29" customFormat="1" ht="28" spans="2:5">
      <c r="B282" s="19" t="s">
        <v>256</v>
      </c>
      <c r="C282" s="16" t="s">
        <v>183</v>
      </c>
      <c r="D282" s="23">
        <v>2</v>
      </c>
      <c r="E282" s="24">
        <v>1179099</v>
      </c>
    </row>
    <row r="283" s="29" customFormat="1" ht="41" spans="2:5">
      <c r="B283" s="19" t="s">
        <v>820</v>
      </c>
      <c r="C283" s="20" t="s">
        <v>182</v>
      </c>
      <c r="D283" s="21">
        <v>4</v>
      </c>
      <c r="E283" s="22">
        <v>3223062.594595</v>
      </c>
    </row>
    <row r="284" s="29" customFormat="1" ht="28" spans="2:5">
      <c r="B284" s="19" t="s">
        <v>820</v>
      </c>
      <c r="C284" s="16" t="s">
        <v>183</v>
      </c>
      <c r="D284" s="23">
        <v>4</v>
      </c>
      <c r="E284" s="24">
        <v>3223062.594595</v>
      </c>
    </row>
    <row r="285" s="29" customFormat="1" ht="41" spans="2:5">
      <c r="B285" s="19" t="s">
        <v>259</v>
      </c>
      <c r="C285" s="20" t="s">
        <v>182</v>
      </c>
      <c r="D285" s="21">
        <v>8</v>
      </c>
      <c r="E285" s="22">
        <v>6306306.153153</v>
      </c>
    </row>
    <row r="286" s="29" customFormat="1" ht="28" spans="2:5">
      <c r="B286" s="19" t="s">
        <v>259</v>
      </c>
      <c r="C286" s="16" t="s">
        <v>183</v>
      </c>
      <c r="D286" s="23">
        <v>8</v>
      </c>
      <c r="E286" s="24">
        <v>6306306.153153</v>
      </c>
    </row>
    <row r="287" s="29" customFormat="1" ht="41" spans="2:5">
      <c r="B287" s="19" t="s">
        <v>265</v>
      </c>
      <c r="C287" s="20" t="s">
        <v>182</v>
      </c>
      <c r="D287" s="21">
        <v>2</v>
      </c>
      <c r="E287" s="22">
        <v>2536396.396396</v>
      </c>
    </row>
    <row r="288" s="29" customFormat="1" ht="28" spans="2:5">
      <c r="B288" s="19" t="s">
        <v>265</v>
      </c>
      <c r="C288" s="16" t="s">
        <v>183</v>
      </c>
      <c r="D288" s="23">
        <v>2</v>
      </c>
      <c r="E288" s="24">
        <v>2536396.396396</v>
      </c>
    </row>
    <row r="289" s="29" customFormat="1" ht="41" spans="2:5">
      <c r="B289" s="19" t="s">
        <v>821</v>
      </c>
      <c r="C289" s="20" t="s">
        <v>182</v>
      </c>
      <c r="D289" s="21">
        <v>2</v>
      </c>
      <c r="E289" s="22">
        <v>0</v>
      </c>
    </row>
    <row r="290" s="29" customFormat="1" ht="28" spans="2:5">
      <c r="B290" s="19" t="s">
        <v>821</v>
      </c>
      <c r="C290" s="16" t="s">
        <v>183</v>
      </c>
      <c r="D290" s="23">
        <v>2</v>
      </c>
      <c r="E290" s="24">
        <v>0</v>
      </c>
    </row>
    <row r="291" s="29" customFormat="1" ht="41" spans="2:5">
      <c r="B291" s="19" t="s">
        <v>272</v>
      </c>
      <c r="C291" s="20" t="s">
        <v>182</v>
      </c>
      <c r="D291" s="21">
        <v>62</v>
      </c>
      <c r="E291" s="22">
        <v>1999999.666673</v>
      </c>
    </row>
    <row r="292" s="29" customFormat="1" ht="28" spans="2:5">
      <c r="B292" s="19" t="s">
        <v>272</v>
      </c>
      <c r="C292" s="20" t="s">
        <v>804</v>
      </c>
      <c r="D292" s="21">
        <v>2</v>
      </c>
      <c r="E292" s="22">
        <v>133333.333333</v>
      </c>
    </row>
    <row r="293" s="29" customFormat="1" ht="28.75" spans="2:5">
      <c r="B293" s="19" t="s">
        <v>272</v>
      </c>
      <c r="C293" s="16" t="s">
        <v>183</v>
      </c>
      <c r="D293" s="23">
        <v>64</v>
      </c>
      <c r="E293" s="24">
        <v>2133333.000006</v>
      </c>
    </row>
    <row r="294" s="29" customFormat="1" spans="2:5">
      <c r="B294" s="25"/>
      <c r="C294" s="25"/>
      <c r="D294" s="25"/>
      <c r="E294" s="25"/>
    </row>
    <row r="295" s="29" customFormat="1" ht="36" spans="2:5">
      <c r="B295" s="26" t="s">
        <v>189</v>
      </c>
      <c r="C295" s="26" t="s">
        <v>189</v>
      </c>
      <c r="D295" s="26" t="s">
        <v>189</v>
      </c>
      <c r="E295" s="26" t="s">
        <v>189</v>
      </c>
    </row>
    <row r="296" s="29" customFormat="1" spans="2:5">
      <c r="B296" s="26"/>
      <c r="C296" s="26"/>
      <c r="D296" s="26"/>
      <c r="E296" s="26"/>
    </row>
    <row r="297" s="29" customFormat="1" ht="36" spans="2:5">
      <c r="B297" s="26" t="s">
        <v>806</v>
      </c>
      <c r="C297" s="26" t="s">
        <v>806</v>
      </c>
      <c r="D297" s="26" t="s">
        <v>806</v>
      </c>
      <c r="E297" s="26" t="s">
        <v>806</v>
      </c>
    </row>
    <row r="298" s="29" customFormat="1" spans="2:5">
      <c r="B298" s="26" t="s">
        <v>275</v>
      </c>
      <c r="C298" s="26" t="s">
        <v>275</v>
      </c>
      <c r="D298" s="26" t="s">
        <v>275</v>
      </c>
      <c r="E298" s="26" t="s">
        <v>275</v>
      </c>
    </row>
    <row r="299" s="29" customFormat="1" ht="124" spans="2:5">
      <c r="B299" s="11" t="s">
        <v>173</v>
      </c>
      <c r="C299" s="11" t="s">
        <v>173</v>
      </c>
      <c r="D299" s="11" t="s">
        <v>173</v>
      </c>
      <c r="E299" s="11" t="s">
        <v>173</v>
      </c>
    </row>
    <row r="300" s="29" customFormat="1" ht="156" spans="2:5">
      <c r="B300" s="12" t="s">
        <v>174</v>
      </c>
      <c r="C300" s="12" t="s">
        <v>174</v>
      </c>
      <c r="D300" s="12" t="s">
        <v>174</v>
      </c>
      <c r="E300" s="12" t="s">
        <v>174</v>
      </c>
    </row>
    <row r="301" s="29" customFormat="1" ht="68" spans="2:5">
      <c r="B301" s="13" t="s">
        <v>798</v>
      </c>
      <c r="C301" s="13" t="s">
        <v>798</v>
      </c>
      <c r="D301" s="13" t="s">
        <v>798</v>
      </c>
      <c r="E301" s="13" t="s">
        <v>798</v>
      </c>
    </row>
    <row r="302" s="29" customFormat="1" ht="22" spans="2:5">
      <c r="B302" s="14" t="s">
        <v>176</v>
      </c>
      <c r="C302" s="14" t="s">
        <v>176</v>
      </c>
      <c r="D302" s="14" t="s">
        <v>176</v>
      </c>
      <c r="E302" s="14" t="s">
        <v>176</v>
      </c>
    </row>
    <row r="303" s="29" customFormat="1" spans="2:5">
      <c r="B303" s="15" t="s">
        <v>177</v>
      </c>
      <c r="C303" s="16" t="s">
        <v>178</v>
      </c>
      <c r="D303" s="17" t="s">
        <v>179</v>
      </c>
      <c r="E303" s="18" t="s">
        <v>180</v>
      </c>
    </row>
    <row r="304" s="29" customFormat="1" ht="41" spans="2:5">
      <c r="B304" s="19" t="s">
        <v>421</v>
      </c>
      <c r="C304" s="20" t="s">
        <v>182</v>
      </c>
      <c r="D304" s="21">
        <v>24</v>
      </c>
      <c r="E304" s="22">
        <v>466666.990993</v>
      </c>
    </row>
    <row r="305" s="29" customFormat="1" ht="28" spans="2:5">
      <c r="B305" s="19" t="s">
        <v>421</v>
      </c>
      <c r="C305" s="20" t="s">
        <v>804</v>
      </c>
      <c r="D305" s="21">
        <v>1</v>
      </c>
      <c r="E305" s="22">
        <v>0</v>
      </c>
    </row>
    <row r="306" s="29" customFormat="1" ht="28" spans="2:5">
      <c r="B306" s="19" t="s">
        <v>421</v>
      </c>
      <c r="C306" s="16" t="s">
        <v>183</v>
      </c>
      <c r="D306" s="23">
        <v>25</v>
      </c>
      <c r="E306" s="24">
        <v>466666.990993</v>
      </c>
    </row>
    <row r="307" s="29" customFormat="1" ht="41" spans="2:5">
      <c r="B307" s="19" t="s">
        <v>273</v>
      </c>
      <c r="C307" s="20" t="s">
        <v>182</v>
      </c>
      <c r="D307" s="21">
        <v>30</v>
      </c>
      <c r="E307" s="22">
        <v>246846.846846</v>
      </c>
    </row>
    <row r="308" s="29" customFormat="1" ht="28" spans="2:5">
      <c r="B308" s="19" t="s">
        <v>273</v>
      </c>
      <c r="C308" s="20" t="s">
        <v>804</v>
      </c>
      <c r="D308" s="21">
        <v>5</v>
      </c>
      <c r="E308" s="22">
        <v>123423.423423</v>
      </c>
    </row>
    <row r="309" s="29" customFormat="1" ht="28" spans="2:5">
      <c r="B309" s="19" t="s">
        <v>273</v>
      </c>
      <c r="C309" s="16" t="s">
        <v>183</v>
      </c>
      <c r="D309" s="23">
        <v>35</v>
      </c>
      <c r="E309" s="24">
        <v>370270.270269</v>
      </c>
    </row>
    <row r="310" s="29" customFormat="1" ht="41" spans="2:5">
      <c r="B310" s="19" t="s">
        <v>274</v>
      </c>
      <c r="C310" s="20" t="s">
        <v>182</v>
      </c>
      <c r="D310" s="21">
        <v>22</v>
      </c>
      <c r="E310" s="22">
        <v>0</v>
      </c>
    </row>
    <row r="311" s="29" customFormat="1" ht="28" spans="2:5">
      <c r="B311" s="19" t="s">
        <v>274</v>
      </c>
      <c r="C311" s="16" t="s">
        <v>183</v>
      </c>
      <c r="D311" s="23">
        <v>22</v>
      </c>
      <c r="E311" s="24">
        <v>0</v>
      </c>
    </row>
    <row r="312" s="29" customFormat="1" ht="41" spans="2:5">
      <c r="B312" s="19" t="s">
        <v>583</v>
      </c>
      <c r="C312" s="20" t="s">
        <v>182</v>
      </c>
      <c r="D312" s="21">
        <v>50</v>
      </c>
      <c r="E312" s="22">
        <v>702252.252253</v>
      </c>
    </row>
    <row r="313" s="29" customFormat="1" ht="28" spans="2:5">
      <c r="B313" s="19" t="s">
        <v>583</v>
      </c>
      <c r="C313" s="16" t="s">
        <v>183</v>
      </c>
      <c r="D313" s="23">
        <v>50</v>
      </c>
      <c r="E313" s="24">
        <v>702252.252253</v>
      </c>
    </row>
    <row r="314" s="29" customFormat="1" ht="41" spans="2:5">
      <c r="B314" s="19" t="s">
        <v>367</v>
      </c>
      <c r="C314" s="20" t="s">
        <v>182</v>
      </c>
      <c r="D314" s="21">
        <v>1</v>
      </c>
      <c r="E314" s="22">
        <v>0</v>
      </c>
    </row>
    <row r="315" s="29" customFormat="1" ht="28" spans="2:5">
      <c r="B315" s="19" t="s">
        <v>367</v>
      </c>
      <c r="C315" s="20" t="s">
        <v>804</v>
      </c>
      <c r="D315" s="21">
        <v>1</v>
      </c>
      <c r="E315" s="22">
        <v>0</v>
      </c>
    </row>
    <row r="316" s="29" customFormat="1" ht="28.75" spans="2:5">
      <c r="B316" s="19" t="s">
        <v>367</v>
      </c>
      <c r="C316" s="16" t="s">
        <v>183</v>
      </c>
      <c r="D316" s="23">
        <v>2</v>
      </c>
      <c r="E316" s="24">
        <v>0</v>
      </c>
    </row>
    <row r="317" s="29" customFormat="1" spans="2:5">
      <c r="B317" s="25"/>
      <c r="C317" s="25"/>
      <c r="D317" s="25"/>
      <c r="E317" s="25"/>
    </row>
    <row r="318" s="29" customFormat="1" ht="36" spans="2:5">
      <c r="B318" s="26" t="s">
        <v>189</v>
      </c>
      <c r="C318" s="26" t="s">
        <v>189</v>
      </c>
      <c r="D318" s="26" t="s">
        <v>189</v>
      </c>
      <c r="E318" s="26" t="s">
        <v>189</v>
      </c>
    </row>
    <row r="319" s="29" customFormat="1" spans="2:5">
      <c r="B319" s="26"/>
      <c r="C319" s="26"/>
      <c r="D319" s="26"/>
      <c r="E319" s="26"/>
    </row>
    <row r="320" s="29" customFormat="1" ht="36" spans="2:5">
      <c r="B320" s="26" t="s">
        <v>806</v>
      </c>
      <c r="C320" s="26" t="s">
        <v>806</v>
      </c>
      <c r="D320" s="26" t="s">
        <v>806</v>
      </c>
      <c r="E320" s="26" t="s">
        <v>806</v>
      </c>
    </row>
    <row r="321" s="29" customFormat="1" spans="2:5">
      <c r="B321" s="26" t="s">
        <v>282</v>
      </c>
      <c r="C321" s="26" t="s">
        <v>282</v>
      </c>
      <c r="D321" s="26" t="s">
        <v>282</v>
      </c>
      <c r="E321" s="26" t="s">
        <v>282</v>
      </c>
    </row>
    <row r="322" s="29" customFormat="1" ht="124" spans="2:5">
      <c r="B322" s="11" t="s">
        <v>173</v>
      </c>
      <c r="C322" s="11" t="s">
        <v>173</v>
      </c>
      <c r="D322" s="11" t="s">
        <v>173</v>
      </c>
      <c r="E322" s="11" t="s">
        <v>173</v>
      </c>
    </row>
    <row r="323" s="29" customFormat="1" ht="156" spans="2:5">
      <c r="B323" s="12" t="s">
        <v>174</v>
      </c>
      <c r="C323" s="12" t="s">
        <v>174</v>
      </c>
      <c r="D323" s="12" t="s">
        <v>174</v>
      </c>
      <c r="E323" s="12" t="s">
        <v>174</v>
      </c>
    </row>
    <row r="324" s="29" customFormat="1" ht="68" spans="2:5">
      <c r="B324" s="13" t="s">
        <v>798</v>
      </c>
      <c r="C324" s="13" t="s">
        <v>798</v>
      </c>
      <c r="D324" s="13" t="s">
        <v>798</v>
      </c>
      <c r="E324" s="13" t="s">
        <v>798</v>
      </c>
    </row>
    <row r="325" s="29" customFormat="1" ht="22" spans="2:5">
      <c r="B325" s="14" t="s">
        <v>176</v>
      </c>
      <c r="C325" s="14" t="s">
        <v>176</v>
      </c>
      <c r="D325" s="14" t="s">
        <v>176</v>
      </c>
      <c r="E325" s="14" t="s">
        <v>176</v>
      </c>
    </row>
    <row r="326" s="29" customFormat="1" spans="2:5">
      <c r="B326" s="15" t="s">
        <v>177</v>
      </c>
      <c r="C326" s="16" t="s">
        <v>178</v>
      </c>
      <c r="D326" s="17" t="s">
        <v>179</v>
      </c>
      <c r="E326" s="18" t="s">
        <v>180</v>
      </c>
    </row>
    <row r="327" s="29" customFormat="1" ht="41" spans="2:5">
      <c r="B327" s="19" t="s">
        <v>368</v>
      </c>
      <c r="C327" s="20" t="s">
        <v>182</v>
      </c>
      <c r="D327" s="21">
        <v>8</v>
      </c>
      <c r="E327" s="22">
        <v>0</v>
      </c>
    </row>
    <row r="328" s="29" customFormat="1" ht="28" spans="2:5">
      <c r="B328" s="19" t="s">
        <v>368</v>
      </c>
      <c r="C328" s="16" t="s">
        <v>183</v>
      </c>
      <c r="D328" s="23">
        <v>8</v>
      </c>
      <c r="E328" s="24">
        <v>0</v>
      </c>
    </row>
    <row r="329" s="29" customFormat="1" ht="41" spans="2:5">
      <c r="B329" s="19" t="s">
        <v>422</v>
      </c>
      <c r="C329" s="20" t="s">
        <v>182</v>
      </c>
      <c r="D329" s="21">
        <v>8</v>
      </c>
      <c r="E329" s="22">
        <v>0</v>
      </c>
    </row>
    <row r="330" s="29" customFormat="1" ht="28" spans="2:5">
      <c r="B330" s="19" t="s">
        <v>422</v>
      </c>
      <c r="C330" s="16" t="s">
        <v>183</v>
      </c>
      <c r="D330" s="23">
        <v>8</v>
      </c>
      <c r="E330" s="24">
        <v>0</v>
      </c>
    </row>
    <row r="331" s="29" customFormat="1" ht="41" spans="2:5">
      <c r="B331" s="19" t="s">
        <v>495</v>
      </c>
      <c r="C331" s="20" t="s">
        <v>182</v>
      </c>
      <c r="D331" s="21">
        <v>12</v>
      </c>
      <c r="E331" s="22">
        <v>0</v>
      </c>
    </row>
    <row r="332" s="29" customFormat="1" ht="28" spans="2:5">
      <c r="B332" s="19" t="s">
        <v>495</v>
      </c>
      <c r="C332" s="16" t="s">
        <v>183</v>
      </c>
      <c r="D332" s="23">
        <v>12</v>
      </c>
      <c r="E332" s="24">
        <v>0</v>
      </c>
    </row>
    <row r="333" s="29" customFormat="1" ht="41" spans="2:5">
      <c r="B333" s="19" t="s">
        <v>423</v>
      </c>
      <c r="C333" s="20" t="s">
        <v>182</v>
      </c>
      <c r="D333" s="21">
        <v>1</v>
      </c>
      <c r="E333" s="22">
        <v>0</v>
      </c>
    </row>
    <row r="334" s="29" customFormat="1" ht="28" spans="2:5">
      <c r="B334" s="19" t="s">
        <v>423</v>
      </c>
      <c r="C334" s="16" t="s">
        <v>183</v>
      </c>
      <c r="D334" s="23">
        <v>1</v>
      </c>
      <c r="E334" s="24">
        <v>0</v>
      </c>
    </row>
    <row r="335" s="29" customFormat="1" ht="41" spans="2:5">
      <c r="B335" s="19" t="s">
        <v>822</v>
      </c>
      <c r="C335" s="20" t="s">
        <v>182</v>
      </c>
      <c r="D335" s="21">
        <v>1</v>
      </c>
      <c r="E335" s="22">
        <v>338000</v>
      </c>
    </row>
    <row r="336" s="29" customFormat="1" ht="41" spans="2:5">
      <c r="B336" s="19" t="s">
        <v>822</v>
      </c>
      <c r="C336" s="16" t="s">
        <v>183</v>
      </c>
      <c r="D336" s="23">
        <v>1</v>
      </c>
      <c r="E336" s="24">
        <v>338000</v>
      </c>
    </row>
    <row r="337" s="29" customFormat="1" ht="41" spans="2:5">
      <c r="B337" s="19" t="s">
        <v>823</v>
      </c>
      <c r="C337" s="20" t="s">
        <v>182</v>
      </c>
      <c r="D337" s="21">
        <v>1</v>
      </c>
      <c r="E337" s="22">
        <v>2850000</v>
      </c>
    </row>
    <row r="338" s="29" customFormat="1" ht="28.75" spans="2:5">
      <c r="B338" s="19" t="s">
        <v>823</v>
      </c>
      <c r="C338" s="16" t="s">
        <v>183</v>
      </c>
      <c r="D338" s="23">
        <v>1</v>
      </c>
      <c r="E338" s="24">
        <v>2850000</v>
      </c>
    </row>
    <row r="339" s="29" customFormat="1" spans="2:5">
      <c r="B339" s="25"/>
      <c r="C339" s="25"/>
      <c r="D339" s="25"/>
      <c r="E339" s="25"/>
    </row>
    <row r="340" s="29" customFormat="1" ht="36" spans="2:5">
      <c r="B340" s="26" t="s">
        <v>189</v>
      </c>
      <c r="C340" s="26" t="s">
        <v>189</v>
      </c>
      <c r="D340" s="26" t="s">
        <v>189</v>
      </c>
      <c r="E340" s="26" t="s">
        <v>189</v>
      </c>
    </row>
    <row r="341" s="29" customFormat="1" spans="2:5">
      <c r="B341" s="26"/>
      <c r="C341" s="26"/>
      <c r="D341" s="26"/>
      <c r="E341" s="26"/>
    </row>
    <row r="342" s="29" customFormat="1" ht="36" spans="2:5">
      <c r="B342" s="26" t="s">
        <v>806</v>
      </c>
      <c r="C342" s="26" t="s">
        <v>806</v>
      </c>
      <c r="D342" s="26" t="s">
        <v>806</v>
      </c>
      <c r="E342" s="26" t="s">
        <v>806</v>
      </c>
    </row>
    <row r="343" s="29" customFormat="1" spans="2:5">
      <c r="B343" s="26" t="s">
        <v>289</v>
      </c>
      <c r="C343" s="26" t="s">
        <v>289</v>
      </c>
      <c r="D343" s="26" t="s">
        <v>289</v>
      </c>
      <c r="E343" s="26" t="s">
        <v>289</v>
      </c>
    </row>
    <row r="344" s="29" customFormat="1" ht="124" spans="2:5">
      <c r="B344" s="11" t="s">
        <v>173</v>
      </c>
      <c r="C344" s="11" t="s">
        <v>173</v>
      </c>
      <c r="D344" s="11" t="s">
        <v>173</v>
      </c>
      <c r="E344" s="11" t="s">
        <v>173</v>
      </c>
    </row>
    <row r="345" s="29" customFormat="1" ht="156" spans="2:5">
      <c r="B345" s="12" t="s">
        <v>174</v>
      </c>
      <c r="C345" s="12" t="s">
        <v>174</v>
      </c>
      <c r="D345" s="12" t="s">
        <v>174</v>
      </c>
      <c r="E345" s="12" t="s">
        <v>174</v>
      </c>
    </row>
    <row r="346" s="29" customFormat="1" ht="68" spans="2:5">
      <c r="B346" s="13" t="s">
        <v>798</v>
      </c>
      <c r="C346" s="13" t="s">
        <v>798</v>
      </c>
      <c r="D346" s="13" t="s">
        <v>798</v>
      </c>
      <c r="E346" s="13" t="s">
        <v>798</v>
      </c>
    </row>
    <row r="347" s="29" customFormat="1" ht="22" spans="2:5">
      <c r="B347" s="14" t="s">
        <v>176</v>
      </c>
      <c r="C347" s="14" t="s">
        <v>176</v>
      </c>
      <c r="D347" s="14" t="s">
        <v>176</v>
      </c>
      <c r="E347" s="14" t="s">
        <v>176</v>
      </c>
    </row>
    <row r="348" s="29" customFormat="1" spans="2:5">
      <c r="B348" s="15" t="s">
        <v>177</v>
      </c>
      <c r="C348" s="16" t="s">
        <v>178</v>
      </c>
      <c r="D348" s="17" t="s">
        <v>179</v>
      </c>
      <c r="E348" s="18" t="s">
        <v>180</v>
      </c>
    </row>
    <row r="349" s="29" customFormat="1" ht="41" spans="2:5">
      <c r="B349" s="19" t="s">
        <v>824</v>
      </c>
      <c r="C349" s="20" t="s">
        <v>182</v>
      </c>
      <c r="D349" s="21">
        <v>1</v>
      </c>
      <c r="E349" s="22">
        <v>58000</v>
      </c>
    </row>
    <row r="350" s="29" customFormat="1" ht="28" spans="2:5">
      <c r="B350" s="19" t="s">
        <v>824</v>
      </c>
      <c r="C350" s="16" t="s">
        <v>183</v>
      </c>
      <c r="D350" s="23">
        <v>1</v>
      </c>
      <c r="E350" s="24">
        <v>58000</v>
      </c>
    </row>
    <row r="351" s="29" customFormat="1" ht="41" spans="2:5">
      <c r="B351" s="19" t="s">
        <v>825</v>
      </c>
      <c r="C351" s="20" t="s">
        <v>182</v>
      </c>
      <c r="D351" s="21">
        <v>1</v>
      </c>
      <c r="E351" s="22">
        <v>73000</v>
      </c>
    </row>
    <row r="352" s="29" customFormat="1" ht="28" spans="2:5">
      <c r="B352" s="19" t="s">
        <v>825</v>
      </c>
      <c r="C352" s="16" t="s">
        <v>183</v>
      </c>
      <c r="D352" s="23">
        <v>1</v>
      </c>
      <c r="E352" s="24">
        <v>73000</v>
      </c>
    </row>
    <row r="353" s="29" customFormat="1" ht="41" spans="2:5">
      <c r="B353" s="19" t="s">
        <v>826</v>
      </c>
      <c r="C353" s="20" t="s">
        <v>182</v>
      </c>
      <c r="D353" s="21">
        <v>1</v>
      </c>
      <c r="E353" s="22">
        <v>342000</v>
      </c>
    </row>
    <row r="354" s="29" customFormat="1" ht="41" spans="2:5">
      <c r="B354" s="19" t="s">
        <v>826</v>
      </c>
      <c r="C354" s="16" t="s">
        <v>183</v>
      </c>
      <c r="D354" s="23">
        <v>1</v>
      </c>
      <c r="E354" s="24">
        <v>342000</v>
      </c>
    </row>
    <row r="355" s="29" customFormat="1" ht="41" spans="2:5">
      <c r="B355" s="19" t="s">
        <v>424</v>
      </c>
      <c r="C355" s="20" t="s">
        <v>182</v>
      </c>
      <c r="D355" s="21">
        <v>96</v>
      </c>
      <c r="E355" s="22">
        <v>345945.945945</v>
      </c>
    </row>
    <row r="356" s="29" customFormat="1" ht="28" spans="2:5">
      <c r="B356" s="19" t="s">
        <v>424</v>
      </c>
      <c r="C356" s="20" t="s">
        <v>804</v>
      </c>
      <c r="D356" s="21">
        <v>3</v>
      </c>
      <c r="E356" s="22">
        <v>0</v>
      </c>
    </row>
    <row r="357" s="29" customFormat="1" ht="28" spans="2:5">
      <c r="B357" s="19" t="s">
        <v>424</v>
      </c>
      <c r="C357" s="16" t="s">
        <v>183</v>
      </c>
      <c r="D357" s="23">
        <v>99</v>
      </c>
      <c r="E357" s="24">
        <v>345945.945945</v>
      </c>
    </row>
    <row r="358" s="29" customFormat="1" ht="41" spans="2:5">
      <c r="B358" s="19" t="s">
        <v>827</v>
      </c>
      <c r="C358" s="20" t="s">
        <v>182</v>
      </c>
      <c r="D358" s="21">
        <v>1</v>
      </c>
      <c r="E358" s="22">
        <v>204504.504505</v>
      </c>
    </row>
    <row r="359" s="29" customFormat="1" spans="2:5">
      <c r="B359" s="19" t="s">
        <v>827</v>
      </c>
      <c r="C359" s="16" t="s">
        <v>183</v>
      </c>
      <c r="D359" s="23">
        <v>1</v>
      </c>
      <c r="E359" s="24">
        <v>204504.504505</v>
      </c>
    </row>
    <row r="360" s="29" customFormat="1" ht="41" spans="2:5">
      <c r="B360" s="19" t="s">
        <v>689</v>
      </c>
      <c r="C360" s="20" t="s">
        <v>182</v>
      </c>
      <c r="D360" s="21">
        <v>1</v>
      </c>
      <c r="E360" s="22">
        <v>118919</v>
      </c>
    </row>
    <row r="361" s="29" customFormat="1" ht="17.55" spans="2:5">
      <c r="B361" s="19" t="s">
        <v>689</v>
      </c>
      <c r="C361" s="16" t="s">
        <v>183</v>
      </c>
      <c r="D361" s="23">
        <v>1</v>
      </c>
      <c r="E361" s="24">
        <v>118919</v>
      </c>
    </row>
    <row r="362" s="29" customFormat="1" spans="2:5">
      <c r="B362" s="25"/>
      <c r="C362" s="25"/>
      <c r="D362" s="25"/>
      <c r="E362" s="25"/>
    </row>
    <row r="363" s="29" customFormat="1" ht="36" spans="2:5">
      <c r="B363" s="26" t="s">
        <v>189</v>
      </c>
      <c r="C363" s="26" t="s">
        <v>189</v>
      </c>
      <c r="D363" s="26" t="s">
        <v>189</v>
      </c>
      <c r="E363" s="26" t="s">
        <v>189</v>
      </c>
    </row>
    <row r="364" s="29" customFormat="1" spans="2:5">
      <c r="B364" s="26"/>
      <c r="C364" s="26"/>
      <c r="D364" s="26"/>
      <c r="E364" s="26"/>
    </row>
    <row r="365" s="29" customFormat="1" ht="36" spans="2:5">
      <c r="B365" s="26" t="s">
        <v>806</v>
      </c>
      <c r="C365" s="26" t="s">
        <v>806</v>
      </c>
      <c r="D365" s="26" t="s">
        <v>806</v>
      </c>
      <c r="E365" s="26" t="s">
        <v>806</v>
      </c>
    </row>
    <row r="366" s="29" customFormat="1" spans="2:5">
      <c r="B366" s="26" t="s">
        <v>296</v>
      </c>
      <c r="C366" s="26" t="s">
        <v>296</v>
      </c>
      <c r="D366" s="26" t="s">
        <v>296</v>
      </c>
      <c r="E366" s="26" t="s">
        <v>296</v>
      </c>
    </row>
    <row r="367" s="29" customFormat="1" ht="124" spans="2:5">
      <c r="B367" s="11" t="s">
        <v>173</v>
      </c>
      <c r="C367" s="11" t="s">
        <v>173</v>
      </c>
      <c r="D367" s="11" t="s">
        <v>173</v>
      </c>
      <c r="E367" s="11" t="s">
        <v>173</v>
      </c>
    </row>
    <row r="368" s="29" customFormat="1" ht="156" spans="2:5">
      <c r="B368" s="12" t="s">
        <v>174</v>
      </c>
      <c r="C368" s="12" t="s">
        <v>174</v>
      </c>
      <c r="D368" s="12" t="s">
        <v>174</v>
      </c>
      <c r="E368" s="12" t="s">
        <v>174</v>
      </c>
    </row>
    <row r="369" s="29" customFormat="1" ht="68" spans="2:5">
      <c r="B369" s="13" t="s">
        <v>798</v>
      </c>
      <c r="C369" s="13" t="s">
        <v>798</v>
      </c>
      <c r="D369" s="13" t="s">
        <v>798</v>
      </c>
      <c r="E369" s="13" t="s">
        <v>798</v>
      </c>
    </row>
    <row r="370" s="29" customFormat="1" ht="22" spans="2:5">
      <c r="B370" s="14" t="s">
        <v>176</v>
      </c>
      <c r="C370" s="14" t="s">
        <v>176</v>
      </c>
      <c r="D370" s="14" t="s">
        <v>176</v>
      </c>
      <c r="E370" s="14" t="s">
        <v>176</v>
      </c>
    </row>
    <row r="371" s="29" customFormat="1" spans="2:5">
      <c r="B371" s="15" t="s">
        <v>177</v>
      </c>
      <c r="C371" s="16" t="s">
        <v>178</v>
      </c>
      <c r="D371" s="17" t="s">
        <v>179</v>
      </c>
      <c r="E371" s="18" t="s">
        <v>180</v>
      </c>
    </row>
    <row r="372" s="29" customFormat="1" ht="41" spans="2:5">
      <c r="B372" s="19" t="s">
        <v>828</v>
      </c>
      <c r="C372" s="20" t="s">
        <v>182</v>
      </c>
      <c r="D372" s="21">
        <v>5</v>
      </c>
      <c r="E372" s="22">
        <v>531532.090089</v>
      </c>
    </row>
    <row r="373" s="29" customFormat="1" ht="28" spans="2:5">
      <c r="B373" s="19" t="s">
        <v>828</v>
      </c>
      <c r="C373" s="20" t="s">
        <v>804</v>
      </c>
      <c r="D373" s="21">
        <v>2</v>
      </c>
      <c r="E373" s="22">
        <v>212612.306306</v>
      </c>
    </row>
    <row r="374" s="29" customFormat="1" spans="2:5">
      <c r="B374" s="19" t="s">
        <v>828</v>
      </c>
      <c r="C374" s="16" t="s">
        <v>183</v>
      </c>
      <c r="D374" s="23">
        <v>7</v>
      </c>
      <c r="E374" s="24">
        <v>744144.396395</v>
      </c>
    </row>
    <row r="375" s="29" customFormat="1" ht="41" spans="2:5">
      <c r="B375" s="19" t="s">
        <v>829</v>
      </c>
      <c r="C375" s="20" t="s">
        <v>182</v>
      </c>
      <c r="D375" s="21">
        <v>1</v>
      </c>
      <c r="E375" s="22">
        <v>94595</v>
      </c>
    </row>
    <row r="376" s="29" customFormat="1" spans="2:5">
      <c r="B376" s="19" t="s">
        <v>829</v>
      </c>
      <c r="C376" s="16" t="s">
        <v>183</v>
      </c>
      <c r="D376" s="23">
        <v>1</v>
      </c>
      <c r="E376" s="24">
        <v>94595</v>
      </c>
    </row>
    <row r="377" s="29" customFormat="1" ht="41" spans="2:5">
      <c r="B377" s="19" t="s">
        <v>690</v>
      </c>
      <c r="C377" s="20" t="s">
        <v>182</v>
      </c>
      <c r="D377" s="21">
        <v>3</v>
      </c>
      <c r="E377" s="22">
        <v>321621.621621</v>
      </c>
    </row>
    <row r="378" s="29" customFormat="1" spans="2:5">
      <c r="B378" s="19" t="s">
        <v>690</v>
      </c>
      <c r="C378" s="16" t="s">
        <v>183</v>
      </c>
      <c r="D378" s="23">
        <v>3</v>
      </c>
      <c r="E378" s="24">
        <v>321621.621621</v>
      </c>
    </row>
    <row r="379" s="29" customFormat="1" ht="41" spans="2:5">
      <c r="B379" s="19" t="s">
        <v>830</v>
      </c>
      <c r="C379" s="20" t="s">
        <v>182</v>
      </c>
      <c r="D379" s="21">
        <v>2</v>
      </c>
      <c r="E379" s="22">
        <v>167567.567568</v>
      </c>
    </row>
    <row r="380" s="29" customFormat="1" spans="2:5">
      <c r="B380" s="19" t="s">
        <v>830</v>
      </c>
      <c r="C380" s="16" t="s">
        <v>183</v>
      </c>
      <c r="D380" s="23">
        <v>2</v>
      </c>
      <c r="E380" s="24">
        <v>167567.567568</v>
      </c>
    </row>
    <row r="381" s="29" customFormat="1" ht="41" spans="2:5">
      <c r="B381" s="19" t="s">
        <v>831</v>
      </c>
      <c r="C381" s="20" t="s">
        <v>182</v>
      </c>
      <c r="D381" s="21">
        <v>2</v>
      </c>
      <c r="E381" s="22">
        <v>167567.567568</v>
      </c>
    </row>
    <row r="382" s="29" customFormat="1" ht="28" spans="2:5">
      <c r="B382" s="19" t="s">
        <v>831</v>
      </c>
      <c r="C382" s="20" t="s">
        <v>804</v>
      </c>
      <c r="D382" s="21">
        <v>2</v>
      </c>
      <c r="E382" s="22">
        <v>167567.783784</v>
      </c>
    </row>
    <row r="383" s="29" customFormat="1" spans="2:5">
      <c r="B383" s="19" t="s">
        <v>831</v>
      </c>
      <c r="C383" s="16" t="s">
        <v>183</v>
      </c>
      <c r="D383" s="23">
        <v>4</v>
      </c>
      <c r="E383" s="24">
        <v>335135.351352</v>
      </c>
    </row>
    <row r="384" s="29" customFormat="1" ht="41.75" spans="2:5">
      <c r="B384" s="20" t="s">
        <v>832</v>
      </c>
      <c r="C384" s="20" t="s">
        <v>182</v>
      </c>
      <c r="D384" s="21">
        <v>3</v>
      </c>
      <c r="E384" s="22">
        <v>486486.486486</v>
      </c>
    </row>
    <row r="385" s="29" customFormat="1" spans="2:5">
      <c r="B385" s="25"/>
      <c r="C385" s="25"/>
      <c r="D385" s="25"/>
      <c r="E385" s="25"/>
    </row>
    <row r="386" s="29" customFormat="1" ht="36" spans="2:5">
      <c r="B386" s="26" t="s">
        <v>189</v>
      </c>
      <c r="C386" s="26" t="s">
        <v>189</v>
      </c>
      <c r="D386" s="26" t="s">
        <v>189</v>
      </c>
      <c r="E386" s="26" t="s">
        <v>189</v>
      </c>
    </row>
    <row r="387" s="29" customFormat="1" spans="2:5">
      <c r="B387" s="26"/>
      <c r="C387" s="26"/>
      <c r="D387" s="26"/>
      <c r="E387" s="26"/>
    </row>
    <row r="388" s="29" customFormat="1" ht="36" spans="2:5">
      <c r="B388" s="26" t="s">
        <v>806</v>
      </c>
      <c r="C388" s="26" t="s">
        <v>806</v>
      </c>
      <c r="D388" s="26" t="s">
        <v>806</v>
      </c>
      <c r="E388" s="26" t="s">
        <v>806</v>
      </c>
    </row>
    <row r="389" s="29" customFormat="1" spans="2:5">
      <c r="B389" s="26" t="s">
        <v>303</v>
      </c>
      <c r="C389" s="26" t="s">
        <v>303</v>
      </c>
      <c r="D389" s="26" t="s">
        <v>303</v>
      </c>
      <c r="E389" s="26" t="s">
        <v>303</v>
      </c>
    </row>
    <row r="390" s="29" customFormat="1" ht="124" spans="2:5">
      <c r="B390" s="11" t="s">
        <v>173</v>
      </c>
      <c r="C390" s="11" t="s">
        <v>173</v>
      </c>
      <c r="D390" s="11" t="s">
        <v>173</v>
      </c>
      <c r="E390" s="11" t="s">
        <v>173</v>
      </c>
    </row>
    <row r="391" s="29" customFormat="1" ht="156" spans="2:5">
      <c r="B391" s="12" t="s">
        <v>174</v>
      </c>
      <c r="C391" s="12" t="s">
        <v>174</v>
      </c>
      <c r="D391" s="12" t="s">
        <v>174</v>
      </c>
      <c r="E391" s="12" t="s">
        <v>174</v>
      </c>
    </row>
    <row r="392" s="29" customFormat="1" ht="68" spans="2:5">
      <c r="B392" s="13" t="s">
        <v>798</v>
      </c>
      <c r="C392" s="13" t="s">
        <v>798</v>
      </c>
      <c r="D392" s="13" t="s">
        <v>798</v>
      </c>
      <c r="E392" s="13" t="s">
        <v>798</v>
      </c>
    </row>
    <row r="393" s="29" customFormat="1" ht="22" spans="2:5">
      <c r="B393" s="14" t="s">
        <v>176</v>
      </c>
      <c r="C393" s="14" t="s">
        <v>176</v>
      </c>
      <c r="D393" s="14" t="s">
        <v>176</v>
      </c>
      <c r="E393" s="14" t="s">
        <v>176</v>
      </c>
    </row>
    <row r="394" s="29" customFormat="1" spans="2:5">
      <c r="B394" s="15" t="s">
        <v>177</v>
      </c>
      <c r="C394" s="16" t="s">
        <v>178</v>
      </c>
      <c r="D394" s="17" t="s">
        <v>179</v>
      </c>
      <c r="E394" s="18" t="s">
        <v>180</v>
      </c>
    </row>
    <row r="395" s="29" customFormat="1" ht="28" spans="2:5">
      <c r="B395" s="19" t="s">
        <v>832</v>
      </c>
      <c r="C395" s="20" t="s">
        <v>804</v>
      </c>
      <c r="D395" s="21">
        <v>1</v>
      </c>
      <c r="E395" s="22">
        <v>162161.693694</v>
      </c>
    </row>
    <row r="396" s="29" customFormat="1" spans="2:5">
      <c r="B396" s="19" t="s">
        <v>832</v>
      </c>
      <c r="C396" s="16" t="s">
        <v>183</v>
      </c>
      <c r="D396" s="23">
        <v>4</v>
      </c>
      <c r="E396" s="24">
        <v>648648.18018</v>
      </c>
    </row>
    <row r="397" s="29" customFormat="1" ht="41" spans="2:5">
      <c r="B397" s="19" t="s">
        <v>833</v>
      </c>
      <c r="C397" s="20" t="s">
        <v>182</v>
      </c>
      <c r="D397" s="21">
        <v>2</v>
      </c>
      <c r="E397" s="22">
        <v>145127.762493</v>
      </c>
    </row>
    <row r="398" s="29" customFormat="1" ht="28" spans="2:5">
      <c r="B398" s="19" t="s">
        <v>833</v>
      </c>
      <c r="C398" s="20" t="s">
        <v>804</v>
      </c>
      <c r="D398" s="21">
        <v>1</v>
      </c>
      <c r="E398" s="22">
        <v>93243.243243</v>
      </c>
    </row>
    <row r="399" s="29" customFormat="1" spans="2:5">
      <c r="B399" s="19" t="s">
        <v>833</v>
      </c>
      <c r="C399" s="16" t="s">
        <v>183</v>
      </c>
      <c r="D399" s="23">
        <v>3</v>
      </c>
      <c r="E399" s="24">
        <v>238371.005736</v>
      </c>
    </row>
    <row r="400" s="29" customFormat="1" ht="41" spans="2:5">
      <c r="B400" s="19" t="s">
        <v>834</v>
      </c>
      <c r="C400" s="20" t="s">
        <v>182</v>
      </c>
      <c r="D400" s="21">
        <v>1</v>
      </c>
      <c r="E400" s="22">
        <v>136036</v>
      </c>
    </row>
    <row r="401" s="29" customFormat="1" spans="2:5">
      <c r="B401" s="19" t="s">
        <v>834</v>
      </c>
      <c r="C401" s="16" t="s">
        <v>183</v>
      </c>
      <c r="D401" s="23">
        <v>1</v>
      </c>
      <c r="E401" s="24">
        <v>136036</v>
      </c>
    </row>
    <row r="402" s="29" customFormat="1" ht="41" spans="2:5">
      <c r="B402" s="19" t="s">
        <v>835</v>
      </c>
      <c r="C402" s="20" t="s">
        <v>182</v>
      </c>
      <c r="D402" s="21">
        <v>2</v>
      </c>
      <c r="E402" s="22">
        <v>157658.09009</v>
      </c>
    </row>
    <row r="403" s="29" customFormat="1" spans="2:5">
      <c r="B403" s="19" t="s">
        <v>835</v>
      </c>
      <c r="C403" s="16" t="s">
        <v>183</v>
      </c>
      <c r="D403" s="23">
        <v>2</v>
      </c>
      <c r="E403" s="24">
        <v>157658.09009</v>
      </c>
    </row>
    <row r="404" s="29" customFormat="1" ht="41" spans="2:5">
      <c r="B404" s="19" t="s">
        <v>426</v>
      </c>
      <c r="C404" s="20" t="s">
        <v>182</v>
      </c>
      <c r="D404" s="21">
        <v>66</v>
      </c>
      <c r="E404" s="22">
        <v>0</v>
      </c>
    </row>
    <row r="405" s="29" customFormat="1" spans="2:5">
      <c r="B405" s="19" t="s">
        <v>426</v>
      </c>
      <c r="C405" s="16" t="s">
        <v>183</v>
      </c>
      <c r="D405" s="23">
        <v>66</v>
      </c>
      <c r="E405" s="24">
        <v>0</v>
      </c>
    </row>
    <row r="406" s="29" customFormat="1" ht="41" spans="2:5">
      <c r="B406" s="19" t="s">
        <v>498</v>
      </c>
      <c r="C406" s="20" t="s">
        <v>182</v>
      </c>
      <c r="D406" s="21">
        <v>3</v>
      </c>
      <c r="E406" s="22">
        <v>0</v>
      </c>
    </row>
    <row r="407" s="29" customFormat="1" ht="17.55" spans="2:5">
      <c r="B407" s="19" t="s">
        <v>498</v>
      </c>
      <c r="C407" s="16" t="s">
        <v>183</v>
      </c>
      <c r="D407" s="23">
        <v>3</v>
      </c>
      <c r="E407" s="24">
        <v>0</v>
      </c>
    </row>
    <row r="408" s="29" customFormat="1" spans="2:5">
      <c r="B408" s="25"/>
      <c r="C408" s="25"/>
      <c r="D408" s="25"/>
      <c r="E408" s="25"/>
    </row>
    <row r="409" s="29" customFormat="1" ht="36" spans="2:5">
      <c r="B409" s="26" t="s">
        <v>189</v>
      </c>
      <c r="C409" s="26" t="s">
        <v>189</v>
      </c>
      <c r="D409" s="26" t="s">
        <v>189</v>
      </c>
      <c r="E409" s="26" t="s">
        <v>189</v>
      </c>
    </row>
    <row r="410" s="29" customFormat="1" spans="2:5">
      <c r="B410" s="26"/>
      <c r="C410" s="26"/>
      <c r="D410" s="26"/>
      <c r="E410" s="26"/>
    </row>
    <row r="411" s="29" customFormat="1" ht="36" spans="2:5">
      <c r="B411" s="26" t="s">
        <v>806</v>
      </c>
      <c r="C411" s="26" t="s">
        <v>806</v>
      </c>
      <c r="D411" s="26" t="s">
        <v>806</v>
      </c>
      <c r="E411" s="26" t="s">
        <v>806</v>
      </c>
    </row>
    <row r="412" s="29" customFormat="1" spans="2:5">
      <c r="B412" s="26" t="s">
        <v>310</v>
      </c>
      <c r="C412" s="26" t="s">
        <v>310</v>
      </c>
      <c r="D412" s="26" t="s">
        <v>310</v>
      </c>
      <c r="E412" s="26" t="s">
        <v>310</v>
      </c>
    </row>
    <row r="413" s="29" customFormat="1" ht="124" spans="2:5">
      <c r="B413" s="11" t="s">
        <v>173</v>
      </c>
      <c r="C413" s="11" t="s">
        <v>173</v>
      </c>
      <c r="D413" s="11" t="s">
        <v>173</v>
      </c>
      <c r="E413" s="11" t="s">
        <v>173</v>
      </c>
    </row>
    <row r="414" s="29" customFormat="1" ht="156" spans="2:5">
      <c r="B414" s="12" t="s">
        <v>174</v>
      </c>
      <c r="C414" s="12" t="s">
        <v>174</v>
      </c>
      <c r="D414" s="12" t="s">
        <v>174</v>
      </c>
      <c r="E414" s="12" t="s">
        <v>174</v>
      </c>
    </row>
    <row r="415" s="29" customFormat="1" ht="68" spans="2:5">
      <c r="B415" s="13" t="s">
        <v>798</v>
      </c>
      <c r="C415" s="13" t="s">
        <v>798</v>
      </c>
      <c r="D415" s="13" t="s">
        <v>798</v>
      </c>
      <c r="E415" s="13" t="s">
        <v>798</v>
      </c>
    </row>
    <row r="416" s="29" customFormat="1" ht="22" spans="2:5">
      <c r="B416" s="14" t="s">
        <v>176</v>
      </c>
      <c r="C416" s="14" t="s">
        <v>176</v>
      </c>
      <c r="D416" s="14" t="s">
        <v>176</v>
      </c>
      <c r="E416" s="14" t="s">
        <v>176</v>
      </c>
    </row>
    <row r="417" s="29" customFormat="1" spans="2:5">
      <c r="B417" s="15" t="s">
        <v>177</v>
      </c>
      <c r="C417" s="16" t="s">
        <v>178</v>
      </c>
      <c r="D417" s="17" t="s">
        <v>179</v>
      </c>
      <c r="E417" s="18" t="s">
        <v>180</v>
      </c>
    </row>
    <row r="418" s="29" customFormat="1" ht="41" spans="2:5">
      <c r="B418" s="19" t="s">
        <v>427</v>
      </c>
      <c r="C418" s="20" t="s">
        <v>182</v>
      </c>
      <c r="D418" s="21">
        <v>14</v>
      </c>
      <c r="E418" s="22">
        <v>0</v>
      </c>
    </row>
    <row r="419" s="29" customFormat="1" spans="2:5">
      <c r="B419" s="19" t="s">
        <v>427</v>
      </c>
      <c r="C419" s="16" t="s">
        <v>183</v>
      </c>
      <c r="D419" s="23">
        <v>14</v>
      </c>
      <c r="E419" s="24">
        <v>0</v>
      </c>
    </row>
    <row r="420" s="29" customFormat="1" ht="41" spans="2:5">
      <c r="B420" s="19" t="s">
        <v>428</v>
      </c>
      <c r="C420" s="20" t="s">
        <v>182</v>
      </c>
      <c r="D420" s="21">
        <v>7</v>
      </c>
      <c r="E420" s="22">
        <v>0</v>
      </c>
    </row>
    <row r="421" s="29" customFormat="1" spans="2:5">
      <c r="B421" s="19" t="s">
        <v>428</v>
      </c>
      <c r="C421" s="16" t="s">
        <v>183</v>
      </c>
      <c r="D421" s="23">
        <v>7</v>
      </c>
      <c r="E421" s="24">
        <v>0</v>
      </c>
    </row>
    <row r="422" s="29" customFormat="1" ht="41" spans="2:5">
      <c r="B422" s="19" t="s">
        <v>429</v>
      </c>
      <c r="C422" s="20" t="s">
        <v>182</v>
      </c>
      <c r="D422" s="21">
        <v>108</v>
      </c>
      <c r="E422" s="22">
        <v>0</v>
      </c>
    </row>
    <row r="423" s="29" customFormat="1" ht="28" spans="2:5">
      <c r="B423" s="19" t="s">
        <v>429</v>
      </c>
      <c r="C423" s="20" t="s">
        <v>804</v>
      </c>
      <c r="D423" s="21">
        <v>1</v>
      </c>
      <c r="E423" s="22">
        <v>0</v>
      </c>
    </row>
    <row r="424" s="29" customFormat="1" spans="2:5">
      <c r="B424" s="19" t="s">
        <v>429</v>
      </c>
      <c r="C424" s="16" t="s">
        <v>183</v>
      </c>
      <c r="D424" s="23">
        <v>109</v>
      </c>
      <c r="E424" s="24">
        <v>0</v>
      </c>
    </row>
    <row r="425" s="29" customFormat="1" ht="41" spans="2:5">
      <c r="B425" s="19" t="s">
        <v>430</v>
      </c>
      <c r="C425" s="20" t="s">
        <v>182</v>
      </c>
      <c r="D425" s="21">
        <v>2</v>
      </c>
      <c r="E425" s="22">
        <v>0</v>
      </c>
    </row>
    <row r="426" s="29" customFormat="1" spans="2:5">
      <c r="B426" s="19" t="s">
        <v>430</v>
      </c>
      <c r="C426" s="16" t="s">
        <v>183</v>
      </c>
      <c r="D426" s="23">
        <v>2</v>
      </c>
      <c r="E426" s="24">
        <v>0</v>
      </c>
    </row>
    <row r="427" s="29" customFormat="1" ht="41" spans="2:5">
      <c r="B427" s="19" t="s">
        <v>431</v>
      </c>
      <c r="C427" s="20" t="s">
        <v>182</v>
      </c>
      <c r="D427" s="21">
        <v>25</v>
      </c>
      <c r="E427" s="22">
        <v>0</v>
      </c>
    </row>
    <row r="428" s="29" customFormat="1" spans="2:5">
      <c r="B428" s="19" t="s">
        <v>431</v>
      </c>
      <c r="C428" s="16" t="s">
        <v>183</v>
      </c>
      <c r="D428" s="23">
        <v>25</v>
      </c>
      <c r="E428" s="24">
        <v>0</v>
      </c>
    </row>
    <row r="429" s="29" customFormat="1" ht="41" spans="2:5">
      <c r="B429" s="19" t="s">
        <v>432</v>
      </c>
      <c r="C429" s="20" t="s">
        <v>182</v>
      </c>
      <c r="D429" s="21">
        <v>3</v>
      </c>
      <c r="E429" s="22">
        <v>0</v>
      </c>
    </row>
    <row r="430" s="29" customFormat="1" ht="17.55" spans="2:5">
      <c r="B430" s="19" t="s">
        <v>432</v>
      </c>
      <c r="C430" s="16" t="s">
        <v>183</v>
      </c>
      <c r="D430" s="23">
        <v>3</v>
      </c>
      <c r="E430" s="24">
        <v>0</v>
      </c>
    </row>
    <row r="431" s="29" customFormat="1" spans="2:5">
      <c r="B431" s="25"/>
      <c r="C431" s="25"/>
      <c r="D431" s="25"/>
      <c r="E431" s="25"/>
    </row>
    <row r="432" s="29" customFormat="1" ht="36" spans="2:5">
      <c r="B432" s="26" t="s">
        <v>189</v>
      </c>
      <c r="C432" s="26" t="s">
        <v>189</v>
      </c>
      <c r="D432" s="26" t="s">
        <v>189</v>
      </c>
      <c r="E432" s="26" t="s">
        <v>189</v>
      </c>
    </row>
    <row r="433" s="29" customFormat="1" spans="2:5">
      <c r="B433" s="26"/>
      <c r="C433" s="26"/>
      <c r="D433" s="26"/>
      <c r="E433" s="26"/>
    </row>
    <row r="434" s="29" customFormat="1" ht="36" spans="2:5">
      <c r="B434" s="26" t="s">
        <v>806</v>
      </c>
      <c r="C434" s="26" t="s">
        <v>806</v>
      </c>
      <c r="D434" s="26" t="s">
        <v>806</v>
      </c>
      <c r="E434" s="26" t="s">
        <v>806</v>
      </c>
    </row>
    <row r="435" s="29" customFormat="1" spans="2:5">
      <c r="B435" s="26" t="s">
        <v>317</v>
      </c>
      <c r="C435" s="26" t="s">
        <v>317</v>
      </c>
      <c r="D435" s="26" t="s">
        <v>317</v>
      </c>
      <c r="E435" s="26" t="s">
        <v>317</v>
      </c>
    </row>
    <row r="436" s="29" customFormat="1" ht="124" spans="2:5">
      <c r="B436" s="11" t="s">
        <v>173</v>
      </c>
      <c r="C436" s="11" t="s">
        <v>173</v>
      </c>
      <c r="D436" s="11" t="s">
        <v>173</v>
      </c>
      <c r="E436" s="11" t="s">
        <v>173</v>
      </c>
    </row>
    <row r="437" s="29" customFormat="1" ht="156" spans="2:5">
      <c r="B437" s="12" t="s">
        <v>174</v>
      </c>
      <c r="C437" s="12" t="s">
        <v>174</v>
      </c>
      <c r="D437" s="12" t="s">
        <v>174</v>
      </c>
      <c r="E437" s="12" t="s">
        <v>174</v>
      </c>
    </row>
    <row r="438" s="29" customFormat="1" ht="68" spans="2:5">
      <c r="B438" s="13" t="s">
        <v>798</v>
      </c>
      <c r="C438" s="13" t="s">
        <v>798</v>
      </c>
      <c r="D438" s="13" t="s">
        <v>798</v>
      </c>
      <c r="E438" s="13" t="s">
        <v>798</v>
      </c>
    </row>
    <row r="439" s="29" customFormat="1" ht="22" spans="2:5">
      <c r="B439" s="14" t="s">
        <v>176</v>
      </c>
      <c r="C439" s="14" t="s">
        <v>176</v>
      </c>
      <c r="D439" s="14" t="s">
        <v>176</v>
      </c>
      <c r="E439" s="14" t="s">
        <v>176</v>
      </c>
    </row>
    <row r="440" s="29" customFormat="1" spans="2:5">
      <c r="B440" s="15" t="s">
        <v>177</v>
      </c>
      <c r="C440" s="16" t="s">
        <v>178</v>
      </c>
      <c r="D440" s="17" t="s">
        <v>179</v>
      </c>
      <c r="E440" s="18" t="s">
        <v>180</v>
      </c>
    </row>
    <row r="441" s="29" customFormat="1" ht="41" spans="2:5">
      <c r="B441" s="19" t="s">
        <v>433</v>
      </c>
      <c r="C441" s="20" t="s">
        <v>182</v>
      </c>
      <c r="D441" s="21">
        <v>15</v>
      </c>
      <c r="E441" s="22">
        <v>0</v>
      </c>
    </row>
    <row r="442" s="29" customFormat="1" spans="2:5">
      <c r="B442" s="19" t="s">
        <v>433</v>
      </c>
      <c r="C442" s="16" t="s">
        <v>183</v>
      </c>
      <c r="D442" s="23">
        <v>15</v>
      </c>
      <c r="E442" s="24">
        <v>0</v>
      </c>
    </row>
    <row r="443" s="29" customFormat="1" ht="41" spans="2:5">
      <c r="B443" s="19" t="s">
        <v>434</v>
      </c>
      <c r="C443" s="20" t="s">
        <v>182</v>
      </c>
      <c r="D443" s="21">
        <v>58</v>
      </c>
      <c r="E443" s="22">
        <v>0</v>
      </c>
    </row>
    <row r="444" s="29" customFormat="1" ht="28" spans="2:5">
      <c r="B444" s="19" t="s">
        <v>434</v>
      </c>
      <c r="C444" s="20" t="s">
        <v>804</v>
      </c>
      <c r="D444" s="21">
        <v>2</v>
      </c>
      <c r="E444" s="22">
        <v>0</v>
      </c>
    </row>
    <row r="445" s="29" customFormat="1" spans="2:5">
      <c r="B445" s="19" t="s">
        <v>434</v>
      </c>
      <c r="C445" s="16" t="s">
        <v>183</v>
      </c>
      <c r="D445" s="23">
        <v>60</v>
      </c>
      <c r="E445" s="24">
        <v>0</v>
      </c>
    </row>
    <row r="446" s="29" customFormat="1" ht="41" spans="2:5">
      <c r="B446" s="19" t="s">
        <v>435</v>
      </c>
      <c r="C446" s="20" t="s">
        <v>182</v>
      </c>
      <c r="D446" s="21">
        <v>22</v>
      </c>
      <c r="E446" s="22">
        <v>0</v>
      </c>
    </row>
    <row r="447" s="29" customFormat="1" ht="28" spans="2:5">
      <c r="B447" s="19" t="s">
        <v>435</v>
      </c>
      <c r="C447" s="20" t="s">
        <v>804</v>
      </c>
      <c r="D447" s="21">
        <v>2</v>
      </c>
      <c r="E447" s="22">
        <v>0</v>
      </c>
    </row>
    <row r="448" s="29" customFormat="1" spans="2:5">
      <c r="B448" s="19" t="s">
        <v>435</v>
      </c>
      <c r="C448" s="16" t="s">
        <v>183</v>
      </c>
      <c r="D448" s="23">
        <v>24</v>
      </c>
      <c r="E448" s="24">
        <v>0</v>
      </c>
    </row>
    <row r="449" s="29" customFormat="1" ht="41" spans="2:5">
      <c r="B449" s="19" t="s">
        <v>436</v>
      </c>
      <c r="C449" s="20" t="s">
        <v>182</v>
      </c>
      <c r="D449" s="21">
        <v>6</v>
      </c>
      <c r="E449" s="22">
        <v>0</v>
      </c>
    </row>
    <row r="450" s="29" customFormat="1" spans="2:5">
      <c r="B450" s="19" t="s">
        <v>436</v>
      </c>
      <c r="C450" s="16" t="s">
        <v>183</v>
      </c>
      <c r="D450" s="23">
        <v>6</v>
      </c>
      <c r="E450" s="24">
        <v>0</v>
      </c>
    </row>
    <row r="451" s="29" customFormat="1" ht="41" spans="2:5">
      <c r="B451" s="19" t="s">
        <v>437</v>
      </c>
      <c r="C451" s="20" t="s">
        <v>182</v>
      </c>
      <c r="D451" s="21">
        <v>9</v>
      </c>
      <c r="E451" s="22">
        <v>0</v>
      </c>
    </row>
    <row r="452" s="29" customFormat="1" spans="2:5">
      <c r="B452" s="19" t="s">
        <v>437</v>
      </c>
      <c r="C452" s="16" t="s">
        <v>183</v>
      </c>
      <c r="D452" s="23">
        <v>9</v>
      </c>
      <c r="E452" s="24">
        <v>0</v>
      </c>
    </row>
    <row r="453" s="29" customFormat="1" ht="41.75" spans="2:5">
      <c r="B453" s="20" t="s">
        <v>439</v>
      </c>
      <c r="C453" s="20" t="s">
        <v>182</v>
      </c>
      <c r="D453" s="21">
        <v>10</v>
      </c>
      <c r="E453" s="22">
        <v>0</v>
      </c>
    </row>
    <row r="454" s="29" customFormat="1" spans="2:5">
      <c r="B454" s="25"/>
      <c r="C454" s="25"/>
      <c r="D454" s="25"/>
      <c r="E454" s="25"/>
    </row>
    <row r="455" s="29" customFormat="1" ht="36" spans="2:5">
      <c r="B455" s="26" t="s">
        <v>189</v>
      </c>
      <c r="C455" s="26" t="s">
        <v>189</v>
      </c>
      <c r="D455" s="26" t="s">
        <v>189</v>
      </c>
      <c r="E455" s="26" t="s">
        <v>189</v>
      </c>
    </row>
    <row r="456" s="29" customFormat="1" spans="2:5">
      <c r="B456" s="26"/>
      <c r="C456" s="26"/>
      <c r="D456" s="26"/>
      <c r="E456" s="26"/>
    </row>
    <row r="457" s="29" customFormat="1" ht="36" spans="2:5">
      <c r="B457" s="26" t="s">
        <v>806</v>
      </c>
      <c r="C457" s="26" t="s">
        <v>806</v>
      </c>
      <c r="D457" s="26" t="s">
        <v>806</v>
      </c>
      <c r="E457" s="26" t="s">
        <v>806</v>
      </c>
    </row>
    <row r="458" s="29" customFormat="1" spans="2:5">
      <c r="B458" s="26" t="s">
        <v>324</v>
      </c>
      <c r="C458" s="26" t="s">
        <v>324</v>
      </c>
      <c r="D458" s="26" t="s">
        <v>324</v>
      </c>
      <c r="E458" s="26" t="s">
        <v>324</v>
      </c>
    </row>
    <row r="459" s="29" customFormat="1" ht="124" spans="2:5">
      <c r="B459" s="11" t="s">
        <v>173</v>
      </c>
      <c r="C459" s="11" t="s">
        <v>173</v>
      </c>
      <c r="D459" s="11" t="s">
        <v>173</v>
      </c>
      <c r="E459" s="11" t="s">
        <v>173</v>
      </c>
    </row>
    <row r="460" s="29" customFormat="1" ht="156" spans="2:5">
      <c r="B460" s="12" t="s">
        <v>174</v>
      </c>
      <c r="C460" s="12" t="s">
        <v>174</v>
      </c>
      <c r="D460" s="12" t="s">
        <v>174</v>
      </c>
      <c r="E460" s="12" t="s">
        <v>174</v>
      </c>
    </row>
    <row r="461" s="29" customFormat="1" ht="68" spans="2:5">
      <c r="B461" s="13" t="s">
        <v>798</v>
      </c>
      <c r="C461" s="13" t="s">
        <v>798</v>
      </c>
      <c r="D461" s="13" t="s">
        <v>798</v>
      </c>
      <c r="E461" s="13" t="s">
        <v>798</v>
      </c>
    </row>
    <row r="462" s="29" customFormat="1" ht="22" spans="2:5">
      <c r="B462" s="14" t="s">
        <v>176</v>
      </c>
      <c r="C462" s="14" t="s">
        <v>176</v>
      </c>
      <c r="D462" s="14" t="s">
        <v>176</v>
      </c>
      <c r="E462" s="14" t="s">
        <v>176</v>
      </c>
    </row>
    <row r="463" s="29" customFormat="1" spans="2:5">
      <c r="B463" s="15" t="s">
        <v>177</v>
      </c>
      <c r="C463" s="16" t="s">
        <v>178</v>
      </c>
      <c r="D463" s="17" t="s">
        <v>179</v>
      </c>
      <c r="E463" s="18" t="s">
        <v>180</v>
      </c>
    </row>
    <row r="464" s="29" customFormat="1" ht="28" spans="2:5">
      <c r="B464" s="19" t="s">
        <v>439</v>
      </c>
      <c r="C464" s="20" t="s">
        <v>804</v>
      </c>
      <c r="D464" s="21">
        <v>1</v>
      </c>
      <c r="E464" s="22">
        <v>112613</v>
      </c>
    </row>
    <row r="465" s="29" customFormat="1" spans="2:5">
      <c r="B465" s="19" t="s">
        <v>439</v>
      </c>
      <c r="C465" s="16" t="s">
        <v>183</v>
      </c>
      <c r="D465" s="23">
        <v>11</v>
      </c>
      <c r="E465" s="24">
        <v>112613</v>
      </c>
    </row>
    <row r="466" s="29" customFormat="1" ht="41" spans="2:5">
      <c r="B466" s="19" t="s">
        <v>440</v>
      </c>
      <c r="C466" s="20" t="s">
        <v>182</v>
      </c>
      <c r="D466" s="21">
        <v>121</v>
      </c>
      <c r="E466" s="22">
        <v>0</v>
      </c>
    </row>
    <row r="467" s="29" customFormat="1" ht="28" spans="2:5">
      <c r="B467" s="19" t="s">
        <v>440</v>
      </c>
      <c r="C467" s="20" t="s">
        <v>804</v>
      </c>
      <c r="D467" s="21">
        <v>3</v>
      </c>
      <c r="E467" s="22">
        <v>0</v>
      </c>
    </row>
    <row r="468" s="29" customFormat="1" spans="2:5">
      <c r="B468" s="19" t="s">
        <v>440</v>
      </c>
      <c r="C468" s="16" t="s">
        <v>183</v>
      </c>
      <c r="D468" s="23">
        <v>124</v>
      </c>
      <c r="E468" s="24">
        <v>0</v>
      </c>
    </row>
    <row r="469" s="29" customFormat="1" ht="41" spans="2:5">
      <c r="B469" s="19" t="s">
        <v>441</v>
      </c>
      <c r="C469" s="20" t="s">
        <v>182</v>
      </c>
      <c r="D469" s="21">
        <v>1</v>
      </c>
      <c r="E469" s="22">
        <v>0</v>
      </c>
    </row>
    <row r="470" s="29" customFormat="1" spans="2:5">
      <c r="B470" s="19" t="s">
        <v>441</v>
      </c>
      <c r="C470" s="16" t="s">
        <v>183</v>
      </c>
      <c r="D470" s="23">
        <v>1</v>
      </c>
      <c r="E470" s="24">
        <v>0</v>
      </c>
    </row>
    <row r="471" s="29" customFormat="1" ht="41" spans="2:5">
      <c r="B471" s="19" t="s">
        <v>442</v>
      </c>
      <c r="C471" s="20" t="s">
        <v>182</v>
      </c>
      <c r="D471" s="21">
        <v>3</v>
      </c>
      <c r="E471" s="22">
        <v>0</v>
      </c>
    </row>
    <row r="472" s="29" customFormat="1" spans="2:5">
      <c r="B472" s="19" t="s">
        <v>442</v>
      </c>
      <c r="C472" s="16" t="s">
        <v>183</v>
      </c>
      <c r="D472" s="23">
        <v>3</v>
      </c>
      <c r="E472" s="24">
        <v>0</v>
      </c>
    </row>
    <row r="473" s="29" customFormat="1" ht="41" spans="2:5">
      <c r="B473" s="19" t="s">
        <v>443</v>
      </c>
      <c r="C473" s="20" t="s">
        <v>182</v>
      </c>
      <c r="D473" s="21">
        <v>1</v>
      </c>
      <c r="E473" s="22">
        <v>0</v>
      </c>
    </row>
    <row r="474" s="29" customFormat="1" spans="2:5">
      <c r="B474" s="19" t="s">
        <v>443</v>
      </c>
      <c r="C474" s="16" t="s">
        <v>183</v>
      </c>
      <c r="D474" s="23">
        <v>1</v>
      </c>
      <c r="E474" s="24">
        <v>0</v>
      </c>
    </row>
    <row r="475" s="29" customFormat="1" ht="41" spans="2:5">
      <c r="B475" s="19" t="s">
        <v>444</v>
      </c>
      <c r="C475" s="20" t="s">
        <v>182</v>
      </c>
      <c r="D475" s="21">
        <v>9</v>
      </c>
      <c r="E475" s="22">
        <v>0</v>
      </c>
    </row>
    <row r="476" s="29" customFormat="1" ht="28" spans="2:5">
      <c r="B476" s="19" t="s">
        <v>444</v>
      </c>
      <c r="C476" s="20" t="s">
        <v>804</v>
      </c>
      <c r="D476" s="21">
        <v>3</v>
      </c>
      <c r="E476" s="22">
        <v>0</v>
      </c>
    </row>
    <row r="477" s="29" customFormat="1" ht="17.55" spans="2:5">
      <c r="B477" s="19" t="s">
        <v>444</v>
      </c>
      <c r="C477" s="16" t="s">
        <v>183</v>
      </c>
      <c r="D477" s="23">
        <v>12</v>
      </c>
      <c r="E477" s="24">
        <v>0</v>
      </c>
    </row>
    <row r="478" s="29" customFormat="1" spans="2:5">
      <c r="B478" s="25"/>
      <c r="C478" s="25"/>
      <c r="D478" s="25"/>
      <c r="E478" s="25"/>
    </row>
    <row r="479" s="29" customFormat="1" ht="36" spans="2:5">
      <c r="B479" s="26" t="s">
        <v>189</v>
      </c>
      <c r="C479" s="26" t="s">
        <v>189</v>
      </c>
      <c r="D479" s="26" t="s">
        <v>189</v>
      </c>
      <c r="E479" s="26" t="s">
        <v>189</v>
      </c>
    </row>
    <row r="480" s="29" customFormat="1" spans="2:5">
      <c r="B480" s="26"/>
      <c r="C480" s="26"/>
      <c r="D480" s="26"/>
      <c r="E480" s="26"/>
    </row>
    <row r="481" s="29" customFormat="1" ht="36" spans="2:5">
      <c r="B481" s="26" t="s">
        <v>806</v>
      </c>
      <c r="C481" s="26" t="s">
        <v>806</v>
      </c>
      <c r="D481" s="26" t="s">
        <v>806</v>
      </c>
      <c r="E481" s="26" t="s">
        <v>806</v>
      </c>
    </row>
    <row r="482" s="29" customFormat="1" spans="2:5">
      <c r="B482" s="26" t="s">
        <v>331</v>
      </c>
      <c r="C482" s="26" t="s">
        <v>331</v>
      </c>
      <c r="D482" s="26" t="s">
        <v>331</v>
      </c>
      <c r="E482" s="26" t="s">
        <v>331</v>
      </c>
    </row>
    <row r="483" s="29" customFormat="1" ht="124" spans="2:5">
      <c r="B483" s="11" t="s">
        <v>173</v>
      </c>
      <c r="C483" s="11" t="s">
        <v>173</v>
      </c>
      <c r="D483" s="11" t="s">
        <v>173</v>
      </c>
      <c r="E483" s="11" t="s">
        <v>173</v>
      </c>
    </row>
    <row r="484" s="29" customFormat="1" ht="156" spans="2:5">
      <c r="B484" s="12" t="s">
        <v>174</v>
      </c>
      <c r="C484" s="12" t="s">
        <v>174</v>
      </c>
      <c r="D484" s="12" t="s">
        <v>174</v>
      </c>
      <c r="E484" s="12" t="s">
        <v>174</v>
      </c>
    </row>
    <row r="485" s="29" customFormat="1" ht="68" spans="2:5">
      <c r="B485" s="13" t="s">
        <v>798</v>
      </c>
      <c r="C485" s="13" t="s">
        <v>798</v>
      </c>
      <c r="D485" s="13" t="s">
        <v>798</v>
      </c>
      <c r="E485" s="13" t="s">
        <v>798</v>
      </c>
    </row>
    <row r="486" s="29" customFormat="1" ht="22" spans="2:5">
      <c r="B486" s="14" t="s">
        <v>176</v>
      </c>
      <c r="C486" s="14" t="s">
        <v>176</v>
      </c>
      <c r="D486" s="14" t="s">
        <v>176</v>
      </c>
      <c r="E486" s="14" t="s">
        <v>176</v>
      </c>
    </row>
    <row r="487" s="29" customFormat="1" spans="2:5">
      <c r="B487" s="15" t="s">
        <v>177</v>
      </c>
      <c r="C487" s="16" t="s">
        <v>178</v>
      </c>
      <c r="D487" s="17" t="s">
        <v>179</v>
      </c>
      <c r="E487" s="18" t="s">
        <v>180</v>
      </c>
    </row>
    <row r="488" s="29" customFormat="1" ht="41" spans="2:5">
      <c r="B488" s="19" t="s">
        <v>499</v>
      </c>
      <c r="C488" s="20" t="s">
        <v>182</v>
      </c>
      <c r="D488" s="21">
        <v>1</v>
      </c>
      <c r="E488" s="22">
        <v>0</v>
      </c>
    </row>
    <row r="489" s="29" customFormat="1" spans="2:5">
      <c r="B489" s="19" t="s">
        <v>499</v>
      </c>
      <c r="C489" s="16" t="s">
        <v>183</v>
      </c>
      <c r="D489" s="23">
        <v>1</v>
      </c>
      <c r="E489" s="24">
        <v>0</v>
      </c>
    </row>
    <row r="490" s="29" customFormat="1" ht="41" spans="2:5">
      <c r="B490" s="19" t="s">
        <v>836</v>
      </c>
      <c r="C490" s="20" t="s">
        <v>182</v>
      </c>
      <c r="D490" s="21">
        <v>1</v>
      </c>
      <c r="E490" s="22">
        <v>1127000</v>
      </c>
    </row>
    <row r="491" s="29" customFormat="1" ht="28" spans="2:5">
      <c r="B491" s="19" t="s">
        <v>836</v>
      </c>
      <c r="C491" s="16" t="s">
        <v>183</v>
      </c>
      <c r="D491" s="23">
        <v>1</v>
      </c>
      <c r="E491" s="24">
        <v>1127000</v>
      </c>
    </row>
    <row r="492" s="29" customFormat="1" ht="41" spans="2:5">
      <c r="B492" s="19" t="s">
        <v>837</v>
      </c>
      <c r="C492" s="20" t="s">
        <v>182</v>
      </c>
      <c r="D492" s="21">
        <v>1</v>
      </c>
      <c r="E492" s="22">
        <v>0</v>
      </c>
    </row>
    <row r="493" s="29" customFormat="1" spans="2:5">
      <c r="B493" s="19" t="s">
        <v>837</v>
      </c>
      <c r="C493" s="16" t="s">
        <v>183</v>
      </c>
      <c r="D493" s="23">
        <v>1</v>
      </c>
      <c r="E493" s="24">
        <v>0</v>
      </c>
    </row>
    <row r="494" s="29" customFormat="1" ht="41" spans="2:5">
      <c r="B494" s="19" t="s">
        <v>838</v>
      </c>
      <c r="C494" s="20" t="s">
        <v>182</v>
      </c>
      <c r="D494" s="21">
        <v>1</v>
      </c>
      <c r="E494" s="22">
        <v>0</v>
      </c>
    </row>
    <row r="495" s="29" customFormat="1" spans="2:5">
      <c r="B495" s="19" t="s">
        <v>838</v>
      </c>
      <c r="C495" s="16" t="s">
        <v>183</v>
      </c>
      <c r="D495" s="23">
        <v>1</v>
      </c>
      <c r="E495" s="24">
        <v>0</v>
      </c>
    </row>
    <row r="496" s="29" customFormat="1" ht="41" spans="2:5">
      <c r="B496" s="19" t="s">
        <v>445</v>
      </c>
      <c r="C496" s="20" t="s">
        <v>182</v>
      </c>
      <c r="D496" s="21">
        <v>1</v>
      </c>
      <c r="E496" s="22">
        <v>0</v>
      </c>
    </row>
    <row r="497" s="29" customFormat="1" spans="2:5">
      <c r="B497" s="19" t="s">
        <v>445</v>
      </c>
      <c r="C497" s="16" t="s">
        <v>183</v>
      </c>
      <c r="D497" s="23">
        <v>1</v>
      </c>
      <c r="E497" s="24">
        <v>0</v>
      </c>
    </row>
    <row r="498" s="29" customFormat="1" ht="41" spans="2:5">
      <c r="B498" s="19" t="s">
        <v>839</v>
      </c>
      <c r="C498" s="20" t="s">
        <v>182</v>
      </c>
      <c r="D498" s="21">
        <v>4</v>
      </c>
      <c r="E498" s="22">
        <v>116000</v>
      </c>
    </row>
    <row r="499" s="29" customFormat="1" ht="28.75" spans="2:5">
      <c r="B499" s="19" t="s">
        <v>839</v>
      </c>
      <c r="C499" s="16" t="s">
        <v>183</v>
      </c>
      <c r="D499" s="23">
        <v>4</v>
      </c>
      <c r="E499" s="24">
        <v>116000</v>
      </c>
    </row>
    <row r="500" s="29" customFormat="1" spans="2:5">
      <c r="B500" s="25"/>
      <c r="C500" s="25"/>
      <c r="D500" s="25"/>
      <c r="E500" s="25"/>
    </row>
    <row r="501" s="29" customFormat="1" ht="36" spans="2:5">
      <c r="B501" s="26" t="s">
        <v>189</v>
      </c>
      <c r="C501" s="26" t="s">
        <v>189</v>
      </c>
      <c r="D501" s="26" t="s">
        <v>189</v>
      </c>
      <c r="E501" s="26" t="s">
        <v>189</v>
      </c>
    </row>
    <row r="502" s="29" customFormat="1" spans="2:5">
      <c r="B502" s="26"/>
      <c r="C502" s="26"/>
      <c r="D502" s="26"/>
      <c r="E502" s="26"/>
    </row>
    <row r="503" s="29" customFormat="1" ht="36" spans="2:5">
      <c r="B503" s="26" t="s">
        <v>806</v>
      </c>
      <c r="C503" s="26" t="s">
        <v>806</v>
      </c>
      <c r="D503" s="26" t="s">
        <v>806</v>
      </c>
      <c r="E503" s="26" t="s">
        <v>806</v>
      </c>
    </row>
    <row r="504" s="29" customFormat="1" spans="2:5">
      <c r="B504" s="26" t="s">
        <v>338</v>
      </c>
      <c r="C504" s="26" t="s">
        <v>338</v>
      </c>
      <c r="D504" s="26" t="s">
        <v>338</v>
      </c>
      <c r="E504" s="26" t="s">
        <v>338</v>
      </c>
    </row>
    <row r="505" s="29" customFormat="1" ht="124" spans="2:5">
      <c r="B505" s="11" t="s">
        <v>173</v>
      </c>
      <c r="C505" s="11" t="s">
        <v>173</v>
      </c>
      <c r="D505" s="11" t="s">
        <v>173</v>
      </c>
      <c r="E505" s="11" t="s">
        <v>173</v>
      </c>
    </row>
    <row r="506" s="29" customFormat="1" ht="156" spans="2:5">
      <c r="B506" s="12" t="s">
        <v>174</v>
      </c>
      <c r="C506" s="12" t="s">
        <v>174</v>
      </c>
      <c r="D506" s="12" t="s">
        <v>174</v>
      </c>
      <c r="E506" s="12" t="s">
        <v>174</v>
      </c>
    </row>
    <row r="507" s="29" customFormat="1" ht="68" spans="2:5">
      <c r="B507" s="13" t="s">
        <v>798</v>
      </c>
      <c r="C507" s="13" t="s">
        <v>798</v>
      </c>
      <c r="D507" s="13" t="s">
        <v>798</v>
      </c>
      <c r="E507" s="13" t="s">
        <v>798</v>
      </c>
    </row>
    <row r="508" s="29" customFormat="1" ht="22" spans="2:5">
      <c r="B508" s="14" t="s">
        <v>176</v>
      </c>
      <c r="C508" s="14" t="s">
        <v>176</v>
      </c>
      <c r="D508" s="14" t="s">
        <v>176</v>
      </c>
      <c r="E508" s="14" t="s">
        <v>176</v>
      </c>
    </row>
    <row r="509" s="29" customFormat="1" spans="2:5">
      <c r="B509" s="15" t="s">
        <v>177</v>
      </c>
      <c r="C509" s="16" t="s">
        <v>178</v>
      </c>
      <c r="D509" s="17" t="s">
        <v>179</v>
      </c>
      <c r="E509" s="18" t="s">
        <v>180</v>
      </c>
    </row>
    <row r="510" s="29" customFormat="1" ht="41" spans="2:5">
      <c r="B510" s="19" t="s">
        <v>840</v>
      </c>
      <c r="C510" s="20" t="s">
        <v>182</v>
      </c>
      <c r="D510" s="21">
        <v>8</v>
      </c>
      <c r="E510" s="22">
        <v>1225225.225226</v>
      </c>
    </row>
    <row r="511" s="29" customFormat="1" spans="2:5">
      <c r="B511" s="19" t="s">
        <v>840</v>
      </c>
      <c r="C511" s="16" t="s">
        <v>183</v>
      </c>
      <c r="D511" s="23">
        <v>8</v>
      </c>
      <c r="E511" s="24">
        <v>1225225.225226</v>
      </c>
    </row>
    <row r="512" s="29" customFormat="1" ht="41" spans="2:5">
      <c r="B512" s="19" t="s">
        <v>841</v>
      </c>
      <c r="C512" s="20" t="s">
        <v>182</v>
      </c>
      <c r="D512" s="21">
        <v>12</v>
      </c>
      <c r="E512" s="22">
        <v>1837837.837839</v>
      </c>
    </row>
    <row r="513" s="29" customFormat="1" spans="2:5">
      <c r="B513" s="19" t="s">
        <v>841</v>
      </c>
      <c r="C513" s="16" t="s">
        <v>183</v>
      </c>
      <c r="D513" s="23">
        <v>12</v>
      </c>
      <c r="E513" s="24">
        <v>1837837.837839</v>
      </c>
    </row>
    <row r="514" s="29" customFormat="1" ht="41" spans="2:5">
      <c r="B514" s="19" t="s">
        <v>697</v>
      </c>
      <c r="C514" s="20" t="s">
        <v>182</v>
      </c>
      <c r="D514" s="21">
        <v>20</v>
      </c>
      <c r="E514" s="22">
        <v>3063063.360362</v>
      </c>
    </row>
    <row r="515" s="29" customFormat="1" ht="28" spans="2:5">
      <c r="B515" s="19" t="s">
        <v>697</v>
      </c>
      <c r="C515" s="16" t="s">
        <v>183</v>
      </c>
      <c r="D515" s="23">
        <v>20</v>
      </c>
      <c r="E515" s="24">
        <v>3063063.360362</v>
      </c>
    </row>
    <row r="516" s="29" customFormat="1" ht="41" spans="2:5">
      <c r="B516" s="19" t="s">
        <v>502</v>
      </c>
      <c r="C516" s="20" t="s">
        <v>182</v>
      </c>
      <c r="D516" s="21">
        <v>107</v>
      </c>
      <c r="E516" s="22">
        <v>9896395.054047</v>
      </c>
    </row>
    <row r="517" s="29" customFormat="1" ht="28" spans="2:5">
      <c r="B517" s="19" t="s">
        <v>502</v>
      </c>
      <c r="C517" s="16" t="s">
        <v>183</v>
      </c>
      <c r="D517" s="23">
        <v>107</v>
      </c>
      <c r="E517" s="24">
        <v>9896395.054047</v>
      </c>
    </row>
    <row r="518" s="29" customFormat="1" ht="28" spans="2:5">
      <c r="B518" s="19" t="s">
        <v>842</v>
      </c>
      <c r="C518" s="20" t="s">
        <v>804</v>
      </c>
      <c r="D518" s="21">
        <v>1</v>
      </c>
      <c r="E518" s="22">
        <v>0</v>
      </c>
    </row>
    <row r="519" s="29" customFormat="1" ht="28" spans="2:5">
      <c r="B519" s="19" t="s">
        <v>842</v>
      </c>
      <c r="C519" s="16" t="s">
        <v>183</v>
      </c>
      <c r="D519" s="23">
        <v>1</v>
      </c>
      <c r="E519" s="24">
        <v>0</v>
      </c>
    </row>
    <row r="520" s="29" customFormat="1" ht="41" spans="2:5">
      <c r="B520" s="19" t="s">
        <v>843</v>
      </c>
      <c r="C520" s="20" t="s">
        <v>182</v>
      </c>
      <c r="D520" s="21">
        <v>1</v>
      </c>
      <c r="E520" s="22">
        <v>1780000</v>
      </c>
    </row>
    <row r="521" s="29" customFormat="1" ht="41" spans="2:5">
      <c r="B521" s="19" t="s">
        <v>843</v>
      </c>
      <c r="C521" s="16" t="s">
        <v>183</v>
      </c>
      <c r="D521" s="23">
        <v>1</v>
      </c>
      <c r="E521" s="24">
        <v>1780000</v>
      </c>
    </row>
    <row r="522" s="29" customFormat="1" ht="41" spans="2:5">
      <c r="B522" s="19" t="s">
        <v>844</v>
      </c>
      <c r="C522" s="20" t="s">
        <v>182</v>
      </c>
      <c r="D522" s="21">
        <v>1</v>
      </c>
      <c r="E522" s="22">
        <v>500000</v>
      </c>
    </row>
    <row r="523" s="29" customFormat="1" ht="28.75" spans="2:5">
      <c r="B523" s="19" t="s">
        <v>844</v>
      </c>
      <c r="C523" s="16" t="s">
        <v>183</v>
      </c>
      <c r="D523" s="23">
        <v>1</v>
      </c>
      <c r="E523" s="24">
        <v>500000</v>
      </c>
    </row>
    <row r="524" s="29" customFormat="1" spans="2:5">
      <c r="B524" s="25"/>
      <c r="C524" s="25"/>
      <c r="D524" s="25"/>
      <c r="E524" s="25"/>
    </row>
    <row r="525" s="29" customFormat="1" ht="36" spans="2:5">
      <c r="B525" s="26" t="s">
        <v>189</v>
      </c>
      <c r="C525" s="26" t="s">
        <v>189</v>
      </c>
      <c r="D525" s="26" t="s">
        <v>189</v>
      </c>
      <c r="E525" s="26" t="s">
        <v>189</v>
      </c>
    </row>
    <row r="526" s="29" customFormat="1" spans="2:5">
      <c r="B526" s="26"/>
      <c r="C526" s="26"/>
      <c r="D526" s="26"/>
      <c r="E526" s="26"/>
    </row>
    <row r="527" s="29" customFormat="1" ht="36" spans="2:5">
      <c r="B527" s="26" t="s">
        <v>806</v>
      </c>
      <c r="C527" s="26" t="s">
        <v>806</v>
      </c>
      <c r="D527" s="26" t="s">
        <v>806</v>
      </c>
      <c r="E527" s="26" t="s">
        <v>806</v>
      </c>
    </row>
    <row r="528" s="29" customFormat="1" spans="2:5">
      <c r="B528" s="26" t="s">
        <v>342</v>
      </c>
      <c r="C528" s="26" t="s">
        <v>342</v>
      </c>
      <c r="D528" s="26" t="s">
        <v>342</v>
      </c>
      <c r="E528" s="26" t="s">
        <v>342</v>
      </c>
    </row>
    <row r="529" s="29" customFormat="1" ht="124" spans="2:5">
      <c r="B529" s="11" t="s">
        <v>173</v>
      </c>
      <c r="C529" s="11" t="s">
        <v>173</v>
      </c>
      <c r="D529" s="11" t="s">
        <v>173</v>
      </c>
      <c r="E529" s="11" t="s">
        <v>173</v>
      </c>
    </row>
    <row r="530" s="29" customFormat="1" ht="156" spans="2:5">
      <c r="B530" s="12" t="s">
        <v>174</v>
      </c>
      <c r="C530" s="12" t="s">
        <v>174</v>
      </c>
      <c r="D530" s="12" t="s">
        <v>174</v>
      </c>
      <c r="E530" s="12" t="s">
        <v>174</v>
      </c>
    </row>
    <row r="531" s="29" customFormat="1" ht="68" spans="2:5">
      <c r="B531" s="13" t="s">
        <v>798</v>
      </c>
      <c r="C531" s="13" t="s">
        <v>798</v>
      </c>
      <c r="D531" s="13" t="s">
        <v>798</v>
      </c>
      <c r="E531" s="13" t="s">
        <v>798</v>
      </c>
    </row>
    <row r="532" s="29" customFormat="1" ht="22" spans="2:5">
      <c r="B532" s="14" t="s">
        <v>176</v>
      </c>
      <c r="C532" s="14" t="s">
        <v>176</v>
      </c>
      <c r="D532" s="14" t="s">
        <v>176</v>
      </c>
      <c r="E532" s="14" t="s">
        <v>176</v>
      </c>
    </row>
    <row r="533" s="29" customFormat="1" spans="2:5">
      <c r="B533" s="15" t="s">
        <v>177</v>
      </c>
      <c r="C533" s="16" t="s">
        <v>178</v>
      </c>
      <c r="D533" s="17" t="s">
        <v>179</v>
      </c>
      <c r="E533" s="18" t="s">
        <v>180</v>
      </c>
    </row>
    <row r="534" s="29" customFormat="1" ht="41" spans="2:5">
      <c r="B534" s="19" t="s">
        <v>299</v>
      </c>
      <c r="C534" s="20" t="s">
        <v>182</v>
      </c>
      <c r="D534" s="21">
        <v>87</v>
      </c>
      <c r="E534" s="22">
        <v>189189.18919</v>
      </c>
    </row>
    <row r="535" s="29" customFormat="1" ht="28" spans="2:5">
      <c r="B535" s="19" t="s">
        <v>299</v>
      </c>
      <c r="C535" s="20" t="s">
        <v>804</v>
      </c>
      <c r="D535" s="21">
        <v>1</v>
      </c>
      <c r="E535" s="22">
        <v>0</v>
      </c>
    </row>
    <row r="536" s="29" customFormat="1" ht="28" spans="2:5">
      <c r="B536" s="19" t="s">
        <v>299</v>
      </c>
      <c r="C536" s="16" t="s">
        <v>183</v>
      </c>
      <c r="D536" s="23">
        <v>88</v>
      </c>
      <c r="E536" s="24">
        <v>189189.18919</v>
      </c>
    </row>
    <row r="537" s="29" customFormat="1" ht="41" spans="2:5">
      <c r="B537" s="19" t="s">
        <v>371</v>
      </c>
      <c r="C537" s="20" t="s">
        <v>182</v>
      </c>
      <c r="D537" s="21">
        <v>38</v>
      </c>
      <c r="E537" s="22">
        <v>0</v>
      </c>
    </row>
    <row r="538" s="29" customFormat="1" ht="28" spans="2:5">
      <c r="B538" s="19" t="s">
        <v>371</v>
      </c>
      <c r="C538" s="20" t="s">
        <v>804</v>
      </c>
      <c r="D538" s="21">
        <v>1</v>
      </c>
      <c r="E538" s="22">
        <v>0</v>
      </c>
    </row>
    <row r="539" s="29" customFormat="1" ht="28" spans="2:5">
      <c r="B539" s="19" t="s">
        <v>371</v>
      </c>
      <c r="C539" s="16" t="s">
        <v>183</v>
      </c>
      <c r="D539" s="23">
        <v>39</v>
      </c>
      <c r="E539" s="24">
        <v>0</v>
      </c>
    </row>
    <row r="540" s="29" customFormat="1" ht="41" spans="2:5">
      <c r="B540" s="19" t="s">
        <v>373</v>
      </c>
      <c r="C540" s="20" t="s">
        <v>182</v>
      </c>
      <c r="D540" s="21">
        <v>97</v>
      </c>
      <c r="E540" s="22">
        <v>0</v>
      </c>
    </row>
    <row r="541" s="29" customFormat="1" ht="28" spans="2:5">
      <c r="B541" s="19" t="s">
        <v>373</v>
      </c>
      <c r="C541" s="20" t="s">
        <v>804</v>
      </c>
      <c r="D541" s="21">
        <v>4</v>
      </c>
      <c r="E541" s="22">
        <v>0</v>
      </c>
    </row>
    <row r="542" s="29" customFormat="1" ht="28" spans="2:5">
      <c r="B542" s="19" t="s">
        <v>373</v>
      </c>
      <c r="C542" s="16" t="s">
        <v>183</v>
      </c>
      <c r="D542" s="23">
        <v>101</v>
      </c>
      <c r="E542" s="24">
        <v>0</v>
      </c>
    </row>
    <row r="543" s="29" customFormat="1" ht="41" spans="2:5">
      <c r="B543" s="19" t="s">
        <v>374</v>
      </c>
      <c r="C543" s="20" t="s">
        <v>182</v>
      </c>
      <c r="D543" s="21">
        <v>10</v>
      </c>
      <c r="E543" s="22">
        <v>0</v>
      </c>
    </row>
    <row r="544" s="29" customFormat="1" ht="28" spans="2:5">
      <c r="B544" s="19" t="s">
        <v>374</v>
      </c>
      <c r="C544" s="16" t="s">
        <v>183</v>
      </c>
      <c r="D544" s="23">
        <v>10</v>
      </c>
      <c r="E544" s="24">
        <v>0</v>
      </c>
    </row>
    <row r="545" s="29" customFormat="1" ht="41" spans="2:5">
      <c r="B545" s="19" t="s">
        <v>300</v>
      </c>
      <c r="C545" s="20" t="s">
        <v>182</v>
      </c>
      <c r="D545" s="21">
        <v>10</v>
      </c>
      <c r="E545" s="22">
        <v>0</v>
      </c>
    </row>
    <row r="546" s="29" customFormat="1" ht="17.55" spans="2:5">
      <c r="B546" s="19" t="s">
        <v>300</v>
      </c>
      <c r="C546" s="16" t="s">
        <v>183</v>
      </c>
      <c r="D546" s="23">
        <v>10</v>
      </c>
      <c r="E546" s="24">
        <v>0</v>
      </c>
    </row>
    <row r="547" s="29" customFormat="1" spans="2:5">
      <c r="B547" s="25"/>
      <c r="C547" s="25"/>
      <c r="D547" s="25"/>
      <c r="E547" s="25"/>
    </row>
    <row r="548" s="29" customFormat="1" ht="36" spans="2:5">
      <c r="B548" s="26" t="s">
        <v>189</v>
      </c>
      <c r="C548" s="26" t="s">
        <v>189</v>
      </c>
      <c r="D548" s="26" t="s">
        <v>189</v>
      </c>
      <c r="E548" s="26" t="s">
        <v>189</v>
      </c>
    </row>
    <row r="549" s="29" customFormat="1" spans="2:5">
      <c r="B549" s="26"/>
      <c r="C549" s="26"/>
      <c r="D549" s="26"/>
      <c r="E549" s="26"/>
    </row>
    <row r="550" s="29" customFormat="1" ht="36" spans="2:5">
      <c r="B550" s="26" t="s">
        <v>806</v>
      </c>
      <c r="C550" s="26" t="s">
        <v>806</v>
      </c>
      <c r="D550" s="26" t="s">
        <v>806</v>
      </c>
      <c r="E550" s="26" t="s">
        <v>806</v>
      </c>
    </row>
    <row r="551" s="29" customFormat="1" spans="2:5">
      <c r="B551" s="26" t="s">
        <v>476</v>
      </c>
      <c r="C551" s="26" t="s">
        <v>476</v>
      </c>
      <c r="D551" s="26" t="s">
        <v>476</v>
      </c>
      <c r="E551" s="26" t="s">
        <v>476</v>
      </c>
    </row>
    <row r="552" s="29" customFormat="1" ht="124" spans="2:5">
      <c r="B552" s="11" t="s">
        <v>173</v>
      </c>
      <c r="C552" s="11" t="s">
        <v>173</v>
      </c>
      <c r="D552" s="11" t="s">
        <v>173</v>
      </c>
      <c r="E552" s="11" t="s">
        <v>173</v>
      </c>
    </row>
    <row r="553" s="29" customFormat="1" ht="156" spans="2:5">
      <c r="B553" s="12" t="s">
        <v>174</v>
      </c>
      <c r="C553" s="12" t="s">
        <v>174</v>
      </c>
      <c r="D553" s="12" t="s">
        <v>174</v>
      </c>
      <c r="E553" s="12" t="s">
        <v>174</v>
      </c>
    </row>
    <row r="554" s="29" customFormat="1" ht="68" spans="2:5">
      <c r="B554" s="13" t="s">
        <v>798</v>
      </c>
      <c r="C554" s="13" t="s">
        <v>798</v>
      </c>
      <c r="D554" s="13" t="s">
        <v>798</v>
      </c>
      <c r="E554" s="13" t="s">
        <v>798</v>
      </c>
    </row>
    <row r="555" s="29" customFormat="1" ht="22" spans="2:5">
      <c r="B555" s="14" t="s">
        <v>176</v>
      </c>
      <c r="C555" s="14" t="s">
        <v>176</v>
      </c>
      <c r="D555" s="14" t="s">
        <v>176</v>
      </c>
      <c r="E555" s="14" t="s">
        <v>176</v>
      </c>
    </row>
    <row r="556" s="29" customFormat="1" spans="2:5">
      <c r="B556" s="15" t="s">
        <v>177</v>
      </c>
      <c r="C556" s="16" t="s">
        <v>178</v>
      </c>
      <c r="D556" s="17" t="s">
        <v>179</v>
      </c>
      <c r="E556" s="18" t="s">
        <v>180</v>
      </c>
    </row>
    <row r="557" s="29" customFormat="1" ht="41" spans="2:5">
      <c r="B557" s="19" t="s">
        <v>845</v>
      </c>
      <c r="C557" s="20" t="s">
        <v>182</v>
      </c>
      <c r="D557" s="21">
        <v>1</v>
      </c>
      <c r="E557" s="22">
        <v>49550</v>
      </c>
    </row>
    <row r="558" s="29" customFormat="1" ht="28" spans="2:5">
      <c r="B558" s="19" t="s">
        <v>845</v>
      </c>
      <c r="C558" s="16" t="s">
        <v>183</v>
      </c>
      <c r="D558" s="23">
        <v>1</v>
      </c>
      <c r="E558" s="24">
        <v>49550</v>
      </c>
    </row>
    <row r="559" s="29" customFormat="1" ht="41" spans="2:5">
      <c r="B559" s="19" t="s">
        <v>375</v>
      </c>
      <c r="C559" s="20" t="s">
        <v>182</v>
      </c>
      <c r="D559" s="21">
        <v>97</v>
      </c>
      <c r="E559" s="22">
        <v>0</v>
      </c>
    </row>
    <row r="560" s="29" customFormat="1" ht="28" spans="2:5">
      <c r="B560" s="19" t="s">
        <v>375</v>
      </c>
      <c r="C560" s="20" t="s">
        <v>804</v>
      </c>
      <c r="D560" s="21">
        <v>4</v>
      </c>
      <c r="E560" s="22">
        <v>0</v>
      </c>
    </row>
    <row r="561" s="29" customFormat="1" spans="2:5">
      <c r="B561" s="19" t="s">
        <v>375</v>
      </c>
      <c r="C561" s="16" t="s">
        <v>183</v>
      </c>
      <c r="D561" s="23">
        <v>101</v>
      </c>
      <c r="E561" s="24">
        <v>0</v>
      </c>
    </row>
    <row r="562" s="29" customFormat="1" ht="41" spans="2:5">
      <c r="B562" s="19" t="s">
        <v>302</v>
      </c>
      <c r="C562" s="20" t="s">
        <v>182</v>
      </c>
      <c r="D562" s="21">
        <v>93</v>
      </c>
      <c r="E562" s="22">
        <v>1784162.349978</v>
      </c>
    </row>
    <row r="563" s="29" customFormat="1" ht="28" spans="2:5">
      <c r="B563" s="19" t="s">
        <v>302</v>
      </c>
      <c r="C563" s="20" t="s">
        <v>804</v>
      </c>
      <c r="D563" s="21">
        <v>6</v>
      </c>
      <c r="E563" s="22">
        <v>32432.432432</v>
      </c>
    </row>
    <row r="564" s="29" customFormat="1" spans="2:5">
      <c r="B564" s="19" t="s">
        <v>302</v>
      </c>
      <c r="C564" s="16" t="s">
        <v>183</v>
      </c>
      <c r="D564" s="23">
        <v>99</v>
      </c>
      <c r="E564" s="24">
        <v>1816594.78241</v>
      </c>
    </row>
    <row r="565" s="29" customFormat="1" ht="41" spans="2:5">
      <c r="B565" s="19" t="s">
        <v>846</v>
      </c>
      <c r="C565" s="20" t="s">
        <v>182</v>
      </c>
      <c r="D565" s="21">
        <v>1</v>
      </c>
      <c r="E565" s="22">
        <v>4504.504505</v>
      </c>
    </row>
    <row r="566" s="29" customFormat="1" ht="28" spans="2:5">
      <c r="B566" s="19" t="s">
        <v>846</v>
      </c>
      <c r="C566" s="16" t="s">
        <v>183</v>
      </c>
      <c r="D566" s="23">
        <v>1</v>
      </c>
      <c r="E566" s="24">
        <v>4504.504505</v>
      </c>
    </row>
    <row r="567" s="29" customFormat="1" ht="41" spans="2:5">
      <c r="B567" s="19" t="s">
        <v>847</v>
      </c>
      <c r="C567" s="20" t="s">
        <v>182</v>
      </c>
      <c r="D567" s="21">
        <v>4</v>
      </c>
      <c r="E567" s="22">
        <v>176000</v>
      </c>
    </row>
    <row r="568" s="29" customFormat="1" ht="17.55" spans="2:5">
      <c r="B568" s="19" t="s">
        <v>847</v>
      </c>
      <c r="C568" s="16" t="s">
        <v>183</v>
      </c>
      <c r="D568" s="23">
        <v>4</v>
      </c>
      <c r="E568" s="24">
        <v>176000</v>
      </c>
    </row>
    <row r="569" s="29" customFormat="1" spans="2:5">
      <c r="B569" s="25"/>
      <c r="C569" s="25"/>
      <c r="D569" s="25"/>
      <c r="E569" s="25"/>
    </row>
    <row r="570" s="29" customFormat="1" ht="36" spans="2:5">
      <c r="B570" s="26" t="s">
        <v>189</v>
      </c>
      <c r="C570" s="26" t="s">
        <v>189</v>
      </c>
      <c r="D570" s="26" t="s">
        <v>189</v>
      </c>
      <c r="E570" s="26" t="s">
        <v>189</v>
      </c>
    </row>
    <row r="571" s="29" customFormat="1" spans="2:5">
      <c r="B571" s="26"/>
      <c r="C571" s="26"/>
      <c r="D571" s="26"/>
      <c r="E571" s="26"/>
    </row>
    <row r="572" s="29" customFormat="1" ht="36" spans="2:5">
      <c r="B572" s="26" t="s">
        <v>806</v>
      </c>
      <c r="C572" s="26" t="s">
        <v>806</v>
      </c>
      <c r="D572" s="26" t="s">
        <v>806</v>
      </c>
      <c r="E572" s="26" t="s">
        <v>806</v>
      </c>
    </row>
    <row r="573" s="29" customFormat="1" spans="2:5">
      <c r="B573" s="26" t="s">
        <v>480</v>
      </c>
      <c r="C573" s="26" t="s">
        <v>480</v>
      </c>
      <c r="D573" s="26" t="s">
        <v>480</v>
      </c>
      <c r="E573" s="26" t="s">
        <v>480</v>
      </c>
    </row>
    <row r="574" s="29" customFormat="1" ht="124" spans="2:5">
      <c r="B574" s="11" t="s">
        <v>173</v>
      </c>
      <c r="C574" s="11" t="s">
        <v>173</v>
      </c>
      <c r="D574" s="11" t="s">
        <v>173</v>
      </c>
      <c r="E574" s="11" t="s">
        <v>173</v>
      </c>
    </row>
    <row r="575" s="29" customFormat="1" ht="156" spans="2:5">
      <c r="B575" s="12" t="s">
        <v>174</v>
      </c>
      <c r="C575" s="12" t="s">
        <v>174</v>
      </c>
      <c r="D575" s="12" t="s">
        <v>174</v>
      </c>
      <c r="E575" s="12" t="s">
        <v>174</v>
      </c>
    </row>
    <row r="576" s="29" customFormat="1" ht="68" spans="2:5">
      <c r="B576" s="13" t="s">
        <v>798</v>
      </c>
      <c r="C576" s="13" t="s">
        <v>798</v>
      </c>
      <c r="D576" s="13" t="s">
        <v>798</v>
      </c>
      <c r="E576" s="13" t="s">
        <v>798</v>
      </c>
    </row>
    <row r="577" s="29" customFormat="1" ht="22" spans="2:5">
      <c r="B577" s="14" t="s">
        <v>176</v>
      </c>
      <c r="C577" s="14" t="s">
        <v>176</v>
      </c>
      <c r="D577" s="14" t="s">
        <v>176</v>
      </c>
      <c r="E577" s="14" t="s">
        <v>176</v>
      </c>
    </row>
    <row r="578" s="29" customFormat="1" spans="2:5">
      <c r="B578" s="15" t="s">
        <v>177</v>
      </c>
      <c r="C578" s="16" t="s">
        <v>178</v>
      </c>
      <c r="D578" s="17" t="s">
        <v>179</v>
      </c>
      <c r="E578" s="18" t="s">
        <v>180</v>
      </c>
    </row>
    <row r="579" s="29" customFormat="1" ht="41" spans="2:5">
      <c r="B579" s="19" t="s">
        <v>848</v>
      </c>
      <c r="C579" s="20" t="s">
        <v>182</v>
      </c>
      <c r="D579" s="21">
        <v>4</v>
      </c>
      <c r="E579" s="22">
        <v>212612.306306</v>
      </c>
    </row>
    <row r="580" s="29" customFormat="1" ht="28" spans="2:5">
      <c r="B580" s="19" t="s">
        <v>848</v>
      </c>
      <c r="C580" s="16" t="s">
        <v>183</v>
      </c>
      <c r="D580" s="23">
        <v>4</v>
      </c>
      <c r="E580" s="24">
        <v>212612.306306</v>
      </c>
    </row>
    <row r="581" s="29" customFormat="1" ht="41" spans="2:5">
      <c r="B581" s="19" t="s">
        <v>849</v>
      </c>
      <c r="C581" s="20" t="s">
        <v>182</v>
      </c>
      <c r="D581" s="21">
        <v>1</v>
      </c>
      <c r="E581" s="22">
        <v>34234</v>
      </c>
    </row>
    <row r="582" s="29" customFormat="1" ht="28" spans="2:5">
      <c r="B582" s="19" t="s">
        <v>849</v>
      </c>
      <c r="C582" s="16" t="s">
        <v>183</v>
      </c>
      <c r="D582" s="23">
        <v>1</v>
      </c>
      <c r="E582" s="24">
        <v>34234</v>
      </c>
    </row>
    <row r="583" s="29" customFormat="1" ht="41" spans="2:5">
      <c r="B583" s="19" t="s">
        <v>850</v>
      </c>
      <c r="C583" s="20" t="s">
        <v>182</v>
      </c>
      <c r="D583" s="21">
        <v>2</v>
      </c>
      <c r="E583" s="22">
        <v>28828.216216</v>
      </c>
    </row>
    <row r="584" s="29" customFormat="1" ht="28" spans="2:5">
      <c r="B584" s="19" t="s">
        <v>850</v>
      </c>
      <c r="C584" s="16" t="s">
        <v>183</v>
      </c>
      <c r="D584" s="23">
        <v>2</v>
      </c>
      <c r="E584" s="24">
        <v>28828.216216</v>
      </c>
    </row>
    <row r="585" s="29" customFormat="1" ht="41" spans="2:5">
      <c r="B585" s="19" t="s">
        <v>851</v>
      </c>
      <c r="C585" s="20" t="s">
        <v>182</v>
      </c>
      <c r="D585" s="21">
        <v>1</v>
      </c>
      <c r="E585" s="22">
        <v>63963.963964</v>
      </c>
    </row>
    <row r="586" s="29" customFormat="1" ht="28" spans="2:5">
      <c r="B586" s="19" t="s">
        <v>851</v>
      </c>
      <c r="C586" s="16" t="s">
        <v>183</v>
      </c>
      <c r="D586" s="23">
        <v>1</v>
      </c>
      <c r="E586" s="24">
        <v>63963.963964</v>
      </c>
    </row>
    <row r="587" s="29" customFormat="1" ht="41" spans="2:5">
      <c r="B587" s="19" t="s">
        <v>852</v>
      </c>
      <c r="C587" s="20" t="s">
        <v>182</v>
      </c>
      <c r="D587" s="21">
        <v>1</v>
      </c>
      <c r="E587" s="22">
        <v>89188.846847</v>
      </c>
    </row>
    <row r="588" s="29" customFormat="1" ht="28" spans="2:5">
      <c r="B588" s="19" t="s">
        <v>852</v>
      </c>
      <c r="C588" s="16" t="s">
        <v>183</v>
      </c>
      <c r="D588" s="23">
        <v>1</v>
      </c>
      <c r="E588" s="24">
        <v>89188.846847</v>
      </c>
    </row>
    <row r="589" s="29" customFormat="1" ht="41" spans="2:5">
      <c r="B589" s="19" t="s">
        <v>853</v>
      </c>
      <c r="C589" s="20" t="s">
        <v>182</v>
      </c>
      <c r="D589" s="21">
        <v>9</v>
      </c>
      <c r="E589" s="22">
        <v>542342.675675</v>
      </c>
    </row>
    <row r="590" s="29" customFormat="1" ht="28.75" spans="2:5">
      <c r="B590" s="19" t="s">
        <v>853</v>
      </c>
      <c r="C590" s="16" t="s">
        <v>183</v>
      </c>
      <c r="D590" s="23">
        <v>9</v>
      </c>
      <c r="E590" s="24">
        <v>542342.675675</v>
      </c>
    </row>
    <row r="591" s="29" customFormat="1" spans="2:5">
      <c r="B591" s="25"/>
      <c r="C591" s="25"/>
      <c r="D591" s="25"/>
      <c r="E591" s="25"/>
    </row>
    <row r="592" s="29" customFormat="1" ht="36" spans="2:5">
      <c r="B592" s="26" t="s">
        <v>189</v>
      </c>
      <c r="C592" s="26" t="s">
        <v>189</v>
      </c>
      <c r="D592" s="26" t="s">
        <v>189</v>
      </c>
      <c r="E592" s="26" t="s">
        <v>189</v>
      </c>
    </row>
    <row r="593" s="29" customFormat="1" spans="2:5">
      <c r="B593" s="26"/>
      <c r="C593" s="26"/>
      <c r="D593" s="26"/>
      <c r="E593" s="26"/>
    </row>
    <row r="594" s="29" customFormat="1" ht="36" spans="2:5">
      <c r="B594" s="26" t="s">
        <v>806</v>
      </c>
      <c r="C594" s="26" t="s">
        <v>806</v>
      </c>
      <c r="D594" s="26" t="s">
        <v>806</v>
      </c>
      <c r="E594" s="26" t="s">
        <v>806</v>
      </c>
    </row>
    <row r="595" s="29" customFormat="1" spans="2:5">
      <c r="B595" s="26" t="s">
        <v>523</v>
      </c>
      <c r="C595" s="26" t="s">
        <v>523</v>
      </c>
      <c r="D595" s="26" t="s">
        <v>523</v>
      </c>
      <c r="E595" s="26" t="s">
        <v>523</v>
      </c>
    </row>
    <row r="596" s="29" customFormat="1" ht="124" spans="2:5">
      <c r="B596" s="11" t="s">
        <v>173</v>
      </c>
      <c r="C596" s="11" t="s">
        <v>173</v>
      </c>
      <c r="D596" s="11" t="s">
        <v>173</v>
      </c>
      <c r="E596" s="11" t="s">
        <v>173</v>
      </c>
    </row>
    <row r="597" s="29" customFormat="1" ht="156" spans="2:5">
      <c r="B597" s="12" t="s">
        <v>174</v>
      </c>
      <c r="C597" s="12" t="s">
        <v>174</v>
      </c>
      <c r="D597" s="12" t="s">
        <v>174</v>
      </c>
      <c r="E597" s="12" t="s">
        <v>174</v>
      </c>
    </row>
    <row r="598" s="29" customFormat="1" ht="68" spans="2:5">
      <c r="B598" s="13" t="s">
        <v>798</v>
      </c>
      <c r="C598" s="13" t="s">
        <v>798</v>
      </c>
      <c r="D598" s="13" t="s">
        <v>798</v>
      </c>
      <c r="E598" s="13" t="s">
        <v>798</v>
      </c>
    </row>
    <row r="599" s="29" customFormat="1" ht="22" spans="2:5">
      <c r="B599" s="14" t="s">
        <v>176</v>
      </c>
      <c r="C599" s="14" t="s">
        <v>176</v>
      </c>
      <c r="D599" s="14" t="s">
        <v>176</v>
      </c>
      <c r="E599" s="14" t="s">
        <v>176</v>
      </c>
    </row>
    <row r="600" s="29" customFormat="1" spans="2:5">
      <c r="B600" s="15" t="s">
        <v>177</v>
      </c>
      <c r="C600" s="16" t="s">
        <v>178</v>
      </c>
      <c r="D600" s="17" t="s">
        <v>179</v>
      </c>
      <c r="E600" s="18" t="s">
        <v>180</v>
      </c>
    </row>
    <row r="601" s="29" customFormat="1" ht="41" spans="2:5">
      <c r="B601" s="19" t="s">
        <v>854</v>
      </c>
      <c r="C601" s="20" t="s">
        <v>182</v>
      </c>
      <c r="D601" s="21">
        <v>1</v>
      </c>
      <c r="E601" s="22">
        <v>51351.846847</v>
      </c>
    </row>
    <row r="602" s="29" customFormat="1" ht="28" spans="2:5">
      <c r="B602" s="19" t="s">
        <v>854</v>
      </c>
      <c r="C602" s="16" t="s">
        <v>183</v>
      </c>
      <c r="D602" s="23">
        <v>1</v>
      </c>
      <c r="E602" s="24">
        <v>51351.846847</v>
      </c>
    </row>
    <row r="603" s="29" customFormat="1" ht="41" spans="2:5">
      <c r="B603" s="19" t="s">
        <v>855</v>
      </c>
      <c r="C603" s="20" t="s">
        <v>182</v>
      </c>
      <c r="D603" s="21">
        <v>1</v>
      </c>
      <c r="E603" s="22">
        <v>0</v>
      </c>
    </row>
    <row r="604" s="29" customFormat="1" ht="41" spans="2:5">
      <c r="B604" s="19" t="s">
        <v>855</v>
      </c>
      <c r="C604" s="16" t="s">
        <v>183</v>
      </c>
      <c r="D604" s="23">
        <v>1</v>
      </c>
      <c r="E604" s="24">
        <v>0</v>
      </c>
    </row>
    <row r="605" s="29" customFormat="1" ht="41" spans="2:5">
      <c r="B605" s="19" t="s">
        <v>856</v>
      </c>
      <c r="C605" s="20" t="s">
        <v>182</v>
      </c>
      <c r="D605" s="21">
        <v>1</v>
      </c>
      <c r="E605" s="22">
        <v>578000</v>
      </c>
    </row>
    <row r="606" s="29" customFormat="1" ht="28" spans="2:5">
      <c r="B606" s="19" t="s">
        <v>856</v>
      </c>
      <c r="C606" s="16" t="s">
        <v>183</v>
      </c>
      <c r="D606" s="23">
        <v>1</v>
      </c>
      <c r="E606" s="24">
        <v>578000</v>
      </c>
    </row>
    <row r="607" s="29" customFormat="1" ht="41" spans="2:5">
      <c r="B607" s="19" t="s">
        <v>857</v>
      </c>
      <c r="C607" s="20" t="s">
        <v>182</v>
      </c>
      <c r="D607" s="21">
        <v>1</v>
      </c>
      <c r="E607" s="22">
        <v>675000</v>
      </c>
    </row>
    <row r="608" s="29" customFormat="1" ht="28" spans="2:5">
      <c r="B608" s="19" t="s">
        <v>857</v>
      </c>
      <c r="C608" s="16" t="s">
        <v>183</v>
      </c>
      <c r="D608" s="23">
        <v>1</v>
      </c>
      <c r="E608" s="24">
        <v>675000</v>
      </c>
    </row>
    <row r="609" s="29" customFormat="1" ht="41" spans="2:5">
      <c r="B609" s="19" t="s">
        <v>858</v>
      </c>
      <c r="C609" s="20" t="s">
        <v>182</v>
      </c>
      <c r="D609" s="21">
        <v>1</v>
      </c>
      <c r="E609" s="22">
        <v>1400000</v>
      </c>
    </row>
    <row r="610" s="29" customFormat="1" ht="28" spans="2:5">
      <c r="B610" s="19" t="s">
        <v>858</v>
      </c>
      <c r="C610" s="16" t="s">
        <v>183</v>
      </c>
      <c r="D610" s="23">
        <v>1</v>
      </c>
      <c r="E610" s="24">
        <v>1400000</v>
      </c>
    </row>
    <row r="611" s="29" customFormat="1" ht="41" spans="2:5">
      <c r="B611" s="19" t="s">
        <v>859</v>
      </c>
      <c r="C611" s="20" t="s">
        <v>182</v>
      </c>
      <c r="D611" s="21">
        <v>2</v>
      </c>
      <c r="E611" s="22">
        <v>2514000</v>
      </c>
    </row>
    <row r="612" s="29" customFormat="1" ht="28.75" spans="2:5">
      <c r="B612" s="19" t="s">
        <v>859</v>
      </c>
      <c r="C612" s="16" t="s">
        <v>183</v>
      </c>
      <c r="D612" s="23">
        <v>2</v>
      </c>
      <c r="E612" s="24">
        <v>2514000</v>
      </c>
    </row>
    <row r="613" s="29" customFormat="1" spans="2:5">
      <c r="B613" s="25"/>
      <c r="C613" s="25"/>
      <c r="D613" s="25"/>
      <c r="E613" s="25"/>
    </row>
    <row r="614" s="29" customFormat="1" ht="36" spans="2:5">
      <c r="B614" s="26" t="s">
        <v>189</v>
      </c>
      <c r="C614" s="26" t="s">
        <v>189</v>
      </c>
      <c r="D614" s="26" t="s">
        <v>189</v>
      </c>
      <c r="E614" s="26" t="s">
        <v>189</v>
      </c>
    </row>
    <row r="615" s="29" customFormat="1" spans="2:5">
      <c r="B615" s="26"/>
      <c r="C615" s="26"/>
      <c r="D615" s="26"/>
      <c r="E615" s="26"/>
    </row>
    <row r="616" s="29" customFormat="1" ht="36" spans="2:5">
      <c r="B616" s="26" t="s">
        <v>806</v>
      </c>
      <c r="C616" s="26" t="s">
        <v>806</v>
      </c>
      <c r="D616" s="26" t="s">
        <v>806</v>
      </c>
      <c r="E616" s="26" t="s">
        <v>806</v>
      </c>
    </row>
    <row r="617" s="29" customFormat="1" spans="2:5">
      <c r="B617" s="26" t="s">
        <v>529</v>
      </c>
      <c r="C617" s="26" t="s">
        <v>529</v>
      </c>
      <c r="D617" s="26" t="s">
        <v>529</v>
      </c>
      <c r="E617" s="26" t="s">
        <v>529</v>
      </c>
    </row>
    <row r="618" s="29" customFormat="1" ht="124" spans="2:5">
      <c r="B618" s="11" t="s">
        <v>173</v>
      </c>
      <c r="C618" s="11" t="s">
        <v>173</v>
      </c>
      <c r="D618" s="11" t="s">
        <v>173</v>
      </c>
      <c r="E618" s="11" t="s">
        <v>173</v>
      </c>
    </row>
    <row r="619" s="29" customFormat="1" ht="156" spans="2:5">
      <c r="B619" s="12" t="s">
        <v>174</v>
      </c>
      <c r="C619" s="12" t="s">
        <v>174</v>
      </c>
      <c r="D619" s="12" t="s">
        <v>174</v>
      </c>
      <c r="E619" s="12" t="s">
        <v>174</v>
      </c>
    </row>
    <row r="620" s="29" customFormat="1" ht="68" spans="2:5">
      <c r="B620" s="13" t="s">
        <v>798</v>
      </c>
      <c r="C620" s="13" t="s">
        <v>798</v>
      </c>
      <c r="D620" s="13" t="s">
        <v>798</v>
      </c>
      <c r="E620" s="13" t="s">
        <v>798</v>
      </c>
    </row>
    <row r="621" s="29" customFormat="1" ht="22" spans="2:5">
      <c r="B621" s="14" t="s">
        <v>176</v>
      </c>
      <c r="C621" s="14" t="s">
        <v>176</v>
      </c>
      <c r="D621" s="14" t="s">
        <v>176</v>
      </c>
      <c r="E621" s="14" t="s">
        <v>176</v>
      </c>
    </row>
    <row r="622" s="29" customFormat="1" spans="2:5">
      <c r="B622" s="15" t="s">
        <v>177</v>
      </c>
      <c r="C622" s="16" t="s">
        <v>178</v>
      </c>
      <c r="D622" s="17" t="s">
        <v>179</v>
      </c>
      <c r="E622" s="18" t="s">
        <v>180</v>
      </c>
    </row>
    <row r="623" s="29" customFormat="1" ht="41" spans="2:5">
      <c r="B623" s="19" t="s">
        <v>860</v>
      </c>
      <c r="C623" s="20" t="s">
        <v>182</v>
      </c>
      <c r="D623" s="21">
        <v>1</v>
      </c>
      <c r="E623" s="22">
        <v>297000</v>
      </c>
    </row>
    <row r="624" s="29" customFormat="1" ht="28" spans="2:5">
      <c r="B624" s="19" t="s">
        <v>860</v>
      </c>
      <c r="C624" s="16" t="s">
        <v>183</v>
      </c>
      <c r="D624" s="23">
        <v>1</v>
      </c>
      <c r="E624" s="24">
        <v>297000</v>
      </c>
    </row>
    <row r="625" s="29" customFormat="1" ht="41" spans="2:5">
      <c r="B625" s="19" t="s">
        <v>861</v>
      </c>
      <c r="C625" s="20" t="s">
        <v>182</v>
      </c>
      <c r="D625" s="21">
        <v>1</v>
      </c>
      <c r="E625" s="22">
        <v>300000</v>
      </c>
    </row>
    <row r="626" s="29" customFormat="1" ht="28" spans="2:5">
      <c r="B626" s="19" t="s">
        <v>861</v>
      </c>
      <c r="C626" s="16" t="s">
        <v>183</v>
      </c>
      <c r="D626" s="23">
        <v>1</v>
      </c>
      <c r="E626" s="24">
        <v>300000</v>
      </c>
    </row>
    <row r="627" s="29" customFormat="1" ht="41" spans="2:5">
      <c r="B627" s="19" t="s">
        <v>862</v>
      </c>
      <c r="C627" s="20" t="s">
        <v>182</v>
      </c>
      <c r="D627" s="21">
        <v>1</v>
      </c>
      <c r="E627" s="22">
        <v>175000</v>
      </c>
    </row>
    <row r="628" s="29" customFormat="1" ht="28" spans="2:5">
      <c r="B628" s="19" t="s">
        <v>862</v>
      </c>
      <c r="C628" s="16" t="s">
        <v>183</v>
      </c>
      <c r="D628" s="23">
        <v>1</v>
      </c>
      <c r="E628" s="24">
        <v>175000</v>
      </c>
    </row>
    <row r="629" s="29" customFormat="1" ht="41" spans="2:5">
      <c r="B629" s="19" t="s">
        <v>863</v>
      </c>
      <c r="C629" s="20" t="s">
        <v>182</v>
      </c>
      <c r="D629" s="21">
        <v>1</v>
      </c>
      <c r="E629" s="22">
        <v>285000</v>
      </c>
    </row>
    <row r="630" s="29" customFormat="1" ht="28" spans="2:5">
      <c r="B630" s="19" t="s">
        <v>863</v>
      </c>
      <c r="C630" s="16" t="s">
        <v>183</v>
      </c>
      <c r="D630" s="23">
        <v>1</v>
      </c>
      <c r="E630" s="24">
        <v>285000</v>
      </c>
    </row>
    <row r="631" s="29" customFormat="1" ht="41" spans="2:5">
      <c r="B631" s="19" t="s">
        <v>864</v>
      </c>
      <c r="C631" s="20" t="s">
        <v>182</v>
      </c>
      <c r="D631" s="21">
        <v>1</v>
      </c>
      <c r="E631" s="22">
        <v>506000</v>
      </c>
    </row>
    <row r="632" s="29" customFormat="1" ht="28" spans="2:5">
      <c r="B632" s="19" t="s">
        <v>864</v>
      </c>
      <c r="C632" s="16" t="s">
        <v>183</v>
      </c>
      <c r="D632" s="23">
        <v>1</v>
      </c>
      <c r="E632" s="24">
        <v>506000</v>
      </c>
    </row>
    <row r="633" s="29" customFormat="1" ht="41" spans="2:5">
      <c r="B633" s="19" t="s">
        <v>721</v>
      </c>
      <c r="C633" s="20" t="s">
        <v>182</v>
      </c>
      <c r="D633" s="21">
        <v>11</v>
      </c>
      <c r="E633" s="22">
        <v>0</v>
      </c>
    </row>
    <row r="634" s="29" customFormat="1" ht="28" spans="2:5">
      <c r="B634" s="19" t="s">
        <v>721</v>
      </c>
      <c r="C634" s="20" t="s">
        <v>804</v>
      </c>
      <c r="D634" s="21">
        <v>3</v>
      </c>
      <c r="E634" s="22">
        <v>0</v>
      </c>
    </row>
    <row r="635" s="29" customFormat="1" ht="28.75" spans="2:5">
      <c r="B635" s="19" t="s">
        <v>721</v>
      </c>
      <c r="C635" s="16" t="s">
        <v>183</v>
      </c>
      <c r="D635" s="23">
        <v>14</v>
      </c>
      <c r="E635" s="24">
        <v>0</v>
      </c>
    </row>
    <row r="636" s="29" customFormat="1" spans="2:5">
      <c r="B636" s="25"/>
      <c r="C636" s="25"/>
      <c r="D636" s="25"/>
      <c r="E636" s="25"/>
    </row>
    <row r="637" s="29" customFormat="1" ht="36" spans="2:5">
      <c r="B637" s="26" t="s">
        <v>189</v>
      </c>
      <c r="C637" s="26" t="s">
        <v>189</v>
      </c>
      <c r="D637" s="26" t="s">
        <v>189</v>
      </c>
      <c r="E637" s="26" t="s">
        <v>189</v>
      </c>
    </row>
    <row r="638" s="29" customFormat="1" spans="2:5">
      <c r="B638" s="26"/>
      <c r="C638" s="26"/>
      <c r="D638" s="26"/>
      <c r="E638" s="26"/>
    </row>
    <row r="639" s="29" customFormat="1" ht="36" spans="2:5">
      <c r="B639" s="26" t="s">
        <v>806</v>
      </c>
      <c r="C639" s="26" t="s">
        <v>806</v>
      </c>
      <c r="D639" s="26" t="s">
        <v>806</v>
      </c>
      <c r="E639" s="26" t="s">
        <v>806</v>
      </c>
    </row>
    <row r="640" s="29" customFormat="1" spans="2:5">
      <c r="B640" s="26" t="s">
        <v>533</v>
      </c>
      <c r="C640" s="26" t="s">
        <v>533</v>
      </c>
      <c r="D640" s="26" t="s">
        <v>533</v>
      </c>
      <c r="E640" s="26" t="s">
        <v>533</v>
      </c>
    </row>
    <row r="641" s="29" customFormat="1" ht="124" spans="2:5">
      <c r="B641" s="11" t="s">
        <v>173</v>
      </c>
      <c r="C641" s="11" t="s">
        <v>173</v>
      </c>
      <c r="D641" s="11" t="s">
        <v>173</v>
      </c>
      <c r="E641" s="11" t="s">
        <v>173</v>
      </c>
    </row>
    <row r="642" s="29" customFormat="1" ht="156" spans="2:5">
      <c r="B642" s="12" t="s">
        <v>174</v>
      </c>
      <c r="C642" s="12" t="s">
        <v>174</v>
      </c>
      <c r="D642" s="12" t="s">
        <v>174</v>
      </c>
      <c r="E642" s="12" t="s">
        <v>174</v>
      </c>
    </row>
    <row r="643" s="29" customFormat="1" ht="68" spans="2:5">
      <c r="B643" s="13" t="s">
        <v>798</v>
      </c>
      <c r="C643" s="13" t="s">
        <v>798</v>
      </c>
      <c r="D643" s="13" t="s">
        <v>798</v>
      </c>
      <c r="E643" s="13" t="s">
        <v>798</v>
      </c>
    </row>
    <row r="644" s="29" customFormat="1" ht="22" spans="2:5">
      <c r="B644" s="14" t="s">
        <v>176</v>
      </c>
      <c r="C644" s="14" t="s">
        <v>176</v>
      </c>
      <c r="D644" s="14" t="s">
        <v>176</v>
      </c>
      <c r="E644" s="14" t="s">
        <v>176</v>
      </c>
    </row>
    <row r="645" s="29" customFormat="1" spans="2:5">
      <c r="B645" s="15" t="s">
        <v>177</v>
      </c>
      <c r="C645" s="16" t="s">
        <v>178</v>
      </c>
      <c r="D645" s="17" t="s">
        <v>179</v>
      </c>
      <c r="E645" s="18" t="s">
        <v>180</v>
      </c>
    </row>
    <row r="646" s="29" customFormat="1" ht="41" spans="2:5">
      <c r="B646" s="19" t="s">
        <v>865</v>
      </c>
      <c r="C646" s="20" t="s">
        <v>182</v>
      </c>
      <c r="D646" s="21">
        <v>1</v>
      </c>
      <c r="E646" s="22">
        <v>1700000</v>
      </c>
    </row>
    <row r="647" s="29" customFormat="1" ht="28" spans="2:5">
      <c r="B647" s="19" t="s">
        <v>865</v>
      </c>
      <c r="C647" s="16" t="s">
        <v>183</v>
      </c>
      <c r="D647" s="23">
        <v>1</v>
      </c>
      <c r="E647" s="24">
        <v>1700000</v>
      </c>
    </row>
    <row r="648" s="29" customFormat="1" ht="41" spans="2:5">
      <c r="B648" s="19" t="s">
        <v>866</v>
      </c>
      <c r="C648" s="20" t="s">
        <v>182</v>
      </c>
      <c r="D648" s="21">
        <v>1</v>
      </c>
      <c r="E648" s="22">
        <v>675000</v>
      </c>
    </row>
    <row r="649" s="29" customFormat="1" ht="28" spans="2:5">
      <c r="B649" s="19" t="s">
        <v>866</v>
      </c>
      <c r="C649" s="16" t="s">
        <v>183</v>
      </c>
      <c r="D649" s="23">
        <v>1</v>
      </c>
      <c r="E649" s="24">
        <v>675000</v>
      </c>
    </row>
    <row r="650" s="29" customFormat="1" ht="41" spans="2:5">
      <c r="B650" s="19" t="s">
        <v>867</v>
      </c>
      <c r="C650" s="20" t="s">
        <v>182</v>
      </c>
      <c r="D650" s="21">
        <v>1</v>
      </c>
      <c r="E650" s="22">
        <v>440000</v>
      </c>
    </row>
    <row r="651" s="29" customFormat="1" spans="2:5">
      <c r="B651" s="19" t="s">
        <v>867</v>
      </c>
      <c r="C651" s="16" t="s">
        <v>183</v>
      </c>
      <c r="D651" s="23">
        <v>1</v>
      </c>
      <c r="E651" s="24">
        <v>440000</v>
      </c>
    </row>
    <row r="652" s="29" customFormat="1" ht="41" spans="2:5">
      <c r="B652" s="19" t="s">
        <v>513</v>
      </c>
      <c r="C652" s="20" t="s">
        <v>182</v>
      </c>
      <c r="D652" s="21">
        <v>173</v>
      </c>
      <c r="E652" s="22">
        <v>51351.351351</v>
      </c>
    </row>
    <row r="653" s="29" customFormat="1" ht="28" spans="2:5">
      <c r="B653" s="19" t="s">
        <v>513</v>
      </c>
      <c r="C653" s="20" t="s">
        <v>804</v>
      </c>
      <c r="D653" s="21">
        <v>42</v>
      </c>
      <c r="E653" s="22">
        <v>51351.576577</v>
      </c>
    </row>
    <row r="654" s="29" customFormat="1" spans="2:5">
      <c r="B654" s="19" t="s">
        <v>513</v>
      </c>
      <c r="C654" s="16" t="s">
        <v>183</v>
      </c>
      <c r="D654" s="23">
        <v>215</v>
      </c>
      <c r="E654" s="24">
        <v>102702.927928</v>
      </c>
    </row>
    <row r="655" s="29" customFormat="1" ht="41" spans="2:5">
      <c r="B655" s="19" t="s">
        <v>514</v>
      </c>
      <c r="C655" s="20" t="s">
        <v>182</v>
      </c>
      <c r="D655" s="21">
        <v>63</v>
      </c>
      <c r="E655" s="22">
        <v>2667567.288268</v>
      </c>
    </row>
    <row r="656" s="29" customFormat="1" ht="28" spans="2:5">
      <c r="B656" s="19" t="s">
        <v>514</v>
      </c>
      <c r="C656" s="20" t="s">
        <v>804</v>
      </c>
      <c r="D656" s="21">
        <v>4</v>
      </c>
      <c r="E656" s="22">
        <v>169369.675675</v>
      </c>
    </row>
    <row r="657" s="29" customFormat="1" ht="28.75" spans="2:5">
      <c r="B657" s="19" t="s">
        <v>514</v>
      </c>
      <c r="C657" s="16" t="s">
        <v>183</v>
      </c>
      <c r="D657" s="23">
        <v>67</v>
      </c>
      <c r="E657" s="24">
        <v>2836936.963943</v>
      </c>
    </row>
    <row r="658" s="29" customFormat="1" spans="2:5">
      <c r="B658" s="25"/>
      <c r="C658" s="25"/>
      <c r="D658" s="25"/>
      <c r="E658" s="25"/>
    </row>
    <row r="659" s="29" customFormat="1" ht="36" spans="2:5">
      <c r="B659" s="26" t="s">
        <v>189</v>
      </c>
      <c r="C659" s="26" t="s">
        <v>189</v>
      </c>
      <c r="D659" s="26" t="s">
        <v>189</v>
      </c>
      <c r="E659" s="26" t="s">
        <v>189</v>
      </c>
    </row>
    <row r="660" s="29" customFormat="1" spans="2:5">
      <c r="B660" s="26"/>
      <c r="C660" s="26"/>
      <c r="D660" s="26"/>
      <c r="E660" s="26"/>
    </row>
    <row r="661" s="29" customFormat="1" ht="36" spans="2:5">
      <c r="B661" s="26" t="s">
        <v>806</v>
      </c>
      <c r="C661" s="26" t="s">
        <v>806</v>
      </c>
      <c r="D661" s="26" t="s">
        <v>806</v>
      </c>
      <c r="E661" s="26" t="s">
        <v>806</v>
      </c>
    </row>
    <row r="662" s="29" customFormat="1" spans="2:5">
      <c r="B662" s="26" t="s">
        <v>540</v>
      </c>
      <c r="C662" s="26" t="s">
        <v>540</v>
      </c>
      <c r="D662" s="26" t="s">
        <v>540</v>
      </c>
      <c r="E662" s="26" t="s">
        <v>540</v>
      </c>
    </row>
    <row r="663" s="29" customFormat="1" ht="124" spans="2:5">
      <c r="B663" s="11" t="s">
        <v>173</v>
      </c>
      <c r="C663" s="11" t="s">
        <v>173</v>
      </c>
      <c r="D663" s="11" t="s">
        <v>173</v>
      </c>
      <c r="E663" s="11" t="s">
        <v>173</v>
      </c>
    </row>
    <row r="664" s="29" customFormat="1" ht="156" spans="2:5">
      <c r="B664" s="12" t="s">
        <v>174</v>
      </c>
      <c r="C664" s="12" t="s">
        <v>174</v>
      </c>
      <c r="D664" s="12" t="s">
        <v>174</v>
      </c>
      <c r="E664" s="12" t="s">
        <v>174</v>
      </c>
    </row>
    <row r="665" s="29" customFormat="1" ht="68" spans="2:5">
      <c r="B665" s="13" t="s">
        <v>798</v>
      </c>
      <c r="C665" s="13" t="s">
        <v>798</v>
      </c>
      <c r="D665" s="13" t="s">
        <v>798</v>
      </c>
      <c r="E665" s="13" t="s">
        <v>798</v>
      </c>
    </row>
    <row r="666" s="29" customFormat="1" ht="22" spans="2:5">
      <c r="B666" s="14" t="s">
        <v>176</v>
      </c>
      <c r="C666" s="14" t="s">
        <v>176</v>
      </c>
      <c r="D666" s="14" t="s">
        <v>176</v>
      </c>
      <c r="E666" s="14" t="s">
        <v>176</v>
      </c>
    </row>
    <row r="667" s="29" customFormat="1" spans="2:5">
      <c r="B667" s="15" t="s">
        <v>177</v>
      </c>
      <c r="C667" s="16" t="s">
        <v>178</v>
      </c>
      <c r="D667" s="17" t="s">
        <v>179</v>
      </c>
      <c r="E667" s="18" t="s">
        <v>180</v>
      </c>
    </row>
    <row r="668" s="29" customFormat="1" ht="41" spans="2:5">
      <c r="B668" s="19" t="s">
        <v>868</v>
      </c>
      <c r="C668" s="20" t="s">
        <v>182</v>
      </c>
      <c r="D668" s="21">
        <v>1</v>
      </c>
      <c r="E668" s="22">
        <v>188000</v>
      </c>
    </row>
    <row r="669" s="29" customFormat="1" ht="28" spans="2:5">
      <c r="B669" s="19" t="s">
        <v>868</v>
      </c>
      <c r="C669" s="16" t="s">
        <v>183</v>
      </c>
      <c r="D669" s="23">
        <v>1</v>
      </c>
      <c r="E669" s="24">
        <v>188000</v>
      </c>
    </row>
    <row r="670" s="29" customFormat="1" ht="41" spans="2:5">
      <c r="B670" s="19" t="s">
        <v>869</v>
      </c>
      <c r="C670" s="20" t="s">
        <v>182</v>
      </c>
      <c r="D670" s="21">
        <v>1</v>
      </c>
      <c r="E670" s="22">
        <v>332000</v>
      </c>
    </row>
    <row r="671" s="29" customFormat="1" ht="28" spans="2:5">
      <c r="B671" s="19" t="s">
        <v>869</v>
      </c>
      <c r="C671" s="16" t="s">
        <v>183</v>
      </c>
      <c r="D671" s="23">
        <v>1</v>
      </c>
      <c r="E671" s="24">
        <v>332000</v>
      </c>
    </row>
    <row r="672" s="29" customFormat="1" ht="41" spans="2:5">
      <c r="B672" s="19" t="s">
        <v>870</v>
      </c>
      <c r="C672" s="20" t="s">
        <v>182</v>
      </c>
      <c r="D672" s="21">
        <v>2</v>
      </c>
      <c r="E672" s="22">
        <v>838000</v>
      </c>
    </row>
    <row r="673" s="29" customFormat="1" ht="28" spans="2:5">
      <c r="B673" s="19" t="s">
        <v>870</v>
      </c>
      <c r="C673" s="16" t="s">
        <v>183</v>
      </c>
      <c r="D673" s="23">
        <v>2</v>
      </c>
      <c r="E673" s="24">
        <v>838000</v>
      </c>
    </row>
    <row r="674" s="29" customFormat="1" ht="41" spans="2:5">
      <c r="B674" s="19" t="s">
        <v>871</v>
      </c>
      <c r="C674" s="20" t="s">
        <v>182</v>
      </c>
      <c r="D674" s="21">
        <v>1</v>
      </c>
      <c r="E674" s="22">
        <v>50000</v>
      </c>
    </row>
    <row r="675" s="29" customFormat="1" ht="28" spans="2:5">
      <c r="B675" s="19" t="s">
        <v>871</v>
      </c>
      <c r="C675" s="16" t="s">
        <v>183</v>
      </c>
      <c r="D675" s="23">
        <v>1</v>
      </c>
      <c r="E675" s="24">
        <v>50000</v>
      </c>
    </row>
    <row r="676" s="29" customFormat="1" ht="41" spans="2:5">
      <c r="B676" s="19" t="s">
        <v>872</v>
      </c>
      <c r="C676" s="20" t="s">
        <v>182</v>
      </c>
      <c r="D676" s="21">
        <v>1</v>
      </c>
      <c r="E676" s="22">
        <v>506000</v>
      </c>
    </row>
    <row r="677" s="29" customFormat="1" ht="28" spans="2:5">
      <c r="B677" s="19" t="s">
        <v>872</v>
      </c>
      <c r="C677" s="16" t="s">
        <v>183</v>
      </c>
      <c r="D677" s="23">
        <v>1</v>
      </c>
      <c r="E677" s="24">
        <v>506000</v>
      </c>
    </row>
    <row r="678" s="29" customFormat="1" ht="41" spans="2:5">
      <c r="B678" s="19" t="s">
        <v>873</v>
      </c>
      <c r="C678" s="20" t="s">
        <v>182</v>
      </c>
      <c r="D678" s="21">
        <v>4</v>
      </c>
      <c r="E678" s="22">
        <v>1672000</v>
      </c>
    </row>
    <row r="679" s="29" customFormat="1" ht="17.55" spans="2:5">
      <c r="B679" s="19" t="s">
        <v>873</v>
      </c>
      <c r="C679" s="16" t="s">
        <v>183</v>
      </c>
      <c r="D679" s="23">
        <v>4</v>
      </c>
      <c r="E679" s="24">
        <v>1672000</v>
      </c>
    </row>
    <row r="680" s="29" customFormat="1" spans="2:5">
      <c r="B680" s="25"/>
      <c r="C680" s="25"/>
      <c r="D680" s="25"/>
      <c r="E680" s="25"/>
    </row>
    <row r="681" s="29" customFormat="1" ht="36" spans="2:5">
      <c r="B681" s="26" t="s">
        <v>189</v>
      </c>
      <c r="C681" s="26" t="s">
        <v>189</v>
      </c>
      <c r="D681" s="26" t="s">
        <v>189</v>
      </c>
      <c r="E681" s="26" t="s">
        <v>189</v>
      </c>
    </row>
    <row r="682" s="29" customFormat="1" spans="2:5">
      <c r="B682" s="26"/>
      <c r="C682" s="26"/>
      <c r="D682" s="26"/>
      <c r="E682" s="26"/>
    </row>
    <row r="683" s="29" customFormat="1" ht="36" spans="2:5">
      <c r="B683" s="26" t="s">
        <v>806</v>
      </c>
      <c r="C683" s="26" t="s">
        <v>806</v>
      </c>
      <c r="D683" s="26" t="s">
        <v>806</v>
      </c>
      <c r="E683" s="26" t="s">
        <v>806</v>
      </c>
    </row>
    <row r="684" s="29" customFormat="1" spans="2:5">
      <c r="B684" s="26" t="s">
        <v>547</v>
      </c>
      <c r="C684" s="26" t="s">
        <v>547</v>
      </c>
      <c r="D684" s="26" t="s">
        <v>547</v>
      </c>
      <c r="E684" s="26" t="s">
        <v>547</v>
      </c>
    </row>
    <row r="685" s="29" customFormat="1" ht="124" spans="2:5">
      <c r="B685" s="11" t="s">
        <v>173</v>
      </c>
      <c r="C685" s="11" t="s">
        <v>173</v>
      </c>
      <c r="D685" s="11" t="s">
        <v>173</v>
      </c>
      <c r="E685" s="11" t="s">
        <v>173</v>
      </c>
    </row>
    <row r="686" s="29" customFormat="1" ht="156" spans="2:5">
      <c r="B686" s="12" t="s">
        <v>174</v>
      </c>
      <c r="C686" s="12" t="s">
        <v>174</v>
      </c>
      <c r="D686" s="12" t="s">
        <v>174</v>
      </c>
      <c r="E686" s="12" t="s">
        <v>174</v>
      </c>
    </row>
    <row r="687" s="29" customFormat="1" ht="68" spans="2:5">
      <c r="B687" s="13" t="s">
        <v>798</v>
      </c>
      <c r="C687" s="13" t="s">
        <v>798</v>
      </c>
      <c r="D687" s="13" t="s">
        <v>798</v>
      </c>
      <c r="E687" s="13" t="s">
        <v>798</v>
      </c>
    </row>
    <row r="688" s="29" customFormat="1" ht="22" spans="2:5">
      <c r="B688" s="14" t="s">
        <v>176</v>
      </c>
      <c r="C688" s="14" t="s">
        <v>176</v>
      </c>
      <c r="D688" s="14" t="s">
        <v>176</v>
      </c>
      <c r="E688" s="14" t="s">
        <v>176</v>
      </c>
    </row>
    <row r="689" s="29" customFormat="1" spans="2:5">
      <c r="B689" s="15" t="s">
        <v>177</v>
      </c>
      <c r="C689" s="16" t="s">
        <v>178</v>
      </c>
      <c r="D689" s="17" t="s">
        <v>179</v>
      </c>
      <c r="E689" s="18" t="s">
        <v>180</v>
      </c>
    </row>
    <row r="690" s="29" customFormat="1" ht="41" spans="2:5">
      <c r="B690" s="19" t="s">
        <v>874</v>
      </c>
      <c r="C690" s="20" t="s">
        <v>182</v>
      </c>
      <c r="D690" s="21">
        <v>1</v>
      </c>
      <c r="E690" s="22">
        <v>145000</v>
      </c>
    </row>
    <row r="691" s="29" customFormat="1" ht="28" spans="2:5">
      <c r="B691" s="19" t="s">
        <v>874</v>
      </c>
      <c r="C691" s="16" t="s">
        <v>183</v>
      </c>
      <c r="D691" s="23">
        <v>1</v>
      </c>
      <c r="E691" s="24">
        <v>145000</v>
      </c>
    </row>
    <row r="692" s="29" customFormat="1" ht="41" spans="2:5">
      <c r="B692" s="19" t="s">
        <v>875</v>
      </c>
      <c r="C692" s="20" t="s">
        <v>182</v>
      </c>
      <c r="D692" s="21">
        <v>1</v>
      </c>
      <c r="E692" s="22">
        <v>419000</v>
      </c>
    </row>
    <row r="693" s="29" customFormat="1" ht="28" spans="2:5">
      <c r="B693" s="19" t="s">
        <v>875</v>
      </c>
      <c r="C693" s="16" t="s">
        <v>183</v>
      </c>
      <c r="D693" s="23">
        <v>1</v>
      </c>
      <c r="E693" s="24">
        <v>419000</v>
      </c>
    </row>
    <row r="694" s="29" customFormat="1" ht="41" spans="2:5">
      <c r="B694" s="19" t="s">
        <v>876</v>
      </c>
      <c r="C694" s="20" t="s">
        <v>182</v>
      </c>
      <c r="D694" s="21">
        <v>1</v>
      </c>
      <c r="E694" s="22">
        <v>267000</v>
      </c>
    </row>
    <row r="695" s="29" customFormat="1" ht="28" spans="2:5">
      <c r="B695" s="19" t="s">
        <v>876</v>
      </c>
      <c r="C695" s="16" t="s">
        <v>183</v>
      </c>
      <c r="D695" s="23">
        <v>1</v>
      </c>
      <c r="E695" s="24">
        <v>267000</v>
      </c>
    </row>
    <row r="696" s="29" customFormat="1" ht="41" spans="2:5">
      <c r="B696" s="19" t="s">
        <v>877</v>
      </c>
      <c r="C696" s="20" t="s">
        <v>182</v>
      </c>
      <c r="D696" s="21">
        <v>1</v>
      </c>
      <c r="E696" s="22">
        <v>75000</v>
      </c>
    </row>
    <row r="697" s="29" customFormat="1" ht="28" spans="2:5">
      <c r="B697" s="19" t="s">
        <v>877</v>
      </c>
      <c r="C697" s="16" t="s">
        <v>183</v>
      </c>
      <c r="D697" s="23">
        <v>1</v>
      </c>
      <c r="E697" s="24">
        <v>75000</v>
      </c>
    </row>
    <row r="698" s="29" customFormat="1" ht="41" spans="2:5">
      <c r="B698" s="19" t="s">
        <v>878</v>
      </c>
      <c r="C698" s="20" t="s">
        <v>182</v>
      </c>
      <c r="D698" s="21">
        <v>1</v>
      </c>
      <c r="E698" s="22">
        <v>433000</v>
      </c>
    </row>
    <row r="699" s="29" customFormat="1" ht="28" spans="2:5">
      <c r="B699" s="19" t="s">
        <v>878</v>
      </c>
      <c r="C699" s="16" t="s">
        <v>183</v>
      </c>
      <c r="D699" s="23">
        <v>1</v>
      </c>
      <c r="E699" s="24">
        <v>433000</v>
      </c>
    </row>
    <row r="700" s="29" customFormat="1" ht="41" spans="2:5">
      <c r="B700" s="19" t="s">
        <v>879</v>
      </c>
      <c r="C700" s="20" t="s">
        <v>182</v>
      </c>
      <c r="D700" s="21">
        <v>1</v>
      </c>
      <c r="E700" s="22">
        <v>603000</v>
      </c>
    </row>
    <row r="701" s="29" customFormat="1" ht="28.75" spans="2:5">
      <c r="B701" s="19" t="s">
        <v>879</v>
      </c>
      <c r="C701" s="16" t="s">
        <v>183</v>
      </c>
      <c r="D701" s="23">
        <v>1</v>
      </c>
      <c r="E701" s="24">
        <v>603000</v>
      </c>
    </row>
    <row r="702" s="29" customFormat="1" spans="2:5">
      <c r="B702" s="25"/>
      <c r="C702" s="25"/>
      <c r="D702" s="25"/>
      <c r="E702" s="25"/>
    </row>
    <row r="703" s="29" customFormat="1" ht="36" spans="2:5">
      <c r="B703" s="26" t="s">
        <v>189</v>
      </c>
      <c r="C703" s="26" t="s">
        <v>189</v>
      </c>
      <c r="D703" s="26" t="s">
        <v>189</v>
      </c>
      <c r="E703" s="26" t="s">
        <v>189</v>
      </c>
    </row>
    <row r="704" s="29" customFormat="1" spans="2:5">
      <c r="B704" s="26"/>
      <c r="C704" s="26"/>
      <c r="D704" s="26"/>
      <c r="E704" s="26"/>
    </row>
    <row r="705" s="29" customFormat="1" ht="36" spans="2:5">
      <c r="B705" s="26" t="s">
        <v>806</v>
      </c>
      <c r="C705" s="26" t="s">
        <v>806</v>
      </c>
      <c r="D705" s="26" t="s">
        <v>806</v>
      </c>
      <c r="E705" s="26" t="s">
        <v>806</v>
      </c>
    </row>
    <row r="706" s="29" customFormat="1" spans="2:5">
      <c r="B706" s="26" t="s">
        <v>554</v>
      </c>
      <c r="C706" s="26" t="s">
        <v>554</v>
      </c>
      <c r="D706" s="26" t="s">
        <v>554</v>
      </c>
      <c r="E706" s="26" t="s">
        <v>554</v>
      </c>
    </row>
    <row r="707" s="29" customFormat="1" ht="124" spans="2:5">
      <c r="B707" s="11" t="s">
        <v>173</v>
      </c>
      <c r="C707" s="11" t="s">
        <v>173</v>
      </c>
      <c r="D707" s="11" t="s">
        <v>173</v>
      </c>
      <c r="E707" s="11" t="s">
        <v>173</v>
      </c>
    </row>
    <row r="708" s="29" customFormat="1" ht="156" spans="2:5">
      <c r="B708" s="12" t="s">
        <v>174</v>
      </c>
      <c r="C708" s="12" t="s">
        <v>174</v>
      </c>
      <c r="D708" s="12" t="s">
        <v>174</v>
      </c>
      <c r="E708" s="12" t="s">
        <v>174</v>
      </c>
    </row>
    <row r="709" s="29" customFormat="1" ht="68" spans="2:5">
      <c r="B709" s="13" t="s">
        <v>798</v>
      </c>
      <c r="C709" s="13" t="s">
        <v>798</v>
      </c>
      <c r="D709" s="13" t="s">
        <v>798</v>
      </c>
      <c r="E709" s="13" t="s">
        <v>798</v>
      </c>
    </row>
    <row r="710" s="29" customFormat="1" ht="22" spans="2:5">
      <c r="B710" s="14" t="s">
        <v>176</v>
      </c>
      <c r="C710" s="14" t="s">
        <v>176</v>
      </c>
      <c r="D710" s="14" t="s">
        <v>176</v>
      </c>
      <c r="E710" s="14" t="s">
        <v>176</v>
      </c>
    </row>
    <row r="711" s="29" customFormat="1" spans="2:5">
      <c r="B711" s="15" t="s">
        <v>177</v>
      </c>
      <c r="C711" s="16" t="s">
        <v>178</v>
      </c>
      <c r="D711" s="17" t="s">
        <v>179</v>
      </c>
      <c r="E711" s="18" t="s">
        <v>180</v>
      </c>
    </row>
    <row r="712" s="29" customFormat="1" ht="41" spans="2:5">
      <c r="B712" s="19" t="s">
        <v>880</v>
      </c>
      <c r="C712" s="20" t="s">
        <v>182</v>
      </c>
      <c r="D712" s="21">
        <v>4</v>
      </c>
      <c r="E712" s="22">
        <v>36036.036036</v>
      </c>
    </row>
    <row r="713" s="29" customFormat="1" spans="2:5">
      <c r="B713" s="19" t="s">
        <v>880</v>
      </c>
      <c r="C713" s="16" t="s">
        <v>183</v>
      </c>
      <c r="D713" s="23">
        <v>4</v>
      </c>
      <c r="E713" s="24">
        <v>36036.036036</v>
      </c>
    </row>
    <row r="714" s="29" customFormat="1" ht="41" spans="2:5">
      <c r="B714" s="19" t="s">
        <v>881</v>
      </c>
      <c r="C714" s="20" t="s">
        <v>182</v>
      </c>
      <c r="D714" s="21">
        <v>1</v>
      </c>
      <c r="E714" s="22">
        <v>123000</v>
      </c>
    </row>
    <row r="715" s="29" customFormat="1" spans="2:5">
      <c r="B715" s="19" t="s">
        <v>881</v>
      </c>
      <c r="C715" s="16" t="s">
        <v>183</v>
      </c>
      <c r="D715" s="23">
        <v>1</v>
      </c>
      <c r="E715" s="24">
        <v>123000</v>
      </c>
    </row>
    <row r="716" s="29" customFormat="1" ht="41" spans="2:5">
      <c r="B716" s="19" t="s">
        <v>882</v>
      </c>
      <c r="C716" s="20" t="s">
        <v>182</v>
      </c>
      <c r="D716" s="21">
        <v>3</v>
      </c>
      <c r="E716" s="22">
        <v>432432.432432</v>
      </c>
    </row>
    <row r="717" s="29" customFormat="1" ht="28" spans="2:5">
      <c r="B717" s="19" t="s">
        <v>882</v>
      </c>
      <c r="C717" s="16" t="s">
        <v>183</v>
      </c>
      <c r="D717" s="23">
        <v>3</v>
      </c>
      <c r="E717" s="24">
        <v>432432.432432</v>
      </c>
    </row>
    <row r="718" s="29" customFormat="1" ht="41" spans="2:5">
      <c r="B718" s="19" t="s">
        <v>883</v>
      </c>
      <c r="C718" s="20" t="s">
        <v>182</v>
      </c>
      <c r="D718" s="21">
        <v>1</v>
      </c>
      <c r="E718" s="22">
        <v>540540.540541</v>
      </c>
    </row>
    <row r="719" s="29" customFormat="1" ht="28" spans="2:5">
      <c r="B719" s="19" t="s">
        <v>883</v>
      </c>
      <c r="C719" s="16" t="s">
        <v>183</v>
      </c>
      <c r="D719" s="23">
        <v>1</v>
      </c>
      <c r="E719" s="24">
        <v>540540.540541</v>
      </c>
    </row>
    <row r="720" s="29" customFormat="1" ht="41" spans="2:5">
      <c r="B720" s="19" t="s">
        <v>884</v>
      </c>
      <c r="C720" s="20" t="s">
        <v>182</v>
      </c>
      <c r="D720" s="21">
        <v>2</v>
      </c>
      <c r="E720" s="22">
        <v>405405.405406</v>
      </c>
    </row>
    <row r="721" s="29" customFormat="1" ht="28" spans="2:5">
      <c r="B721" s="19" t="s">
        <v>884</v>
      </c>
      <c r="C721" s="16" t="s">
        <v>183</v>
      </c>
      <c r="D721" s="23">
        <v>2</v>
      </c>
      <c r="E721" s="24">
        <v>405405.405406</v>
      </c>
    </row>
    <row r="722" s="29" customFormat="1" ht="41" spans="2:5">
      <c r="B722" s="19" t="s">
        <v>885</v>
      </c>
      <c r="C722" s="20" t="s">
        <v>182</v>
      </c>
      <c r="D722" s="21">
        <v>1</v>
      </c>
      <c r="E722" s="22">
        <v>0</v>
      </c>
    </row>
    <row r="723" s="29" customFormat="1" ht="28.75" spans="2:5">
      <c r="B723" s="19" t="s">
        <v>885</v>
      </c>
      <c r="C723" s="16" t="s">
        <v>183</v>
      </c>
      <c r="D723" s="23">
        <v>1</v>
      </c>
      <c r="E723" s="24">
        <v>0</v>
      </c>
    </row>
    <row r="724" s="29" customFormat="1" spans="2:5">
      <c r="B724" s="25"/>
      <c r="C724" s="25"/>
      <c r="D724" s="25"/>
      <c r="E724" s="25"/>
    </row>
    <row r="725" s="29" customFormat="1" ht="36" spans="2:5">
      <c r="B725" s="26" t="s">
        <v>189</v>
      </c>
      <c r="C725" s="26" t="s">
        <v>189</v>
      </c>
      <c r="D725" s="26" t="s">
        <v>189</v>
      </c>
      <c r="E725" s="26" t="s">
        <v>189</v>
      </c>
    </row>
    <row r="726" s="29" customFormat="1" spans="2:5">
      <c r="B726" s="26"/>
      <c r="C726" s="26"/>
      <c r="D726" s="26"/>
      <c r="E726" s="26"/>
    </row>
    <row r="727" s="29" customFormat="1" ht="36" spans="2:5">
      <c r="B727" s="26" t="s">
        <v>806</v>
      </c>
      <c r="C727" s="26" t="s">
        <v>806</v>
      </c>
      <c r="D727" s="26" t="s">
        <v>806</v>
      </c>
      <c r="E727" s="26" t="s">
        <v>806</v>
      </c>
    </row>
    <row r="728" s="29" customFormat="1" spans="2:5">
      <c r="B728" s="26" t="s">
        <v>561</v>
      </c>
      <c r="C728" s="26" t="s">
        <v>561</v>
      </c>
      <c r="D728" s="26" t="s">
        <v>561</v>
      </c>
      <c r="E728" s="26" t="s">
        <v>561</v>
      </c>
    </row>
    <row r="729" s="29" customFormat="1" ht="124" spans="2:5">
      <c r="B729" s="11" t="s">
        <v>173</v>
      </c>
      <c r="C729" s="11" t="s">
        <v>173</v>
      </c>
      <c r="D729" s="11" t="s">
        <v>173</v>
      </c>
      <c r="E729" s="11" t="s">
        <v>173</v>
      </c>
    </row>
    <row r="730" s="29" customFormat="1" ht="156" spans="2:5">
      <c r="B730" s="12" t="s">
        <v>174</v>
      </c>
      <c r="C730" s="12" t="s">
        <v>174</v>
      </c>
      <c r="D730" s="12" t="s">
        <v>174</v>
      </c>
      <c r="E730" s="12" t="s">
        <v>174</v>
      </c>
    </row>
    <row r="731" s="29" customFormat="1" ht="68" spans="2:5">
      <c r="B731" s="13" t="s">
        <v>798</v>
      </c>
      <c r="C731" s="13" t="s">
        <v>798</v>
      </c>
      <c r="D731" s="13" t="s">
        <v>798</v>
      </c>
      <c r="E731" s="13" t="s">
        <v>798</v>
      </c>
    </row>
    <row r="732" s="29" customFormat="1" ht="22" spans="2:5">
      <c r="B732" s="14" t="s">
        <v>176</v>
      </c>
      <c r="C732" s="14" t="s">
        <v>176</v>
      </c>
      <c r="D732" s="14" t="s">
        <v>176</v>
      </c>
      <c r="E732" s="14" t="s">
        <v>176</v>
      </c>
    </row>
    <row r="733" s="29" customFormat="1" spans="2:5">
      <c r="B733" s="15" t="s">
        <v>177</v>
      </c>
      <c r="C733" s="16" t="s">
        <v>178</v>
      </c>
      <c r="D733" s="17" t="s">
        <v>179</v>
      </c>
      <c r="E733" s="18" t="s">
        <v>180</v>
      </c>
    </row>
    <row r="734" s="29" customFormat="1" ht="41" spans="2:5">
      <c r="B734" s="19" t="s">
        <v>886</v>
      </c>
      <c r="C734" s="20" t="s">
        <v>182</v>
      </c>
      <c r="D734" s="21">
        <v>1</v>
      </c>
      <c r="E734" s="22">
        <v>0</v>
      </c>
    </row>
    <row r="735" s="29" customFormat="1" ht="28" spans="2:5">
      <c r="B735" s="19" t="s">
        <v>886</v>
      </c>
      <c r="C735" s="16" t="s">
        <v>183</v>
      </c>
      <c r="D735" s="23">
        <v>1</v>
      </c>
      <c r="E735" s="24">
        <v>0</v>
      </c>
    </row>
    <row r="736" s="29" customFormat="1" ht="41" spans="2:5">
      <c r="B736" s="19" t="s">
        <v>887</v>
      </c>
      <c r="C736" s="20" t="s">
        <v>182</v>
      </c>
      <c r="D736" s="21">
        <v>1</v>
      </c>
      <c r="E736" s="22">
        <v>1073873.873874</v>
      </c>
    </row>
    <row r="737" s="29" customFormat="1" ht="28" spans="2:5">
      <c r="B737" s="19" t="s">
        <v>887</v>
      </c>
      <c r="C737" s="16" t="s">
        <v>183</v>
      </c>
      <c r="D737" s="23">
        <v>1</v>
      </c>
      <c r="E737" s="24">
        <v>1073873.873874</v>
      </c>
    </row>
    <row r="738" s="29" customFormat="1" ht="41" spans="2:5">
      <c r="B738" s="19" t="s">
        <v>616</v>
      </c>
      <c r="C738" s="20" t="s">
        <v>182</v>
      </c>
      <c r="D738" s="21">
        <v>2</v>
      </c>
      <c r="E738" s="22">
        <v>1610810.333333</v>
      </c>
    </row>
    <row r="739" s="29" customFormat="1" ht="28" spans="2:5">
      <c r="B739" s="19" t="s">
        <v>616</v>
      </c>
      <c r="C739" s="16" t="s">
        <v>183</v>
      </c>
      <c r="D739" s="23">
        <v>2</v>
      </c>
      <c r="E739" s="24">
        <v>1610810.333333</v>
      </c>
    </row>
    <row r="740" s="29" customFormat="1" ht="41" spans="2:5">
      <c r="B740" s="19" t="s">
        <v>888</v>
      </c>
      <c r="C740" s="20" t="s">
        <v>182</v>
      </c>
      <c r="D740" s="21">
        <v>1</v>
      </c>
      <c r="E740" s="22">
        <v>872972.972973</v>
      </c>
    </row>
    <row r="741" s="29" customFormat="1" ht="28" spans="2:5">
      <c r="B741" s="19" t="s">
        <v>888</v>
      </c>
      <c r="C741" s="16" t="s">
        <v>183</v>
      </c>
      <c r="D741" s="23">
        <v>1</v>
      </c>
      <c r="E741" s="24">
        <v>872972.972973</v>
      </c>
    </row>
    <row r="742" s="29" customFormat="1" ht="41" spans="2:5">
      <c r="B742" s="19" t="s">
        <v>727</v>
      </c>
      <c r="C742" s="20" t="s">
        <v>182</v>
      </c>
      <c r="D742" s="21">
        <v>1</v>
      </c>
      <c r="E742" s="22">
        <v>1433333</v>
      </c>
    </row>
    <row r="743" s="29" customFormat="1" ht="28" spans="2:5">
      <c r="B743" s="19" t="s">
        <v>727</v>
      </c>
      <c r="C743" s="20" t="s">
        <v>804</v>
      </c>
      <c r="D743" s="21">
        <v>1</v>
      </c>
      <c r="E743" s="22">
        <v>1259910</v>
      </c>
    </row>
    <row r="744" s="29" customFormat="1" ht="28" spans="2:5">
      <c r="B744" s="19" t="s">
        <v>727</v>
      </c>
      <c r="C744" s="16" t="s">
        <v>183</v>
      </c>
      <c r="D744" s="23">
        <v>2</v>
      </c>
      <c r="E744" s="24">
        <v>2693243</v>
      </c>
    </row>
    <row r="745" s="29" customFormat="1" ht="41" spans="2:5">
      <c r="B745" s="19" t="s">
        <v>382</v>
      </c>
      <c r="C745" s="20" t="s">
        <v>182</v>
      </c>
      <c r="D745" s="21">
        <v>1</v>
      </c>
      <c r="E745" s="22">
        <v>100900.900901</v>
      </c>
    </row>
    <row r="746" s="29" customFormat="1" ht="41.75" spans="2:5">
      <c r="B746" s="19" t="s">
        <v>382</v>
      </c>
      <c r="C746" s="16" t="s">
        <v>183</v>
      </c>
      <c r="D746" s="23">
        <v>1</v>
      </c>
      <c r="E746" s="24">
        <v>100900.900901</v>
      </c>
    </row>
    <row r="747" s="29" customFormat="1" spans="2:5">
      <c r="B747" s="25"/>
      <c r="C747" s="25"/>
      <c r="D747" s="25"/>
      <c r="E747" s="25"/>
    </row>
    <row r="748" s="29" customFormat="1" ht="36" spans="2:5">
      <c r="B748" s="26" t="s">
        <v>189</v>
      </c>
      <c r="C748" s="26" t="s">
        <v>189</v>
      </c>
      <c r="D748" s="26" t="s">
        <v>189</v>
      </c>
      <c r="E748" s="26" t="s">
        <v>189</v>
      </c>
    </row>
    <row r="749" s="29" customFormat="1" spans="2:5">
      <c r="B749" s="26"/>
      <c r="C749" s="26"/>
      <c r="D749" s="26"/>
      <c r="E749" s="26"/>
    </row>
    <row r="750" s="29" customFormat="1" ht="36" spans="2:5">
      <c r="B750" s="26" t="s">
        <v>806</v>
      </c>
      <c r="C750" s="26" t="s">
        <v>806</v>
      </c>
      <c r="D750" s="26" t="s">
        <v>806</v>
      </c>
      <c r="E750" s="26" t="s">
        <v>806</v>
      </c>
    </row>
    <row r="751" s="29" customFormat="1" spans="2:5">
      <c r="B751" s="26" t="s">
        <v>566</v>
      </c>
      <c r="C751" s="26" t="s">
        <v>566</v>
      </c>
      <c r="D751" s="26" t="s">
        <v>566</v>
      </c>
      <c r="E751" s="26" t="s">
        <v>566</v>
      </c>
    </row>
    <row r="752" s="29" customFormat="1" ht="124" spans="2:5">
      <c r="B752" s="11" t="s">
        <v>173</v>
      </c>
      <c r="C752" s="11" t="s">
        <v>173</v>
      </c>
      <c r="D752" s="11" t="s">
        <v>173</v>
      </c>
      <c r="E752" s="11" t="s">
        <v>173</v>
      </c>
    </row>
    <row r="753" s="29" customFormat="1" ht="156" spans="2:5">
      <c r="B753" s="12" t="s">
        <v>174</v>
      </c>
      <c r="C753" s="12" t="s">
        <v>174</v>
      </c>
      <c r="D753" s="12" t="s">
        <v>174</v>
      </c>
      <c r="E753" s="12" t="s">
        <v>174</v>
      </c>
    </row>
    <row r="754" s="29" customFormat="1" ht="68" spans="2:5">
      <c r="B754" s="13" t="s">
        <v>798</v>
      </c>
      <c r="C754" s="13" t="s">
        <v>798</v>
      </c>
      <c r="D754" s="13" t="s">
        <v>798</v>
      </c>
      <c r="E754" s="13" t="s">
        <v>798</v>
      </c>
    </row>
    <row r="755" s="29" customFormat="1" ht="22" spans="2:5">
      <c r="B755" s="14" t="s">
        <v>176</v>
      </c>
      <c r="C755" s="14" t="s">
        <v>176</v>
      </c>
      <c r="D755" s="14" t="s">
        <v>176</v>
      </c>
      <c r="E755" s="14" t="s">
        <v>176</v>
      </c>
    </row>
    <row r="756" s="29" customFormat="1" spans="2:5">
      <c r="B756" s="15" t="s">
        <v>177</v>
      </c>
      <c r="C756" s="16" t="s">
        <v>178</v>
      </c>
      <c r="D756" s="17" t="s">
        <v>179</v>
      </c>
      <c r="E756" s="18" t="s">
        <v>180</v>
      </c>
    </row>
    <row r="757" s="29" customFormat="1" ht="41" spans="2:5">
      <c r="B757" s="19" t="s">
        <v>316</v>
      </c>
      <c r="C757" s="20" t="s">
        <v>182</v>
      </c>
      <c r="D757" s="21">
        <v>7</v>
      </c>
      <c r="E757" s="22">
        <v>580180.297298</v>
      </c>
    </row>
    <row r="758" s="29" customFormat="1" ht="28" spans="2:5">
      <c r="B758" s="19" t="s">
        <v>316</v>
      </c>
      <c r="C758" s="16" t="s">
        <v>183</v>
      </c>
      <c r="D758" s="23">
        <v>7</v>
      </c>
      <c r="E758" s="24">
        <v>580180.297298</v>
      </c>
    </row>
    <row r="759" s="29" customFormat="1" ht="41" spans="2:5">
      <c r="B759" s="19" t="s">
        <v>383</v>
      </c>
      <c r="C759" s="20" t="s">
        <v>182</v>
      </c>
      <c r="D759" s="21">
        <v>18</v>
      </c>
      <c r="E759" s="22">
        <v>567568.900906</v>
      </c>
    </row>
    <row r="760" s="29" customFormat="1" ht="28" spans="2:5">
      <c r="B760" s="19" t="s">
        <v>383</v>
      </c>
      <c r="C760" s="16" t="s">
        <v>183</v>
      </c>
      <c r="D760" s="23">
        <v>18</v>
      </c>
      <c r="E760" s="24">
        <v>567568.900906</v>
      </c>
    </row>
    <row r="761" s="29" customFormat="1" ht="41" spans="2:5">
      <c r="B761" s="19" t="s">
        <v>384</v>
      </c>
      <c r="C761" s="20" t="s">
        <v>182</v>
      </c>
      <c r="D761" s="21">
        <v>3</v>
      </c>
      <c r="E761" s="22">
        <v>248648.765766</v>
      </c>
    </row>
    <row r="762" s="29" customFormat="1" ht="28" spans="2:5">
      <c r="B762" s="19" t="s">
        <v>384</v>
      </c>
      <c r="C762" s="20" t="s">
        <v>804</v>
      </c>
      <c r="D762" s="21">
        <v>4</v>
      </c>
      <c r="E762" s="22">
        <v>331531.531532</v>
      </c>
    </row>
    <row r="763" s="29" customFormat="1" ht="28" spans="2:5">
      <c r="B763" s="19" t="s">
        <v>384</v>
      </c>
      <c r="C763" s="16" t="s">
        <v>183</v>
      </c>
      <c r="D763" s="23">
        <v>7</v>
      </c>
      <c r="E763" s="24">
        <v>580180.297298</v>
      </c>
    </row>
    <row r="764" s="29" customFormat="1" ht="41" spans="2:5">
      <c r="B764" s="19" t="s">
        <v>518</v>
      </c>
      <c r="C764" s="20" t="s">
        <v>182</v>
      </c>
      <c r="D764" s="21">
        <v>12</v>
      </c>
      <c r="E764" s="22">
        <v>378379.783788</v>
      </c>
    </row>
    <row r="765" s="29" customFormat="1" ht="28" spans="2:5">
      <c r="B765" s="19" t="s">
        <v>518</v>
      </c>
      <c r="C765" s="16" t="s">
        <v>183</v>
      </c>
      <c r="D765" s="23">
        <v>12</v>
      </c>
      <c r="E765" s="24">
        <v>378379.783788</v>
      </c>
    </row>
    <row r="766" s="29" customFormat="1" ht="41" spans="2:5">
      <c r="B766" s="19" t="s">
        <v>889</v>
      </c>
      <c r="C766" s="20" t="s">
        <v>182</v>
      </c>
      <c r="D766" s="21">
        <v>1</v>
      </c>
      <c r="E766" s="22">
        <v>794000</v>
      </c>
    </row>
    <row r="767" s="29" customFormat="1" ht="28" spans="2:5">
      <c r="B767" s="19" t="s">
        <v>889</v>
      </c>
      <c r="C767" s="16" t="s">
        <v>183</v>
      </c>
      <c r="D767" s="23">
        <v>1</v>
      </c>
      <c r="E767" s="24">
        <v>794000</v>
      </c>
    </row>
    <row r="768" s="29" customFormat="1" ht="28" spans="2:5">
      <c r="B768" s="19" t="s">
        <v>890</v>
      </c>
      <c r="C768" s="20" t="s">
        <v>804</v>
      </c>
      <c r="D768" s="21">
        <v>1</v>
      </c>
      <c r="E768" s="22">
        <v>0</v>
      </c>
    </row>
    <row r="769" s="29" customFormat="1" ht="28.75" spans="2:5">
      <c r="B769" s="19" t="s">
        <v>890</v>
      </c>
      <c r="C769" s="16" t="s">
        <v>183</v>
      </c>
      <c r="D769" s="23">
        <v>1</v>
      </c>
      <c r="E769" s="24">
        <v>0</v>
      </c>
    </row>
    <row r="770" s="29" customFormat="1" spans="2:5">
      <c r="B770" s="25"/>
      <c r="C770" s="25"/>
      <c r="D770" s="25"/>
      <c r="E770" s="25"/>
    </row>
    <row r="771" s="29" customFormat="1" ht="36" spans="2:5">
      <c r="B771" s="26" t="s">
        <v>189</v>
      </c>
      <c r="C771" s="26" t="s">
        <v>189</v>
      </c>
      <c r="D771" s="26" t="s">
        <v>189</v>
      </c>
      <c r="E771" s="26" t="s">
        <v>189</v>
      </c>
    </row>
    <row r="772" s="29" customFormat="1" spans="2:5">
      <c r="B772" s="26"/>
      <c r="C772" s="26"/>
      <c r="D772" s="26"/>
      <c r="E772" s="26"/>
    </row>
    <row r="773" s="29" customFormat="1" ht="36" spans="2:5">
      <c r="B773" s="26" t="s">
        <v>806</v>
      </c>
      <c r="C773" s="26" t="s">
        <v>806</v>
      </c>
      <c r="D773" s="26" t="s">
        <v>806</v>
      </c>
      <c r="E773" s="26" t="s">
        <v>806</v>
      </c>
    </row>
    <row r="774" s="29" customFormat="1" spans="2:5">
      <c r="B774" s="26" t="s">
        <v>645</v>
      </c>
      <c r="C774" s="26" t="s">
        <v>645</v>
      </c>
      <c r="D774" s="26" t="s">
        <v>645</v>
      </c>
      <c r="E774" s="26" t="s">
        <v>645</v>
      </c>
    </row>
    <row r="775" s="29" customFormat="1" ht="124" spans="2:5">
      <c r="B775" s="11" t="s">
        <v>173</v>
      </c>
      <c r="C775" s="11" t="s">
        <v>173</v>
      </c>
      <c r="D775" s="11" t="s">
        <v>173</v>
      </c>
      <c r="E775" s="11" t="s">
        <v>173</v>
      </c>
    </row>
    <row r="776" s="29" customFormat="1" ht="156" spans="2:5">
      <c r="B776" s="12" t="s">
        <v>174</v>
      </c>
      <c r="C776" s="12" t="s">
        <v>174</v>
      </c>
      <c r="D776" s="12" t="s">
        <v>174</v>
      </c>
      <c r="E776" s="12" t="s">
        <v>174</v>
      </c>
    </row>
    <row r="777" s="29" customFormat="1" ht="68" spans="2:5">
      <c r="B777" s="13" t="s">
        <v>798</v>
      </c>
      <c r="C777" s="13" t="s">
        <v>798</v>
      </c>
      <c r="D777" s="13" t="s">
        <v>798</v>
      </c>
      <c r="E777" s="13" t="s">
        <v>798</v>
      </c>
    </row>
    <row r="778" s="29" customFormat="1" ht="22" spans="2:5">
      <c r="B778" s="14" t="s">
        <v>176</v>
      </c>
      <c r="C778" s="14" t="s">
        <v>176</v>
      </c>
      <c r="D778" s="14" t="s">
        <v>176</v>
      </c>
      <c r="E778" s="14" t="s">
        <v>176</v>
      </c>
    </row>
    <row r="779" s="29" customFormat="1" spans="2:5">
      <c r="B779" s="15" t="s">
        <v>177</v>
      </c>
      <c r="C779" s="16" t="s">
        <v>178</v>
      </c>
      <c r="D779" s="17" t="s">
        <v>179</v>
      </c>
      <c r="E779" s="18" t="s">
        <v>180</v>
      </c>
    </row>
    <row r="780" s="29" customFormat="1" ht="41" spans="2:5">
      <c r="B780" s="19" t="s">
        <v>891</v>
      </c>
      <c r="C780" s="20" t="s">
        <v>182</v>
      </c>
      <c r="D780" s="21">
        <v>1</v>
      </c>
      <c r="E780" s="22">
        <v>0</v>
      </c>
    </row>
    <row r="781" s="29" customFormat="1" ht="28" spans="2:5">
      <c r="B781" s="19" t="s">
        <v>891</v>
      </c>
      <c r="C781" s="16" t="s">
        <v>183</v>
      </c>
      <c r="D781" s="23">
        <v>1</v>
      </c>
      <c r="E781" s="24">
        <v>0</v>
      </c>
    </row>
    <row r="782" s="29" customFormat="1" ht="41" spans="2:5">
      <c r="B782" s="19" t="s">
        <v>892</v>
      </c>
      <c r="C782" s="20" t="s">
        <v>182</v>
      </c>
      <c r="D782" s="21">
        <v>1</v>
      </c>
      <c r="E782" s="22">
        <v>323000</v>
      </c>
    </row>
    <row r="783" s="29" customFormat="1" ht="28" spans="2:5">
      <c r="B783" s="19" t="s">
        <v>892</v>
      </c>
      <c r="C783" s="16" t="s">
        <v>183</v>
      </c>
      <c r="D783" s="23">
        <v>1</v>
      </c>
      <c r="E783" s="24">
        <v>323000</v>
      </c>
    </row>
    <row r="784" s="29" customFormat="1" ht="41" spans="2:5">
      <c r="B784" s="19" t="s">
        <v>893</v>
      </c>
      <c r="C784" s="20" t="s">
        <v>182</v>
      </c>
      <c r="D784" s="21">
        <v>1</v>
      </c>
      <c r="E784" s="22">
        <v>678000</v>
      </c>
    </row>
    <row r="785" s="29" customFormat="1" ht="28" spans="2:5">
      <c r="B785" s="19" t="s">
        <v>893</v>
      </c>
      <c r="C785" s="16" t="s">
        <v>183</v>
      </c>
      <c r="D785" s="23">
        <v>1</v>
      </c>
      <c r="E785" s="24">
        <v>678000</v>
      </c>
    </row>
    <row r="786" s="29" customFormat="1" ht="41" spans="2:5">
      <c r="B786" s="19" t="s">
        <v>733</v>
      </c>
      <c r="C786" s="20" t="s">
        <v>182</v>
      </c>
      <c r="D786" s="21">
        <v>10</v>
      </c>
      <c r="E786" s="22">
        <v>940541.27928</v>
      </c>
    </row>
    <row r="787" s="29" customFormat="1" ht="28" spans="2:5">
      <c r="B787" s="19" t="s">
        <v>733</v>
      </c>
      <c r="C787" s="20" t="s">
        <v>804</v>
      </c>
      <c r="D787" s="21">
        <v>1</v>
      </c>
      <c r="E787" s="22">
        <v>70270</v>
      </c>
    </row>
    <row r="788" s="29" customFormat="1" ht="28" spans="2:5">
      <c r="B788" s="19" t="s">
        <v>733</v>
      </c>
      <c r="C788" s="16" t="s">
        <v>183</v>
      </c>
      <c r="D788" s="23">
        <v>11</v>
      </c>
      <c r="E788" s="24">
        <v>1010811.27928</v>
      </c>
    </row>
    <row r="789" s="29" customFormat="1" ht="41" spans="2:5">
      <c r="B789" s="19" t="s">
        <v>318</v>
      </c>
      <c r="C789" s="20" t="s">
        <v>182</v>
      </c>
      <c r="D789" s="21">
        <v>7</v>
      </c>
      <c r="E789" s="22">
        <v>0</v>
      </c>
    </row>
    <row r="790" s="29" customFormat="1" ht="28" spans="2:5">
      <c r="B790" s="19" t="s">
        <v>318</v>
      </c>
      <c r="C790" s="16" t="s">
        <v>183</v>
      </c>
      <c r="D790" s="23">
        <v>7</v>
      </c>
      <c r="E790" s="24">
        <v>0</v>
      </c>
    </row>
    <row r="791" s="29" customFormat="1" ht="41" spans="2:5">
      <c r="B791" s="19" t="s">
        <v>457</v>
      </c>
      <c r="C791" s="20" t="s">
        <v>182</v>
      </c>
      <c r="D791" s="21">
        <v>6</v>
      </c>
      <c r="E791" s="22">
        <v>516648.648649</v>
      </c>
    </row>
    <row r="792" s="29" customFormat="1" ht="17.55" spans="2:5">
      <c r="B792" s="19" t="s">
        <v>457</v>
      </c>
      <c r="C792" s="16" t="s">
        <v>183</v>
      </c>
      <c r="D792" s="23">
        <v>6</v>
      </c>
      <c r="E792" s="24">
        <v>516648.648649</v>
      </c>
    </row>
    <row r="793" s="29" customFormat="1" spans="2:5">
      <c r="B793" s="25"/>
      <c r="C793" s="25"/>
      <c r="D793" s="25"/>
      <c r="E793" s="25"/>
    </row>
    <row r="794" s="29" customFormat="1" ht="36" spans="2:5">
      <c r="B794" s="26" t="s">
        <v>189</v>
      </c>
      <c r="C794" s="26" t="s">
        <v>189</v>
      </c>
      <c r="D794" s="26" t="s">
        <v>189</v>
      </c>
      <c r="E794" s="26" t="s">
        <v>189</v>
      </c>
    </row>
    <row r="795" s="29" customFormat="1" spans="2:5">
      <c r="B795" s="26"/>
      <c r="C795" s="26"/>
      <c r="D795" s="26"/>
      <c r="E795" s="26"/>
    </row>
    <row r="796" s="29" customFormat="1" ht="36" spans="2:5">
      <c r="B796" s="26" t="s">
        <v>806</v>
      </c>
      <c r="C796" s="26" t="s">
        <v>806</v>
      </c>
      <c r="D796" s="26" t="s">
        <v>806</v>
      </c>
      <c r="E796" s="26" t="s">
        <v>806</v>
      </c>
    </row>
    <row r="797" s="29" customFormat="1" spans="2:5">
      <c r="B797" s="26" t="s">
        <v>652</v>
      </c>
      <c r="C797" s="26" t="s">
        <v>652</v>
      </c>
      <c r="D797" s="26" t="s">
        <v>652</v>
      </c>
      <c r="E797" s="26" t="s">
        <v>652</v>
      </c>
    </row>
    <row r="798" s="29" customFormat="1" ht="124" spans="2:5">
      <c r="B798" s="11" t="s">
        <v>173</v>
      </c>
      <c r="C798" s="11" t="s">
        <v>173</v>
      </c>
      <c r="D798" s="11" t="s">
        <v>173</v>
      </c>
      <c r="E798" s="11" t="s">
        <v>173</v>
      </c>
    </row>
    <row r="799" s="29" customFormat="1" ht="156" spans="2:5">
      <c r="B799" s="12" t="s">
        <v>174</v>
      </c>
      <c r="C799" s="12" t="s">
        <v>174</v>
      </c>
      <c r="D799" s="12" t="s">
        <v>174</v>
      </c>
      <c r="E799" s="12" t="s">
        <v>174</v>
      </c>
    </row>
    <row r="800" s="29" customFormat="1" ht="68" spans="2:5">
      <c r="B800" s="13" t="s">
        <v>798</v>
      </c>
      <c r="C800" s="13" t="s">
        <v>798</v>
      </c>
      <c r="D800" s="13" t="s">
        <v>798</v>
      </c>
      <c r="E800" s="13" t="s">
        <v>798</v>
      </c>
    </row>
    <row r="801" s="29" customFormat="1" ht="22" spans="2:5">
      <c r="B801" s="14" t="s">
        <v>176</v>
      </c>
      <c r="C801" s="14" t="s">
        <v>176</v>
      </c>
      <c r="D801" s="14" t="s">
        <v>176</v>
      </c>
      <c r="E801" s="14" t="s">
        <v>176</v>
      </c>
    </row>
    <row r="802" s="29" customFormat="1" spans="2:5">
      <c r="B802" s="15" t="s">
        <v>177</v>
      </c>
      <c r="C802" s="16" t="s">
        <v>178</v>
      </c>
      <c r="D802" s="17" t="s">
        <v>179</v>
      </c>
      <c r="E802" s="18" t="s">
        <v>180</v>
      </c>
    </row>
    <row r="803" s="29" customFormat="1" ht="41" spans="2:5">
      <c r="B803" s="19" t="s">
        <v>458</v>
      </c>
      <c r="C803" s="20" t="s">
        <v>182</v>
      </c>
      <c r="D803" s="21">
        <v>3</v>
      </c>
      <c r="E803" s="22">
        <v>0</v>
      </c>
    </row>
    <row r="804" s="29" customFormat="1" ht="28" spans="2:5">
      <c r="B804" s="19" t="s">
        <v>458</v>
      </c>
      <c r="C804" s="20" t="s">
        <v>804</v>
      </c>
      <c r="D804" s="21">
        <v>1</v>
      </c>
      <c r="E804" s="22">
        <v>0</v>
      </c>
    </row>
    <row r="805" s="29" customFormat="1" spans="2:5">
      <c r="B805" s="19" t="s">
        <v>458</v>
      </c>
      <c r="C805" s="16" t="s">
        <v>183</v>
      </c>
      <c r="D805" s="23">
        <v>4</v>
      </c>
      <c r="E805" s="24">
        <v>0</v>
      </c>
    </row>
    <row r="806" s="29" customFormat="1" ht="41" spans="2:5">
      <c r="B806" s="19" t="s">
        <v>459</v>
      </c>
      <c r="C806" s="20" t="s">
        <v>182</v>
      </c>
      <c r="D806" s="21">
        <v>2</v>
      </c>
      <c r="E806" s="22">
        <v>434234.234234</v>
      </c>
    </row>
    <row r="807" s="29" customFormat="1" spans="2:5">
      <c r="B807" s="19" t="s">
        <v>459</v>
      </c>
      <c r="C807" s="16" t="s">
        <v>183</v>
      </c>
      <c r="D807" s="23">
        <v>2</v>
      </c>
      <c r="E807" s="24">
        <v>434234.234234</v>
      </c>
    </row>
    <row r="808" s="29" customFormat="1" ht="41" spans="2:5">
      <c r="B808" s="19" t="s">
        <v>319</v>
      </c>
      <c r="C808" s="20" t="s">
        <v>182</v>
      </c>
      <c r="D808" s="21">
        <v>11</v>
      </c>
      <c r="E808" s="22">
        <v>0</v>
      </c>
    </row>
    <row r="809" s="29" customFormat="1" spans="2:5">
      <c r="B809" s="19" t="s">
        <v>319</v>
      </c>
      <c r="C809" s="16" t="s">
        <v>183</v>
      </c>
      <c r="D809" s="23">
        <v>11</v>
      </c>
      <c r="E809" s="24">
        <v>0</v>
      </c>
    </row>
    <row r="810" s="29" customFormat="1" ht="41" spans="2:5">
      <c r="B810" s="19" t="s">
        <v>320</v>
      </c>
      <c r="C810" s="20" t="s">
        <v>182</v>
      </c>
      <c r="D810" s="21">
        <v>56</v>
      </c>
      <c r="E810" s="22">
        <v>0</v>
      </c>
    </row>
    <row r="811" s="29" customFormat="1" ht="28" spans="2:5">
      <c r="B811" s="19" t="s">
        <v>320</v>
      </c>
      <c r="C811" s="16" t="s">
        <v>183</v>
      </c>
      <c r="D811" s="23">
        <v>56</v>
      </c>
      <c r="E811" s="24">
        <v>0</v>
      </c>
    </row>
    <row r="812" s="29" customFormat="1" ht="41" spans="2:5">
      <c r="B812" s="19" t="s">
        <v>894</v>
      </c>
      <c r="C812" s="20" t="s">
        <v>182</v>
      </c>
      <c r="D812" s="21">
        <v>18</v>
      </c>
      <c r="E812" s="22">
        <v>1905400</v>
      </c>
    </row>
    <row r="813" s="29" customFormat="1" ht="28" spans="2:5">
      <c r="B813" s="19" t="s">
        <v>894</v>
      </c>
      <c r="C813" s="20" t="s">
        <v>804</v>
      </c>
      <c r="D813" s="21">
        <v>1</v>
      </c>
      <c r="E813" s="22">
        <v>153000</v>
      </c>
    </row>
    <row r="814" s="29" customFormat="1" ht="28.75" spans="2:5">
      <c r="B814" s="19" t="s">
        <v>894</v>
      </c>
      <c r="C814" s="16" t="s">
        <v>183</v>
      </c>
      <c r="D814" s="23">
        <v>19</v>
      </c>
      <c r="E814" s="24">
        <v>2058400</v>
      </c>
    </row>
    <row r="815" s="29" customFormat="1" spans="2:5">
      <c r="B815" s="25"/>
      <c r="C815" s="25"/>
      <c r="D815" s="25"/>
      <c r="E815" s="25"/>
    </row>
    <row r="816" s="29" customFormat="1" ht="36" spans="2:5">
      <c r="B816" s="26" t="s">
        <v>189</v>
      </c>
      <c r="C816" s="26" t="s">
        <v>189</v>
      </c>
      <c r="D816" s="26" t="s">
        <v>189</v>
      </c>
      <c r="E816" s="26" t="s">
        <v>189</v>
      </c>
    </row>
    <row r="817" s="29" customFormat="1" spans="2:5">
      <c r="B817" s="26"/>
      <c r="C817" s="26"/>
      <c r="D817" s="26"/>
      <c r="E817" s="26"/>
    </row>
    <row r="818" s="29" customFormat="1" ht="36" spans="2:5">
      <c r="B818" s="26" t="s">
        <v>806</v>
      </c>
      <c r="C818" s="26" t="s">
        <v>806</v>
      </c>
      <c r="D818" s="26" t="s">
        <v>806</v>
      </c>
      <c r="E818" s="26" t="s">
        <v>806</v>
      </c>
    </row>
    <row r="819" s="29" customFormat="1" spans="2:5">
      <c r="B819" s="26" t="s">
        <v>659</v>
      </c>
      <c r="C819" s="26" t="s">
        <v>659</v>
      </c>
      <c r="D819" s="26" t="s">
        <v>659</v>
      </c>
      <c r="E819" s="26" t="s">
        <v>659</v>
      </c>
    </row>
    <row r="820" s="29" customFormat="1" ht="124" spans="2:5">
      <c r="B820" s="11" t="s">
        <v>173</v>
      </c>
      <c r="C820" s="11" t="s">
        <v>173</v>
      </c>
      <c r="D820" s="11" t="s">
        <v>173</v>
      </c>
      <c r="E820" s="11" t="s">
        <v>173</v>
      </c>
    </row>
    <row r="821" s="29" customFormat="1" ht="156" spans="2:5">
      <c r="B821" s="12" t="s">
        <v>174</v>
      </c>
      <c r="C821" s="12" t="s">
        <v>174</v>
      </c>
      <c r="D821" s="12" t="s">
        <v>174</v>
      </c>
      <c r="E821" s="12" t="s">
        <v>174</v>
      </c>
    </row>
    <row r="822" s="29" customFormat="1" ht="68" spans="2:5">
      <c r="B822" s="13" t="s">
        <v>798</v>
      </c>
      <c r="C822" s="13" t="s">
        <v>798</v>
      </c>
      <c r="D822" s="13" t="s">
        <v>798</v>
      </c>
      <c r="E822" s="13" t="s">
        <v>798</v>
      </c>
    </row>
    <row r="823" s="29" customFormat="1" ht="22" spans="2:5">
      <c r="B823" s="14" t="s">
        <v>176</v>
      </c>
      <c r="C823" s="14" t="s">
        <v>176</v>
      </c>
      <c r="D823" s="14" t="s">
        <v>176</v>
      </c>
      <c r="E823" s="14" t="s">
        <v>176</v>
      </c>
    </row>
    <row r="824" s="29" customFormat="1" spans="2:5">
      <c r="B824" s="15" t="s">
        <v>177</v>
      </c>
      <c r="C824" s="16" t="s">
        <v>178</v>
      </c>
      <c r="D824" s="17" t="s">
        <v>179</v>
      </c>
      <c r="E824" s="18" t="s">
        <v>180</v>
      </c>
    </row>
    <row r="825" s="29" customFormat="1" ht="41" spans="2:5">
      <c r="B825" s="19" t="s">
        <v>321</v>
      </c>
      <c r="C825" s="20" t="s">
        <v>182</v>
      </c>
      <c r="D825" s="21">
        <v>19</v>
      </c>
      <c r="E825" s="22">
        <v>0</v>
      </c>
    </row>
    <row r="826" s="29" customFormat="1" ht="28" spans="2:5">
      <c r="B826" s="19" t="s">
        <v>321</v>
      </c>
      <c r="C826" s="16" t="s">
        <v>183</v>
      </c>
      <c r="D826" s="23">
        <v>19</v>
      </c>
      <c r="E826" s="24">
        <v>0</v>
      </c>
    </row>
    <row r="827" s="29" customFormat="1" ht="41" spans="2:5">
      <c r="B827" s="19" t="s">
        <v>322</v>
      </c>
      <c r="C827" s="20" t="s">
        <v>182</v>
      </c>
      <c r="D827" s="21">
        <v>52</v>
      </c>
      <c r="E827" s="22">
        <v>370747.747748</v>
      </c>
    </row>
    <row r="828" s="29" customFormat="1" ht="28" spans="2:5">
      <c r="B828" s="19" t="s">
        <v>322</v>
      </c>
      <c r="C828" s="20" t="s">
        <v>804</v>
      </c>
      <c r="D828" s="21">
        <v>2</v>
      </c>
      <c r="E828" s="22">
        <v>196396.396396</v>
      </c>
    </row>
    <row r="829" s="29" customFormat="1" ht="28" spans="2:5">
      <c r="B829" s="19" t="s">
        <v>322</v>
      </c>
      <c r="C829" s="16" t="s">
        <v>183</v>
      </c>
      <c r="D829" s="23">
        <v>54</v>
      </c>
      <c r="E829" s="24">
        <v>567144.144144</v>
      </c>
    </row>
    <row r="830" s="29" customFormat="1" ht="41" spans="2:5">
      <c r="B830" s="19" t="s">
        <v>323</v>
      </c>
      <c r="C830" s="20" t="s">
        <v>182</v>
      </c>
      <c r="D830" s="21">
        <v>53</v>
      </c>
      <c r="E830" s="22">
        <v>0</v>
      </c>
    </row>
    <row r="831" s="29" customFormat="1" ht="28" spans="2:5">
      <c r="B831" s="19" t="s">
        <v>323</v>
      </c>
      <c r="C831" s="20" t="s">
        <v>804</v>
      </c>
      <c r="D831" s="21">
        <v>1</v>
      </c>
      <c r="E831" s="22">
        <v>0</v>
      </c>
    </row>
    <row r="832" s="29" customFormat="1" ht="28" spans="2:5">
      <c r="B832" s="19" t="s">
        <v>323</v>
      </c>
      <c r="C832" s="16" t="s">
        <v>183</v>
      </c>
      <c r="D832" s="23">
        <v>54</v>
      </c>
      <c r="E832" s="24">
        <v>0</v>
      </c>
    </row>
    <row r="833" s="29" customFormat="1" ht="41" spans="2:5">
      <c r="B833" s="19" t="s">
        <v>325</v>
      </c>
      <c r="C833" s="20" t="s">
        <v>182</v>
      </c>
      <c r="D833" s="21">
        <v>52</v>
      </c>
      <c r="E833" s="22">
        <v>4169369.711712</v>
      </c>
    </row>
    <row r="834" s="29" customFormat="1" ht="28" spans="2:5">
      <c r="B834" s="19" t="s">
        <v>325</v>
      </c>
      <c r="C834" s="16" t="s">
        <v>183</v>
      </c>
      <c r="D834" s="23">
        <v>52</v>
      </c>
      <c r="E834" s="24">
        <v>4169369.711712</v>
      </c>
    </row>
    <row r="835" s="29" customFormat="1" ht="41" spans="2:5">
      <c r="B835" s="19" t="s">
        <v>895</v>
      </c>
      <c r="C835" s="20" t="s">
        <v>182</v>
      </c>
      <c r="D835" s="21">
        <v>13</v>
      </c>
      <c r="E835" s="22">
        <v>1316250</v>
      </c>
    </row>
    <row r="836" s="29" customFormat="1" ht="28" spans="2:5">
      <c r="B836" s="19" t="s">
        <v>895</v>
      </c>
      <c r="C836" s="16" t="s">
        <v>183</v>
      </c>
      <c r="D836" s="23">
        <v>13</v>
      </c>
      <c r="E836" s="24">
        <v>1316250</v>
      </c>
    </row>
    <row r="837" s="29" customFormat="1" ht="41.75" spans="2:5">
      <c r="B837" s="20" t="s">
        <v>326</v>
      </c>
      <c r="C837" s="20" t="s">
        <v>182</v>
      </c>
      <c r="D837" s="21">
        <v>59</v>
      </c>
      <c r="E837" s="22">
        <v>5463963.999997</v>
      </c>
    </row>
    <row r="838" s="29" customFormat="1" spans="2:5">
      <c r="B838" s="25"/>
      <c r="C838" s="25"/>
      <c r="D838" s="25"/>
      <c r="E838" s="25"/>
    </row>
    <row r="839" s="29" customFormat="1" ht="36" spans="2:5">
      <c r="B839" s="26" t="s">
        <v>189</v>
      </c>
      <c r="C839" s="26" t="s">
        <v>189</v>
      </c>
      <c r="D839" s="26" t="s">
        <v>189</v>
      </c>
      <c r="E839" s="26" t="s">
        <v>189</v>
      </c>
    </row>
    <row r="840" s="29" customFormat="1" spans="2:5">
      <c r="B840" s="26"/>
      <c r="C840" s="26"/>
      <c r="D840" s="26"/>
      <c r="E840" s="26"/>
    </row>
    <row r="841" s="29" customFormat="1" ht="36" spans="2:5">
      <c r="B841" s="26" t="s">
        <v>806</v>
      </c>
      <c r="C841" s="26" t="s">
        <v>806</v>
      </c>
      <c r="D841" s="26" t="s">
        <v>806</v>
      </c>
      <c r="E841" s="26" t="s">
        <v>806</v>
      </c>
    </row>
    <row r="842" s="29" customFormat="1" spans="2:5">
      <c r="B842" s="26" t="s">
        <v>662</v>
      </c>
      <c r="C842" s="26" t="s">
        <v>662</v>
      </c>
      <c r="D842" s="26" t="s">
        <v>662</v>
      </c>
      <c r="E842" s="26" t="s">
        <v>662</v>
      </c>
    </row>
    <row r="843" s="29" customFormat="1" ht="124" spans="2:5">
      <c r="B843" s="11" t="s">
        <v>173</v>
      </c>
      <c r="C843" s="11" t="s">
        <v>173</v>
      </c>
      <c r="D843" s="11" t="s">
        <v>173</v>
      </c>
      <c r="E843" s="11" t="s">
        <v>173</v>
      </c>
    </row>
    <row r="844" s="29" customFormat="1" ht="156" spans="2:5">
      <c r="B844" s="12" t="s">
        <v>174</v>
      </c>
      <c r="C844" s="12" t="s">
        <v>174</v>
      </c>
      <c r="D844" s="12" t="s">
        <v>174</v>
      </c>
      <c r="E844" s="12" t="s">
        <v>174</v>
      </c>
    </row>
    <row r="845" s="29" customFormat="1" ht="68" spans="2:5">
      <c r="B845" s="13" t="s">
        <v>798</v>
      </c>
      <c r="C845" s="13" t="s">
        <v>798</v>
      </c>
      <c r="D845" s="13" t="s">
        <v>798</v>
      </c>
      <c r="E845" s="13" t="s">
        <v>798</v>
      </c>
    </row>
    <row r="846" s="29" customFormat="1" ht="22" spans="2:5">
      <c r="B846" s="14" t="s">
        <v>176</v>
      </c>
      <c r="C846" s="14" t="s">
        <v>176</v>
      </c>
      <c r="D846" s="14" t="s">
        <v>176</v>
      </c>
      <c r="E846" s="14" t="s">
        <v>176</v>
      </c>
    </row>
    <row r="847" s="29" customFormat="1" spans="2:5">
      <c r="B847" s="15" t="s">
        <v>177</v>
      </c>
      <c r="C847" s="16" t="s">
        <v>178</v>
      </c>
      <c r="D847" s="17" t="s">
        <v>179</v>
      </c>
      <c r="E847" s="18" t="s">
        <v>180</v>
      </c>
    </row>
    <row r="848" s="29" customFormat="1" ht="28" spans="2:5">
      <c r="B848" s="19" t="s">
        <v>326</v>
      </c>
      <c r="C848" s="20" t="s">
        <v>804</v>
      </c>
      <c r="D848" s="21">
        <v>57</v>
      </c>
      <c r="E848" s="22">
        <v>5237386.576574</v>
      </c>
    </row>
    <row r="849" s="29" customFormat="1" ht="28" spans="2:5">
      <c r="B849" s="19" t="s">
        <v>326</v>
      </c>
      <c r="C849" s="16" t="s">
        <v>183</v>
      </c>
      <c r="D849" s="23">
        <v>116</v>
      </c>
      <c r="E849" s="24">
        <v>10701350.576571</v>
      </c>
    </row>
    <row r="850" s="29" customFormat="1" ht="41" spans="2:5">
      <c r="B850" s="19" t="s">
        <v>460</v>
      </c>
      <c r="C850" s="20" t="s">
        <v>182</v>
      </c>
      <c r="D850" s="21">
        <v>2</v>
      </c>
      <c r="E850" s="22">
        <v>751351.351351</v>
      </c>
    </row>
    <row r="851" s="29" customFormat="1" ht="28" spans="2:5">
      <c r="B851" s="19" t="s">
        <v>460</v>
      </c>
      <c r="C851" s="16" t="s">
        <v>183</v>
      </c>
      <c r="D851" s="23">
        <v>2</v>
      </c>
      <c r="E851" s="24">
        <v>751351.351351</v>
      </c>
    </row>
    <row r="852" s="29" customFormat="1" ht="41" spans="2:5">
      <c r="B852" s="19" t="s">
        <v>896</v>
      </c>
      <c r="C852" s="20" t="s">
        <v>182</v>
      </c>
      <c r="D852" s="21">
        <v>2</v>
      </c>
      <c r="E852" s="22">
        <v>940540.540541</v>
      </c>
    </row>
    <row r="853" s="29" customFormat="1" ht="28" spans="2:5">
      <c r="B853" s="19" t="s">
        <v>896</v>
      </c>
      <c r="C853" s="16" t="s">
        <v>183</v>
      </c>
      <c r="D853" s="23">
        <v>2</v>
      </c>
      <c r="E853" s="24">
        <v>940540.540541</v>
      </c>
    </row>
    <row r="854" s="29" customFormat="1" ht="41" spans="2:5">
      <c r="B854" s="19" t="s">
        <v>897</v>
      </c>
      <c r="C854" s="20" t="s">
        <v>182</v>
      </c>
      <c r="D854" s="21">
        <v>2</v>
      </c>
      <c r="E854" s="22">
        <v>1111711.711712</v>
      </c>
    </row>
    <row r="855" s="29" customFormat="1" ht="28" spans="2:5">
      <c r="B855" s="19" t="s">
        <v>897</v>
      </c>
      <c r="C855" s="16" t="s">
        <v>183</v>
      </c>
      <c r="D855" s="23">
        <v>2</v>
      </c>
      <c r="E855" s="24">
        <v>1111711.711712</v>
      </c>
    </row>
    <row r="856" s="29" customFormat="1" ht="41" spans="2:5">
      <c r="B856" s="19" t="s">
        <v>898</v>
      </c>
      <c r="C856" s="20" t="s">
        <v>182</v>
      </c>
      <c r="D856" s="21">
        <v>2</v>
      </c>
      <c r="E856" s="22">
        <v>823423.423423</v>
      </c>
    </row>
    <row r="857" s="29" customFormat="1" ht="28" spans="2:5">
      <c r="B857" s="19" t="s">
        <v>898</v>
      </c>
      <c r="C857" s="16" t="s">
        <v>183</v>
      </c>
      <c r="D857" s="23">
        <v>2</v>
      </c>
      <c r="E857" s="24">
        <v>823423.423423</v>
      </c>
    </row>
    <row r="858" s="29" customFormat="1" ht="41" spans="2:5">
      <c r="B858" s="19" t="s">
        <v>899</v>
      </c>
      <c r="C858" s="20" t="s">
        <v>182</v>
      </c>
      <c r="D858" s="21">
        <v>1</v>
      </c>
      <c r="E858" s="22">
        <v>505405.405405</v>
      </c>
    </row>
    <row r="859" s="29" customFormat="1" ht="28" spans="2:5">
      <c r="B859" s="19" t="s">
        <v>899</v>
      </c>
      <c r="C859" s="20" t="s">
        <v>804</v>
      </c>
      <c r="D859" s="21">
        <v>1</v>
      </c>
      <c r="E859" s="22">
        <v>505405.405405</v>
      </c>
    </row>
    <row r="860" s="29" customFormat="1" ht="28.75" spans="2:5">
      <c r="B860" s="19" t="s">
        <v>899</v>
      </c>
      <c r="C860" s="16" t="s">
        <v>183</v>
      </c>
      <c r="D860" s="23">
        <v>2</v>
      </c>
      <c r="E860" s="24">
        <v>1010810.81081</v>
      </c>
    </row>
    <row r="861" s="29" customFormat="1" spans="2:5">
      <c r="B861" s="25"/>
      <c r="C861" s="25"/>
      <c r="D861" s="25"/>
      <c r="E861" s="25"/>
    </row>
    <row r="862" s="29" customFormat="1" ht="36" spans="2:5">
      <c r="B862" s="26" t="s">
        <v>189</v>
      </c>
      <c r="C862" s="26" t="s">
        <v>189</v>
      </c>
      <c r="D862" s="26" t="s">
        <v>189</v>
      </c>
      <c r="E862" s="26" t="s">
        <v>189</v>
      </c>
    </row>
    <row r="863" s="29" customFormat="1" spans="2:5">
      <c r="B863" s="26"/>
      <c r="C863" s="26"/>
      <c r="D863" s="26"/>
      <c r="E863" s="26"/>
    </row>
    <row r="864" s="29" customFormat="1" ht="36" spans="2:5">
      <c r="B864" s="26" t="s">
        <v>806</v>
      </c>
      <c r="C864" s="26" t="s">
        <v>806</v>
      </c>
      <c r="D864" s="26" t="s">
        <v>806</v>
      </c>
      <c r="E864" s="26" t="s">
        <v>806</v>
      </c>
    </row>
    <row r="865" s="29" customFormat="1" spans="2:5">
      <c r="B865" s="26" t="s">
        <v>758</v>
      </c>
      <c r="C865" s="26" t="s">
        <v>758</v>
      </c>
      <c r="D865" s="26" t="s">
        <v>758</v>
      </c>
      <c r="E865" s="26" t="s">
        <v>758</v>
      </c>
    </row>
    <row r="866" s="29" customFormat="1" ht="124" spans="2:5">
      <c r="B866" s="11" t="s">
        <v>173</v>
      </c>
      <c r="C866" s="11" t="s">
        <v>173</v>
      </c>
      <c r="D866" s="11" t="s">
        <v>173</v>
      </c>
      <c r="E866" s="11" t="s">
        <v>173</v>
      </c>
    </row>
    <row r="867" s="29" customFormat="1" ht="156" spans="2:5">
      <c r="B867" s="12" t="s">
        <v>174</v>
      </c>
      <c r="C867" s="12" t="s">
        <v>174</v>
      </c>
      <c r="D867" s="12" t="s">
        <v>174</v>
      </c>
      <c r="E867" s="12" t="s">
        <v>174</v>
      </c>
    </row>
    <row r="868" s="29" customFormat="1" ht="68" spans="2:5">
      <c r="B868" s="13" t="s">
        <v>798</v>
      </c>
      <c r="C868" s="13" t="s">
        <v>798</v>
      </c>
      <c r="D868" s="13" t="s">
        <v>798</v>
      </c>
      <c r="E868" s="13" t="s">
        <v>798</v>
      </c>
    </row>
    <row r="869" s="29" customFormat="1" ht="22" spans="2:5">
      <c r="B869" s="14" t="s">
        <v>176</v>
      </c>
      <c r="C869" s="14" t="s">
        <v>176</v>
      </c>
      <c r="D869" s="14" t="s">
        <v>176</v>
      </c>
      <c r="E869" s="14" t="s">
        <v>176</v>
      </c>
    </row>
    <row r="870" s="29" customFormat="1" spans="2:5">
      <c r="B870" s="15" t="s">
        <v>177</v>
      </c>
      <c r="C870" s="16" t="s">
        <v>178</v>
      </c>
      <c r="D870" s="17" t="s">
        <v>179</v>
      </c>
      <c r="E870" s="18" t="s">
        <v>180</v>
      </c>
    </row>
    <row r="871" s="29" customFormat="1" ht="41" spans="2:5">
      <c r="B871" s="19" t="s">
        <v>900</v>
      </c>
      <c r="C871" s="20" t="s">
        <v>182</v>
      </c>
      <c r="D871" s="21">
        <v>1</v>
      </c>
      <c r="E871" s="22">
        <v>505405.405405</v>
      </c>
    </row>
    <row r="872" s="29" customFormat="1" ht="28" spans="2:5">
      <c r="B872" s="19" t="s">
        <v>900</v>
      </c>
      <c r="C872" s="20" t="s">
        <v>804</v>
      </c>
      <c r="D872" s="21">
        <v>1</v>
      </c>
      <c r="E872" s="22">
        <v>505405.405405</v>
      </c>
    </row>
    <row r="873" s="29" customFormat="1" ht="28" spans="2:5">
      <c r="B873" s="19" t="s">
        <v>900</v>
      </c>
      <c r="C873" s="16" t="s">
        <v>183</v>
      </c>
      <c r="D873" s="23">
        <v>2</v>
      </c>
      <c r="E873" s="24">
        <v>1010810.81081</v>
      </c>
    </row>
    <row r="874" s="29" customFormat="1" ht="41" spans="2:5">
      <c r="B874" s="19" t="s">
        <v>901</v>
      </c>
      <c r="C874" s="20" t="s">
        <v>182</v>
      </c>
      <c r="D874" s="21">
        <v>1</v>
      </c>
      <c r="E874" s="22">
        <v>740540.540541</v>
      </c>
    </row>
    <row r="875" s="29" customFormat="1" ht="28" spans="2:5">
      <c r="B875" s="19" t="s">
        <v>901</v>
      </c>
      <c r="C875" s="16" t="s">
        <v>183</v>
      </c>
      <c r="D875" s="23">
        <v>1</v>
      </c>
      <c r="E875" s="24">
        <v>740540.540541</v>
      </c>
    </row>
    <row r="876" s="29" customFormat="1" ht="41" spans="2:5">
      <c r="B876" s="19" t="s">
        <v>902</v>
      </c>
      <c r="C876" s="20" t="s">
        <v>182</v>
      </c>
      <c r="D876" s="21">
        <v>1</v>
      </c>
      <c r="E876" s="22">
        <v>740540.540541</v>
      </c>
    </row>
    <row r="877" s="29" customFormat="1" ht="28" spans="2:5">
      <c r="B877" s="19" t="s">
        <v>902</v>
      </c>
      <c r="C877" s="16" t="s">
        <v>183</v>
      </c>
      <c r="D877" s="23">
        <v>1</v>
      </c>
      <c r="E877" s="24">
        <v>740540.540541</v>
      </c>
    </row>
    <row r="878" s="29" customFormat="1" ht="41" spans="2:5">
      <c r="B878" s="19" t="s">
        <v>903</v>
      </c>
      <c r="C878" s="20" t="s">
        <v>182</v>
      </c>
      <c r="D878" s="21">
        <v>1</v>
      </c>
      <c r="E878" s="22">
        <v>783783.783784</v>
      </c>
    </row>
    <row r="879" s="29" customFormat="1" ht="28" spans="2:5">
      <c r="B879" s="19" t="s">
        <v>903</v>
      </c>
      <c r="C879" s="16" t="s">
        <v>183</v>
      </c>
      <c r="D879" s="23">
        <v>1</v>
      </c>
      <c r="E879" s="24">
        <v>783783.783784</v>
      </c>
    </row>
    <row r="880" s="29" customFormat="1" ht="41" spans="2:5">
      <c r="B880" s="19" t="s">
        <v>904</v>
      </c>
      <c r="C880" s="20" t="s">
        <v>182</v>
      </c>
      <c r="D880" s="21">
        <v>1</v>
      </c>
      <c r="E880" s="22">
        <v>783783.783784</v>
      </c>
    </row>
    <row r="881" s="29" customFormat="1" ht="28" spans="2:5">
      <c r="B881" s="19" t="s">
        <v>904</v>
      </c>
      <c r="C881" s="16" t="s">
        <v>183</v>
      </c>
      <c r="D881" s="23">
        <v>1</v>
      </c>
      <c r="E881" s="24">
        <v>783783.783784</v>
      </c>
    </row>
    <row r="882" s="29" customFormat="1" ht="41" spans="2:5">
      <c r="B882" s="19" t="s">
        <v>328</v>
      </c>
      <c r="C882" s="20" t="s">
        <v>182</v>
      </c>
      <c r="D882" s="21">
        <v>16</v>
      </c>
      <c r="E882" s="22">
        <v>0</v>
      </c>
    </row>
    <row r="883" s="29" customFormat="1" ht="28.75" spans="2:5">
      <c r="B883" s="19" t="s">
        <v>328</v>
      </c>
      <c r="C883" s="16" t="s">
        <v>183</v>
      </c>
      <c r="D883" s="23">
        <v>16</v>
      </c>
      <c r="E883" s="24">
        <v>0</v>
      </c>
    </row>
    <row r="884" s="29" customFormat="1" spans="2:5">
      <c r="B884" s="25"/>
      <c r="C884" s="25"/>
      <c r="D884" s="25"/>
      <c r="E884" s="25"/>
    </row>
    <row r="885" s="29" customFormat="1" ht="36" spans="2:5">
      <c r="B885" s="26" t="s">
        <v>189</v>
      </c>
      <c r="C885" s="26" t="s">
        <v>189</v>
      </c>
      <c r="D885" s="26" t="s">
        <v>189</v>
      </c>
      <c r="E885" s="26" t="s">
        <v>189</v>
      </c>
    </row>
    <row r="886" s="29" customFormat="1" spans="2:5">
      <c r="B886" s="26"/>
      <c r="C886" s="26"/>
      <c r="D886" s="26"/>
      <c r="E886" s="26"/>
    </row>
    <row r="887" s="29" customFormat="1" ht="36" spans="2:5">
      <c r="B887" s="26" t="s">
        <v>806</v>
      </c>
      <c r="C887" s="26" t="s">
        <v>806</v>
      </c>
      <c r="D887" s="26" t="s">
        <v>806</v>
      </c>
      <c r="E887" s="26" t="s">
        <v>806</v>
      </c>
    </row>
    <row r="888" s="29" customFormat="1" spans="2:5">
      <c r="B888" s="26" t="s">
        <v>760</v>
      </c>
      <c r="C888" s="26" t="s">
        <v>760</v>
      </c>
      <c r="D888" s="26" t="s">
        <v>760</v>
      </c>
      <c r="E888" s="26" t="s">
        <v>760</v>
      </c>
    </row>
    <row r="889" s="29" customFormat="1" ht="124" spans="2:5">
      <c r="B889" s="11" t="s">
        <v>173</v>
      </c>
      <c r="C889" s="11" t="s">
        <v>173</v>
      </c>
      <c r="D889" s="11" t="s">
        <v>173</v>
      </c>
      <c r="E889" s="11" t="s">
        <v>173</v>
      </c>
    </row>
    <row r="890" s="29" customFormat="1" ht="156" spans="2:5">
      <c r="B890" s="12" t="s">
        <v>174</v>
      </c>
      <c r="C890" s="12" t="s">
        <v>174</v>
      </c>
      <c r="D890" s="12" t="s">
        <v>174</v>
      </c>
      <c r="E890" s="12" t="s">
        <v>174</v>
      </c>
    </row>
    <row r="891" s="29" customFormat="1" ht="68" spans="2:5">
      <c r="B891" s="13" t="s">
        <v>798</v>
      </c>
      <c r="C891" s="13" t="s">
        <v>798</v>
      </c>
      <c r="D891" s="13" t="s">
        <v>798</v>
      </c>
      <c r="E891" s="13" t="s">
        <v>798</v>
      </c>
    </row>
    <row r="892" s="29" customFormat="1" ht="22" spans="2:5">
      <c r="B892" s="14" t="s">
        <v>176</v>
      </c>
      <c r="C892" s="14" t="s">
        <v>176</v>
      </c>
      <c r="D892" s="14" t="s">
        <v>176</v>
      </c>
      <c r="E892" s="14" t="s">
        <v>176</v>
      </c>
    </row>
    <row r="893" s="29" customFormat="1" spans="2:5">
      <c r="B893" s="15" t="s">
        <v>177</v>
      </c>
      <c r="C893" s="16" t="s">
        <v>178</v>
      </c>
      <c r="D893" s="17" t="s">
        <v>179</v>
      </c>
      <c r="E893" s="18" t="s">
        <v>180</v>
      </c>
    </row>
    <row r="894" s="29" customFormat="1" ht="41" spans="2:5">
      <c r="B894" s="19" t="s">
        <v>329</v>
      </c>
      <c r="C894" s="20" t="s">
        <v>182</v>
      </c>
      <c r="D894" s="21">
        <v>10</v>
      </c>
      <c r="E894" s="22">
        <v>0</v>
      </c>
    </row>
    <row r="895" s="29" customFormat="1" ht="28" spans="2:5">
      <c r="B895" s="19" t="s">
        <v>329</v>
      </c>
      <c r="C895" s="16" t="s">
        <v>183</v>
      </c>
      <c r="D895" s="23">
        <v>10</v>
      </c>
      <c r="E895" s="24">
        <v>0</v>
      </c>
    </row>
    <row r="896" s="29" customFormat="1" ht="41" spans="2:5">
      <c r="B896" s="19" t="s">
        <v>465</v>
      </c>
      <c r="C896" s="20" t="s">
        <v>182</v>
      </c>
      <c r="D896" s="21">
        <v>8</v>
      </c>
      <c r="E896" s="22">
        <v>0</v>
      </c>
    </row>
    <row r="897" s="29" customFormat="1" ht="28" spans="2:5">
      <c r="B897" s="19" t="s">
        <v>465</v>
      </c>
      <c r="C897" s="16" t="s">
        <v>183</v>
      </c>
      <c r="D897" s="23">
        <v>8</v>
      </c>
      <c r="E897" s="24">
        <v>0</v>
      </c>
    </row>
    <row r="898" s="29" customFormat="1" ht="41" spans="2:5">
      <c r="B898" s="19" t="s">
        <v>522</v>
      </c>
      <c r="C898" s="20" t="s">
        <v>182</v>
      </c>
      <c r="D898" s="21">
        <v>4</v>
      </c>
      <c r="E898" s="22">
        <v>585585.585586</v>
      </c>
    </row>
    <row r="899" s="29" customFormat="1" spans="2:5">
      <c r="B899" s="19" t="s">
        <v>522</v>
      </c>
      <c r="C899" s="16" t="s">
        <v>183</v>
      </c>
      <c r="D899" s="23">
        <v>4</v>
      </c>
      <c r="E899" s="24">
        <v>585585.585586</v>
      </c>
    </row>
    <row r="900" s="29" customFormat="1" ht="41" spans="2:5">
      <c r="B900" s="19" t="s">
        <v>333</v>
      </c>
      <c r="C900" s="20" t="s">
        <v>182</v>
      </c>
      <c r="D900" s="21">
        <v>4</v>
      </c>
      <c r="E900" s="22">
        <v>585585.585586</v>
      </c>
    </row>
    <row r="901" s="29" customFormat="1" ht="28" spans="2:5">
      <c r="B901" s="19" t="s">
        <v>333</v>
      </c>
      <c r="C901" s="16" t="s">
        <v>183</v>
      </c>
      <c r="D901" s="23">
        <v>4</v>
      </c>
      <c r="E901" s="24">
        <v>585585.585586</v>
      </c>
    </row>
    <row r="902" s="29" customFormat="1" ht="41" spans="2:5">
      <c r="B902" s="19" t="s">
        <v>334</v>
      </c>
      <c r="C902" s="20" t="s">
        <v>182</v>
      </c>
      <c r="D902" s="21">
        <v>8</v>
      </c>
      <c r="E902" s="22">
        <v>761261.261262</v>
      </c>
    </row>
    <row r="903" s="29" customFormat="1" ht="28" spans="2:5">
      <c r="B903" s="19" t="s">
        <v>334</v>
      </c>
      <c r="C903" s="20" t="s">
        <v>804</v>
      </c>
      <c r="D903" s="21">
        <v>12</v>
      </c>
      <c r="E903" s="22">
        <v>1540090.090091</v>
      </c>
    </row>
    <row r="904" s="29" customFormat="1" ht="28" spans="2:5">
      <c r="B904" s="19" t="s">
        <v>334</v>
      </c>
      <c r="C904" s="16" t="s">
        <v>183</v>
      </c>
      <c r="D904" s="23">
        <v>20</v>
      </c>
      <c r="E904" s="24">
        <v>2301351.351353</v>
      </c>
    </row>
    <row r="905" s="29" customFormat="1" ht="41" spans="2:5">
      <c r="B905" s="19" t="s">
        <v>905</v>
      </c>
      <c r="C905" s="20" t="s">
        <v>182</v>
      </c>
      <c r="D905" s="21">
        <v>1</v>
      </c>
      <c r="E905" s="22">
        <v>1560000</v>
      </c>
    </row>
    <row r="906" s="29" customFormat="1" ht="28.75" spans="2:5">
      <c r="B906" s="19" t="s">
        <v>905</v>
      </c>
      <c r="C906" s="16" t="s">
        <v>183</v>
      </c>
      <c r="D906" s="23">
        <v>1</v>
      </c>
      <c r="E906" s="24">
        <v>1560000</v>
      </c>
    </row>
    <row r="907" s="29" customFormat="1" spans="2:5">
      <c r="B907" s="25"/>
      <c r="C907" s="25"/>
      <c r="D907" s="25"/>
      <c r="E907" s="25"/>
    </row>
    <row r="908" s="29" customFormat="1" ht="36" spans="2:5">
      <c r="B908" s="26" t="s">
        <v>189</v>
      </c>
      <c r="C908" s="26" t="s">
        <v>189</v>
      </c>
      <c r="D908" s="26" t="s">
        <v>189</v>
      </c>
      <c r="E908" s="26" t="s">
        <v>189</v>
      </c>
    </row>
    <row r="909" s="29" customFormat="1" spans="2:5">
      <c r="B909" s="26"/>
      <c r="C909" s="26"/>
      <c r="D909" s="26"/>
      <c r="E909" s="26"/>
    </row>
    <row r="910" s="29" customFormat="1" ht="36" spans="2:5">
      <c r="B910" s="26" t="s">
        <v>806</v>
      </c>
      <c r="C910" s="26" t="s">
        <v>806</v>
      </c>
      <c r="D910" s="26" t="s">
        <v>806</v>
      </c>
      <c r="E910" s="26" t="s">
        <v>806</v>
      </c>
    </row>
    <row r="911" s="29" customFormat="1" spans="2:5">
      <c r="B911" s="26" t="s">
        <v>767</v>
      </c>
      <c r="C911" s="26" t="s">
        <v>767</v>
      </c>
      <c r="D911" s="26" t="s">
        <v>767</v>
      </c>
      <c r="E911" s="26" t="s">
        <v>767</v>
      </c>
    </row>
    <row r="912" s="29" customFormat="1" ht="124" spans="2:5">
      <c r="B912" s="11" t="s">
        <v>173</v>
      </c>
      <c r="C912" s="11" t="s">
        <v>173</v>
      </c>
      <c r="D912" s="11" t="s">
        <v>173</v>
      </c>
      <c r="E912" s="11" t="s">
        <v>173</v>
      </c>
    </row>
    <row r="913" s="29" customFormat="1" ht="156" spans="2:5">
      <c r="B913" s="12" t="s">
        <v>174</v>
      </c>
      <c r="C913" s="12" t="s">
        <v>174</v>
      </c>
      <c r="D913" s="12" t="s">
        <v>174</v>
      </c>
      <c r="E913" s="12" t="s">
        <v>174</v>
      </c>
    </row>
    <row r="914" s="29" customFormat="1" ht="68" spans="2:5">
      <c r="B914" s="13" t="s">
        <v>798</v>
      </c>
      <c r="C914" s="13" t="s">
        <v>798</v>
      </c>
      <c r="D914" s="13" t="s">
        <v>798</v>
      </c>
      <c r="E914" s="13" t="s">
        <v>798</v>
      </c>
    </row>
    <row r="915" s="29" customFormat="1" ht="22" spans="2:5">
      <c r="B915" s="14" t="s">
        <v>176</v>
      </c>
      <c r="C915" s="14" t="s">
        <v>176</v>
      </c>
      <c r="D915" s="14" t="s">
        <v>176</v>
      </c>
      <c r="E915" s="14" t="s">
        <v>176</v>
      </c>
    </row>
    <row r="916" s="29" customFormat="1" spans="2:5">
      <c r="B916" s="15" t="s">
        <v>177</v>
      </c>
      <c r="C916" s="16" t="s">
        <v>178</v>
      </c>
      <c r="D916" s="17" t="s">
        <v>179</v>
      </c>
      <c r="E916" s="18" t="s">
        <v>180</v>
      </c>
    </row>
    <row r="917" s="29" customFormat="1" ht="41" spans="2:5">
      <c r="B917" s="19" t="s">
        <v>906</v>
      </c>
      <c r="C917" s="20" t="s">
        <v>182</v>
      </c>
      <c r="D917" s="21">
        <v>1</v>
      </c>
      <c r="E917" s="22">
        <v>278000</v>
      </c>
    </row>
    <row r="918" s="29" customFormat="1" ht="28" spans="2:5">
      <c r="B918" s="19" t="s">
        <v>906</v>
      </c>
      <c r="C918" s="16" t="s">
        <v>183</v>
      </c>
      <c r="D918" s="23">
        <v>1</v>
      </c>
      <c r="E918" s="24">
        <v>278000</v>
      </c>
    </row>
    <row r="919" s="29" customFormat="1" ht="41" spans="2:5">
      <c r="B919" s="19" t="s">
        <v>628</v>
      </c>
      <c r="C919" s="20" t="s">
        <v>182</v>
      </c>
      <c r="D919" s="21">
        <v>15</v>
      </c>
      <c r="E919" s="22">
        <v>94594.783785</v>
      </c>
    </row>
    <row r="920" s="29" customFormat="1" spans="2:5">
      <c r="B920" s="19" t="s">
        <v>628</v>
      </c>
      <c r="C920" s="16" t="s">
        <v>183</v>
      </c>
      <c r="D920" s="23">
        <v>15</v>
      </c>
      <c r="E920" s="24">
        <v>94594.783785</v>
      </c>
    </row>
    <row r="921" s="29" customFormat="1" ht="41" spans="2:5">
      <c r="B921" s="19" t="s">
        <v>907</v>
      </c>
      <c r="C921" s="20" t="s">
        <v>182</v>
      </c>
      <c r="D921" s="21">
        <v>1</v>
      </c>
      <c r="E921" s="22">
        <v>2252.252252</v>
      </c>
    </row>
    <row r="922" s="29" customFormat="1" spans="2:5">
      <c r="B922" s="19" t="s">
        <v>907</v>
      </c>
      <c r="C922" s="16" t="s">
        <v>183</v>
      </c>
      <c r="D922" s="23">
        <v>1</v>
      </c>
      <c r="E922" s="24">
        <v>2252.252252</v>
      </c>
    </row>
    <row r="923" s="29" customFormat="1" ht="41" spans="2:5">
      <c r="B923" s="19" t="s">
        <v>336</v>
      </c>
      <c r="C923" s="20" t="s">
        <v>182</v>
      </c>
      <c r="D923" s="21">
        <v>16</v>
      </c>
      <c r="E923" s="22">
        <v>0</v>
      </c>
    </row>
    <row r="924" s="29" customFormat="1" spans="2:5">
      <c r="B924" s="19" t="s">
        <v>336</v>
      </c>
      <c r="C924" s="16" t="s">
        <v>183</v>
      </c>
      <c r="D924" s="23">
        <v>16</v>
      </c>
      <c r="E924" s="24">
        <v>0</v>
      </c>
    </row>
    <row r="925" s="29" customFormat="1" ht="41" spans="2:5">
      <c r="B925" s="19" t="s">
        <v>908</v>
      </c>
      <c r="C925" s="20" t="s">
        <v>182</v>
      </c>
      <c r="D925" s="21">
        <v>1</v>
      </c>
      <c r="E925" s="22">
        <v>800000</v>
      </c>
    </row>
    <row r="926" s="29" customFormat="1" ht="28" spans="2:5">
      <c r="B926" s="19" t="s">
        <v>908</v>
      </c>
      <c r="C926" s="16" t="s">
        <v>183</v>
      </c>
      <c r="D926" s="23">
        <v>1</v>
      </c>
      <c r="E926" s="24">
        <v>800000</v>
      </c>
    </row>
    <row r="927" s="29" customFormat="1" ht="41" spans="2:5">
      <c r="B927" s="19" t="s">
        <v>470</v>
      </c>
      <c r="C927" s="20" t="s">
        <v>182</v>
      </c>
      <c r="D927" s="21">
        <v>34</v>
      </c>
      <c r="E927" s="22">
        <v>102702.522523</v>
      </c>
    </row>
    <row r="928" s="29" customFormat="1" ht="28.75" spans="2:5">
      <c r="B928" s="19" t="s">
        <v>470</v>
      </c>
      <c r="C928" s="16" t="s">
        <v>183</v>
      </c>
      <c r="D928" s="23">
        <v>34</v>
      </c>
      <c r="E928" s="24">
        <v>102702.522523</v>
      </c>
    </row>
    <row r="929" s="29" customFormat="1" spans="2:5">
      <c r="B929" s="25"/>
      <c r="C929" s="25"/>
      <c r="D929" s="25"/>
      <c r="E929" s="25"/>
    </row>
    <row r="930" s="29" customFormat="1" ht="36" spans="2:5">
      <c r="B930" s="26" t="s">
        <v>189</v>
      </c>
      <c r="C930" s="26" t="s">
        <v>189</v>
      </c>
      <c r="D930" s="26" t="s">
        <v>189</v>
      </c>
      <c r="E930" s="26" t="s">
        <v>189</v>
      </c>
    </row>
    <row r="931" s="29" customFormat="1" spans="2:5">
      <c r="B931" s="26"/>
      <c r="C931" s="26"/>
      <c r="D931" s="26"/>
      <c r="E931" s="26"/>
    </row>
    <row r="932" s="29" customFormat="1" ht="36" spans="2:5">
      <c r="B932" s="26" t="s">
        <v>806</v>
      </c>
      <c r="C932" s="26" t="s">
        <v>806</v>
      </c>
      <c r="D932" s="26" t="s">
        <v>806</v>
      </c>
      <c r="E932" s="26" t="s">
        <v>806</v>
      </c>
    </row>
    <row r="933" s="29" customFormat="1" spans="2:5">
      <c r="B933" s="26" t="s">
        <v>773</v>
      </c>
      <c r="C933" s="26" t="s">
        <v>773</v>
      </c>
      <c r="D933" s="26" t="s">
        <v>773</v>
      </c>
      <c r="E933" s="26" t="s">
        <v>773</v>
      </c>
    </row>
    <row r="934" s="29" customFormat="1" ht="124" spans="2:5">
      <c r="B934" s="11" t="s">
        <v>173</v>
      </c>
      <c r="C934" s="11" t="s">
        <v>173</v>
      </c>
      <c r="D934" s="11" t="s">
        <v>173</v>
      </c>
      <c r="E934" s="11" t="s">
        <v>173</v>
      </c>
    </row>
    <row r="935" s="29" customFormat="1" ht="156" spans="2:5">
      <c r="B935" s="12" t="s">
        <v>174</v>
      </c>
      <c r="C935" s="12" t="s">
        <v>174</v>
      </c>
      <c r="D935" s="12" t="s">
        <v>174</v>
      </c>
      <c r="E935" s="12" t="s">
        <v>174</v>
      </c>
    </row>
    <row r="936" s="29" customFormat="1" ht="68" spans="2:5">
      <c r="B936" s="13" t="s">
        <v>798</v>
      </c>
      <c r="C936" s="13" t="s">
        <v>798</v>
      </c>
      <c r="D936" s="13" t="s">
        <v>798</v>
      </c>
      <c r="E936" s="13" t="s">
        <v>798</v>
      </c>
    </row>
    <row r="937" s="29" customFormat="1" ht="22" spans="2:5">
      <c r="B937" s="14" t="s">
        <v>176</v>
      </c>
      <c r="C937" s="14" t="s">
        <v>176</v>
      </c>
      <c r="D937" s="14" t="s">
        <v>176</v>
      </c>
      <c r="E937" s="14" t="s">
        <v>176</v>
      </c>
    </row>
    <row r="938" s="29" customFormat="1" spans="2:5">
      <c r="B938" s="15" t="s">
        <v>177</v>
      </c>
      <c r="C938" s="16" t="s">
        <v>178</v>
      </c>
      <c r="D938" s="17" t="s">
        <v>179</v>
      </c>
      <c r="E938" s="18" t="s">
        <v>180</v>
      </c>
    </row>
    <row r="939" s="29" customFormat="1" ht="41" spans="2:5">
      <c r="B939" s="19" t="s">
        <v>909</v>
      </c>
      <c r="C939" s="20" t="s">
        <v>182</v>
      </c>
      <c r="D939" s="21">
        <v>1</v>
      </c>
      <c r="E939" s="22">
        <v>0</v>
      </c>
    </row>
    <row r="940" s="29" customFormat="1" ht="28" spans="2:5">
      <c r="B940" s="19" t="s">
        <v>909</v>
      </c>
      <c r="C940" s="16" t="s">
        <v>183</v>
      </c>
      <c r="D940" s="23">
        <v>1</v>
      </c>
      <c r="E940" s="24">
        <v>0</v>
      </c>
    </row>
    <row r="941" s="29" customFormat="1" ht="41" spans="2:5">
      <c r="B941" s="19" t="s">
        <v>910</v>
      </c>
      <c r="C941" s="20" t="s">
        <v>182</v>
      </c>
      <c r="D941" s="21">
        <v>1</v>
      </c>
      <c r="E941" s="22">
        <v>275000</v>
      </c>
    </row>
    <row r="942" s="29" customFormat="1" ht="28" spans="2:5">
      <c r="B942" s="19" t="s">
        <v>910</v>
      </c>
      <c r="C942" s="16" t="s">
        <v>183</v>
      </c>
      <c r="D942" s="23">
        <v>1</v>
      </c>
      <c r="E942" s="24">
        <v>275000</v>
      </c>
    </row>
    <row r="943" s="29" customFormat="1" ht="41" spans="2:5">
      <c r="B943" s="19" t="s">
        <v>911</v>
      </c>
      <c r="C943" s="20" t="s">
        <v>182</v>
      </c>
      <c r="D943" s="21">
        <v>2</v>
      </c>
      <c r="E943" s="22">
        <v>592000</v>
      </c>
    </row>
    <row r="944" s="29" customFormat="1" ht="28" spans="2:5">
      <c r="B944" s="19" t="s">
        <v>911</v>
      </c>
      <c r="C944" s="16" t="s">
        <v>183</v>
      </c>
      <c r="D944" s="23">
        <v>2</v>
      </c>
      <c r="E944" s="24">
        <v>592000</v>
      </c>
    </row>
    <row r="945" s="29" customFormat="1" ht="41" spans="2:5">
      <c r="B945" s="19" t="s">
        <v>912</v>
      </c>
      <c r="C945" s="20" t="s">
        <v>182</v>
      </c>
      <c r="D945" s="21">
        <v>1</v>
      </c>
      <c r="E945" s="22">
        <v>267000</v>
      </c>
    </row>
    <row r="946" s="29" customFormat="1" ht="28" spans="2:5">
      <c r="B946" s="19" t="s">
        <v>912</v>
      </c>
      <c r="C946" s="16" t="s">
        <v>183</v>
      </c>
      <c r="D946" s="23">
        <v>1</v>
      </c>
      <c r="E946" s="24">
        <v>267000</v>
      </c>
    </row>
    <row r="947" s="29" customFormat="1" ht="41" spans="2:5">
      <c r="B947" s="19" t="s">
        <v>913</v>
      </c>
      <c r="C947" s="20" t="s">
        <v>182</v>
      </c>
      <c r="D947" s="21">
        <v>1</v>
      </c>
      <c r="E947" s="22">
        <v>398000</v>
      </c>
    </row>
    <row r="948" s="29" customFormat="1" ht="28" spans="2:5">
      <c r="B948" s="19" t="s">
        <v>913</v>
      </c>
      <c r="C948" s="16" t="s">
        <v>183</v>
      </c>
      <c r="D948" s="23">
        <v>1</v>
      </c>
      <c r="E948" s="24">
        <v>398000</v>
      </c>
    </row>
    <row r="949" s="29" customFormat="1" ht="41" spans="2:5">
      <c r="B949" s="19" t="s">
        <v>751</v>
      </c>
      <c r="C949" s="20" t="s">
        <v>182</v>
      </c>
      <c r="D949" s="21">
        <v>63</v>
      </c>
      <c r="E949" s="22">
        <v>616000</v>
      </c>
    </row>
    <row r="950" s="29" customFormat="1" ht="17.55" spans="2:5">
      <c r="B950" s="19" t="s">
        <v>751</v>
      </c>
      <c r="C950" s="16" t="s">
        <v>183</v>
      </c>
      <c r="D950" s="23">
        <v>63</v>
      </c>
      <c r="E950" s="24">
        <v>616000</v>
      </c>
    </row>
    <row r="951" s="29" customFormat="1" spans="2:5">
      <c r="B951" s="25"/>
      <c r="C951" s="25"/>
      <c r="D951" s="25"/>
      <c r="E951" s="25"/>
    </row>
    <row r="952" s="29" customFormat="1" ht="36" spans="2:5">
      <c r="B952" s="26" t="s">
        <v>189</v>
      </c>
      <c r="C952" s="26" t="s">
        <v>189</v>
      </c>
      <c r="D952" s="26" t="s">
        <v>189</v>
      </c>
      <c r="E952" s="26" t="s">
        <v>189</v>
      </c>
    </row>
    <row r="953" s="29" customFormat="1" spans="2:5">
      <c r="B953" s="26"/>
      <c r="C953" s="26"/>
      <c r="D953" s="26"/>
      <c r="E953" s="26"/>
    </row>
    <row r="954" s="29" customFormat="1" ht="36" spans="2:5">
      <c r="B954" s="26" t="s">
        <v>806</v>
      </c>
      <c r="C954" s="26" t="s">
        <v>806</v>
      </c>
      <c r="D954" s="26" t="s">
        <v>806</v>
      </c>
      <c r="E954" s="26" t="s">
        <v>806</v>
      </c>
    </row>
    <row r="955" s="29" customFormat="1" spans="2:5">
      <c r="B955" s="26" t="s">
        <v>780</v>
      </c>
      <c r="C955" s="26" t="s">
        <v>780</v>
      </c>
      <c r="D955" s="26" t="s">
        <v>780</v>
      </c>
      <c r="E955" s="26" t="s">
        <v>780</v>
      </c>
    </row>
    <row r="956" s="29" customFormat="1" ht="124" spans="2:5">
      <c r="B956" s="11" t="s">
        <v>173</v>
      </c>
      <c r="C956" s="11" t="s">
        <v>173</v>
      </c>
      <c r="D956" s="11" t="s">
        <v>173</v>
      </c>
      <c r="E956" s="11" t="s">
        <v>173</v>
      </c>
    </row>
    <row r="957" s="29" customFormat="1" ht="156" spans="2:5">
      <c r="B957" s="12" t="s">
        <v>174</v>
      </c>
      <c r="C957" s="12" t="s">
        <v>174</v>
      </c>
      <c r="D957" s="12" t="s">
        <v>174</v>
      </c>
      <c r="E957" s="12" t="s">
        <v>174</v>
      </c>
    </row>
    <row r="958" s="29" customFormat="1" ht="68" spans="2:5">
      <c r="B958" s="13" t="s">
        <v>798</v>
      </c>
      <c r="C958" s="13" t="s">
        <v>798</v>
      </c>
      <c r="D958" s="13" t="s">
        <v>798</v>
      </c>
      <c r="E958" s="13" t="s">
        <v>798</v>
      </c>
    </row>
    <row r="959" s="29" customFormat="1" ht="22" spans="2:5">
      <c r="B959" s="14" t="s">
        <v>176</v>
      </c>
      <c r="C959" s="14" t="s">
        <v>176</v>
      </c>
      <c r="D959" s="14" t="s">
        <v>176</v>
      </c>
      <c r="E959" s="14" t="s">
        <v>176</v>
      </c>
    </row>
    <row r="960" s="29" customFormat="1" spans="2:5">
      <c r="B960" s="15" t="s">
        <v>177</v>
      </c>
      <c r="C960" s="16" t="s">
        <v>178</v>
      </c>
      <c r="D960" s="17" t="s">
        <v>179</v>
      </c>
      <c r="E960" s="18" t="s">
        <v>180</v>
      </c>
    </row>
    <row r="961" s="29" customFormat="1" ht="41" spans="2:5">
      <c r="B961" s="19" t="s">
        <v>752</v>
      </c>
      <c r="C961" s="20" t="s">
        <v>182</v>
      </c>
      <c r="D961" s="21">
        <v>31</v>
      </c>
      <c r="E961" s="22">
        <v>302000</v>
      </c>
    </row>
    <row r="962" s="29" customFormat="1" spans="2:5">
      <c r="B962" s="19" t="s">
        <v>752</v>
      </c>
      <c r="C962" s="16" t="s">
        <v>183</v>
      </c>
      <c r="D962" s="23">
        <v>31</v>
      </c>
      <c r="E962" s="24">
        <v>302000</v>
      </c>
    </row>
    <row r="963" s="29" customFormat="1" ht="41" spans="2:5">
      <c r="B963" s="19" t="s">
        <v>753</v>
      </c>
      <c r="C963" s="20" t="s">
        <v>182</v>
      </c>
      <c r="D963" s="21">
        <v>31</v>
      </c>
      <c r="E963" s="22">
        <v>302000</v>
      </c>
    </row>
    <row r="964" s="29" customFormat="1" spans="2:5">
      <c r="B964" s="19" t="s">
        <v>753</v>
      </c>
      <c r="C964" s="16" t="s">
        <v>183</v>
      </c>
      <c r="D964" s="23">
        <v>31</v>
      </c>
      <c r="E964" s="24">
        <v>302000</v>
      </c>
    </row>
    <row r="965" s="29" customFormat="1" ht="41" spans="2:5">
      <c r="B965" s="19" t="s">
        <v>914</v>
      </c>
      <c r="C965" s="20" t="s">
        <v>182</v>
      </c>
      <c r="D965" s="21">
        <v>1</v>
      </c>
      <c r="E965" s="22">
        <v>138000</v>
      </c>
    </row>
    <row r="966" s="29" customFormat="1" ht="28" spans="2:5">
      <c r="B966" s="19" t="s">
        <v>914</v>
      </c>
      <c r="C966" s="16" t="s">
        <v>183</v>
      </c>
      <c r="D966" s="23">
        <v>1</v>
      </c>
      <c r="E966" s="24">
        <v>138000</v>
      </c>
    </row>
    <row r="967" s="29" customFormat="1" ht="41" spans="2:5">
      <c r="B967" s="19" t="s">
        <v>915</v>
      </c>
      <c r="C967" s="20" t="s">
        <v>182</v>
      </c>
      <c r="D967" s="21">
        <v>1</v>
      </c>
      <c r="E967" s="22">
        <v>255000</v>
      </c>
    </row>
    <row r="968" s="29" customFormat="1" spans="2:5">
      <c r="B968" s="19" t="s">
        <v>915</v>
      </c>
      <c r="C968" s="16" t="s">
        <v>183</v>
      </c>
      <c r="D968" s="23">
        <v>1</v>
      </c>
      <c r="E968" s="24">
        <v>255000</v>
      </c>
    </row>
    <row r="969" s="29" customFormat="1" ht="41" spans="2:5">
      <c r="B969" s="19" t="s">
        <v>631</v>
      </c>
      <c r="C969" s="20" t="s">
        <v>182</v>
      </c>
      <c r="D969" s="21">
        <v>1</v>
      </c>
      <c r="E969" s="22">
        <v>0</v>
      </c>
    </row>
    <row r="970" s="29" customFormat="1" ht="28" spans="2:5">
      <c r="B970" s="19" t="s">
        <v>631</v>
      </c>
      <c r="C970" s="16" t="s">
        <v>183</v>
      </c>
      <c r="D970" s="23">
        <v>1</v>
      </c>
      <c r="E970" s="24">
        <v>0</v>
      </c>
    </row>
    <row r="971" s="29" customFormat="1" ht="41" spans="2:5">
      <c r="B971" s="19" t="s">
        <v>755</v>
      </c>
      <c r="C971" s="20" t="s">
        <v>182</v>
      </c>
      <c r="D971" s="21">
        <v>2</v>
      </c>
      <c r="E971" s="22">
        <v>0</v>
      </c>
    </row>
    <row r="972" s="29" customFormat="1" spans="2:5">
      <c r="B972" s="19" t="s">
        <v>755</v>
      </c>
      <c r="C972" s="16" t="s">
        <v>183</v>
      </c>
      <c r="D972" s="23">
        <v>2</v>
      </c>
      <c r="E972" s="24">
        <v>0</v>
      </c>
    </row>
    <row r="973" s="29" customFormat="1" ht="41.75" spans="2:5">
      <c r="B973" s="20" t="s">
        <v>916</v>
      </c>
      <c r="C973" s="20" t="s">
        <v>182</v>
      </c>
      <c r="D973" s="21">
        <v>12</v>
      </c>
      <c r="E973" s="22">
        <v>1170000</v>
      </c>
    </row>
    <row r="974" s="29" customFormat="1" spans="2:5">
      <c r="B974" s="25"/>
      <c r="C974" s="25"/>
      <c r="D974" s="25"/>
      <c r="E974" s="25"/>
    </row>
    <row r="975" s="29" customFormat="1" ht="36" spans="2:5">
      <c r="B975" s="26" t="s">
        <v>189</v>
      </c>
      <c r="C975" s="26" t="s">
        <v>189</v>
      </c>
      <c r="D975" s="26" t="s">
        <v>189</v>
      </c>
      <c r="E975" s="26" t="s">
        <v>189</v>
      </c>
    </row>
    <row r="976" s="29" customFormat="1" spans="2:5">
      <c r="B976" s="26"/>
      <c r="C976" s="26"/>
      <c r="D976" s="26"/>
      <c r="E976" s="26"/>
    </row>
    <row r="977" s="29" customFormat="1" ht="36" spans="2:5">
      <c r="B977" s="26" t="s">
        <v>806</v>
      </c>
      <c r="C977" s="26" t="s">
        <v>806</v>
      </c>
      <c r="D977" s="26" t="s">
        <v>806</v>
      </c>
      <c r="E977" s="26" t="s">
        <v>806</v>
      </c>
    </row>
    <row r="978" s="29" customFormat="1" spans="2:5">
      <c r="B978" s="26" t="s">
        <v>787</v>
      </c>
      <c r="C978" s="26" t="s">
        <v>787</v>
      </c>
      <c r="D978" s="26" t="s">
        <v>787</v>
      </c>
      <c r="E978" s="26" t="s">
        <v>787</v>
      </c>
    </row>
    <row r="979" s="29" customFormat="1" ht="124" spans="2:5">
      <c r="B979" s="11" t="s">
        <v>173</v>
      </c>
      <c r="C979" s="11" t="s">
        <v>173</v>
      </c>
      <c r="D979" s="11" t="s">
        <v>173</v>
      </c>
      <c r="E979" s="11" t="s">
        <v>173</v>
      </c>
    </row>
    <row r="980" s="29" customFormat="1" ht="156" spans="2:5">
      <c r="B980" s="12" t="s">
        <v>174</v>
      </c>
      <c r="C980" s="12" t="s">
        <v>174</v>
      </c>
      <c r="D980" s="12" t="s">
        <v>174</v>
      </c>
      <c r="E980" s="12" t="s">
        <v>174</v>
      </c>
    </row>
    <row r="981" s="29" customFormat="1" ht="68" spans="2:5">
      <c r="B981" s="13" t="s">
        <v>798</v>
      </c>
      <c r="C981" s="13" t="s">
        <v>798</v>
      </c>
      <c r="D981" s="13" t="s">
        <v>798</v>
      </c>
      <c r="E981" s="13" t="s">
        <v>798</v>
      </c>
    </row>
    <row r="982" s="29" customFormat="1" ht="22" spans="2:5">
      <c r="B982" s="14" t="s">
        <v>176</v>
      </c>
      <c r="C982" s="14" t="s">
        <v>176</v>
      </c>
      <c r="D982" s="14" t="s">
        <v>176</v>
      </c>
      <c r="E982" s="14" t="s">
        <v>176</v>
      </c>
    </row>
    <row r="983" s="29" customFormat="1" spans="2:5">
      <c r="B983" s="15" t="s">
        <v>177</v>
      </c>
      <c r="C983" s="16" t="s">
        <v>178</v>
      </c>
      <c r="D983" s="17" t="s">
        <v>179</v>
      </c>
      <c r="E983" s="18" t="s">
        <v>180</v>
      </c>
    </row>
    <row r="984" s="29" customFormat="1" ht="28" spans="2:5">
      <c r="B984" s="19" t="s">
        <v>916</v>
      </c>
      <c r="C984" s="20" t="s">
        <v>804</v>
      </c>
      <c r="D984" s="21">
        <v>9</v>
      </c>
      <c r="E984" s="22">
        <v>801000</v>
      </c>
    </row>
    <row r="985" s="29" customFormat="1" ht="28" spans="2:5">
      <c r="B985" s="19" t="s">
        <v>916</v>
      </c>
      <c r="C985" s="16" t="s">
        <v>183</v>
      </c>
      <c r="D985" s="23">
        <v>21</v>
      </c>
      <c r="E985" s="24">
        <v>1971000</v>
      </c>
    </row>
    <row r="986" s="29" customFormat="1" ht="41" spans="2:5">
      <c r="B986" s="19" t="s">
        <v>917</v>
      </c>
      <c r="C986" s="20" t="s">
        <v>182</v>
      </c>
      <c r="D986" s="21">
        <v>3</v>
      </c>
      <c r="E986" s="22">
        <v>943000</v>
      </c>
    </row>
    <row r="987" s="29" customFormat="1" ht="28" spans="2:5">
      <c r="B987" s="19" t="s">
        <v>917</v>
      </c>
      <c r="C987" s="16" t="s">
        <v>183</v>
      </c>
      <c r="D987" s="23">
        <v>3</v>
      </c>
      <c r="E987" s="24">
        <v>943000</v>
      </c>
    </row>
    <row r="988" s="29" customFormat="1" ht="41" spans="2:5">
      <c r="B988" s="19" t="s">
        <v>918</v>
      </c>
      <c r="C988" s="20" t="s">
        <v>182</v>
      </c>
      <c r="D988" s="21">
        <v>2</v>
      </c>
      <c r="E988" s="22">
        <v>0</v>
      </c>
    </row>
    <row r="989" s="29" customFormat="1" ht="28" spans="2:5">
      <c r="B989" s="19" t="s">
        <v>918</v>
      </c>
      <c r="C989" s="16" t="s">
        <v>183</v>
      </c>
      <c r="D989" s="23">
        <v>2</v>
      </c>
      <c r="E989" s="24">
        <v>0</v>
      </c>
    </row>
    <row r="990" s="29" customFormat="1" ht="41" spans="2:5">
      <c r="B990" s="19" t="s">
        <v>919</v>
      </c>
      <c r="C990" s="20" t="s">
        <v>182</v>
      </c>
      <c r="D990" s="21">
        <v>8</v>
      </c>
      <c r="E990" s="22">
        <v>0</v>
      </c>
    </row>
    <row r="991" s="29" customFormat="1" ht="28" spans="2:5">
      <c r="B991" s="19" t="s">
        <v>919</v>
      </c>
      <c r="C991" s="16" t="s">
        <v>183</v>
      </c>
      <c r="D991" s="23">
        <v>8</v>
      </c>
      <c r="E991" s="24">
        <v>0</v>
      </c>
    </row>
    <row r="992" s="29" customFormat="1" ht="41" spans="2:5">
      <c r="B992" s="19" t="s">
        <v>632</v>
      </c>
      <c r="C992" s="20" t="s">
        <v>182</v>
      </c>
      <c r="D992" s="21">
        <v>6</v>
      </c>
      <c r="E992" s="22">
        <v>0</v>
      </c>
    </row>
    <row r="993" s="29" customFormat="1" ht="28" spans="2:5">
      <c r="B993" s="19" t="s">
        <v>632</v>
      </c>
      <c r="C993" s="16" t="s">
        <v>183</v>
      </c>
      <c r="D993" s="23">
        <v>6</v>
      </c>
      <c r="E993" s="24">
        <v>0</v>
      </c>
    </row>
    <row r="994" s="29" customFormat="1" ht="41" spans="2:5">
      <c r="B994" s="19" t="s">
        <v>920</v>
      </c>
      <c r="C994" s="20" t="s">
        <v>182</v>
      </c>
      <c r="D994" s="21">
        <v>4</v>
      </c>
      <c r="E994" s="22">
        <v>0</v>
      </c>
    </row>
    <row r="995" s="29" customFormat="1" ht="28" spans="2:5">
      <c r="B995" s="19" t="s">
        <v>920</v>
      </c>
      <c r="C995" s="16" t="s">
        <v>183</v>
      </c>
      <c r="D995" s="23">
        <v>4</v>
      </c>
      <c r="E995" s="24">
        <v>0</v>
      </c>
    </row>
    <row r="996" s="29" customFormat="1" ht="41" spans="2:5">
      <c r="B996" s="19" t="s">
        <v>633</v>
      </c>
      <c r="C996" s="20" t="s">
        <v>182</v>
      </c>
      <c r="D996" s="21">
        <v>6</v>
      </c>
      <c r="E996" s="22">
        <v>297297.297297</v>
      </c>
    </row>
    <row r="997" s="29" customFormat="1" ht="28.75" spans="2:5">
      <c r="B997" s="19" t="s">
        <v>633</v>
      </c>
      <c r="C997" s="16" t="s">
        <v>183</v>
      </c>
      <c r="D997" s="23">
        <v>6</v>
      </c>
      <c r="E997" s="24">
        <v>297297.297297</v>
      </c>
    </row>
    <row r="998" s="29" customFormat="1" spans="2:5">
      <c r="B998" s="25"/>
      <c r="C998" s="25"/>
      <c r="D998" s="25"/>
      <c r="E998" s="25"/>
    </row>
    <row r="999" s="29" customFormat="1" ht="36" spans="2:5">
      <c r="B999" s="26" t="s">
        <v>189</v>
      </c>
      <c r="C999" s="26" t="s">
        <v>189</v>
      </c>
      <c r="D999" s="26" t="s">
        <v>189</v>
      </c>
      <c r="E999" s="26" t="s">
        <v>189</v>
      </c>
    </row>
    <row r="1000" s="29" customFormat="1" spans="2:5">
      <c r="B1000" s="26"/>
      <c r="C1000" s="26"/>
      <c r="D1000" s="26"/>
      <c r="E1000" s="26"/>
    </row>
    <row r="1001" s="29" customFormat="1" ht="36" spans="2:5">
      <c r="B1001" s="26" t="s">
        <v>806</v>
      </c>
      <c r="C1001" s="26" t="s">
        <v>806</v>
      </c>
      <c r="D1001" s="26" t="s">
        <v>806</v>
      </c>
      <c r="E1001" s="26" t="s">
        <v>806</v>
      </c>
    </row>
    <row r="1002" s="29" customFormat="1" spans="2:5">
      <c r="B1002" s="26" t="s">
        <v>794</v>
      </c>
      <c r="C1002" s="26" t="s">
        <v>794</v>
      </c>
      <c r="D1002" s="26" t="s">
        <v>794</v>
      </c>
      <c r="E1002" s="26" t="s">
        <v>794</v>
      </c>
    </row>
    <row r="1003" s="29" customFormat="1" ht="124" spans="2:5">
      <c r="B1003" s="11" t="s">
        <v>173</v>
      </c>
      <c r="C1003" s="11" t="s">
        <v>173</v>
      </c>
      <c r="D1003" s="11" t="s">
        <v>173</v>
      </c>
      <c r="E1003" s="11" t="s">
        <v>173</v>
      </c>
    </row>
    <row r="1004" s="29" customFormat="1" ht="156" spans="2:5">
      <c r="B1004" s="12" t="s">
        <v>174</v>
      </c>
      <c r="C1004" s="12" t="s">
        <v>174</v>
      </c>
      <c r="D1004" s="12" t="s">
        <v>174</v>
      </c>
      <c r="E1004" s="12" t="s">
        <v>174</v>
      </c>
    </row>
    <row r="1005" s="29" customFormat="1" ht="68" spans="2:5">
      <c r="B1005" s="13" t="s">
        <v>798</v>
      </c>
      <c r="C1005" s="13" t="s">
        <v>798</v>
      </c>
      <c r="D1005" s="13" t="s">
        <v>798</v>
      </c>
      <c r="E1005" s="13" t="s">
        <v>798</v>
      </c>
    </row>
    <row r="1006" s="29" customFormat="1" ht="22" spans="2:5">
      <c r="B1006" s="14" t="s">
        <v>176</v>
      </c>
      <c r="C1006" s="14" t="s">
        <v>176</v>
      </c>
      <c r="D1006" s="14" t="s">
        <v>176</v>
      </c>
      <c r="E1006" s="14" t="s">
        <v>176</v>
      </c>
    </row>
    <row r="1007" s="29" customFormat="1" spans="2:5">
      <c r="B1007" s="15" t="s">
        <v>177</v>
      </c>
      <c r="C1007" s="16" t="s">
        <v>178</v>
      </c>
      <c r="D1007" s="17" t="s">
        <v>179</v>
      </c>
      <c r="E1007" s="18" t="s">
        <v>180</v>
      </c>
    </row>
    <row r="1008" s="29" customFormat="1" ht="41" spans="2:5">
      <c r="B1008" s="19" t="s">
        <v>634</v>
      </c>
      <c r="C1008" s="20" t="s">
        <v>182</v>
      </c>
      <c r="D1008" s="21">
        <v>9</v>
      </c>
      <c r="E1008" s="22">
        <v>679279</v>
      </c>
    </row>
    <row r="1009" s="29" customFormat="1" ht="28" spans="2:5">
      <c r="B1009" s="19" t="s">
        <v>634</v>
      </c>
      <c r="C1009" s="20" t="s">
        <v>804</v>
      </c>
      <c r="D1009" s="21">
        <v>2</v>
      </c>
      <c r="E1009" s="22">
        <v>0</v>
      </c>
    </row>
    <row r="1010" s="29" customFormat="1" ht="28" spans="2:5">
      <c r="B1010" s="19" t="s">
        <v>634</v>
      </c>
      <c r="C1010" s="16" t="s">
        <v>183</v>
      </c>
      <c r="D1010" s="23">
        <v>11</v>
      </c>
      <c r="E1010" s="24">
        <v>679279</v>
      </c>
    </row>
    <row r="1011" s="29" customFormat="1" ht="41" spans="2:5">
      <c r="B1011" s="19" t="s">
        <v>921</v>
      </c>
      <c r="C1011" s="20" t="s">
        <v>182</v>
      </c>
      <c r="D1011" s="21">
        <v>7</v>
      </c>
      <c r="E1011" s="22">
        <v>623000</v>
      </c>
    </row>
    <row r="1012" s="29" customFormat="1" ht="28" spans="2:5">
      <c r="B1012" s="19" t="s">
        <v>921</v>
      </c>
      <c r="C1012" s="16" t="s">
        <v>183</v>
      </c>
      <c r="D1012" s="23">
        <v>7</v>
      </c>
      <c r="E1012" s="24">
        <v>623000</v>
      </c>
    </row>
    <row r="1013" s="29" customFormat="1" ht="41" spans="2:5">
      <c r="B1013" s="19" t="s">
        <v>635</v>
      </c>
      <c r="C1013" s="20" t="s">
        <v>182</v>
      </c>
      <c r="D1013" s="21">
        <v>47</v>
      </c>
      <c r="E1013" s="22">
        <v>5036936.954954</v>
      </c>
    </row>
    <row r="1014" s="29" customFormat="1" ht="28" spans="2:5">
      <c r="B1014" s="19" t="s">
        <v>635</v>
      </c>
      <c r="C1014" s="16" t="s">
        <v>183</v>
      </c>
      <c r="D1014" s="23">
        <v>47</v>
      </c>
      <c r="E1014" s="24">
        <v>5036936.954954</v>
      </c>
    </row>
    <row r="1015" s="29" customFormat="1" ht="41" spans="2:5">
      <c r="B1015" s="19" t="s">
        <v>636</v>
      </c>
      <c r="C1015" s="20" t="s">
        <v>182</v>
      </c>
      <c r="D1015" s="21">
        <v>15</v>
      </c>
      <c r="E1015" s="22">
        <v>1662162.432431</v>
      </c>
    </row>
    <row r="1016" s="29" customFormat="1" ht="28" spans="2:5">
      <c r="B1016" s="19" t="s">
        <v>636</v>
      </c>
      <c r="C1016" s="16" t="s">
        <v>183</v>
      </c>
      <c r="D1016" s="23">
        <v>15</v>
      </c>
      <c r="E1016" s="24">
        <v>1662162.432431</v>
      </c>
    </row>
    <row r="1017" s="29" customFormat="1" ht="41" spans="2:5">
      <c r="B1017" s="19" t="s">
        <v>922</v>
      </c>
      <c r="C1017" s="20" t="s">
        <v>182</v>
      </c>
      <c r="D1017" s="21">
        <v>1</v>
      </c>
      <c r="E1017" s="22">
        <v>578000</v>
      </c>
    </row>
    <row r="1018" s="29" customFormat="1" ht="28" spans="2:5">
      <c r="B1018" s="19" t="s">
        <v>922</v>
      </c>
      <c r="C1018" s="16" t="s">
        <v>183</v>
      </c>
      <c r="D1018" s="23">
        <v>1</v>
      </c>
      <c r="E1018" s="24">
        <v>578000</v>
      </c>
    </row>
    <row r="1019" s="29" customFormat="1" ht="41" spans="2:5">
      <c r="B1019" s="19" t="s">
        <v>923</v>
      </c>
      <c r="C1019" s="20" t="s">
        <v>182</v>
      </c>
      <c r="D1019" s="21">
        <v>1</v>
      </c>
      <c r="E1019" s="22">
        <v>578000</v>
      </c>
    </row>
    <row r="1020" s="29" customFormat="1" ht="28.75" spans="2:5">
      <c r="B1020" s="19" t="s">
        <v>923</v>
      </c>
      <c r="C1020" s="16" t="s">
        <v>183</v>
      </c>
      <c r="D1020" s="23">
        <v>1</v>
      </c>
      <c r="E1020" s="24">
        <v>578000</v>
      </c>
    </row>
    <row r="1021" s="29" customFormat="1" spans="2:5">
      <c r="B1021" s="25"/>
      <c r="C1021" s="25"/>
      <c r="D1021" s="25"/>
      <c r="E1021" s="25"/>
    </row>
    <row r="1022" s="29" customFormat="1" ht="36" spans="2:5">
      <c r="B1022" s="26" t="s">
        <v>189</v>
      </c>
      <c r="C1022" s="26" t="s">
        <v>189</v>
      </c>
      <c r="D1022" s="26" t="s">
        <v>189</v>
      </c>
      <c r="E1022" s="26" t="s">
        <v>189</v>
      </c>
    </row>
    <row r="1023" s="29" customFormat="1" spans="2:5">
      <c r="B1023" s="26"/>
      <c r="C1023" s="26"/>
      <c r="D1023" s="26"/>
      <c r="E1023" s="26"/>
    </row>
    <row r="1024" s="29" customFormat="1" ht="36" spans="2:5">
      <c r="B1024" s="26" t="s">
        <v>806</v>
      </c>
      <c r="C1024" s="26" t="s">
        <v>806</v>
      </c>
      <c r="D1024" s="26" t="s">
        <v>806</v>
      </c>
      <c r="E1024" s="26" t="s">
        <v>806</v>
      </c>
    </row>
    <row r="1025" s="29" customFormat="1" spans="2:5">
      <c r="B1025" s="26" t="s">
        <v>797</v>
      </c>
      <c r="C1025" s="26" t="s">
        <v>797</v>
      </c>
      <c r="D1025" s="26" t="s">
        <v>797</v>
      </c>
      <c r="E1025" s="26" t="s">
        <v>797</v>
      </c>
    </row>
    <row r="1026" s="29" customFormat="1" ht="124" spans="2:5">
      <c r="B1026" s="11" t="s">
        <v>173</v>
      </c>
      <c r="C1026" s="11" t="s">
        <v>173</v>
      </c>
      <c r="D1026" s="11" t="s">
        <v>173</v>
      </c>
      <c r="E1026" s="11" t="s">
        <v>173</v>
      </c>
    </row>
    <row r="1027" s="29" customFormat="1" ht="156" spans="2:5">
      <c r="B1027" s="12" t="s">
        <v>174</v>
      </c>
      <c r="C1027" s="12" t="s">
        <v>174</v>
      </c>
      <c r="D1027" s="12" t="s">
        <v>174</v>
      </c>
      <c r="E1027" s="12" t="s">
        <v>174</v>
      </c>
    </row>
    <row r="1028" s="29" customFormat="1" ht="68" spans="2:5">
      <c r="B1028" s="13" t="s">
        <v>798</v>
      </c>
      <c r="C1028" s="13" t="s">
        <v>798</v>
      </c>
      <c r="D1028" s="13" t="s">
        <v>798</v>
      </c>
      <c r="E1028" s="13" t="s">
        <v>798</v>
      </c>
    </row>
    <row r="1029" s="29" customFormat="1" ht="22" spans="2:5">
      <c r="B1029" s="14" t="s">
        <v>176</v>
      </c>
      <c r="C1029" s="14" t="s">
        <v>176</v>
      </c>
      <c r="D1029" s="14" t="s">
        <v>176</v>
      </c>
      <c r="E1029" s="14" t="s">
        <v>176</v>
      </c>
    </row>
    <row r="1030" s="29" customFormat="1" spans="2:5">
      <c r="B1030" s="15" t="s">
        <v>177</v>
      </c>
      <c r="C1030" s="16" t="s">
        <v>178</v>
      </c>
      <c r="D1030" s="17" t="s">
        <v>179</v>
      </c>
      <c r="E1030" s="18" t="s">
        <v>180</v>
      </c>
    </row>
    <row r="1031" s="29" customFormat="1" ht="41" spans="2:5">
      <c r="B1031" s="19" t="s">
        <v>389</v>
      </c>
      <c r="C1031" s="20" t="s">
        <v>182</v>
      </c>
      <c r="D1031" s="21">
        <v>9</v>
      </c>
      <c r="E1031" s="22">
        <v>0</v>
      </c>
    </row>
    <row r="1032" s="29" customFormat="1" ht="28" spans="2:5">
      <c r="B1032" s="19" t="s">
        <v>389</v>
      </c>
      <c r="C1032" s="16" t="s">
        <v>183</v>
      </c>
      <c r="D1032" s="23">
        <v>9</v>
      </c>
      <c r="E1032" s="24">
        <v>0</v>
      </c>
    </row>
    <row r="1033" s="29" customFormat="1" ht="41" spans="2:5">
      <c r="B1033" s="19" t="s">
        <v>637</v>
      </c>
      <c r="C1033" s="20" t="s">
        <v>182</v>
      </c>
      <c r="D1033" s="21">
        <v>12</v>
      </c>
      <c r="E1033" s="22">
        <v>551351.351352</v>
      </c>
    </row>
    <row r="1034" s="29" customFormat="1" spans="2:5">
      <c r="B1034" s="19" t="s">
        <v>637</v>
      </c>
      <c r="C1034" s="16" t="s">
        <v>183</v>
      </c>
      <c r="D1034" s="23">
        <v>12</v>
      </c>
      <c r="E1034" s="24">
        <v>551351.351352</v>
      </c>
    </row>
    <row r="1035" s="29" customFormat="1" ht="41" spans="2:5">
      <c r="B1035" s="19" t="s">
        <v>924</v>
      </c>
      <c r="C1035" s="20" t="s">
        <v>182</v>
      </c>
      <c r="D1035" s="21">
        <v>1</v>
      </c>
      <c r="E1035" s="22">
        <v>330000</v>
      </c>
    </row>
    <row r="1036" s="29" customFormat="1" ht="28" spans="2:5">
      <c r="B1036" s="19" t="s">
        <v>924</v>
      </c>
      <c r="C1036" s="16" t="s">
        <v>183</v>
      </c>
      <c r="D1036" s="23">
        <v>1</v>
      </c>
      <c r="E1036" s="24">
        <v>330000</v>
      </c>
    </row>
    <row r="1037" s="29" customFormat="1" ht="41" spans="2:5">
      <c r="B1037" s="19" t="s">
        <v>925</v>
      </c>
      <c r="C1037" s="20" t="s">
        <v>182</v>
      </c>
      <c r="D1037" s="21">
        <v>1</v>
      </c>
      <c r="E1037" s="22">
        <v>1900000</v>
      </c>
    </row>
    <row r="1038" s="29" customFormat="1" ht="41" spans="2:5">
      <c r="B1038" s="19" t="s">
        <v>925</v>
      </c>
      <c r="C1038" s="16" t="s">
        <v>183</v>
      </c>
      <c r="D1038" s="23">
        <v>1</v>
      </c>
      <c r="E1038" s="24">
        <v>1900000</v>
      </c>
    </row>
    <row r="1039" s="29" customFormat="1" ht="41" spans="2:5">
      <c r="B1039" s="19" t="s">
        <v>926</v>
      </c>
      <c r="C1039" s="20" t="s">
        <v>182</v>
      </c>
      <c r="D1039" s="21">
        <v>2</v>
      </c>
      <c r="E1039" s="22">
        <v>1050000</v>
      </c>
    </row>
    <row r="1040" s="29" customFormat="1" ht="41" spans="2:5">
      <c r="B1040" s="19" t="s">
        <v>926</v>
      </c>
      <c r="C1040" s="16" t="s">
        <v>183</v>
      </c>
      <c r="D1040" s="23">
        <v>2</v>
      </c>
      <c r="E1040" s="24">
        <v>1050000</v>
      </c>
    </row>
    <row r="1041" s="29" customFormat="1" ht="41" spans="2:5">
      <c r="B1041" s="19" t="s">
        <v>927</v>
      </c>
      <c r="C1041" s="20" t="s">
        <v>182</v>
      </c>
      <c r="D1041" s="21">
        <v>1</v>
      </c>
      <c r="E1041" s="22">
        <v>486000</v>
      </c>
    </row>
    <row r="1042" s="29" customFormat="1" ht="28.75" spans="2:5">
      <c r="B1042" s="19" t="s">
        <v>927</v>
      </c>
      <c r="C1042" s="16" t="s">
        <v>183</v>
      </c>
      <c r="D1042" s="23">
        <v>1</v>
      </c>
      <c r="E1042" s="24">
        <v>486000</v>
      </c>
    </row>
    <row r="1043" s="29" customFormat="1" spans="2:5">
      <c r="B1043" s="25"/>
      <c r="C1043" s="25"/>
      <c r="D1043" s="25"/>
      <c r="E1043" s="25"/>
    </row>
    <row r="1044" s="29" customFormat="1" ht="36" spans="2:5">
      <c r="B1044" s="26" t="s">
        <v>189</v>
      </c>
      <c r="C1044" s="26" t="s">
        <v>189</v>
      </c>
      <c r="D1044" s="26" t="s">
        <v>189</v>
      </c>
      <c r="E1044" s="26" t="s">
        <v>189</v>
      </c>
    </row>
    <row r="1045" s="29" customFormat="1" spans="2:5">
      <c r="B1045" s="26"/>
      <c r="C1045" s="26"/>
      <c r="D1045" s="26"/>
      <c r="E1045" s="26"/>
    </row>
    <row r="1046" s="29" customFormat="1" ht="36" spans="2:5">
      <c r="B1046" s="26" t="s">
        <v>806</v>
      </c>
      <c r="C1046" s="26" t="s">
        <v>806</v>
      </c>
      <c r="D1046" s="26" t="s">
        <v>806</v>
      </c>
      <c r="E1046" s="26" t="s">
        <v>806</v>
      </c>
    </row>
    <row r="1047" s="29" customFormat="1" spans="2:5">
      <c r="B1047" s="26" t="s">
        <v>928</v>
      </c>
      <c r="C1047" s="26" t="s">
        <v>928</v>
      </c>
      <c r="D1047" s="26" t="s">
        <v>928</v>
      </c>
      <c r="E1047" s="26" t="s">
        <v>928</v>
      </c>
    </row>
    <row r="1048" s="29" customFormat="1" ht="124" spans="2:5">
      <c r="B1048" s="11" t="s">
        <v>173</v>
      </c>
      <c r="C1048" s="11" t="s">
        <v>173</v>
      </c>
      <c r="D1048" s="11" t="s">
        <v>173</v>
      </c>
      <c r="E1048" s="11" t="s">
        <v>173</v>
      </c>
    </row>
    <row r="1049" s="29" customFormat="1" ht="156" spans="2:5">
      <c r="B1049" s="12" t="s">
        <v>174</v>
      </c>
      <c r="C1049" s="12" t="s">
        <v>174</v>
      </c>
      <c r="D1049" s="12" t="s">
        <v>174</v>
      </c>
      <c r="E1049" s="12" t="s">
        <v>174</v>
      </c>
    </row>
    <row r="1050" s="29" customFormat="1" ht="68" spans="2:5">
      <c r="B1050" s="13" t="s">
        <v>798</v>
      </c>
      <c r="C1050" s="13" t="s">
        <v>798</v>
      </c>
      <c r="D1050" s="13" t="s">
        <v>798</v>
      </c>
      <c r="E1050" s="13" t="s">
        <v>798</v>
      </c>
    </row>
    <row r="1051" s="29" customFormat="1" ht="22" spans="2:5">
      <c r="B1051" s="14" t="s">
        <v>176</v>
      </c>
      <c r="C1051" s="14" t="s">
        <v>176</v>
      </c>
      <c r="D1051" s="14" t="s">
        <v>176</v>
      </c>
      <c r="E1051" s="14" t="s">
        <v>176</v>
      </c>
    </row>
    <row r="1052" s="29" customFormat="1" spans="2:5">
      <c r="B1052" s="15" t="s">
        <v>177</v>
      </c>
      <c r="C1052" s="16" t="s">
        <v>178</v>
      </c>
      <c r="D1052" s="17" t="s">
        <v>179</v>
      </c>
      <c r="E1052" s="18" t="s">
        <v>180</v>
      </c>
    </row>
    <row r="1053" s="29" customFormat="1" ht="41" spans="2:5">
      <c r="B1053" s="19" t="s">
        <v>929</v>
      </c>
      <c r="C1053" s="20" t="s">
        <v>182</v>
      </c>
      <c r="D1053" s="21">
        <v>1</v>
      </c>
      <c r="E1053" s="22">
        <v>115000</v>
      </c>
    </row>
    <row r="1054" s="29" customFormat="1" ht="28" spans="2:5">
      <c r="B1054" s="19" t="s">
        <v>929</v>
      </c>
      <c r="C1054" s="16" t="s">
        <v>183</v>
      </c>
      <c r="D1054" s="23">
        <v>1</v>
      </c>
      <c r="E1054" s="24">
        <v>115000</v>
      </c>
    </row>
    <row r="1055" s="29" customFormat="1" ht="41" spans="2:5">
      <c r="B1055" s="19" t="s">
        <v>930</v>
      </c>
      <c r="C1055" s="20" t="s">
        <v>182</v>
      </c>
      <c r="D1055" s="21">
        <v>1</v>
      </c>
      <c r="E1055" s="22">
        <v>0</v>
      </c>
    </row>
    <row r="1056" s="29" customFormat="1" ht="28" spans="2:5">
      <c r="B1056" s="19" t="s">
        <v>930</v>
      </c>
      <c r="C1056" s="16" t="s">
        <v>183</v>
      </c>
      <c r="D1056" s="23">
        <v>1</v>
      </c>
      <c r="E1056" s="24">
        <v>0</v>
      </c>
    </row>
    <row r="1057" s="29" customFormat="1" ht="41" spans="2:5">
      <c r="B1057" s="19" t="s">
        <v>931</v>
      </c>
      <c r="C1057" s="20" t="s">
        <v>182</v>
      </c>
      <c r="D1057" s="21">
        <v>3</v>
      </c>
      <c r="E1057" s="22">
        <v>0</v>
      </c>
    </row>
    <row r="1058" s="29" customFormat="1" ht="28" spans="2:5">
      <c r="B1058" s="19" t="s">
        <v>931</v>
      </c>
      <c r="C1058" s="16" t="s">
        <v>183</v>
      </c>
      <c r="D1058" s="23">
        <v>3</v>
      </c>
      <c r="E1058" s="24">
        <v>0</v>
      </c>
    </row>
    <row r="1059" s="29" customFormat="1" ht="41" spans="2:5">
      <c r="B1059" s="19" t="s">
        <v>932</v>
      </c>
      <c r="C1059" s="20" t="s">
        <v>182</v>
      </c>
      <c r="D1059" s="21">
        <v>1</v>
      </c>
      <c r="E1059" s="22">
        <v>205000</v>
      </c>
    </row>
    <row r="1060" s="29" customFormat="1" ht="41" spans="2:5">
      <c r="B1060" s="19" t="s">
        <v>932</v>
      </c>
      <c r="C1060" s="16" t="s">
        <v>183</v>
      </c>
      <c r="D1060" s="23">
        <v>1</v>
      </c>
      <c r="E1060" s="24">
        <v>205000</v>
      </c>
    </row>
    <row r="1061" s="29" customFormat="1" ht="41" spans="2:5">
      <c r="B1061" s="19" t="s">
        <v>933</v>
      </c>
      <c r="C1061" s="20" t="s">
        <v>182</v>
      </c>
      <c r="D1061" s="21">
        <v>1</v>
      </c>
      <c r="E1061" s="22">
        <v>0</v>
      </c>
    </row>
    <row r="1062" s="29" customFormat="1" ht="28" spans="2:5">
      <c r="B1062" s="19" t="s">
        <v>933</v>
      </c>
      <c r="C1062" s="16" t="s">
        <v>183</v>
      </c>
      <c r="D1062" s="23">
        <v>1</v>
      </c>
      <c r="E1062" s="24">
        <v>0</v>
      </c>
    </row>
    <row r="1063" s="29" customFormat="1" ht="41" spans="2:5">
      <c r="B1063" s="19" t="s">
        <v>934</v>
      </c>
      <c r="C1063" s="20" t="s">
        <v>182</v>
      </c>
      <c r="D1063" s="21">
        <v>2</v>
      </c>
      <c r="E1063" s="22">
        <v>1100000</v>
      </c>
    </row>
    <row r="1064" s="29" customFormat="1" ht="28.75" spans="2:5">
      <c r="B1064" s="19" t="s">
        <v>934</v>
      </c>
      <c r="C1064" s="16" t="s">
        <v>183</v>
      </c>
      <c r="D1064" s="23">
        <v>2</v>
      </c>
      <c r="E1064" s="24">
        <v>1100000</v>
      </c>
    </row>
    <row r="1065" s="29" customFormat="1" spans="2:5">
      <c r="B1065" s="25"/>
      <c r="C1065" s="25"/>
      <c r="D1065" s="25"/>
      <c r="E1065" s="25"/>
    </row>
    <row r="1066" s="29" customFormat="1" ht="36" spans="2:5">
      <c r="B1066" s="26" t="s">
        <v>189</v>
      </c>
      <c r="C1066" s="26" t="s">
        <v>189</v>
      </c>
      <c r="D1066" s="26" t="s">
        <v>189</v>
      </c>
      <c r="E1066" s="26" t="s">
        <v>189</v>
      </c>
    </row>
    <row r="1067" s="29" customFormat="1" spans="2:5">
      <c r="B1067" s="26"/>
      <c r="C1067" s="26"/>
      <c r="D1067" s="26"/>
      <c r="E1067" s="26"/>
    </row>
    <row r="1068" s="29" customFormat="1" ht="36" spans="2:5">
      <c r="B1068" s="26" t="s">
        <v>806</v>
      </c>
      <c r="C1068" s="26" t="s">
        <v>806</v>
      </c>
      <c r="D1068" s="26" t="s">
        <v>806</v>
      </c>
      <c r="E1068" s="26" t="s">
        <v>806</v>
      </c>
    </row>
    <row r="1069" s="29" customFormat="1" spans="2:5">
      <c r="B1069" s="26" t="s">
        <v>935</v>
      </c>
      <c r="C1069" s="26" t="s">
        <v>935</v>
      </c>
      <c r="D1069" s="26" t="s">
        <v>935</v>
      </c>
      <c r="E1069" s="26" t="s">
        <v>935</v>
      </c>
    </row>
    <row r="1070" s="29" customFormat="1" ht="124" spans="2:5">
      <c r="B1070" s="11" t="s">
        <v>173</v>
      </c>
      <c r="C1070" s="11" t="s">
        <v>173</v>
      </c>
      <c r="D1070" s="11" t="s">
        <v>173</v>
      </c>
      <c r="E1070" s="11" t="s">
        <v>173</v>
      </c>
    </row>
    <row r="1071" s="29" customFormat="1" ht="156" spans="2:5">
      <c r="B1071" s="12" t="s">
        <v>174</v>
      </c>
      <c r="C1071" s="12" t="s">
        <v>174</v>
      </c>
      <c r="D1071" s="12" t="s">
        <v>174</v>
      </c>
      <c r="E1071" s="12" t="s">
        <v>174</v>
      </c>
    </row>
    <row r="1072" s="29" customFormat="1" ht="68" spans="2:5">
      <c r="B1072" s="13" t="s">
        <v>798</v>
      </c>
      <c r="C1072" s="13" t="s">
        <v>798</v>
      </c>
      <c r="D1072" s="13" t="s">
        <v>798</v>
      </c>
      <c r="E1072" s="13" t="s">
        <v>798</v>
      </c>
    </row>
    <row r="1073" s="29" customFormat="1" ht="22" spans="2:5">
      <c r="B1073" s="14" t="s">
        <v>176</v>
      </c>
      <c r="C1073" s="14" t="s">
        <v>176</v>
      </c>
      <c r="D1073" s="14" t="s">
        <v>176</v>
      </c>
      <c r="E1073" s="14" t="s">
        <v>176</v>
      </c>
    </row>
    <row r="1074" s="29" customFormat="1" spans="2:5">
      <c r="B1074" s="15" t="s">
        <v>177</v>
      </c>
      <c r="C1074" s="16" t="s">
        <v>178</v>
      </c>
      <c r="D1074" s="17" t="s">
        <v>179</v>
      </c>
      <c r="E1074" s="18" t="s">
        <v>180</v>
      </c>
    </row>
    <row r="1075" s="29" customFormat="1" ht="41" spans="2:5">
      <c r="B1075" s="19" t="s">
        <v>936</v>
      </c>
      <c r="C1075" s="20" t="s">
        <v>182</v>
      </c>
      <c r="D1075" s="21">
        <v>1</v>
      </c>
      <c r="E1075" s="22">
        <v>1036000</v>
      </c>
    </row>
    <row r="1076" s="29" customFormat="1" ht="28" spans="2:5">
      <c r="B1076" s="19" t="s">
        <v>936</v>
      </c>
      <c r="C1076" s="16" t="s">
        <v>183</v>
      </c>
      <c r="D1076" s="23">
        <v>1</v>
      </c>
      <c r="E1076" s="24">
        <v>1036000</v>
      </c>
    </row>
    <row r="1077" s="29" customFormat="1" ht="41" spans="2:5">
      <c r="B1077" s="19" t="s">
        <v>937</v>
      </c>
      <c r="C1077" s="20" t="s">
        <v>182</v>
      </c>
      <c r="D1077" s="21">
        <v>2</v>
      </c>
      <c r="E1077" s="22">
        <v>1354000</v>
      </c>
    </row>
    <row r="1078" s="29" customFormat="1" ht="41" spans="2:5">
      <c r="B1078" s="19" t="s">
        <v>937</v>
      </c>
      <c r="C1078" s="16" t="s">
        <v>183</v>
      </c>
      <c r="D1078" s="23">
        <v>2</v>
      </c>
      <c r="E1078" s="24">
        <v>1354000</v>
      </c>
    </row>
    <row r="1079" s="29" customFormat="1" ht="41" spans="2:5">
      <c r="B1079" s="19" t="s">
        <v>938</v>
      </c>
      <c r="C1079" s="20" t="s">
        <v>182</v>
      </c>
      <c r="D1079" s="21">
        <v>1</v>
      </c>
      <c r="E1079" s="22">
        <v>1150000</v>
      </c>
    </row>
    <row r="1080" s="29" customFormat="1" ht="28" spans="2:5">
      <c r="B1080" s="19" t="s">
        <v>938</v>
      </c>
      <c r="C1080" s="16" t="s">
        <v>183</v>
      </c>
      <c r="D1080" s="23">
        <v>1</v>
      </c>
      <c r="E1080" s="24">
        <v>1150000</v>
      </c>
    </row>
    <row r="1081" s="29" customFormat="1" ht="41" spans="2:5">
      <c r="B1081" s="19" t="s">
        <v>939</v>
      </c>
      <c r="C1081" s="20" t="s">
        <v>182</v>
      </c>
      <c r="D1081" s="21">
        <v>1</v>
      </c>
      <c r="E1081" s="22">
        <v>881000</v>
      </c>
    </row>
    <row r="1082" s="29" customFormat="1" ht="28" spans="2:5">
      <c r="B1082" s="19" t="s">
        <v>939</v>
      </c>
      <c r="C1082" s="16" t="s">
        <v>183</v>
      </c>
      <c r="D1082" s="23">
        <v>1</v>
      </c>
      <c r="E1082" s="24">
        <v>881000</v>
      </c>
    </row>
    <row r="1083" s="29" customFormat="1" ht="41" spans="2:5">
      <c r="B1083" s="19" t="s">
        <v>940</v>
      </c>
      <c r="C1083" s="20" t="s">
        <v>182</v>
      </c>
      <c r="D1083" s="21">
        <v>2</v>
      </c>
      <c r="E1083" s="22">
        <v>700000</v>
      </c>
    </row>
    <row r="1084" s="29" customFormat="1" ht="28" spans="2:5">
      <c r="B1084" s="19" t="s">
        <v>940</v>
      </c>
      <c r="C1084" s="16" t="s">
        <v>183</v>
      </c>
      <c r="D1084" s="23">
        <v>2</v>
      </c>
      <c r="E1084" s="24">
        <v>700000</v>
      </c>
    </row>
    <row r="1085" s="29" customFormat="1" ht="41" spans="2:5">
      <c r="B1085" s="19" t="s">
        <v>941</v>
      </c>
      <c r="C1085" s="20" t="s">
        <v>182</v>
      </c>
      <c r="D1085" s="21">
        <v>1</v>
      </c>
      <c r="E1085" s="22">
        <v>402000</v>
      </c>
    </row>
    <row r="1086" s="29" customFormat="1" ht="28.75" spans="2:5">
      <c r="B1086" s="19" t="s">
        <v>941</v>
      </c>
      <c r="C1086" s="16" t="s">
        <v>183</v>
      </c>
      <c r="D1086" s="23">
        <v>1</v>
      </c>
      <c r="E1086" s="24">
        <v>402000</v>
      </c>
    </row>
    <row r="1087" s="29" customFormat="1" spans="2:5">
      <c r="B1087" s="25"/>
      <c r="C1087" s="25"/>
      <c r="D1087" s="25"/>
      <c r="E1087" s="25"/>
    </row>
    <row r="1088" s="29" customFormat="1" ht="36" spans="2:5">
      <c r="B1088" s="26" t="s">
        <v>189</v>
      </c>
      <c r="C1088" s="26" t="s">
        <v>189</v>
      </c>
      <c r="D1088" s="26" t="s">
        <v>189</v>
      </c>
      <c r="E1088" s="26" t="s">
        <v>189</v>
      </c>
    </row>
    <row r="1089" s="29" customFormat="1" spans="2:5">
      <c r="B1089" s="26"/>
      <c r="C1089" s="26"/>
      <c r="D1089" s="26"/>
      <c r="E1089" s="26"/>
    </row>
    <row r="1090" s="29" customFormat="1" ht="36" spans="2:5">
      <c r="B1090" s="26" t="s">
        <v>806</v>
      </c>
      <c r="C1090" s="26" t="s">
        <v>806</v>
      </c>
      <c r="D1090" s="26" t="s">
        <v>806</v>
      </c>
      <c r="E1090" s="26" t="s">
        <v>806</v>
      </c>
    </row>
    <row r="1091" s="29" customFormat="1" spans="2:5">
      <c r="B1091" s="26" t="s">
        <v>942</v>
      </c>
      <c r="C1091" s="26" t="s">
        <v>942</v>
      </c>
      <c r="D1091" s="26" t="s">
        <v>942</v>
      </c>
      <c r="E1091" s="26" t="s">
        <v>942</v>
      </c>
    </row>
    <row r="1092" s="29" customFormat="1" ht="124" spans="2:5">
      <c r="B1092" s="11" t="s">
        <v>173</v>
      </c>
      <c r="C1092" s="11" t="s">
        <v>173</v>
      </c>
      <c r="D1092" s="11" t="s">
        <v>173</v>
      </c>
      <c r="E1092" s="11" t="s">
        <v>173</v>
      </c>
    </row>
    <row r="1093" s="29" customFormat="1" ht="156" spans="2:5">
      <c r="B1093" s="12" t="s">
        <v>174</v>
      </c>
      <c r="C1093" s="12" t="s">
        <v>174</v>
      </c>
      <c r="D1093" s="12" t="s">
        <v>174</v>
      </c>
      <c r="E1093" s="12" t="s">
        <v>174</v>
      </c>
    </row>
    <row r="1094" s="29" customFormat="1" ht="68" spans="2:5">
      <c r="B1094" s="13" t="s">
        <v>798</v>
      </c>
      <c r="C1094" s="13" t="s">
        <v>798</v>
      </c>
      <c r="D1094" s="13" t="s">
        <v>798</v>
      </c>
      <c r="E1094" s="13" t="s">
        <v>798</v>
      </c>
    </row>
    <row r="1095" s="29" customFormat="1" ht="22" spans="2:5">
      <c r="B1095" s="14" t="s">
        <v>176</v>
      </c>
      <c r="C1095" s="14" t="s">
        <v>176</v>
      </c>
      <c r="D1095" s="14" t="s">
        <v>176</v>
      </c>
      <c r="E1095" s="14" t="s">
        <v>176</v>
      </c>
    </row>
    <row r="1096" s="29" customFormat="1" spans="2:5">
      <c r="B1096" s="15" t="s">
        <v>177</v>
      </c>
      <c r="C1096" s="16" t="s">
        <v>178</v>
      </c>
      <c r="D1096" s="17" t="s">
        <v>179</v>
      </c>
      <c r="E1096" s="18" t="s">
        <v>180</v>
      </c>
    </row>
    <row r="1097" s="29" customFormat="1" ht="41" spans="2:5">
      <c r="B1097" s="19" t="s">
        <v>943</v>
      </c>
      <c r="C1097" s="20" t="s">
        <v>182</v>
      </c>
      <c r="D1097" s="21">
        <v>2</v>
      </c>
      <c r="E1097" s="22">
        <v>506000</v>
      </c>
    </row>
    <row r="1098" s="29" customFormat="1" ht="28" spans="2:5">
      <c r="B1098" s="19" t="s">
        <v>943</v>
      </c>
      <c r="C1098" s="16" t="s">
        <v>183</v>
      </c>
      <c r="D1098" s="23">
        <v>2</v>
      </c>
      <c r="E1098" s="24">
        <v>506000</v>
      </c>
    </row>
    <row r="1099" s="29" customFormat="1" ht="41" spans="2:5">
      <c r="B1099" s="19" t="s">
        <v>944</v>
      </c>
      <c r="C1099" s="20" t="s">
        <v>182</v>
      </c>
      <c r="D1099" s="21">
        <v>1</v>
      </c>
      <c r="E1099" s="22">
        <v>750000</v>
      </c>
    </row>
    <row r="1100" s="29" customFormat="1" ht="28" spans="2:5">
      <c r="B1100" s="19" t="s">
        <v>944</v>
      </c>
      <c r="C1100" s="16" t="s">
        <v>183</v>
      </c>
      <c r="D1100" s="23">
        <v>1</v>
      </c>
      <c r="E1100" s="24">
        <v>750000</v>
      </c>
    </row>
    <row r="1101" s="29" customFormat="1" ht="41" spans="2:5">
      <c r="B1101" s="19" t="s">
        <v>945</v>
      </c>
      <c r="C1101" s="20" t="s">
        <v>182</v>
      </c>
      <c r="D1101" s="21">
        <v>1</v>
      </c>
      <c r="E1101" s="22">
        <v>650000</v>
      </c>
    </row>
    <row r="1102" s="29" customFormat="1" ht="28" spans="2:5">
      <c r="B1102" s="19" t="s">
        <v>945</v>
      </c>
      <c r="C1102" s="16" t="s">
        <v>183</v>
      </c>
      <c r="D1102" s="23">
        <v>1</v>
      </c>
      <c r="E1102" s="24">
        <v>650000</v>
      </c>
    </row>
    <row r="1103" s="29" customFormat="1" ht="28" spans="2:5">
      <c r="B1103" s="19" t="s">
        <v>946</v>
      </c>
      <c r="C1103" s="20" t="s">
        <v>804</v>
      </c>
      <c r="D1103" s="21">
        <v>2</v>
      </c>
      <c r="E1103" s="22">
        <v>366441.720721</v>
      </c>
    </row>
    <row r="1104" s="29" customFormat="1" ht="28" spans="2:5">
      <c r="B1104" s="19" t="s">
        <v>946</v>
      </c>
      <c r="C1104" s="16" t="s">
        <v>183</v>
      </c>
      <c r="D1104" s="23">
        <v>2</v>
      </c>
      <c r="E1104" s="24">
        <v>366441.720721</v>
      </c>
    </row>
    <row r="1105" s="29" customFormat="1" ht="41" spans="2:5">
      <c r="B1105" s="19" t="s">
        <v>947</v>
      </c>
      <c r="C1105" s="20" t="s">
        <v>182</v>
      </c>
      <c r="D1105" s="21">
        <v>1</v>
      </c>
      <c r="E1105" s="22">
        <v>185000</v>
      </c>
    </row>
    <row r="1106" s="29" customFormat="1" spans="2:5">
      <c r="B1106" s="19" t="s">
        <v>947</v>
      </c>
      <c r="C1106" s="16" t="s">
        <v>183</v>
      </c>
      <c r="D1106" s="23">
        <v>1</v>
      </c>
      <c r="E1106" s="24">
        <v>185000</v>
      </c>
    </row>
    <row r="1107" s="29" customFormat="1" ht="41" spans="2:5">
      <c r="B1107" s="19" t="s">
        <v>948</v>
      </c>
      <c r="C1107" s="20" t="s">
        <v>182</v>
      </c>
      <c r="D1107" s="21">
        <v>1</v>
      </c>
      <c r="E1107" s="22">
        <v>300000</v>
      </c>
    </row>
    <row r="1108" s="29" customFormat="1" spans="2:5">
      <c r="B1108" s="19" t="s">
        <v>948</v>
      </c>
      <c r="C1108" s="16" t="s">
        <v>183</v>
      </c>
      <c r="D1108" s="23">
        <v>1</v>
      </c>
      <c r="E1108" s="24">
        <v>300000</v>
      </c>
    </row>
    <row r="1109" s="29" customFormat="1" ht="41" spans="2:5">
      <c r="B1109" s="19" t="s">
        <v>392</v>
      </c>
      <c r="C1109" s="20" t="s">
        <v>182</v>
      </c>
      <c r="D1109" s="21">
        <v>1</v>
      </c>
      <c r="E1109" s="22">
        <v>104000</v>
      </c>
    </row>
    <row r="1110" s="29" customFormat="1" ht="17.55" spans="2:5">
      <c r="B1110" s="19" t="s">
        <v>392</v>
      </c>
      <c r="C1110" s="16" t="s">
        <v>183</v>
      </c>
      <c r="D1110" s="23">
        <v>1</v>
      </c>
      <c r="E1110" s="24">
        <v>104000</v>
      </c>
    </row>
    <row r="1111" s="29" customFormat="1" spans="2:5">
      <c r="B1111" s="25"/>
      <c r="C1111" s="25"/>
      <c r="D1111" s="25"/>
      <c r="E1111" s="25"/>
    </row>
    <row r="1112" s="29" customFormat="1" ht="36" spans="2:5">
      <c r="B1112" s="26" t="s">
        <v>189</v>
      </c>
      <c r="C1112" s="26" t="s">
        <v>189</v>
      </c>
      <c r="D1112" s="26" t="s">
        <v>189</v>
      </c>
      <c r="E1112" s="26" t="s">
        <v>189</v>
      </c>
    </row>
    <row r="1113" s="29" customFormat="1" spans="2:5">
      <c r="B1113" s="26"/>
      <c r="C1113" s="26"/>
      <c r="D1113" s="26"/>
      <c r="E1113" s="26"/>
    </row>
    <row r="1114" s="29" customFormat="1" ht="36" spans="2:5">
      <c r="B1114" s="26" t="s">
        <v>806</v>
      </c>
      <c r="C1114" s="26" t="s">
        <v>806</v>
      </c>
      <c r="D1114" s="26" t="s">
        <v>806</v>
      </c>
      <c r="E1114" s="26" t="s">
        <v>806</v>
      </c>
    </row>
    <row r="1115" s="29" customFormat="1" spans="2:5">
      <c r="B1115" s="26" t="s">
        <v>949</v>
      </c>
      <c r="C1115" s="26" t="s">
        <v>949</v>
      </c>
      <c r="D1115" s="26" t="s">
        <v>949</v>
      </c>
      <c r="E1115" s="26" t="s">
        <v>949</v>
      </c>
    </row>
    <row r="1116" s="29" customFormat="1" ht="124" spans="2:5">
      <c r="B1116" s="11" t="s">
        <v>173</v>
      </c>
      <c r="C1116" s="11" t="s">
        <v>173</v>
      </c>
      <c r="D1116" s="11" t="s">
        <v>173</v>
      </c>
      <c r="E1116" s="11" t="s">
        <v>173</v>
      </c>
    </row>
    <row r="1117" s="29" customFormat="1" ht="156" spans="2:5">
      <c r="B1117" s="12" t="s">
        <v>174</v>
      </c>
      <c r="C1117" s="12" t="s">
        <v>174</v>
      </c>
      <c r="D1117" s="12" t="s">
        <v>174</v>
      </c>
      <c r="E1117" s="12" t="s">
        <v>174</v>
      </c>
    </row>
    <row r="1118" s="29" customFormat="1" ht="68" spans="2:5">
      <c r="B1118" s="13" t="s">
        <v>798</v>
      </c>
      <c r="C1118" s="13" t="s">
        <v>798</v>
      </c>
      <c r="D1118" s="13" t="s">
        <v>798</v>
      </c>
      <c r="E1118" s="13" t="s">
        <v>798</v>
      </c>
    </row>
    <row r="1119" s="29" customFormat="1" ht="22" spans="2:5">
      <c r="B1119" s="14" t="s">
        <v>176</v>
      </c>
      <c r="C1119" s="14" t="s">
        <v>176</v>
      </c>
      <c r="D1119" s="14" t="s">
        <v>176</v>
      </c>
      <c r="E1119" s="14" t="s">
        <v>176</v>
      </c>
    </row>
    <row r="1120" s="29" customFormat="1" spans="2:5">
      <c r="B1120" s="15" t="s">
        <v>177</v>
      </c>
      <c r="C1120" s="16" t="s">
        <v>178</v>
      </c>
      <c r="D1120" s="17" t="s">
        <v>179</v>
      </c>
      <c r="E1120" s="18" t="s">
        <v>180</v>
      </c>
    </row>
    <row r="1121" s="29" customFormat="1" ht="17.55" spans="2:5">
      <c r="B1121" s="28" t="s">
        <v>341</v>
      </c>
      <c r="C1121" s="28" t="s">
        <v>341</v>
      </c>
      <c r="D1121" s="23">
        <v>3394</v>
      </c>
      <c r="E1121" s="24">
        <v>186206324.641417</v>
      </c>
    </row>
    <row r="1122" s="29" customFormat="1" spans="2:5">
      <c r="B1122" s="25"/>
      <c r="C1122" s="25"/>
      <c r="D1122" s="25"/>
      <c r="E1122" s="25"/>
    </row>
    <row r="1123" s="29" customFormat="1" ht="36" spans="2:5">
      <c r="B1123" s="26" t="s">
        <v>189</v>
      </c>
      <c r="C1123" s="26" t="s">
        <v>189</v>
      </c>
      <c r="D1123" s="26" t="s">
        <v>189</v>
      </c>
      <c r="E1123" s="26" t="s">
        <v>189</v>
      </c>
    </row>
    <row r="1124" s="29" customFormat="1" spans="2:5">
      <c r="B1124" s="26"/>
      <c r="C1124" s="26"/>
      <c r="D1124" s="26"/>
      <c r="E1124" s="26"/>
    </row>
    <row r="1125" s="29" customFormat="1" ht="36" spans="2:5">
      <c r="B1125" s="26" t="s">
        <v>806</v>
      </c>
      <c r="C1125" s="26" t="s">
        <v>806</v>
      </c>
      <c r="D1125" s="26" t="s">
        <v>806</v>
      </c>
      <c r="E1125" s="26" t="s">
        <v>806</v>
      </c>
    </row>
    <row r="1126" s="29" customFormat="1" spans="2:5">
      <c r="B1126" s="26" t="s">
        <v>950</v>
      </c>
      <c r="C1126" s="26" t="s">
        <v>950</v>
      </c>
      <c r="D1126" s="26" t="s">
        <v>950</v>
      </c>
      <c r="E1126" s="26" t="s">
        <v>950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0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951</v>
      </c>
      <c r="C3" s="13" t="s">
        <v>951</v>
      </c>
      <c r="D3" s="13" t="s">
        <v>951</v>
      </c>
      <c r="E3" s="13" t="s">
        <v>951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41" spans="1:7">
      <c r="A6" s="30" t="s">
        <v>172</v>
      </c>
      <c r="B6" s="19" t="s">
        <v>952</v>
      </c>
      <c r="C6" s="20" t="s">
        <v>182</v>
      </c>
      <c r="D6" s="21">
        <v>1</v>
      </c>
      <c r="E6" s="22">
        <v>735000</v>
      </c>
      <c r="F6" s="30"/>
      <c r="G6" s="30"/>
    </row>
    <row r="7" s="29" customFormat="1" ht="28" spans="1:7">
      <c r="A7" s="30" t="s">
        <v>172</v>
      </c>
      <c r="B7" s="19" t="s">
        <v>952</v>
      </c>
      <c r="C7" s="16" t="s">
        <v>183</v>
      </c>
      <c r="D7" s="23">
        <v>1</v>
      </c>
      <c r="E7" s="24">
        <v>735000</v>
      </c>
      <c r="F7" s="30"/>
      <c r="G7" s="30"/>
    </row>
    <row r="8" s="29" customFormat="1" ht="41" spans="1:7">
      <c r="A8" s="30" t="s">
        <v>172</v>
      </c>
      <c r="B8" s="19" t="s">
        <v>953</v>
      </c>
      <c r="C8" s="20" t="s">
        <v>182</v>
      </c>
      <c r="D8" s="21">
        <v>1</v>
      </c>
      <c r="E8" s="22">
        <v>570000</v>
      </c>
      <c r="F8" s="30"/>
      <c r="G8" s="30"/>
    </row>
    <row r="9" s="29" customFormat="1" ht="28" spans="1:7">
      <c r="A9" s="30" t="s">
        <v>172</v>
      </c>
      <c r="B9" s="19" t="s">
        <v>953</v>
      </c>
      <c r="C9" s="16" t="s">
        <v>183</v>
      </c>
      <c r="D9" s="23">
        <v>1</v>
      </c>
      <c r="E9" s="24">
        <v>570000</v>
      </c>
      <c r="F9" s="30"/>
      <c r="G9" s="30"/>
    </row>
    <row r="10" s="29" customFormat="1" ht="41" spans="1:7">
      <c r="A10" s="30" t="s">
        <v>172</v>
      </c>
      <c r="B10" s="19" t="s">
        <v>803</v>
      </c>
      <c r="C10" s="20" t="s">
        <v>182</v>
      </c>
      <c r="D10" s="21">
        <v>28</v>
      </c>
      <c r="E10" s="22">
        <v>0</v>
      </c>
      <c r="F10" s="30"/>
      <c r="G10" s="30"/>
    </row>
    <row r="11" s="29" customFormat="1" ht="28" spans="1:7">
      <c r="A11" s="30" t="s">
        <v>172</v>
      </c>
      <c r="B11" s="19" t="s">
        <v>803</v>
      </c>
      <c r="C11" s="20" t="s">
        <v>804</v>
      </c>
      <c r="D11" s="21">
        <v>5</v>
      </c>
      <c r="E11" s="22">
        <v>0</v>
      </c>
      <c r="F11" s="30"/>
      <c r="G11" s="30"/>
    </row>
    <row r="12" s="29" customFormat="1" spans="1:7">
      <c r="A12" s="30" t="s">
        <v>172</v>
      </c>
      <c r="B12" s="19" t="s">
        <v>803</v>
      </c>
      <c r="C12" s="16" t="s">
        <v>183</v>
      </c>
      <c r="D12" s="23">
        <v>33</v>
      </c>
      <c r="E12" s="24">
        <v>0</v>
      </c>
      <c r="F12" s="30"/>
      <c r="G12" s="30"/>
    </row>
    <row r="13" s="29" customFormat="1" ht="28" spans="1:7">
      <c r="A13" s="30" t="s">
        <v>172</v>
      </c>
      <c r="B13" s="19" t="s">
        <v>954</v>
      </c>
      <c r="C13" s="20" t="s">
        <v>804</v>
      </c>
      <c r="D13" s="21">
        <v>1</v>
      </c>
      <c r="E13" s="22">
        <v>1056000</v>
      </c>
      <c r="F13" s="30"/>
      <c r="G13" s="30"/>
    </row>
    <row r="14" s="29" customFormat="1" ht="28" spans="1:7">
      <c r="A14" s="30" t="s">
        <v>172</v>
      </c>
      <c r="B14" s="19" t="s">
        <v>954</v>
      </c>
      <c r="C14" s="16" t="s">
        <v>183</v>
      </c>
      <c r="D14" s="23">
        <v>1</v>
      </c>
      <c r="E14" s="24">
        <v>1056000</v>
      </c>
      <c r="F14" s="30"/>
      <c r="G14" s="30"/>
    </row>
    <row r="15" s="29" customFormat="1" ht="28" spans="1:7">
      <c r="A15" s="30" t="s">
        <v>172</v>
      </c>
      <c r="B15" s="19" t="s">
        <v>955</v>
      </c>
      <c r="C15" s="20" t="s">
        <v>804</v>
      </c>
      <c r="D15" s="21">
        <v>2</v>
      </c>
      <c r="E15" s="22">
        <v>1500000</v>
      </c>
      <c r="F15" s="30"/>
      <c r="G15" s="30"/>
    </row>
    <row r="16" s="29" customFormat="1" spans="1:7">
      <c r="A16" s="30" t="s">
        <v>172</v>
      </c>
      <c r="B16" s="19" t="s">
        <v>955</v>
      </c>
      <c r="C16" s="16" t="s">
        <v>183</v>
      </c>
      <c r="D16" s="23">
        <v>2</v>
      </c>
      <c r="E16" s="24">
        <v>1500000</v>
      </c>
      <c r="F16" s="30"/>
      <c r="G16" s="30"/>
    </row>
    <row r="17" s="29" customFormat="1" ht="41" spans="1:7">
      <c r="A17" s="30" t="s">
        <v>172</v>
      </c>
      <c r="B17" s="19" t="s">
        <v>956</v>
      </c>
      <c r="C17" s="20" t="s">
        <v>804</v>
      </c>
      <c r="D17" s="21">
        <v>1</v>
      </c>
      <c r="E17" s="22">
        <v>1200000</v>
      </c>
      <c r="F17" s="30"/>
      <c r="G17" s="30"/>
    </row>
    <row r="18" s="29" customFormat="1" ht="41" spans="1:7">
      <c r="A18" s="30" t="s">
        <v>172</v>
      </c>
      <c r="B18" s="19" t="s">
        <v>956</v>
      </c>
      <c r="C18" s="16" t="s">
        <v>183</v>
      </c>
      <c r="D18" s="23">
        <v>1</v>
      </c>
      <c r="E18" s="24">
        <v>1200000</v>
      </c>
      <c r="F18" s="30"/>
      <c r="G18" s="30"/>
    </row>
    <row r="19" s="29" customFormat="1" ht="41" spans="1:7">
      <c r="A19" s="30" t="s">
        <v>172</v>
      </c>
      <c r="B19" s="19" t="s">
        <v>957</v>
      </c>
      <c r="C19" s="20" t="s">
        <v>182</v>
      </c>
      <c r="D19" s="21">
        <v>2</v>
      </c>
      <c r="E19" s="22">
        <v>872801.635992</v>
      </c>
      <c r="F19" s="30"/>
      <c r="G19" s="30"/>
    </row>
    <row r="20" s="29" customFormat="1" ht="28.75" spans="1:7">
      <c r="A20" s="30" t="s">
        <v>172</v>
      </c>
      <c r="B20" s="19" t="s">
        <v>957</v>
      </c>
      <c r="C20" s="16" t="s">
        <v>183</v>
      </c>
      <c r="D20" s="23">
        <v>2</v>
      </c>
      <c r="E20" s="24">
        <v>872801.635992</v>
      </c>
      <c r="F20" s="30"/>
      <c r="G20" s="30"/>
    </row>
    <row r="21" s="29" customFormat="1" spans="1:7">
      <c r="A21" s="30" t="s">
        <v>172</v>
      </c>
      <c r="B21" s="25"/>
      <c r="C21" s="25"/>
      <c r="D21" s="25"/>
      <c r="E21" s="25"/>
      <c r="F21" s="30"/>
      <c r="G21" s="30"/>
    </row>
    <row r="22" s="29" customFormat="1" ht="36" spans="1:7">
      <c r="A22" s="30" t="s">
        <v>172</v>
      </c>
      <c r="B22" s="26" t="s">
        <v>189</v>
      </c>
      <c r="C22" s="26" t="s">
        <v>189</v>
      </c>
      <c r="D22" s="26" t="s">
        <v>189</v>
      </c>
      <c r="E22" s="26" t="s">
        <v>189</v>
      </c>
      <c r="F22" s="30"/>
      <c r="G22" s="30"/>
    </row>
    <row r="23" s="29" customFormat="1" spans="1:7">
      <c r="A23" s="30" t="s">
        <v>172</v>
      </c>
      <c r="B23" s="26"/>
      <c r="C23" s="26"/>
      <c r="D23" s="26"/>
      <c r="E23" s="26"/>
      <c r="F23" s="30"/>
      <c r="G23" s="30"/>
    </row>
    <row r="24" s="29" customFormat="1" ht="36" spans="1:7">
      <c r="A24" s="30" t="s">
        <v>172</v>
      </c>
      <c r="B24" s="26" t="s">
        <v>958</v>
      </c>
      <c r="C24" s="26" t="s">
        <v>958</v>
      </c>
      <c r="D24" s="26" t="s">
        <v>958</v>
      </c>
      <c r="E24" s="26" t="s">
        <v>958</v>
      </c>
      <c r="F24" s="30"/>
      <c r="G24" s="30"/>
    </row>
    <row r="25" s="29" customFormat="1" spans="1:7">
      <c r="A25" s="30" t="s">
        <v>172</v>
      </c>
      <c r="B25" s="26" t="s">
        <v>191</v>
      </c>
      <c r="C25" s="26" t="s">
        <v>191</v>
      </c>
      <c r="D25" s="26" t="s">
        <v>191</v>
      </c>
      <c r="E25" s="26" t="s">
        <v>191</v>
      </c>
      <c r="F25" s="30"/>
      <c r="G25" s="30"/>
    </row>
    <row r="26" s="29" customFormat="1" ht="124" spans="1:7">
      <c r="A26" s="30" t="s">
        <v>172</v>
      </c>
      <c r="B26" s="11" t="s">
        <v>173</v>
      </c>
      <c r="C26" s="11" t="s">
        <v>173</v>
      </c>
      <c r="D26" s="11" t="s">
        <v>173</v>
      </c>
      <c r="E26" s="11" t="s">
        <v>173</v>
      </c>
      <c r="F26" s="30"/>
      <c r="G26" s="30"/>
    </row>
    <row r="27" s="29" customFormat="1" ht="156" spans="1:7">
      <c r="A27" s="30" t="s">
        <v>172</v>
      </c>
      <c r="B27" s="12" t="s">
        <v>174</v>
      </c>
      <c r="C27" s="12" t="s">
        <v>174</v>
      </c>
      <c r="D27" s="12" t="s">
        <v>174</v>
      </c>
      <c r="E27" s="12" t="s">
        <v>174</v>
      </c>
      <c r="F27" s="30"/>
      <c r="G27" s="30"/>
    </row>
    <row r="28" s="29" customFormat="1" ht="68" spans="1:7">
      <c r="A28" s="30" t="s">
        <v>172</v>
      </c>
      <c r="B28" s="13" t="s">
        <v>951</v>
      </c>
      <c r="C28" s="13" t="s">
        <v>951</v>
      </c>
      <c r="D28" s="13" t="s">
        <v>951</v>
      </c>
      <c r="E28" s="13" t="s">
        <v>951</v>
      </c>
      <c r="F28" s="30"/>
      <c r="G28" s="30"/>
    </row>
    <row r="29" s="29" customFormat="1" ht="22" spans="1:7">
      <c r="A29" s="30" t="s">
        <v>172</v>
      </c>
      <c r="B29" s="14" t="s">
        <v>176</v>
      </c>
      <c r="C29" s="14" t="s">
        <v>176</v>
      </c>
      <c r="D29" s="14" t="s">
        <v>176</v>
      </c>
      <c r="E29" s="14" t="s">
        <v>176</v>
      </c>
      <c r="F29" s="30"/>
      <c r="G29" s="30"/>
    </row>
    <row r="30" s="29" customFormat="1" spans="1:7">
      <c r="A30" s="30" t="s">
        <v>172</v>
      </c>
      <c r="B30" s="15" t="s">
        <v>177</v>
      </c>
      <c r="C30" s="16" t="s">
        <v>178</v>
      </c>
      <c r="D30" s="17" t="s">
        <v>179</v>
      </c>
      <c r="E30" s="18" t="s">
        <v>180</v>
      </c>
      <c r="F30" s="30"/>
      <c r="G30" s="30"/>
    </row>
    <row r="31" s="29" customFormat="1" ht="28" spans="1:7">
      <c r="A31" s="30" t="s">
        <v>172</v>
      </c>
      <c r="B31" s="19" t="s">
        <v>344</v>
      </c>
      <c r="C31" s="20" t="s">
        <v>804</v>
      </c>
      <c r="D31" s="21">
        <v>3</v>
      </c>
      <c r="E31" s="22">
        <v>319819.405405</v>
      </c>
      <c r="F31" s="30"/>
      <c r="G31" s="30"/>
    </row>
    <row r="32" s="29" customFormat="1" spans="1:7">
      <c r="A32" s="30" t="s">
        <v>172</v>
      </c>
      <c r="B32" s="19" t="s">
        <v>344</v>
      </c>
      <c r="C32" s="16" t="s">
        <v>183</v>
      </c>
      <c r="D32" s="23">
        <v>3</v>
      </c>
      <c r="E32" s="24">
        <v>319819.405405</v>
      </c>
      <c r="F32" s="30"/>
      <c r="G32" s="30"/>
    </row>
    <row r="33" s="29" customFormat="1" ht="41" spans="1:7">
      <c r="A33" s="30" t="s">
        <v>172</v>
      </c>
      <c r="B33" s="19" t="s">
        <v>394</v>
      </c>
      <c r="C33" s="20" t="s">
        <v>182</v>
      </c>
      <c r="D33" s="21">
        <v>4</v>
      </c>
      <c r="E33" s="22">
        <v>668468.468467</v>
      </c>
      <c r="F33" s="30"/>
      <c r="G33" s="30"/>
    </row>
    <row r="34" s="29" customFormat="1" spans="1:7">
      <c r="A34" s="30" t="s">
        <v>172</v>
      </c>
      <c r="B34" s="19" t="s">
        <v>394</v>
      </c>
      <c r="C34" s="16" t="s">
        <v>183</v>
      </c>
      <c r="D34" s="23">
        <v>4</v>
      </c>
      <c r="E34" s="24">
        <v>668468.468467</v>
      </c>
      <c r="F34" s="30"/>
      <c r="G34" s="30"/>
    </row>
    <row r="35" s="29" customFormat="1" ht="28" spans="1:7">
      <c r="A35" s="30" t="s">
        <v>172</v>
      </c>
      <c r="B35" s="19" t="s">
        <v>959</v>
      </c>
      <c r="C35" s="20" t="s">
        <v>804</v>
      </c>
      <c r="D35" s="21">
        <v>1</v>
      </c>
      <c r="E35" s="22">
        <v>2951351</v>
      </c>
      <c r="F35" s="30"/>
      <c r="G35" s="30"/>
    </row>
    <row r="36" s="29" customFormat="1" ht="28" spans="1:7">
      <c r="A36" s="30" t="s">
        <v>172</v>
      </c>
      <c r="B36" s="19" t="s">
        <v>959</v>
      </c>
      <c r="C36" s="16" t="s">
        <v>183</v>
      </c>
      <c r="D36" s="23">
        <v>1</v>
      </c>
      <c r="E36" s="24">
        <v>2951351</v>
      </c>
      <c r="F36" s="30"/>
      <c r="G36" s="30"/>
    </row>
    <row r="37" s="29" customFormat="1" ht="41" spans="1:7">
      <c r="A37" s="30" t="s">
        <v>172</v>
      </c>
      <c r="B37" s="19" t="s">
        <v>184</v>
      </c>
      <c r="C37" s="20" t="s">
        <v>182</v>
      </c>
      <c r="D37" s="21">
        <v>2</v>
      </c>
      <c r="E37" s="22">
        <v>2521621.621622</v>
      </c>
      <c r="F37" s="30"/>
      <c r="G37" s="30"/>
    </row>
    <row r="38" s="29" customFormat="1" ht="28" spans="1:7">
      <c r="A38" s="30" t="s">
        <v>172</v>
      </c>
      <c r="B38" s="19" t="s">
        <v>184</v>
      </c>
      <c r="C38" s="16" t="s">
        <v>183</v>
      </c>
      <c r="D38" s="23">
        <v>2</v>
      </c>
      <c r="E38" s="24">
        <v>2521621.621622</v>
      </c>
      <c r="F38" s="30"/>
      <c r="G38" s="30"/>
    </row>
    <row r="39" s="29" customFormat="1" ht="41" spans="1:7">
      <c r="A39" s="30" t="s">
        <v>172</v>
      </c>
      <c r="B39" s="19" t="s">
        <v>346</v>
      </c>
      <c r="C39" s="20" t="s">
        <v>182</v>
      </c>
      <c r="D39" s="21">
        <v>1</v>
      </c>
      <c r="E39" s="22">
        <v>836937</v>
      </c>
      <c r="F39" s="30"/>
      <c r="G39" s="30"/>
    </row>
    <row r="40" s="29" customFormat="1" ht="28" spans="1:7">
      <c r="A40" s="30" t="s">
        <v>172</v>
      </c>
      <c r="B40" s="19" t="s">
        <v>346</v>
      </c>
      <c r="C40" s="16" t="s">
        <v>183</v>
      </c>
      <c r="D40" s="23">
        <v>1</v>
      </c>
      <c r="E40" s="24">
        <v>836937</v>
      </c>
      <c r="F40" s="30"/>
      <c r="G40" s="30"/>
    </row>
    <row r="41" s="29" customFormat="1" ht="28" spans="1:7">
      <c r="A41" s="30" t="s">
        <v>172</v>
      </c>
      <c r="B41" s="19" t="s">
        <v>397</v>
      </c>
      <c r="C41" s="20" t="s">
        <v>804</v>
      </c>
      <c r="D41" s="21">
        <v>1</v>
      </c>
      <c r="E41" s="22">
        <v>0</v>
      </c>
      <c r="F41" s="30"/>
      <c r="G41" s="30"/>
    </row>
    <row r="42" s="29" customFormat="1" ht="28" spans="1:7">
      <c r="A42" s="30" t="s">
        <v>172</v>
      </c>
      <c r="B42" s="19" t="s">
        <v>397</v>
      </c>
      <c r="C42" s="16" t="s">
        <v>183</v>
      </c>
      <c r="D42" s="23">
        <v>1</v>
      </c>
      <c r="E42" s="24">
        <v>0</v>
      </c>
      <c r="F42" s="30"/>
      <c r="G42" s="30"/>
    </row>
    <row r="43" s="29" customFormat="1" ht="41" spans="1:7">
      <c r="A43" s="30" t="s">
        <v>172</v>
      </c>
      <c r="B43" s="19" t="s">
        <v>347</v>
      </c>
      <c r="C43" s="20" t="s">
        <v>182</v>
      </c>
      <c r="D43" s="21">
        <v>1</v>
      </c>
      <c r="E43" s="22">
        <v>0</v>
      </c>
      <c r="F43" s="30"/>
      <c r="G43" s="30"/>
    </row>
    <row r="44" s="29" customFormat="1" ht="28.75" spans="1:7">
      <c r="A44" s="30" t="s">
        <v>172</v>
      </c>
      <c r="B44" s="19" t="s">
        <v>347</v>
      </c>
      <c r="C44" s="16" t="s">
        <v>183</v>
      </c>
      <c r="D44" s="23">
        <v>1</v>
      </c>
      <c r="E44" s="24">
        <v>0</v>
      </c>
      <c r="F44" s="30"/>
      <c r="G44" s="30"/>
    </row>
    <row r="45" s="29" customFormat="1" spans="1:7">
      <c r="A45" s="30" t="s">
        <v>172</v>
      </c>
      <c r="B45" s="25"/>
      <c r="C45" s="25"/>
      <c r="D45" s="25"/>
      <c r="E45" s="25"/>
      <c r="F45" s="30"/>
      <c r="G45" s="30"/>
    </row>
    <row r="46" s="29" customFormat="1" ht="36" spans="1:7">
      <c r="A46" s="30" t="s">
        <v>172</v>
      </c>
      <c r="B46" s="26" t="s">
        <v>189</v>
      </c>
      <c r="C46" s="26" t="s">
        <v>189</v>
      </c>
      <c r="D46" s="26" t="s">
        <v>189</v>
      </c>
      <c r="E46" s="26" t="s">
        <v>189</v>
      </c>
      <c r="F46" s="30"/>
      <c r="G46" s="30"/>
    </row>
    <row r="47" s="29" customFormat="1" spans="1:7">
      <c r="A47" s="30" t="s">
        <v>172</v>
      </c>
      <c r="B47" s="26"/>
      <c r="C47" s="26"/>
      <c r="D47" s="26"/>
      <c r="E47" s="26"/>
      <c r="F47" s="30"/>
      <c r="G47" s="30"/>
    </row>
    <row r="48" s="29" customFormat="1" ht="36" spans="1:7">
      <c r="A48" s="30" t="s">
        <v>172</v>
      </c>
      <c r="B48" s="26" t="s">
        <v>958</v>
      </c>
      <c r="C48" s="26" t="s">
        <v>958</v>
      </c>
      <c r="D48" s="26" t="s">
        <v>958</v>
      </c>
      <c r="E48" s="26" t="s">
        <v>958</v>
      </c>
      <c r="F48" s="30"/>
      <c r="G48" s="30"/>
    </row>
    <row r="49" s="29" customFormat="1" spans="1:7">
      <c r="A49" s="30" t="s">
        <v>172</v>
      </c>
      <c r="B49" s="26" t="s">
        <v>198</v>
      </c>
      <c r="C49" s="26" t="s">
        <v>198</v>
      </c>
      <c r="D49" s="26" t="s">
        <v>198</v>
      </c>
      <c r="E49" s="26" t="s">
        <v>198</v>
      </c>
      <c r="F49" s="30"/>
      <c r="G49" s="30"/>
    </row>
    <row r="50" s="29" customFormat="1" ht="124" spans="1:7">
      <c r="A50" s="30" t="s">
        <v>172</v>
      </c>
      <c r="B50" s="11" t="s">
        <v>173</v>
      </c>
      <c r="C50" s="11" t="s">
        <v>173</v>
      </c>
      <c r="D50" s="11" t="s">
        <v>173</v>
      </c>
      <c r="E50" s="11" t="s">
        <v>173</v>
      </c>
      <c r="F50" s="30"/>
      <c r="G50" s="30"/>
    </row>
    <row r="51" s="29" customFormat="1" ht="156" spans="1:7">
      <c r="B51" s="12" t="s">
        <v>174</v>
      </c>
      <c r="C51" s="12" t="s">
        <v>174</v>
      </c>
      <c r="D51" s="12" t="s">
        <v>174</v>
      </c>
      <c r="E51" s="12" t="s">
        <v>174</v>
      </c>
      <c r="F51" s="30"/>
      <c r="G51" s="30"/>
    </row>
    <row r="52" s="29" customFormat="1" ht="68" spans="1:7">
      <c r="B52" s="13" t="s">
        <v>951</v>
      </c>
      <c r="C52" s="13" t="s">
        <v>951</v>
      </c>
      <c r="D52" s="13" t="s">
        <v>951</v>
      </c>
      <c r="E52" s="13" t="s">
        <v>951</v>
      </c>
      <c r="F52" s="30"/>
      <c r="G52" s="30"/>
    </row>
    <row r="53" s="29" customFormat="1" ht="22" spans="1:7">
      <c r="B53" s="14" t="s">
        <v>176</v>
      </c>
      <c r="C53" s="14" t="s">
        <v>176</v>
      </c>
      <c r="D53" s="14" t="s">
        <v>176</v>
      </c>
      <c r="E53" s="14" t="s">
        <v>176</v>
      </c>
      <c r="F53" s="30"/>
      <c r="G53" s="30"/>
    </row>
    <row r="54" s="29" customFormat="1" spans="1:7">
      <c r="B54" s="15" t="s">
        <v>177</v>
      </c>
      <c r="C54" s="16" t="s">
        <v>178</v>
      </c>
      <c r="D54" s="17" t="s">
        <v>179</v>
      </c>
      <c r="E54" s="18" t="s">
        <v>180</v>
      </c>
      <c r="F54" s="30"/>
      <c r="G54" s="30"/>
    </row>
    <row r="55" s="29" customFormat="1" ht="28" spans="1:7">
      <c r="B55" s="19" t="s">
        <v>960</v>
      </c>
      <c r="C55" s="20" t="s">
        <v>804</v>
      </c>
      <c r="D55" s="21">
        <v>1</v>
      </c>
      <c r="E55" s="22">
        <v>348648.648649</v>
      </c>
      <c r="F55" s="30"/>
      <c r="G55" s="30"/>
    </row>
    <row r="56" s="29" customFormat="1" ht="28" spans="1:7">
      <c r="B56" s="19" t="s">
        <v>960</v>
      </c>
      <c r="C56" s="16" t="s">
        <v>183</v>
      </c>
      <c r="D56" s="23">
        <v>1</v>
      </c>
      <c r="E56" s="24">
        <v>348648.648649</v>
      </c>
      <c r="F56" s="30"/>
      <c r="G56" s="30"/>
    </row>
    <row r="57" s="29" customFormat="1" ht="28" spans="1:7">
      <c r="B57" s="19" t="s">
        <v>402</v>
      </c>
      <c r="C57" s="20" t="s">
        <v>804</v>
      </c>
      <c r="D57" s="21">
        <v>1</v>
      </c>
      <c r="E57" s="22">
        <v>152252.252252</v>
      </c>
      <c r="F57" s="30"/>
      <c r="G57" s="30"/>
    </row>
    <row r="58" s="29" customFormat="1" spans="1:7">
      <c r="B58" s="19" t="s">
        <v>402</v>
      </c>
      <c r="C58" s="16" t="s">
        <v>183</v>
      </c>
      <c r="D58" s="23">
        <v>1</v>
      </c>
      <c r="E58" s="24">
        <v>152252.252252</v>
      </c>
      <c r="F58" s="30"/>
      <c r="G58" s="30"/>
    </row>
    <row r="59" s="29" customFormat="1" ht="28" spans="1:7">
      <c r="B59" s="19" t="s">
        <v>403</v>
      </c>
      <c r="C59" s="20" t="s">
        <v>804</v>
      </c>
      <c r="D59" s="21">
        <v>1</v>
      </c>
      <c r="E59" s="22">
        <v>228828.828829</v>
      </c>
      <c r="F59" s="30"/>
      <c r="G59" s="30"/>
    </row>
    <row r="60" s="29" customFormat="1" spans="1:7">
      <c r="B60" s="19" t="s">
        <v>403</v>
      </c>
      <c r="C60" s="16" t="s">
        <v>183</v>
      </c>
      <c r="D60" s="23">
        <v>1</v>
      </c>
      <c r="E60" s="24">
        <v>228828.828829</v>
      </c>
      <c r="F60" s="30"/>
      <c r="G60" s="30"/>
    </row>
    <row r="61" s="29" customFormat="1" ht="28" spans="1:7">
      <c r="B61" s="19" t="s">
        <v>404</v>
      </c>
      <c r="C61" s="20" t="s">
        <v>804</v>
      </c>
      <c r="D61" s="21">
        <v>1</v>
      </c>
      <c r="E61" s="22">
        <v>88288</v>
      </c>
      <c r="F61" s="30"/>
      <c r="G61" s="30"/>
    </row>
    <row r="62" s="29" customFormat="1" spans="1:7">
      <c r="B62" s="19" t="s">
        <v>404</v>
      </c>
      <c r="C62" s="16" t="s">
        <v>183</v>
      </c>
      <c r="D62" s="23">
        <v>1</v>
      </c>
      <c r="E62" s="24">
        <v>88288</v>
      </c>
      <c r="F62" s="30"/>
      <c r="G62" s="30"/>
    </row>
    <row r="63" s="29" customFormat="1" ht="41" spans="1:7">
      <c r="B63" s="19" t="s">
        <v>187</v>
      </c>
      <c r="C63" s="20" t="s">
        <v>182</v>
      </c>
      <c r="D63" s="21">
        <v>2</v>
      </c>
      <c r="E63" s="22">
        <v>180180.18018</v>
      </c>
      <c r="F63" s="30"/>
      <c r="G63" s="30"/>
    </row>
    <row r="64" s="29" customFormat="1" spans="1:7">
      <c r="B64" s="19" t="s">
        <v>187</v>
      </c>
      <c r="C64" s="16" t="s">
        <v>183</v>
      </c>
      <c r="D64" s="23">
        <v>2</v>
      </c>
      <c r="E64" s="24">
        <v>180180.18018</v>
      </c>
      <c r="F64" s="30"/>
      <c r="G64" s="30"/>
    </row>
    <row r="65" s="29" customFormat="1" ht="41" spans="2:7">
      <c r="B65" s="19" t="s">
        <v>406</v>
      </c>
      <c r="C65" s="20" t="s">
        <v>182</v>
      </c>
      <c r="D65" s="21">
        <v>4</v>
      </c>
      <c r="E65" s="22">
        <v>825224.918918</v>
      </c>
      <c r="F65" s="30"/>
      <c r="G65" s="30"/>
    </row>
    <row r="66" s="29" customFormat="1" spans="2:7">
      <c r="B66" s="19" t="s">
        <v>406</v>
      </c>
      <c r="C66" s="16" t="s">
        <v>183</v>
      </c>
      <c r="D66" s="23">
        <v>4</v>
      </c>
      <c r="E66" s="24">
        <v>825224.918918</v>
      </c>
      <c r="F66" s="30"/>
      <c r="G66" s="30"/>
    </row>
    <row r="67" s="29" customFormat="1" ht="28" spans="2:7">
      <c r="B67" s="19" t="s">
        <v>961</v>
      </c>
      <c r="C67" s="20" t="s">
        <v>804</v>
      </c>
      <c r="D67" s="21">
        <v>2</v>
      </c>
      <c r="E67" s="22">
        <v>120721</v>
      </c>
      <c r="F67" s="30"/>
      <c r="G67" s="30"/>
    </row>
    <row r="68" s="29" customFormat="1" ht="28" spans="2:7">
      <c r="B68" s="19" t="s">
        <v>961</v>
      </c>
      <c r="C68" s="16" t="s">
        <v>183</v>
      </c>
      <c r="D68" s="23">
        <v>2</v>
      </c>
      <c r="E68" s="24">
        <v>120721</v>
      </c>
      <c r="F68" s="30"/>
      <c r="G68" s="30"/>
    </row>
    <row r="69" s="29" customFormat="1" ht="41.75" spans="2:7">
      <c r="B69" s="20" t="s">
        <v>351</v>
      </c>
      <c r="C69" s="20" t="s">
        <v>182</v>
      </c>
      <c r="D69" s="21">
        <v>1</v>
      </c>
      <c r="E69" s="22">
        <v>138738.738739</v>
      </c>
      <c r="F69" s="30"/>
      <c r="G69" s="30"/>
    </row>
    <row r="70" s="29" customFormat="1" spans="2:7">
      <c r="B70" s="25"/>
      <c r="C70" s="25"/>
      <c r="D70" s="25"/>
      <c r="E70" s="25"/>
    </row>
    <row r="71" s="29" customFormat="1" ht="36" spans="2:7">
      <c r="B71" s="26" t="s">
        <v>189</v>
      </c>
      <c r="C71" s="26" t="s">
        <v>189</v>
      </c>
      <c r="D71" s="26" t="s">
        <v>189</v>
      </c>
      <c r="E71" s="26" t="s">
        <v>189</v>
      </c>
    </row>
    <row r="72" s="29" customFormat="1" spans="2:7">
      <c r="B72" s="26"/>
      <c r="C72" s="26"/>
      <c r="D72" s="26"/>
      <c r="E72" s="26"/>
    </row>
    <row r="73" s="29" customFormat="1" ht="36" spans="2:7">
      <c r="B73" s="26" t="s">
        <v>958</v>
      </c>
      <c r="C73" s="26" t="s">
        <v>958</v>
      </c>
      <c r="D73" s="26" t="s">
        <v>958</v>
      </c>
      <c r="E73" s="26" t="s">
        <v>958</v>
      </c>
    </row>
    <row r="74" s="29" customFormat="1" spans="2:7">
      <c r="B74" s="26" t="s">
        <v>205</v>
      </c>
      <c r="C74" s="26" t="s">
        <v>205</v>
      </c>
      <c r="D74" s="26" t="s">
        <v>205</v>
      </c>
      <c r="E74" s="26" t="s">
        <v>205</v>
      </c>
    </row>
    <row r="75" s="29" customFormat="1" ht="124" spans="2:7">
      <c r="B75" s="11" t="s">
        <v>173</v>
      </c>
      <c r="C75" s="11" t="s">
        <v>173</v>
      </c>
      <c r="D75" s="11" t="s">
        <v>173</v>
      </c>
      <c r="E75" s="11" t="s">
        <v>173</v>
      </c>
    </row>
    <row r="76" s="29" customFormat="1" ht="156" spans="2:7">
      <c r="B76" s="12" t="s">
        <v>174</v>
      </c>
      <c r="C76" s="12" t="s">
        <v>174</v>
      </c>
      <c r="D76" s="12" t="s">
        <v>174</v>
      </c>
      <c r="E76" s="12" t="s">
        <v>174</v>
      </c>
    </row>
    <row r="77" s="29" customFormat="1" ht="68" spans="2:7">
      <c r="B77" s="13" t="s">
        <v>951</v>
      </c>
      <c r="C77" s="13" t="s">
        <v>951</v>
      </c>
      <c r="D77" s="13" t="s">
        <v>951</v>
      </c>
      <c r="E77" s="13" t="s">
        <v>951</v>
      </c>
    </row>
    <row r="78" s="29" customFormat="1" ht="22" spans="2:7">
      <c r="B78" s="14" t="s">
        <v>176</v>
      </c>
      <c r="C78" s="14" t="s">
        <v>176</v>
      </c>
      <c r="D78" s="14" t="s">
        <v>176</v>
      </c>
      <c r="E78" s="14" t="s">
        <v>176</v>
      </c>
    </row>
    <row r="79" s="29" customFormat="1" spans="2:7">
      <c r="B79" s="15" t="s">
        <v>177</v>
      </c>
      <c r="C79" s="16" t="s">
        <v>178</v>
      </c>
      <c r="D79" s="17" t="s">
        <v>179</v>
      </c>
      <c r="E79" s="18" t="s">
        <v>180</v>
      </c>
    </row>
    <row r="80" s="29" customFormat="1" ht="28" spans="2:7">
      <c r="B80" s="19" t="s">
        <v>351</v>
      </c>
      <c r="C80" s="20" t="s">
        <v>804</v>
      </c>
      <c r="D80" s="21">
        <v>2</v>
      </c>
      <c r="E80" s="22">
        <v>277477.018018</v>
      </c>
    </row>
    <row r="81" s="29" customFormat="1" spans="2:5">
      <c r="B81" s="19" t="s">
        <v>351</v>
      </c>
      <c r="C81" s="16" t="s">
        <v>183</v>
      </c>
      <c r="D81" s="23">
        <v>3</v>
      </c>
      <c r="E81" s="24">
        <v>416215.756757</v>
      </c>
    </row>
    <row r="82" s="29" customFormat="1" ht="41" spans="2:5">
      <c r="B82" s="19" t="s">
        <v>407</v>
      </c>
      <c r="C82" s="20" t="s">
        <v>182</v>
      </c>
      <c r="D82" s="21">
        <v>1</v>
      </c>
      <c r="E82" s="22">
        <v>79279.279279</v>
      </c>
    </row>
    <row r="83" s="29" customFormat="1" ht="28" spans="2:5">
      <c r="B83" s="19" t="s">
        <v>407</v>
      </c>
      <c r="C83" s="16" t="s">
        <v>183</v>
      </c>
      <c r="D83" s="23">
        <v>1</v>
      </c>
      <c r="E83" s="24">
        <v>79279.279279</v>
      </c>
    </row>
    <row r="84" s="29" customFormat="1" ht="41" spans="2:5">
      <c r="B84" s="19" t="s">
        <v>408</v>
      </c>
      <c r="C84" s="20" t="s">
        <v>182</v>
      </c>
      <c r="D84" s="21">
        <v>2</v>
      </c>
      <c r="E84" s="22">
        <v>12612.612613</v>
      </c>
    </row>
    <row r="85" s="29" customFormat="1" ht="28" spans="2:5">
      <c r="B85" s="19" t="s">
        <v>408</v>
      </c>
      <c r="C85" s="20" t="s">
        <v>804</v>
      </c>
      <c r="D85" s="21">
        <v>9</v>
      </c>
      <c r="E85" s="22">
        <v>56757.108108</v>
      </c>
    </row>
    <row r="86" s="29" customFormat="1" ht="28" spans="2:5">
      <c r="B86" s="19" t="s">
        <v>408</v>
      </c>
      <c r="C86" s="16" t="s">
        <v>183</v>
      </c>
      <c r="D86" s="23">
        <v>11</v>
      </c>
      <c r="E86" s="24">
        <v>69369.720721</v>
      </c>
    </row>
    <row r="87" s="29" customFormat="1" ht="41" spans="2:5">
      <c r="B87" s="19" t="s">
        <v>352</v>
      </c>
      <c r="C87" s="20" t="s">
        <v>182</v>
      </c>
      <c r="D87" s="21">
        <v>1</v>
      </c>
      <c r="E87" s="22">
        <v>6306.306306</v>
      </c>
    </row>
    <row r="88" s="29" customFormat="1" ht="28" spans="2:5">
      <c r="B88" s="19" t="s">
        <v>352</v>
      </c>
      <c r="C88" s="16" t="s">
        <v>183</v>
      </c>
      <c r="D88" s="23">
        <v>1</v>
      </c>
      <c r="E88" s="24">
        <v>6306.306306</v>
      </c>
    </row>
    <row r="89" s="29" customFormat="1" ht="41" spans="2:5">
      <c r="B89" s="19" t="s">
        <v>409</v>
      </c>
      <c r="C89" s="20" t="s">
        <v>182</v>
      </c>
      <c r="D89" s="21">
        <v>2</v>
      </c>
      <c r="E89" s="22">
        <v>12612.612613</v>
      </c>
    </row>
    <row r="90" s="29" customFormat="1" ht="28" spans="2:5">
      <c r="B90" s="19" t="s">
        <v>409</v>
      </c>
      <c r="C90" s="16" t="s">
        <v>183</v>
      </c>
      <c r="D90" s="23">
        <v>2</v>
      </c>
      <c r="E90" s="24">
        <v>12612.612613</v>
      </c>
    </row>
    <row r="91" s="29" customFormat="1" ht="41" spans="2:5">
      <c r="B91" s="19" t="s">
        <v>354</v>
      </c>
      <c r="C91" s="20" t="s">
        <v>182</v>
      </c>
      <c r="D91" s="21">
        <v>19</v>
      </c>
      <c r="E91" s="22">
        <v>76577.55856</v>
      </c>
    </row>
    <row r="92" s="29" customFormat="1" ht="28.75" spans="2:5">
      <c r="B92" s="19" t="s">
        <v>354</v>
      </c>
      <c r="C92" s="16" t="s">
        <v>183</v>
      </c>
      <c r="D92" s="23">
        <v>19</v>
      </c>
      <c r="E92" s="24">
        <v>76577.55856</v>
      </c>
    </row>
    <row r="93" s="29" customFormat="1" spans="2:5">
      <c r="B93" s="25"/>
      <c r="C93" s="25"/>
      <c r="D93" s="25"/>
      <c r="E93" s="25"/>
    </row>
    <row r="94" s="29" customFormat="1" ht="36" spans="2:5">
      <c r="B94" s="26" t="s">
        <v>189</v>
      </c>
      <c r="C94" s="26" t="s">
        <v>189</v>
      </c>
      <c r="D94" s="26" t="s">
        <v>189</v>
      </c>
      <c r="E94" s="26" t="s">
        <v>189</v>
      </c>
    </row>
    <row r="95" s="29" customFormat="1" spans="2:5">
      <c r="B95" s="26"/>
      <c r="C95" s="26"/>
      <c r="D95" s="26"/>
      <c r="E95" s="26"/>
    </row>
    <row r="96" s="29" customFormat="1" ht="36" spans="2:5">
      <c r="B96" s="26" t="s">
        <v>958</v>
      </c>
      <c r="C96" s="26" t="s">
        <v>958</v>
      </c>
      <c r="D96" s="26" t="s">
        <v>958</v>
      </c>
      <c r="E96" s="26" t="s">
        <v>958</v>
      </c>
    </row>
    <row r="97" s="29" customFormat="1" spans="2:5">
      <c r="B97" s="26" t="s">
        <v>212</v>
      </c>
      <c r="C97" s="26" t="s">
        <v>212</v>
      </c>
      <c r="D97" s="26" t="s">
        <v>212</v>
      </c>
      <c r="E97" s="26" t="s">
        <v>212</v>
      </c>
    </row>
    <row r="98" s="29" customFormat="1" ht="124" spans="2:5">
      <c r="B98" s="11" t="s">
        <v>173</v>
      </c>
      <c r="C98" s="11" t="s">
        <v>173</v>
      </c>
      <c r="D98" s="11" t="s">
        <v>173</v>
      </c>
      <c r="E98" s="11" t="s">
        <v>173</v>
      </c>
    </row>
    <row r="99" s="29" customFormat="1" ht="156" spans="2:5">
      <c r="B99" s="12" t="s">
        <v>174</v>
      </c>
      <c r="C99" s="12" t="s">
        <v>174</v>
      </c>
      <c r="D99" s="12" t="s">
        <v>174</v>
      </c>
      <c r="E99" s="12" t="s">
        <v>174</v>
      </c>
    </row>
    <row r="100" s="29" customFormat="1" ht="68" spans="2:5">
      <c r="B100" s="13" t="s">
        <v>951</v>
      </c>
      <c r="C100" s="13" t="s">
        <v>951</v>
      </c>
      <c r="D100" s="13" t="s">
        <v>951</v>
      </c>
      <c r="E100" s="13" t="s">
        <v>951</v>
      </c>
    </row>
    <row r="101" s="29" customFormat="1" ht="22" spans="2:5">
      <c r="B101" s="14" t="s">
        <v>176</v>
      </c>
      <c r="C101" s="14" t="s">
        <v>176</v>
      </c>
      <c r="D101" s="14" t="s">
        <v>176</v>
      </c>
      <c r="E101" s="14" t="s">
        <v>176</v>
      </c>
    </row>
    <row r="102" s="29" customFormat="1" spans="2:5">
      <c r="B102" s="15" t="s">
        <v>177</v>
      </c>
      <c r="C102" s="16" t="s">
        <v>178</v>
      </c>
      <c r="D102" s="17" t="s">
        <v>179</v>
      </c>
      <c r="E102" s="18" t="s">
        <v>180</v>
      </c>
    </row>
    <row r="103" s="29" customFormat="1" ht="41" spans="2:5">
      <c r="B103" s="19" t="s">
        <v>194</v>
      </c>
      <c r="C103" s="20" t="s">
        <v>182</v>
      </c>
      <c r="D103" s="21">
        <v>41</v>
      </c>
      <c r="E103" s="22">
        <v>0</v>
      </c>
    </row>
    <row r="104" s="29" customFormat="1" ht="28" spans="2:5">
      <c r="B104" s="19" t="s">
        <v>194</v>
      </c>
      <c r="C104" s="20" t="s">
        <v>804</v>
      </c>
      <c r="D104" s="21">
        <v>17</v>
      </c>
      <c r="E104" s="22">
        <v>0</v>
      </c>
    </row>
    <row r="105" s="29" customFormat="1" spans="2:5">
      <c r="B105" s="19" t="s">
        <v>194</v>
      </c>
      <c r="C105" s="16" t="s">
        <v>183</v>
      </c>
      <c r="D105" s="23">
        <v>58</v>
      </c>
      <c r="E105" s="24">
        <v>0</v>
      </c>
    </row>
    <row r="106" s="29" customFormat="1" ht="41" spans="2:5">
      <c r="B106" s="19" t="s">
        <v>195</v>
      </c>
      <c r="C106" s="20" t="s">
        <v>182</v>
      </c>
      <c r="D106" s="21">
        <v>12</v>
      </c>
      <c r="E106" s="22">
        <v>97801.801802</v>
      </c>
    </row>
    <row r="107" s="29" customFormat="1" ht="28" spans="2:5">
      <c r="B107" s="19" t="s">
        <v>195</v>
      </c>
      <c r="C107" s="20" t="s">
        <v>804</v>
      </c>
      <c r="D107" s="21">
        <v>14</v>
      </c>
      <c r="E107" s="22">
        <v>41441.441441</v>
      </c>
    </row>
    <row r="108" s="29" customFormat="1" spans="2:5">
      <c r="B108" s="19" t="s">
        <v>195</v>
      </c>
      <c r="C108" s="16" t="s">
        <v>183</v>
      </c>
      <c r="D108" s="23">
        <v>26</v>
      </c>
      <c r="E108" s="24">
        <v>139243.243243</v>
      </c>
    </row>
    <row r="109" s="29" customFormat="1" ht="41" spans="2:5">
      <c r="B109" s="19" t="s">
        <v>196</v>
      </c>
      <c r="C109" s="20" t="s">
        <v>182</v>
      </c>
      <c r="D109" s="21">
        <v>10</v>
      </c>
      <c r="E109" s="22">
        <v>0</v>
      </c>
    </row>
    <row r="110" s="29" customFormat="1" ht="28" spans="2:5">
      <c r="B110" s="19" t="s">
        <v>196</v>
      </c>
      <c r="C110" s="20" t="s">
        <v>804</v>
      </c>
      <c r="D110" s="21">
        <v>10</v>
      </c>
      <c r="E110" s="22">
        <v>182000</v>
      </c>
    </row>
    <row r="111" s="29" customFormat="1" spans="2:5">
      <c r="B111" s="19" t="s">
        <v>196</v>
      </c>
      <c r="C111" s="16" t="s">
        <v>183</v>
      </c>
      <c r="D111" s="23">
        <v>20</v>
      </c>
      <c r="E111" s="24">
        <v>182000</v>
      </c>
    </row>
    <row r="112" s="29" customFormat="1" ht="41" spans="2:5">
      <c r="B112" s="19" t="s">
        <v>197</v>
      </c>
      <c r="C112" s="20" t="s">
        <v>182</v>
      </c>
      <c r="D112" s="21">
        <v>10</v>
      </c>
      <c r="E112" s="22">
        <v>0</v>
      </c>
    </row>
    <row r="113" s="29" customFormat="1" ht="28" spans="2:5">
      <c r="B113" s="19" t="s">
        <v>197</v>
      </c>
      <c r="C113" s="20" t="s">
        <v>804</v>
      </c>
      <c r="D113" s="21">
        <v>6</v>
      </c>
      <c r="E113" s="22">
        <v>161525</v>
      </c>
    </row>
    <row r="114" s="29" customFormat="1" ht="17.55" spans="2:5">
      <c r="B114" s="19" t="s">
        <v>197</v>
      </c>
      <c r="C114" s="16" t="s">
        <v>183</v>
      </c>
      <c r="D114" s="23">
        <v>16</v>
      </c>
      <c r="E114" s="24">
        <v>161525</v>
      </c>
    </row>
    <row r="115" s="29" customFormat="1" spans="2:5">
      <c r="B115" s="25"/>
      <c r="C115" s="25"/>
      <c r="D115" s="25"/>
      <c r="E115" s="25"/>
    </row>
    <row r="116" s="29" customFormat="1" ht="36" spans="2:5">
      <c r="B116" s="26" t="s">
        <v>189</v>
      </c>
      <c r="C116" s="26" t="s">
        <v>189</v>
      </c>
      <c r="D116" s="26" t="s">
        <v>189</v>
      </c>
      <c r="E116" s="26" t="s">
        <v>189</v>
      </c>
    </row>
    <row r="117" s="29" customFormat="1" spans="2:5">
      <c r="B117" s="26"/>
      <c r="C117" s="26"/>
      <c r="D117" s="26"/>
      <c r="E117" s="26"/>
    </row>
    <row r="118" s="29" customFormat="1" ht="36" spans="2:5">
      <c r="B118" s="26" t="s">
        <v>958</v>
      </c>
      <c r="C118" s="26" t="s">
        <v>958</v>
      </c>
      <c r="D118" s="26" t="s">
        <v>958</v>
      </c>
      <c r="E118" s="26" t="s">
        <v>958</v>
      </c>
    </row>
    <row r="119" s="29" customFormat="1" spans="2:5">
      <c r="B119" s="26" t="s">
        <v>219</v>
      </c>
      <c r="C119" s="26" t="s">
        <v>219</v>
      </c>
      <c r="D119" s="26" t="s">
        <v>219</v>
      </c>
      <c r="E119" s="26" t="s">
        <v>219</v>
      </c>
    </row>
    <row r="120" s="29" customFormat="1" ht="124" spans="2:5">
      <c r="B120" s="11" t="s">
        <v>173</v>
      </c>
      <c r="C120" s="11" t="s">
        <v>173</v>
      </c>
      <c r="D120" s="11" t="s">
        <v>173</v>
      </c>
      <c r="E120" s="11" t="s">
        <v>173</v>
      </c>
    </row>
    <row r="121" s="29" customFormat="1" ht="156" spans="2:5">
      <c r="B121" s="12" t="s">
        <v>174</v>
      </c>
      <c r="C121" s="12" t="s">
        <v>174</v>
      </c>
      <c r="D121" s="12" t="s">
        <v>174</v>
      </c>
      <c r="E121" s="12" t="s">
        <v>174</v>
      </c>
    </row>
    <row r="122" s="29" customFormat="1" ht="68" spans="2:5">
      <c r="B122" s="13" t="s">
        <v>951</v>
      </c>
      <c r="C122" s="13" t="s">
        <v>951</v>
      </c>
      <c r="D122" s="13" t="s">
        <v>951</v>
      </c>
      <c r="E122" s="13" t="s">
        <v>951</v>
      </c>
    </row>
    <row r="123" s="29" customFormat="1" ht="22" spans="2:5">
      <c r="B123" s="14" t="s">
        <v>176</v>
      </c>
      <c r="C123" s="14" t="s">
        <v>176</v>
      </c>
      <c r="D123" s="14" t="s">
        <v>176</v>
      </c>
      <c r="E123" s="14" t="s">
        <v>176</v>
      </c>
    </row>
    <row r="124" s="29" customFormat="1" spans="2:5">
      <c r="B124" s="15" t="s">
        <v>177</v>
      </c>
      <c r="C124" s="16" t="s">
        <v>178</v>
      </c>
      <c r="D124" s="17" t="s">
        <v>179</v>
      </c>
      <c r="E124" s="18" t="s">
        <v>180</v>
      </c>
    </row>
    <row r="125" s="29" customFormat="1" ht="41" spans="2:5">
      <c r="B125" s="19" t="s">
        <v>410</v>
      </c>
      <c r="C125" s="20" t="s">
        <v>182</v>
      </c>
      <c r="D125" s="21">
        <v>1</v>
      </c>
      <c r="E125" s="22">
        <v>0</v>
      </c>
    </row>
    <row r="126" s="29" customFormat="1" spans="2:5">
      <c r="B126" s="19" t="s">
        <v>410</v>
      </c>
      <c r="C126" s="16" t="s">
        <v>183</v>
      </c>
      <c r="D126" s="23">
        <v>1</v>
      </c>
      <c r="E126" s="24">
        <v>0</v>
      </c>
    </row>
    <row r="127" s="29" customFormat="1" ht="41" spans="2:5">
      <c r="B127" s="19" t="s">
        <v>199</v>
      </c>
      <c r="C127" s="20" t="s">
        <v>182</v>
      </c>
      <c r="D127" s="21">
        <v>69</v>
      </c>
      <c r="E127" s="22">
        <v>226236.486486</v>
      </c>
    </row>
    <row r="128" s="29" customFormat="1" ht="28" spans="2:5">
      <c r="B128" s="19" t="s">
        <v>199</v>
      </c>
      <c r="C128" s="20" t="s">
        <v>804</v>
      </c>
      <c r="D128" s="21">
        <v>5</v>
      </c>
      <c r="E128" s="22">
        <v>43243.243243</v>
      </c>
    </row>
    <row r="129" s="29" customFormat="1" spans="2:5">
      <c r="B129" s="19" t="s">
        <v>199</v>
      </c>
      <c r="C129" s="16" t="s">
        <v>183</v>
      </c>
      <c r="D129" s="23">
        <v>74</v>
      </c>
      <c r="E129" s="24">
        <v>269479.729729</v>
      </c>
    </row>
    <row r="130" s="29" customFormat="1" ht="41" spans="2:5">
      <c r="B130" s="19" t="s">
        <v>200</v>
      </c>
      <c r="C130" s="20" t="s">
        <v>182</v>
      </c>
      <c r="D130" s="21">
        <v>28</v>
      </c>
      <c r="E130" s="22">
        <v>162500</v>
      </c>
    </row>
    <row r="131" s="29" customFormat="1" ht="28" spans="2:5">
      <c r="B131" s="19" t="s">
        <v>200</v>
      </c>
      <c r="C131" s="20" t="s">
        <v>804</v>
      </c>
      <c r="D131" s="21">
        <v>7</v>
      </c>
      <c r="E131" s="22">
        <v>0</v>
      </c>
    </row>
    <row r="132" s="29" customFormat="1" spans="2:5">
      <c r="B132" s="19" t="s">
        <v>200</v>
      </c>
      <c r="C132" s="16" t="s">
        <v>183</v>
      </c>
      <c r="D132" s="23">
        <v>35</v>
      </c>
      <c r="E132" s="24">
        <v>162500</v>
      </c>
    </row>
    <row r="133" s="29" customFormat="1" ht="41" spans="2:5">
      <c r="B133" s="19" t="s">
        <v>201</v>
      </c>
      <c r="C133" s="20" t="s">
        <v>182</v>
      </c>
      <c r="D133" s="21">
        <v>1</v>
      </c>
      <c r="E133" s="22">
        <v>0</v>
      </c>
    </row>
    <row r="134" s="29" customFormat="1" spans="2:5">
      <c r="B134" s="19" t="s">
        <v>201</v>
      </c>
      <c r="C134" s="16" t="s">
        <v>183</v>
      </c>
      <c r="D134" s="23">
        <v>1</v>
      </c>
      <c r="E134" s="24">
        <v>0</v>
      </c>
    </row>
    <row r="135" s="29" customFormat="1" ht="28" spans="2:5">
      <c r="B135" s="19" t="s">
        <v>962</v>
      </c>
      <c r="C135" s="20" t="s">
        <v>804</v>
      </c>
      <c r="D135" s="21">
        <v>1</v>
      </c>
      <c r="E135" s="22">
        <v>0</v>
      </c>
    </row>
    <row r="136" s="29" customFormat="1" spans="2:5">
      <c r="B136" s="19" t="s">
        <v>962</v>
      </c>
      <c r="C136" s="16" t="s">
        <v>183</v>
      </c>
      <c r="D136" s="23">
        <v>1</v>
      </c>
      <c r="E136" s="24">
        <v>0</v>
      </c>
    </row>
    <row r="137" s="29" customFormat="1" ht="41.75" spans="2:5">
      <c r="B137" s="20" t="s">
        <v>411</v>
      </c>
      <c r="C137" s="20" t="s">
        <v>182</v>
      </c>
      <c r="D137" s="21">
        <v>12</v>
      </c>
      <c r="E137" s="22">
        <v>216216.216216</v>
      </c>
    </row>
    <row r="138" s="29" customFormat="1" spans="2:5">
      <c r="B138" s="25"/>
      <c r="C138" s="25"/>
      <c r="D138" s="25"/>
      <c r="E138" s="25"/>
    </row>
    <row r="139" s="29" customFormat="1" ht="36" spans="2:5">
      <c r="B139" s="26" t="s">
        <v>189</v>
      </c>
      <c r="C139" s="26" t="s">
        <v>189</v>
      </c>
      <c r="D139" s="26" t="s">
        <v>189</v>
      </c>
      <c r="E139" s="26" t="s">
        <v>189</v>
      </c>
    </row>
    <row r="140" s="29" customFormat="1" spans="2:5">
      <c r="B140" s="26"/>
      <c r="C140" s="26"/>
      <c r="D140" s="26"/>
      <c r="E140" s="26"/>
    </row>
    <row r="141" s="29" customFormat="1" ht="36" spans="2:5">
      <c r="B141" s="26" t="s">
        <v>958</v>
      </c>
      <c r="C141" s="26" t="s">
        <v>958</v>
      </c>
      <c r="D141" s="26" t="s">
        <v>958</v>
      </c>
      <c r="E141" s="26" t="s">
        <v>958</v>
      </c>
    </row>
    <row r="142" s="29" customFormat="1" spans="2:5">
      <c r="B142" s="26" t="s">
        <v>226</v>
      </c>
      <c r="C142" s="26" t="s">
        <v>226</v>
      </c>
      <c r="D142" s="26" t="s">
        <v>226</v>
      </c>
      <c r="E142" s="26" t="s">
        <v>226</v>
      </c>
    </row>
    <row r="143" s="29" customFormat="1" ht="124" spans="2:5">
      <c r="B143" s="11" t="s">
        <v>173</v>
      </c>
      <c r="C143" s="11" t="s">
        <v>173</v>
      </c>
      <c r="D143" s="11" t="s">
        <v>173</v>
      </c>
      <c r="E143" s="11" t="s">
        <v>173</v>
      </c>
    </row>
    <row r="144" s="29" customFormat="1" ht="156" spans="2:5">
      <c r="B144" s="12" t="s">
        <v>174</v>
      </c>
      <c r="C144" s="12" t="s">
        <v>174</v>
      </c>
      <c r="D144" s="12" t="s">
        <v>174</v>
      </c>
      <c r="E144" s="12" t="s">
        <v>174</v>
      </c>
    </row>
    <row r="145" s="29" customFormat="1" ht="68" spans="2:5">
      <c r="B145" s="13" t="s">
        <v>951</v>
      </c>
      <c r="C145" s="13" t="s">
        <v>951</v>
      </c>
      <c r="D145" s="13" t="s">
        <v>951</v>
      </c>
      <c r="E145" s="13" t="s">
        <v>951</v>
      </c>
    </row>
    <row r="146" s="29" customFormat="1" ht="22" spans="2:5">
      <c r="B146" s="14" t="s">
        <v>176</v>
      </c>
      <c r="C146" s="14" t="s">
        <v>176</v>
      </c>
      <c r="D146" s="14" t="s">
        <v>176</v>
      </c>
      <c r="E146" s="14" t="s">
        <v>176</v>
      </c>
    </row>
    <row r="147" s="29" customFormat="1" spans="2:5">
      <c r="B147" s="15" t="s">
        <v>177</v>
      </c>
      <c r="C147" s="16" t="s">
        <v>178</v>
      </c>
      <c r="D147" s="17" t="s">
        <v>179</v>
      </c>
      <c r="E147" s="18" t="s">
        <v>180</v>
      </c>
    </row>
    <row r="148" s="29" customFormat="1" ht="28" spans="2:5">
      <c r="B148" s="19" t="s">
        <v>411</v>
      </c>
      <c r="C148" s="20" t="s">
        <v>804</v>
      </c>
      <c r="D148" s="21">
        <v>4</v>
      </c>
      <c r="E148" s="22">
        <v>162162</v>
      </c>
    </row>
    <row r="149" s="29" customFormat="1" ht="28" spans="2:5">
      <c r="B149" s="19" t="s">
        <v>411</v>
      </c>
      <c r="C149" s="16" t="s">
        <v>183</v>
      </c>
      <c r="D149" s="23">
        <v>16</v>
      </c>
      <c r="E149" s="24">
        <v>378378.216216</v>
      </c>
    </row>
    <row r="150" s="29" customFormat="1" ht="41" spans="2:5">
      <c r="B150" s="19" t="s">
        <v>412</v>
      </c>
      <c r="C150" s="20" t="s">
        <v>182</v>
      </c>
      <c r="D150" s="21">
        <v>12</v>
      </c>
      <c r="E150" s="22">
        <v>308205.998411</v>
      </c>
    </row>
    <row r="151" s="29" customFormat="1" ht="28" spans="2:5">
      <c r="B151" s="19" t="s">
        <v>412</v>
      </c>
      <c r="C151" s="20" t="s">
        <v>804</v>
      </c>
      <c r="D151" s="21">
        <v>12</v>
      </c>
      <c r="E151" s="22">
        <v>344144.144144</v>
      </c>
    </row>
    <row r="152" s="29" customFormat="1" ht="28" spans="2:5">
      <c r="B152" s="19" t="s">
        <v>412</v>
      </c>
      <c r="C152" s="16" t="s">
        <v>183</v>
      </c>
      <c r="D152" s="23">
        <v>24</v>
      </c>
      <c r="E152" s="24">
        <v>652350.142555</v>
      </c>
    </row>
    <row r="153" s="29" customFormat="1" ht="28" spans="2:5">
      <c r="B153" s="19" t="s">
        <v>413</v>
      </c>
      <c r="C153" s="20" t="s">
        <v>804</v>
      </c>
      <c r="D153" s="21">
        <v>4</v>
      </c>
      <c r="E153" s="22">
        <v>430040</v>
      </c>
    </row>
    <row r="154" s="29" customFormat="1" ht="28" spans="2:5">
      <c r="B154" s="19" t="s">
        <v>413</v>
      </c>
      <c r="C154" s="16" t="s">
        <v>183</v>
      </c>
      <c r="D154" s="23">
        <v>4</v>
      </c>
      <c r="E154" s="24">
        <v>430040</v>
      </c>
    </row>
    <row r="155" s="29" customFormat="1" ht="28" spans="2:5">
      <c r="B155" s="19" t="s">
        <v>963</v>
      </c>
      <c r="C155" s="20" t="s">
        <v>804</v>
      </c>
      <c r="D155" s="21">
        <v>8</v>
      </c>
      <c r="E155" s="22">
        <v>1261261.261262</v>
      </c>
    </row>
    <row r="156" s="29" customFormat="1" ht="28" spans="2:5">
      <c r="B156" s="19" t="s">
        <v>963</v>
      </c>
      <c r="C156" s="16" t="s">
        <v>183</v>
      </c>
      <c r="D156" s="23">
        <v>8</v>
      </c>
      <c r="E156" s="24">
        <v>1261261.261262</v>
      </c>
    </row>
    <row r="157" s="29" customFormat="1" ht="41" spans="2:5">
      <c r="B157" s="19" t="s">
        <v>203</v>
      </c>
      <c r="C157" s="20" t="s">
        <v>182</v>
      </c>
      <c r="D157" s="21">
        <v>7</v>
      </c>
      <c r="E157" s="22">
        <v>256238.808558</v>
      </c>
    </row>
    <row r="158" s="29" customFormat="1" ht="28" spans="2:5">
      <c r="B158" s="19" t="s">
        <v>203</v>
      </c>
      <c r="C158" s="20" t="s">
        <v>804</v>
      </c>
      <c r="D158" s="21">
        <v>1</v>
      </c>
      <c r="E158" s="22">
        <v>64864.720721</v>
      </c>
    </row>
    <row r="159" s="29" customFormat="1" ht="28" spans="2:5">
      <c r="B159" s="19" t="s">
        <v>203</v>
      </c>
      <c r="C159" s="16" t="s">
        <v>183</v>
      </c>
      <c r="D159" s="23">
        <v>8</v>
      </c>
      <c r="E159" s="24">
        <v>321103.529279</v>
      </c>
    </row>
    <row r="160" s="29" customFormat="1" ht="41" spans="2:5">
      <c r="B160" s="19" t="s">
        <v>204</v>
      </c>
      <c r="C160" s="20" t="s">
        <v>182</v>
      </c>
      <c r="D160" s="21">
        <v>6</v>
      </c>
      <c r="E160" s="22">
        <v>210833.655405</v>
      </c>
    </row>
    <row r="161" s="29" customFormat="1" ht="28.75" spans="2:5">
      <c r="B161" s="19" t="s">
        <v>204</v>
      </c>
      <c r="C161" s="16" t="s">
        <v>183</v>
      </c>
      <c r="D161" s="23">
        <v>6</v>
      </c>
      <c r="E161" s="24">
        <v>210833.655405</v>
      </c>
    </row>
    <row r="162" s="29" customFormat="1" spans="2:5">
      <c r="B162" s="25"/>
      <c r="C162" s="25"/>
      <c r="D162" s="25"/>
      <c r="E162" s="25"/>
    </row>
    <row r="163" s="29" customFormat="1" ht="36" spans="2:5">
      <c r="B163" s="26" t="s">
        <v>189</v>
      </c>
      <c r="C163" s="26" t="s">
        <v>189</v>
      </c>
      <c r="D163" s="26" t="s">
        <v>189</v>
      </c>
      <c r="E163" s="26" t="s">
        <v>189</v>
      </c>
    </row>
    <row r="164" s="29" customFormat="1" spans="2:5">
      <c r="B164" s="26"/>
      <c r="C164" s="26"/>
      <c r="D164" s="26"/>
      <c r="E164" s="26"/>
    </row>
    <row r="165" s="29" customFormat="1" ht="36" spans="2:5">
      <c r="B165" s="26" t="s">
        <v>958</v>
      </c>
      <c r="C165" s="26" t="s">
        <v>958</v>
      </c>
      <c r="D165" s="26" t="s">
        <v>958</v>
      </c>
      <c r="E165" s="26" t="s">
        <v>958</v>
      </c>
    </row>
    <row r="166" s="29" customFormat="1" spans="2:5">
      <c r="B166" s="26" t="s">
        <v>233</v>
      </c>
      <c r="C166" s="26" t="s">
        <v>233</v>
      </c>
      <c r="D166" s="26" t="s">
        <v>233</v>
      </c>
      <c r="E166" s="26" t="s">
        <v>233</v>
      </c>
    </row>
    <row r="167" s="29" customFormat="1" ht="124" spans="2:5">
      <c r="B167" s="11" t="s">
        <v>173</v>
      </c>
      <c r="C167" s="11" t="s">
        <v>173</v>
      </c>
      <c r="D167" s="11" t="s">
        <v>173</v>
      </c>
      <c r="E167" s="11" t="s">
        <v>173</v>
      </c>
    </row>
    <row r="168" s="29" customFormat="1" ht="156" spans="2:5">
      <c r="B168" s="12" t="s">
        <v>174</v>
      </c>
      <c r="C168" s="12" t="s">
        <v>174</v>
      </c>
      <c r="D168" s="12" t="s">
        <v>174</v>
      </c>
      <c r="E168" s="12" t="s">
        <v>174</v>
      </c>
    </row>
    <row r="169" s="29" customFormat="1" ht="68" spans="2:5">
      <c r="B169" s="13" t="s">
        <v>951</v>
      </c>
      <c r="C169" s="13" t="s">
        <v>951</v>
      </c>
      <c r="D169" s="13" t="s">
        <v>951</v>
      </c>
      <c r="E169" s="13" t="s">
        <v>951</v>
      </c>
    </row>
    <row r="170" s="29" customFormat="1" ht="22" spans="2:5">
      <c r="B170" s="14" t="s">
        <v>176</v>
      </c>
      <c r="C170" s="14" t="s">
        <v>176</v>
      </c>
      <c r="D170" s="14" t="s">
        <v>176</v>
      </c>
      <c r="E170" s="14" t="s">
        <v>176</v>
      </c>
    </row>
    <row r="171" s="29" customFormat="1" spans="2:5">
      <c r="B171" s="15" t="s">
        <v>177</v>
      </c>
      <c r="C171" s="16" t="s">
        <v>178</v>
      </c>
      <c r="D171" s="17" t="s">
        <v>179</v>
      </c>
      <c r="E171" s="18" t="s">
        <v>180</v>
      </c>
    </row>
    <row r="172" s="29" customFormat="1" ht="41" spans="2:5">
      <c r="B172" s="19" t="s">
        <v>358</v>
      </c>
      <c r="C172" s="20" t="s">
        <v>182</v>
      </c>
      <c r="D172" s="21">
        <v>3</v>
      </c>
      <c r="E172" s="22">
        <v>142837.504505</v>
      </c>
    </row>
    <row r="173" s="29" customFormat="1" ht="28" spans="2:5">
      <c r="B173" s="19" t="s">
        <v>358</v>
      </c>
      <c r="C173" s="20" t="s">
        <v>804</v>
      </c>
      <c r="D173" s="21">
        <v>1</v>
      </c>
      <c r="E173" s="22">
        <v>47927.900901</v>
      </c>
    </row>
    <row r="174" s="29" customFormat="1" ht="28" spans="2:5">
      <c r="B174" s="19" t="s">
        <v>358</v>
      </c>
      <c r="C174" s="16" t="s">
        <v>183</v>
      </c>
      <c r="D174" s="23">
        <v>4</v>
      </c>
      <c r="E174" s="24">
        <v>190765.405406</v>
      </c>
    </row>
    <row r="175" s="29" customFormat="1" ht="41" spans="2:5">
      <c r="B175" s="19" t="s">
        <v>359</v>
      </c>
      <c r="C175" s="20" t="s">
        <v>182</v>
      </c>
      <c r="D175" s="21">
        <v>5</v>
      </c>
      <c r="E175" s="22">
        <v>177141.25</v>
      </c>
    </row>
    <row r="176" s="29" customFormat="1" ht="28" spans="2:5">
      <c r="B176" s="19" t="s">
        <v>359</v>
      </c>
      <c r="C176" s="16" t="s">
        <v>183</v>
      </c>
      <c r="D176" s="23">
        <v>5</v>
      </c>
      <c r="E176" s="24">
        <v>177141.25</v>
      </c>
    </row>
    <row r="177" s="29" customFormat="1" ht="28" spans="2:5">
      <c r="B177" s="19" t="s">
        <v>964</v>
      </c>
      <c r="C177" s="20" t="s">
        <v>804</v>
      </c>
      <c r="D177" s="21">
        <v>5</v>
      </c>
      <c r="E177" s="22">
        <v>185922.75</v>
      </c>
    </row>
    <row r="178" s="29" customFormat="1" ht="28" spans="2:5">
      <c r="B178" s="19" t="s">
        <v>964</v>
      </c>
      <c r="C178" s="16" t="s">
        <v>183</v>
      </c>
      <c r="D178" s="23">
        <v>5</v>
      </c>
      <c r="E178" s="24">
        <v>185922.75</v>
      </c>
    </row>
    <row r="179" s="29" customFormat="1" ht="41" spans="2:5">
      <c r="B179" s="19" t="s">
        <v>206</v>
      </c>
      <c r="C179" s="20" t="s">
        <v>182</v>
      </c>
      <c r="D179" s="21">
        <v>6</v>
      </c>
      <c r="E179" s="22">
        <v>255742.75</v>
      </c>
    </row>
    <row r="180" s="29" customFormat="1" ht="28" spans="2:5">
      <c r="B180" s="19" t="s">
        <v>206</v>
      </c>
      <c r="C180" s="16" t="s">
        <v>183</v>
      </c>
      <c r="D180" s="23">
        <v>6</v>
      </c>
      <c r="E180" s="24">
        <v>255742.75</v>
      </c>
    </row>
    <row r="181" s="29" customFormat="1" ht="41" spans="2:5">
      <c r="B181" s="19" t="s">
        <v>207</v>
      </c>
      <c r="C181" s="20" t="s">
        <v>182</v>
      </c>
      <c r="D181" s="21">
        <v>7</v>
      </c>
      <c r="E181" s="22">
        <v>319705.454954</v>
      </c>
    </row>
    <row r="182" s="29" customFormat="1" ht="28" spans="2:5">
      <c r="B182" s="19" t="s">
        <v>207</v>
      </c>
      <c r="C182" s="20" t="s">
        <v>804</v>
      </c>
      <c r="D182" s="21">
        <v>1</v>
      </c>
      <c r="E182" s="22">
        <v>79279.279279</v>
      </c>
    </row>
    <row r="183" s="29" customFormat="1" ht="28" spans="2:5">
      <c r="B183" s="19" t="s">
        <v>207</v>
      </c>
      <c r="C183" s="16" t="s">
        <v>183</v>
      </c>
      <c r="D183" s="23">
        <v>8</v>
      </c>
      <c r="E183" s="24">
        <v>398984.734233</v>
      </c>
    </row>
    <row r="184" s="29" customFormat="1" ht="41" spans="2:5">
      <c r="B184" s="19" t="s">
        <v>208</v>
      </c>
      <c r="C184" s="20" t="s">
        <v>182</v>
      </c>
      <c r="D184" s="21">
        <v>5</v>
      </c>
      <c r="E184" s="22">
        <v>237162.25</v>
      </c>
    </row>
    <row r="185" s="29" customFormat="1" ht="28.75" spans="2:5">
      <c r="B185" s="19" t="s">
        <v>208</v>
      </c>
      <c r="C185" s="16" t="s">
        <v>183</v>
      </c>
      <c r="D185" s="23">
        <v>5</v>
      </c>
      <c r="E185" s="24">
        <v>237162.25</v>
      </c>
    </row>
    <row r="186" s="29" customFormat="1" spans="2:5">
      <c r="B186" s="25"/>
      <c r="C186" s="25"/>
      <c r="D186" s="25"/>
      <c r="E186" s="25"/>
    </row>
    <row r="187" s="29" customFormat="1" ht="36" spans="2:5">
      <c r="B187" s="26" t="s">
        <v>189</v>
      </c>
      <c r="C187" s="26" t="s">
        <v>189</v>
      </c>
      <c r="D187" s="26" t="s">
        <v>189</v>
      </c>
      <c r="E187" s="26" t="s">
        <v>189</v>
      </c>
    </row>
    <row r="188" s="29" customFormat="1" spans="2:5">
      <c r="B188" s="26"/>
      <c r="C188" s="26"/>
      <c r="D188" s="26"/>
      <c r="E188" s="26"/>
    </row>
    <row r="189" s="29" customFormat="1" ht="36" spans="2:5">
      <c r="B189" s="26" t="s">
        <v>958</v>
      </c>
      <c r="C189" s="26" t="s">
        <v>958</v>
      </c>
      <c r="D189" s="26" t="s">
        <v>958</v>
      </c>
      <c r="E189" s="26" t="s">
        <v>958</v>
      </c>
    </row>
    <row r="190" s="29" customFormat="1" spans="2:5">
      <c r="B190" s="26" t="s">
        <v>240</v>
      </c>
      <c r="C190" s="26" t="s">
        <v>240</v>
      </c>
      <c r="D190" s="26" t="s">
        <v>240</v>
      </c>
      <c r="E190" s="26" t="s">
        <v>240</v>
      </c>
    </row>
    <row r="191" s="29" customFormat="1" ht="124" spans="2:5">
      <c r="B191" s="11" t="s">
        <v>173</v>
      </c>
      <c r="C191" s="11" t="s">
        <v>173</v>
      </c>
      <c r="D191" s="11" t="s">
        <v>173</v>
      </c>
      <c r="E191" s="11" t="s">
        <v>173</v>
      </c>
    </row>
    <row r="192" s="29" customFormat="1" ht="156" spans="2:5">
      <c r="B192" s="12" t="s">
        <v>174</v>
      </c>
      <c r="C192" s="12" t="s">
        <v>174</v>
      </c>
      <c r="D192" s="12" t="s">
        <v>174</v>
      </c>
      <c r="E192" s="12" t="s">
        <v>174</v>
      </c>
    </row>
    <row r="193" s="29" customFormat="1" ht="68" spans="2:5">
      <c r="B193" s="13" t="s">
        <v>951</v>
      </c>
      <c r="C193" s="13" t="s">
        <v>951</v>
      </c>
      <c r="D193" s="13" t="s">
        <v>951</v>
      </c>
      <c r="E193" s="13" t="s">
        <v>951</v>
      </c>
    </row>
    <row r="194" s="29" customFormat="1" ht="22" spans="2:5">
      <c r="B194" s="14" t="s">
        <v>176</v>
      </c>
      <c r="C194" s="14" t="s">
        <v>176</v>
      </c>
      <c r="D194" s="14" t="s">
        <v>176</v>
      </c>
      <c r="E194" s="14" t="s">
        <v>176</v>
      </c>
    </row>
    <row r="195" s="29" customFormat="1" spans="2:5">
      <c r="B195" s="15" t="s">
        <v>177</v>
      </c>
      <c r="C195" s="16" t="s">
        <v>178</v>
      </c>
      <c r="D195" s="17" t="s">
        <v>179</v>
      </c>
      <c r="E195" s="18" t="s">
        <v>180</v>
      </c>
    </row>
    <row r="196" s="29" customFormat="1" ht="41" spans="2:5">
      <c r="B196" s="19" t="s">
        <v>360</v>
      </c>
      <c r="C196" s="20" t="s">
        <v>182</v>
      </c>
      <c r="D196" s="21">
        <v>9</v>
      </c>
      <c r="E196" s="22">
        <v>481846.934686</v>
      </c>
    </row>
    <row r="197" s="29" customFormat="1" ht="28" spans="2:5">
      <c r="B197" s="19" t="s">
        <v>360</v>
      </c>
      <c r="C197" s="16" t="s">
        <v>183</v>
      </c>
      <c r="D197" s="23">
        <v>9</v>
      </c>
      <c r="E197" s="24">
        <v>481846.934686</v>
      </c>
    </row>
    <row r="198" s="29" customFormat="1" ht="41" spans="2:5">
      <c r="B198" s="19" t="s">
        <v>361</v>
      </c>
      <c r="C198" s="20" t="s">
        <v>182</v>
      </c>
      <c r="D198" s="21">
        <v>5</v>
      </c>
      <c r="E198" s="22">
        <v>307433.75</v>
      </c>
    </row>
    <row r="199" s="29" customFormat="1" ht="28" spans="2:5">
      <c r="B199" s="19" t="s">
        <v>361</v>
      </c>
      <c r="C199" s="20" t="s">
        <v>804</v>
      </c>
      <c r="D199" s="21">
        <v>1</v>
      </c>
      <c r="E199" s="22">
        <v>77567.567568</v>
      </c>
    </row>
    <row r="200" s="29" customFormat="1" ht="28" spans="2:5">
      <c r="B200" s="19" t="s">
        <v>361</v>
      </c>
      <c r="C200" s="16" t="s">
        <v>183</v>
      </c>
      <c r="D200" s="23">
        <v>6</v>
      </c>
      <c r="E200" s="24">
        <v>385001.317568</v>
      </c>
    </row>
    <row r="201" s="29" customFormat="1" ht="41" spans="2:5">
      <c r="B201" s="19" t="s">
        <v>211</v>
      </c>
      <c r="C201" s="20" t="s">
        <v>182</v>
      </c>
      <c r="D201" s="21">
        <v>30</v>
      </c>
      <c r="E201" s="22">
        <v>1830839.318147</v>
      </c>
    </row>
    <row r="202" s="29" customFormat="1" ht="28" spans="2:5">
      <c r="B202" s="19" t="s">
        <v>211</v>
      </c>
      <c r="C202" s="20" t="s">
        <v>804</v>
      </c>
      <c r="D202" s="21">
        <v>7</v>
      </c>
      <c r="E202" s="22">
        <v>448063.495496</v>
      </c>
    </row>
    <row r="203" s="29" customFormat="1" ht="28" spans="2:5">
      <c r="B203" s="19" t="s">
        <v>211</v>
      </c>
      <c r="C203" s="16" t="s">
        <v>183</v>
      </c>
      <c r="D203" s="23">
        <v>37</v>
      </c>
      <c r="E203" s="24">
        <v>2278902.813643</v>
      </c>
    </row>
    <row r="204" s="29" customFormat="1" ht="41" spans="2:5">
      <c r="B204" s="19" t="s">
        <v>213</v>
      </c>
      <c r="C204" s="20" t="s">
        <v>182</v>
      </c>
      <c r="D204" s="21">
        <v>40</v>
      </c>
      <c r="E204" s="22">
        <v>2486722.97786</v>
      </c>
    </row>
    <row r="205" s="29" customFormat="1" ht="28" spans="2:5">
      <c r="B205" s="19" t="s">
        <v>213</v>
      </c>
      <c r="C205" s="20" t="s">
        <v>804</v>
      </c>
      <c r="D205" s="21">
        <v>7</v>
      </c>
      <c r="E205" s="22">
        <v>448062.882883</v>
      </c>
    </row>
    <row r="206" s="29" customFormat="1" ht="28" spans="2:5">
      <c r="B206" s="19" t="s">
        <v>213</v>
      </c>
      <c r="C206" s="16" t="s">
        <v>183</v>
      </c>
      <c r="D206" s="23">
        <v>47</v>
      </c>
      <c r="E206" s="24">
        <v>2934785.860743</v>
      </c>
    </row>
    <row r="207" s="29" customFormat="1" ht="41.75" spans="2:5">
      <c r="B207" s="20" t="s">
        <v>214</v>
      </c>
      <c r="C207" s="20" t="s">
        <v>182</v>
      </c>
      <c r="D207" s="21">
        <v>7</v>
      </c>
      <c r="E207" s="22">
        <v>441621.328829</v>
      </c>
    </row>
    <row r="208" s="29" customFormat="1" spans="2:5">
      <c r="B208" s="25"/>
      <c r="C208" s="25"/>
      <c r="D208" s="25"/>
      <c r="E208" s="25"/>
    </row>
    <row r="209" s="29" customFormat="1" ht="36" spans="2:5">
      <c r="B209" s="26" t="s">
        <v>189</v>
      </c>
      <c r="C209" s="26" t="s">
        <v>189</v>
      </c>
      <c r="D209" s="26" t="s">
        <v>189</v>
      </c>
      <c r="E209" s="26" t="s">
        <v>189</v>
      </c>
    </row>
    <row r="210" s="29" customFormat="1" spans="2:5">
      <c r="B210" s="26"/>
      <c r="C210" s="26"/>
      <c r="D210" s="26"/>
      <c r="E210" s="26"/>
    </row>
    <row r="211" s="29" customFormat="1" ht="36" spans="2:5">
      <c r="B211" s="26" t="s">
        <v>958</v>
      </c>
      <c r="C211" s="26" t="s">
        <v>958</v>
      </c>
      <c r="D211" s="26" t="s">
        <v>958</v>
      </c>
      <c r="E211" s="26" t="s">
        <v>958</v>
      </c>
    </row>
    <row r="212" s="29" customFormat="1" spans="2:5">
      <c r="B212" s="26" t="s">
        <v>247</v>
      </c>
      <c r="C212" s="26" t="s">
        <v>247</v>
      </c>
      <c r="D212" s="26" t="s">
        <v>247</v>
      </c>
      <c r="E212" s="26" t="s">
        <v>247</v>
      </c>
    </row>
    <row r="213" s="29" customFormat="1" ht="124" spans="2:5">
      <c r="B213" s="11" t="s">
        <v>173</v>
      </c>
      <c r="C213" s="11" t="s">
        <v>173</v>
      </c>
      <c r="D213" s="11" t="s">
        <v>173</v>
      </c>
      <c r="E213" s="11" t="s">
        <v>173</v>
      </c>
    </row>
    <row r="214" s="29" customFormat="1" ht="156" spans="2:5">
      <c r="B214" s="12" t="s">
        <v>174</v>
      </c>
      <c r="C214" s="12" t="s">
        <v>174</v>
      </c>
      <c r="D214" s="12" t="s">
        <v>174</v>
      </c>
      <c r="E214" s="12" t="s">
        <v>174</v>
      </c>
    </row>
    <row r="215" s="29" customFormat="1" ht="68" spans="2:5">
      <c r="B215" s="13" t="s">
        <v>951</v>
      </c>
      <c r="C215" s="13" t="s">
        <v>951</v>
      </c>
      <c r="D215" s="13" t="s">
        <v>951</v>
      </c>
      <c r="E215" s="13" t="s">
        <v>951</v>
      </c>
    </row>
    <row r="216" s="29" customFormat="1" ht="22" spans="2:5">
      <c r="B216" s="14" t="s">
        <v>176</v>
      </c>
      <c r="C216" s="14" t="s">
        <v>176</v>
      </c>
      <c r="D216" s="14" t="s">
        <v>176</v>
      </c>
      <c r="E216" s="14" t="s">
        <v>176</v>
      </c>
    </row>
    <row r="217" s="29" customFormat="1" spans="2:5">
      <c r="B217" s="15" t="s">
        <v>177</v>
      </c>
      <c r="C217" s="16" t="s">
        <v>178</v>
      </c>
      <c r="D217" s="17" t="s">
        <v>179</v>
      </c>
      <c r="E217" s="18" t="s">
        <v>180</v>
      </c>
    </row>
    <row r="218" s="29" customFormat="1" ht="28" spans="2:5">
      <c r="B218" s="19" t="s">
        <v>214</v>
      </c>
      <c r="C218" s="20" t="s">
        <v>804</v>
      </c>
      <c r="D218" s="21">
        <v>1</v>
      </c>
      <c r="E218" s="22">
        <v>75045.045045</v>
      </c>
    </row>
    <row r="219" s="29" customFormat="1" ht="28" spans="2:5">
      <c r="B219" s="19" t="s">
        <v>214</v>
      </c>
      <c r="C219" s="16" t="s">
        <v>183</v>
      </c>
      <c r="D219" s="23">
        <v>8</v>
      </c>
      <c r="E219" s="24">
        <v>516666.373874</v>
      </c>
    </row>
    <row r="220" s="29" customFormat="1" ht="41" spans="2:5">
      <c r="B220" s="19" t="s">
        <v>215</v>
      </c>
      <c r="C220" s="20" t="s">
        <v>182</v>
      </c>
      <c r="D220" s="21">
        <v>22</v>
      </c>
      <c r="E220" s="22">
        <v>1531306.022524</v>
      </c>
    </row>
    <row r="221" s="29" customFormat="1" ht="28" spans="2:5">
      <c r="B221" s="19" t="s">
        <v>215</v>
      </c>
      <c r="C221" s="20" t="s">
        <v>804</v>
      </c>
      <c r="D221" s="21">
        <v>4</v>
      </c>
      <c r="E221" s="22">
        <v>291126.252253</v>
      </c>
    </row>
    <row r="222" s="29" customFormat="1" ht="28" spans="2:5">
      <c r="B222" s="19" t="s">
        <v>215</v>
      </c>
      <c r="C222" s="16" t="s">
        <v>183</v>
      </c>
      <c r="D222" s="23">
        <v>26</v>
      </c>
      <c r="E222" s="24">
        <v>1822432.274777</v>
      </c>
    </row>
    <row r="223" s="29" customFormat="1" ht="41" spans="2:5">
      <c r="B223" s="19" t="s">
        <v>216</v>
      </c>
      <c r="C223" s="20" t="s">
        <v>182</v>
      </c>
      <c r="D223" s="21">
        <v>6</v>
      </c>
      <c r="E223" s="22">
        <v>391170.126126</v>
      </c>
    </row>
    <row r="224" s="29" customFormat="1" ht="28" spans="2:5">
      <c r="B224" s="19" t="s">
        <v>216</v>
      </c>
      <c r="C224" s="20" t="s">
        <v>804</v>
      </c>
      <c r="D224" s="21">
        <v>1</v>
      </c>
      <c r="E224" s="22">
        <v>77882.882883</v>
      </c>
    </row>
    <row r="225" s="29" customFormat="1" ht="28" spans="2:5">
      <c r="B225" s="19" t="s">
        <v>216</v>
      </c>
      <c r="C225" s="16" t="s">
        <v>183</v>
      </c>
      <c r="D225" s="23">
        <v>7</v>
      </c>
      <c r="E225" s="24">
        <v>469053.009009</v>
      </c>
    </row>
    <row r="226" s="29" customFormat="1" ht="41" spans="2:5">
      <c r="B226" s="19" t="s">
        <v>364</v>
      </c>
      <c r="C226" s="20" t="s">
        <v>182</v>
      </c>
      <c r="D226" s="21">
        <v>9</v>
      </c>
      <c r="E226" s="22">
        <v>620201.414415</v>
      </c>
    </row>
    <row r="227" s="29" customFormat="1" ht="28" spans="2:5">
      <c r="B227" s="19" t="s">
        <v>364</v>
      </c>
      <c r="C227" s="16" t="s">
        <v>183</v>
      </c>
      <c r="D227" s="23">
        <v>9</v>
      </c>
      <c r="E227" s="24">
        <v>620201.414415</v>
      </c>
    </row>
    <row r="228" s="29" customFormat="1" ht="41" spans="2:5">
      <c r="B228" s="19" t="s">
        <v>217</v>
      </c>
      <c r="C228" s="20" t="s">
        <v>182</v>
      </c>
      <c r="D228" s="21">
        <v>20</v>
      </c>
      <c r="E228" s="22">
        <v>1487047.142438</v>
      </c>
    </row>
    <row r="229" s="29" customFormat="1" ht="28" spans="2:5">
      <c r="B229" s="19" t="s">
        <v>217</v>
      </c>
      <c r="C229" s="20" t="s">
        <v>804</v>
      </c>
      <c r="D229" s="21">
        <v>1</v>
      </c>
      <c r="E229" s="22">
        <v>78513.513514</v>
      </c>
    </row>
    <row r="230" s="29" customFormat="1" ht="28.75" spans="2:5">
      <c r="B230" s="19" t="s">
        <v>217</v>
      </c>
      <c r="C230" s="16" t="s">
        <v>183</v>
      </c>
      <c r="D230" s="23">
        <v>21</v>
      </c>
      <c r="E230" s="24">
        <v>1565560.655952</v>
      </c>
    </row>
    <row r="231" s="29" customFormat="1" spans="2:5">
      <c r="B231" s="25"/>
      <c r="C231" s="25"/>
      <c r="D231" s="25"/>
      <c r="E231" s="25"/>
    </row>
    <row r="232" s="29" customFormat="1" ht="36" spans="2:5">
      <c r="B232" s="26" t="s">
        <v>189</v>
      </c>
      <c r="C232" s="26" t="s">
        <v>189</v>
      </c>
      <c r="D232" s="26" t="s">
        <v>189</v>
      </c>
      <c r="E232" s="26" t="s">
        <v>189</v>
      </c>
    </row>
    <row r="233" s="29" customFormat="1" spans="2:5">
      <c r="B233" s="26"/>
      <c r="C233" s="26"/>
      <c r="D233" s="26"/>
      <c r="E233" s="26"/>
    </row>
    <row r="234" s="29" customFormat="1" ht="36" spans="2:5">
      <c r="B234" s="26" t="s">
        <v>958</v>
      </c>
      <c r="C234" s="26" t="s">
        <v>958</v>
      </c>
      <c r="D234" s="26" t="s">
        <v>958</v>
      </c>
      <c r="E234" s="26" t="s">
        <v>958</v>
      </c>
    </row>
    <row r="235" s="29" customFormat="1" spans="2:5">
      <c r="B235" s="26" t="s">
        <v>254</v>
      </c>
      <c r="C235" s="26" t="s">
        <v>254</v>
      </c>
      <c r="D235" s="26" t="s">
        <v>254</v>
      </c>
      <c r="E235" s="26" t="s">
        <v>254</v>
      </c>
    </row>
    <row r="236" s="29" customFormat="1" ht="124" spans="2:5">
      <c r="B236" s="11" t="s">
        <v>173</v>
      </c>
      <c r="C236" s="11" t="s">
        <v>173</v>
      </c>
      <c r="D236" s="11" t="s">
        <v>173</v>
      </c>
      <c r="E236" s="11" t="s">
        <v>173</v>
      </c>
    </row>
    <row r="237" s="29" customFormat="1" ht="156" spans="2:5">
      <c r="B237" s="12" t="s">
        <v>174</v>
      </c>
      <c r="C237" s="12" t="s">
        <v>174</v>
      </c>
      <c r="D237" s="12" t="s">
        <v>174</v>
      </c>
      <c r="E237" s="12" t="s">
        <v>174</v>
      </c>
    </row>
    <row r="238" s="29" customFormat="1" ht="68" spans="2:5">
      <c r="B238" s="13" t="s">
        <v>951</v>
      </c>
      <c r="C238" s="13" t="s">
        <v>951</v>
      </c>
      <c r="D238" s="13" t="s">
        <v>951</v>
      </c>
      <c r="E238" s="13" t="s">
        <v>951</v>
      </c>
    </row>
    <row r="239" s="29" customFormat="1" ht="22" spans="2:5">
      <c r="B239" s="14" t="s">
        <v>176</v>
      </c>
      <c r="C239" s="14" t="s">
        <v>176</v>
      </c>
      <c r="D239" s="14" t="s">
        <v>176</v>
      </c>
      <c r="E239" s="14" t="s">
        <v>176</v>
      </c>
    </row>
    <row r="240" s="29" customFormat="1" spans="2:5">
      <c r="B240" s="15" t="s">
        <v>177</v>
      </c>
      <c r="C240" s="16" t="s">
        <v>178</v>
      </c>
      <c r="D240" s="17" t="s">
        <v>179</v>
      </c>
      <c r="E240" s="18" t="s">
        <v>180</v>
      </c>
    </row>
    <row r="241" s="29" customFormat="1" ht="41" spans="2:5">
      <c r="B241" s="19" t="s">
        <v>218</v>
      </c>
      <c r="C241" s="20" t="s">
        <v>182</v>
      </c>
      <c r="D241" s="21">
        <v>19</v>
      </c>
      <c r="E241" s="22">
        <v>1425149.948199</v>
      </c>
    </row>
    <row r="242" s="29" customFormat="1" ht="28" spans="2:5">
      <c r="B242" s="19" t="s">
        <v>218</v>
      </c>
      <c r="C242" s="20" t="s">
        <v>804</v>
      </c>
      <c r="D242" s="21">
        <v>8</v>
      </c>
      <c r="E242" s="22">
        <v>672162.162163</v>
      </c>
    </row>
    <row r="243" s="29" customFormat="1" ht="28" spans="2:5">
      <c r="B243" s="19" t="s">
        <v>218</v>
      </c>
      <c r="C243" s="16" t="s">
        <v>183</v>
      </c>
      <c r="D243" s="23">
        <v>27</v>
      </c>
      <c r="E243" s="24">
        <v>2097312.110362</v>
      </c>
    </row>
    <row r="244" s="29" customFormat="1" ht="41" spans="2:5">
      <c r="B244" s="19" t="s">
        <v>220</v>
      </c>
      <c r="C244" s="20" t="s">
        <v>182</v>
      </c>
      <c r="D244" s="21">
        <v>20</v>
      </c>
      <c r="E244" s="22">
        <v>1593221.083335</v>
      </c>
    </row>
    <row r="245" s="29" customFormat="1" ht="28" spans="2:5">
      <c r="B245" s="19" t="s">
        <v>220</v>
      </c>
      <c r="C245" s="20" t="s">
        <v>804</v>
      </c>
      <c r="D245" s="21">
        <v>8</v>
      </c>
      <c r="E245" s="22">
        <v>672252.252253</v>
      </c>
    </row>
    <row r="246" s="29" customFormat="1" ht="28" spans="2:5">
      <c r="B246" s="19" t="s">
        <v>220</v>
      </c>
      <c r="C246" s="16" t="s">
        <v>183</v>
      </c>
      <c r="D246" s="23">
        <v>28</v>
      </c>
      <c r="E246" s="24">
        <v>2265473.335588</v>
      </c>
    </row>
    <row r="247" s="29" customFormat="1" ht="41" spans="2:5">
      <c r="B247" s="19" t="s">
        <v>221</v>
      </c>
      <c r="C247" s="20" t="s">
        <v>182</v>
      </c>
      <c r="D247" s="21">
        <v>24</v>
      </c>
      <c r="E247" s="22">
        <v>2017436.95912</v>
      </c>
    </row>
    <row r="248" s="29" customFormat="1" ht="28" spans="2:5">
      <c r="B248" s="19" t="s">
        <v>221</v>
      </c>
      <c r="C248" s="20" t="s">
        <v>804</v>
      </c>
      <c r="D248" s="21">
        <v>2</v>
      </c>
      <c r="E248" s="22">
        <v>170270.468469</v>
      </c>
    </row>
    <row r="249" s="29" customFormat="1" ht="28" spans="2:5">
      <c r="B249" s="19" t="s">
        <v>221</v>
      </c>
      <c r="C249" s="16" t="s">
        <v>183</v>
      </c>
      <c r="D249" s="23">
        <v>26</v>
      </c>
      <c r="E249" s="24">
        <v>2187707.427589</v>
      </c>
    </row>
    <row r="250" s="29" customFormat="1" ht="41" spans="2:5">
      <c r="B250" s="19" t="s">
        <v>420</v>
      </c>
      <c r="C250" s="20" t="s">
        <v>182</v>
      </c>
      <c r="D250" s="21">
        <v>1</v>
      </c>
      <c r="E250" s="22">
        <v>97117.117117</v>
      </c>
    </row>
    <row r="251" s="29" customFormat="1" ht="28" spans="2:5">
      <c r="B251" s="19" t="s">
        <v>420</v>
      </c>
      <c r="C251" s="16" t="s">
        <v>183</v>
      </c>
      <c r="D251" s="23">
        <v>1</v>
      </c>
      <c r="E251" s="24">
        <v>97117.117117</v>
      </c>
    </row>
    <row r="252" s="29" customFormat="1" ht="41.75" spans="2:5">
      <c r="B252" s="20" t="s">
        <v>222</v>
      </c>
      <c r="C252" s="20" t="s">
        <v>182</v>
      </c>
      <c r="D252" s="21">
        <v>1</v>
      </c>
      <c r="E252" s="22">
        <v>100000</v>
      </c>
    </row>
    <row r="253" s="29" customFormat="1" spans="2:5">
      <c r="B253" s="25"/>
      <c r="C253" s="25"/>
      <c r="D253" s="25"/>
      <c r="E253" s="25"/>
    </row>
    <row r="254" s="29" customFormat="1" ht="36" spans="2:5">
      <c r="B254" s="26" t="s">
        <v>189</v>
      </c>
      <c r="C254" s="26" t="s">
        <v>189</v>
      </c>
      <c r="D254" s="26" t="s">
        <v>189</v>
      </c>
      <c r="E254" s="26" t="s">
        <v>189</v>
      </c>
    </row>
    <row r="255" s="29" customFormat="1" spans="2:5">
      <c r="B255" s="26"/>
      <c r="C255" s="26"/>
      <c r="D255" s="26"/>
      <c r="E255" s="26"/>
    </row>
    <row r="256" s="29" customFormat="1" ht="36" spans="2:5">
      <c r="B256" s="26" t="s">
        <v>958</v>
      </c>
      <c r="C256" s="26" t="s">
        <v>958</v>
      </c>
      <c r="D256" s="26" t="s">
        <v>958</v>
      </c>
      <c r="E256" s="26" t="s">
        <v>958</v>
      </c>
    </row>
    <row r="257" s="29" customFormat="1" spans="2:5">
      <c r="B257" s="26" t="s">
        <v>261</v>
      </c>
      <c r="C257" s="26" t="s">
        <v>261</v>
      </c>
      <c r="D257" s="26" t="s">
        <v>261</v>
      </c>
      <c r="E257" s="26" t="s">
        <v>261</v>
      </c>
    </row>
    <row r="258" s="29" customFormat="1" ht="124" spans="2:5">
      <c r="B258" s="11" t="s">
        <v>173</v>
      </c>
      <c r="C258" s="11" t="s">
        <v>173</v>
      </c>
      <c r="D258" s="11" t="s">
        <v>173</v>
      </c>
      <c r="E258" s="11" t="s">
        <v>173</v>
      </c>
    </row>
    <row r="259" s="29" customFormat="1" ht="156" spans="2:5">
      <c r="B259" s="12" t="s">
        <v>174</v>
      </c>
      <c r="C259" s="12" t="s">
        <v>174</v>
      </c>
      <c r="D259" s="12" t="s">
        <v>174</v>
      </c>
      <c r="E259" s="12" t="s">
        <v>174</v>
      </c>
    </row>
    <row r="260" s="29" customFormat="1" ht="68" spans="2:5">
      <c r="B260" s="13" t="s">
        <v>951</v>
      </c>
      <c r="C260" s="13" t="s">
        <v>951</v>
      </c>
      <c r="D260" s="13" t="s">
        <v>951</v>
      </c>
      <c r="E260" s="13" t="s">
        <v>951</v>
      </c>
    </row>
    <row r="261" s="29" customFormat="1" ht="22" spans="2:5">
      <c r="B261" s="14" t="s">
        <v>176</v>
      </c>
      <c r="C261" s="14" t="s">
        <v>176</v>
      </c>
      <c r="D261" s="14" t="s">
        <v>176</v>
      </c>
      <c r="E261" s="14" t="s">
        <v>176</v>
      </c>
    </row>
    <row r="262" s="29" customFormat="1" spans="2:5">
      <c r="B262" s="15" t="s">
        <v>177</v>
      </c>
      <c r="C262" s="16" t="s">
        <v>178</v>
      </c>
      <c r="D262" s="17" t="s">
        <v>179</v>
      </c>
      <c r="E262" s="18" t="s">
        <v>180</v>
      </c>
    </row>
    <row r="263" s="29" customFormat="1" ht="28" spans="2:5">
      <c r="B263" s="19" t="s">
        <v>222</v>
      </c>
      <c r="C263" s="20" t="s">
        <v>804</v>
      </c>
      <c r="D263" s="21">
        <v>3</v>
      </c>
      <c r="E263" s="22">
        <v>301801.801802</v>
      </c>
    </row>
    <row r="264" s="29" customFormat="1" ht="28" spans="2:5">
      <c r="B264" s="19" t="s">
        <v>222</v>
      </c>
      <c r="C264" s="16" t="s">
        <v>183</v>
      </c>
      <c r="D264" s="23">
        <v>4</v>
      </c>
      <c r="E264" s="24">
        <v>401801.801802</v>
      </c>
    </row>
    <row r="265" s="29" customFormat="1" ht="41" spans="2:5">
      <c r="B265" s="19" t="s">
        <v>223</v>
      </c>
      <c r="C265" s="20" t="s">
        <v>182</v>
      </c>
      <c r="D265" s="21">
        <v>1</v>
      </c>
      <c r="E265" s="22">
        <v>107657.657658</v>
      </c>
    </row>
    <row r="266" s="29" customFormat="1" ht="28" spans="2:5">
      <c r="B266" s="19" t="s">
        <v>223</v>
      </c>
      <c r="C266" s="16" t="s">
        <v>183</v>
      </c>
      <c r="D266" s="23">
        <v>1</v>
      </c>
      <c r="E266" s="24">
        <v>107657.657658</v>
      </c>
    </row>
    <row r="267" s="29" customFormat="1" ht="41" spans="2:5">
      <c r="B267" s="19" t="s">
        <v>224</v>
      </c>
      <c r="C267" s="20" t="s">
        <v>182</v>
      </c>
      <c r="D267" s="21">
        <v>2</v>
      </c>
      <c r="E267" s="22">
        <v>233334</v>
      </c>
    </row>
    <row r="268" s="29" customFormat="1" ht="28" spans="2:5">
      <c r="B268" s="19" t="s">
        <v>224</v>
      </c>
      <c r="C268" s="20" t="s">
        <v>804</v>
      </c>
      <c r="D268" s="21">
        <v>2</v>
      </c>
      <c r="E268" s="22">
        <v>198333.333334</v>
      </c>
    </row>
    <row r="269" s="29" customFormat="1" ht="28" spans="2:5">
      <c r="B269" s="19" t="s">
        <v>224</v>
      </c>
      <c r="C269" s="16" t="s">
        <v>183</v>
      </c>
      <c r="D269" s="23">
        <v>4</v>
      </c>
      <c r="E269" s="24">
        <v>431667.333334</v>
      </c>
    </row>
    <row r="270" s="29" customFormat="1" ht="41" spans="2:5">
      <c r="B270" s="19" t="s">
        <v>225</v>
      </c>
      <c r="C270" s="20" t="s">
        <v>182</v>
      </c>
      <c r="D270" s="21">
        <v>1</v>
      </c>
      <c r="E270" s="22">
        <v>112613</v>
      </c>
    </row>
    <row r="271" s="29" customFormat="1" ht="28" spans="2:5">
      <c r="B271" s="19" t="s">
        <v>225</v>
      </c>
      <c r="C271" s="20" t="s">
        <v>804</v>
      </c>
      <c r="D271" s="21">
        <v>1</v>
      </c>
      <c r="E271" s="22">
        <v>112612.459459</v>
      </c>
    </row>
    <row r="272" s="29" customFormat="1" ht="28" spans="2:5">
      <c r="B272" s="19" t="s">
        <v>225</v>
      </c>
      <c r="C272" s="16" t="s">
        <v>183</v>
      </c>
      <c r="D272" s="23">
        <v>2</v>
      </c>
      <c r="E272" s="24">
        <v>225225.459459</v>
      </c>
    </row>
    <row r="273" s="29" customFormat="1" ht="41" spans="2:5">
      <c r="B273" s="19" t="s">
        <v>227</v>
      </c>
      <c r="C273" s="20" t="s">
        <v>182</v>
      </c>
      <c r="D273" s="21">
        <v>3</v>
      </c>
      <c r="E273" s="22">
        <v>322973.315316</v>
      </c>
    </row>
    <row r="274" s="29" customFormat="1" ht="28" spans="2:5">
      <c r="B274" s="19" t="s">
        <v>227</v>
      </c>
      <c r="C274" s="20" t="s">
        <v>804</v>
      </c>
      <c r="D274" s="21">
        <v>1</v>
      </c>
      <c r="E274" s="22">
        <v>109910</v>
      </c>
    </row>
    <row r="275" s="29" customFormat="1" ht="28.75" spans="2:5">
      <c r="B275" s="19" t="s">
        <v>227</v>
      </c>
      <c r="C275" s="16" t="s">
        <v>183</v>
      </c>
      <c r="D275" s="23">
        <v>4</v>
      </c>
      <c r="E275" s="24">
        <v>432883.315316</v>
      </c>
    </row>
    <row r="276" s="29" customFormat="1" spans="2:5">
      <c r="B276" s="25"/>
      <c r="C276" s="25"/>
      <c r="D276" s="25"/>
      <c r="E276" s="25"/>
    </row>
    <row r="277" s="29" customFormat="1" ht="36" spans="2:5">
      <c r="B277" s="26" t="s">
        <v>189</v>
      </c>
      <c r="C277" s="26" t="s">
        <v>189</v>
      </c>
      <c r="D277" s="26" t="s">
        <v>189</v>
      </c>
      <c r="E277" s="26" t="s">
        <v>189</v>
      </c>
    </row>
    <row r="278" s="29" customFormat="1" spans="2:5">
      <c r="B278" s="26"/>
      <c r="C278" s="26"/>
      <c r="D278" s="26"/>
      <c r="E278" s="26"/>
    </row>
    <row r="279" s="29" customFormat="1" ht="36" spans="2:5">
      <c r="B279" s="26" t="s">
        <v>958</v>
      </c>
      <c r="C279" s="26" t="s">
        <v>958</v>
      </c>
      <c r="D279" s="26" t="s">
        <v>958</v>
      </c>
      <c r="E279" s="26" t="s">
        <v>958</v>
      </c>
    </row>
    <row r="280" s="29" customFormat="1" spans="2:5">
      <c r="B280" s="26" t="s">
        <v>268</v>
      </c>
      <c r="C280" s="26" t="s">
        <v>268</v>
      </c>
      <c r="D280" s="26" t="s">
        <v>268</v>
      </c>
      <c r="E280" s="26" t="s">
        <v>268</v>
      </c>
    </row>
    <row r="281" s="29" customFormat="1" ht="124" spans="2:5">
      <c r="B281" s="11" t="s">
        <v>173</v>
      </c>
      <c r="C281" s="11" t="s">
        <v>173</v>
      </c>
      <c r="D281" s="11" t="s">
        <v>173</v>
      </c>
      <c r="E281" s="11" t="s">
        <v>173</v>
      </c>
    </row>
    <row r="282" s="29" customFormat="1" ht="156" spans="2:5">
      <c r="B282" s="12" t="s">
        <v>174</v>
      </c>
      <c r="C282" s="12" t="s">
        <v>174</v>
      </c>
      <c r="D282" s="12" t="s">
        <v>174</v>
      </c>
      <c r="E282" s="12" t="s">
        <v>174</v>
      </c>
    </row>
    <row r="283" s="29" customFormat="1" ht="68" spans="2:5">
      <c r="B283" s="13" t="s">
        <v>951</v>
      </c>
      <c r="C283" s="13" t="s">
        <v>951</v>
      </c>
      <c r="D283" s="13" t="s">
        <v>951</v>
      </c>
      <c r="E283" s="13" t="s">
        <v>951</v>
      </c>
    </row>
    <row r="284" s="29" customFormat="1" ht="22" spans="2:5">
      <c r="B284" s="14" t="s">
        <v>176</v>
      </c>
      <c r="C284" s="14" t="s">
        <v>176</v>
      </c>
      <c r="D284" s="14" t="s">
        <v>176</v>
      </c>
      <c r="E284" s="14" t="s">
        <v>176</v>
      </c>
    </row>
    <row r="285" s="29" customFormat="1" spans="2:5">
      <c r="B285" s="15" t="s">
        <v>177</v>
      </c>
      <c r="C285" s="16" t="s">
        <v>178</v>
      </c>
      <c r="D285" s="17" t="s">
        <v>179</v>
      </c>
      <c r="E285" s="18" t="s">
        <v>180</v>
      </c>
    </row>
    <row r="286" s="29" customFormat="1" ht="28" spans="2:5">
      <c r="B286" s="19" t="s">
        <v>965</v>
      </c>
      <c r="C286" s="20" t="s">
        <v>804</v>
      </c>
      <c r="D286" s="21">
        <v>1</v>
      </c>
      <c r="E286" s="22">
        <v>732600</v>
      </c>
    </row>
    <row r="287" s="29" customFormat="1" ht="28" spans="2:5">
      <c r="B287" s="19" t="s">
        <v>965</v>
      </c>
      <c r="C287" s="16" t="s">
        <v>183</v>
      </c>
      <c r="D287" s="23">
        <v>1</v>
      </c>
      <c r="E287" s="24">
        <v>732600</v>
      </c>
    </row>
    <row r="288" s="29" customFormat="1" ht="28" spans="2:5">
      <c r="B288" s="19" t="s">
        <v>966</v>
      </c>
      <c r="C288" s="20" t="s">
        <v>804</v>
      </c>
      <c r="D288" s="21">
        <v>1</v>
      </c>
      <c r="E288" s="22">
        <v>600000</v>
      </c>
    </row>
    <row r="289" s="29" customFormat="1" ht="28" spans="2:5">
      <c r="B289" s="19" t="s">
        <v>966</v>
      </c>
      <c r="C289" s="16" t="s">
        <v>183</v>
      </c>
      <c r="D289" s="23">
        <v>1</v>
      </c>
      <c r="E289" s="24">
        <v>600000</v>
      </c>
    </row>
    <row r="290" s="29" customFormat="1" ht="28" spans="2:5">
      <c r="B290" s="19" t="s">
        <v>967</v>
      </c>
      <c r="C290" s="20" t="s">
        <v>804</v>
      </c>
      <c r="D290" s="21">
        <v>1</v>
      </c>
      <c r="E290" s="22">
        <v>510000</v>
      </c>
    </row>
    <row r="291" s="29" customFormat="1" spans="2:5">
      <c r="B291" s="19" t="s">
        <v>967</v>
      </c>
      <c r="C291" s="16" t="s">
        <v>183</v>
      </c>
      <c r="D291" s="23">
        <v>1</v>
      </c>
      <c r="E291" s="24">
        <v>510000</v>
      </c>
    </row>
    <row r="292" s="29" customFormat="1" ht="28" spans="2:5">
      <c r="B292" s="19" t="s">
        <v>968</v>
      </c>
      <c r="C292" s="20" t="s">
        <v>804</v>
      </c>
      <c r="D292" s="21">
        <v>1</v>
      </c>
      <c r="E292" s="22">
        <v>600000</v>
      </c>
    </row>
    <row r="293" s="29" customFormat="1" ht="28" spans="2:5">
      <c r="B293" s="19" t="s">
        <v>968</v>
      </c>
      <c r="C293" s="16" t="s">
        <v>183</v>
      </c>
      <c r="D293" s="23">
        <v>1</v>
      </c>
      <c r="E293" s="24">
        <v>600000</v>
      </c>
    </row>
    <row r="294" s="29" customFormat="1" ht="28" spans="2:5">
      <c r="B294" s="19" t="s">
        <v>969</v>
      </c>
      <c r="C294" s="20" t="s">
        <v>804</v>
      </c>
      <c r="D294" s="21">
        <v>2</v>
      </c>
      <c r="E294" s="22">
        <v>3549550</v>
      </c>
    </row>
    <row r="295" s="29" customFormat="1" ht="28" spans="2:5">
      <c r="B295" s="19" t="s">
        <v>969</v>
      </c>
      <c r="C295" s="16" t="s">
        <v>183</v>
      </c>
      <c r="D295" s="23">
        <v>2</v>
      </c>
      <c r="E295" s="24">
        <v>3549550</v>
      </c>
    </row>
    <row r="296" s="29" customFormat="1" ht="41" spans="2:5">
      <c r="B296" s="19" t="s">
        <v>970</v>
      </c>
      <c r="C296" s="20" t="s">
        <v>182</v>
      </c>
      <c r="D296" s="21">
        <v>2</v>
      </c>
      <c r="E296" s="22">
        <v>2160360</v>
      </c>
    </row>
    <row r="297" s="29" customFormat="1" ht="28" spans="2:5">
      <c r="B297" s="19" t="s">
        <v>970</v>
      </c>
      <c r="C297" s="16" t="s">
        <v>183</v>
      </c>
      <c r="D297" s="23">
        <v>2</v>
      </c>
      <c r="E297" s="24">
        <v>2160360</v>
      </c>
    </row>
    <row r="298" s="29" customFormat="1" ht="41" spans="2:5">
      <c r="B298" s="19" t="s">
        <v>249</v>
      </c>
      <c r="C298" s="20" t="s">
        <v>182</v>
      </c>
      <c r="D298" s="21">
        <v>2</v>
      </c>
      <c r="E298" s="22">
        <v>0</v>
      </c>
    </row>
    <row r="299" s="29" customFormat="1" ht="28.75" spans="2:5">
      <c r="B299" s="19" t="s">
        <v>249</v>
      </c>
      <c r="C299" s="16" t="s">
        <v>183</v>
      </c>
      <c r="D299" s="23">
        <v>2</v>
      </c>
      <c r="E299" s="24">
        <v>0</v>
      </c>
    </row>
    <row r="300" s="29" customFormat="1" spans="2:5">
      <c r="B300" s="25"/>
      <c r="C300" s="25"/>
      <c r="D300" s="25"/>
      <c r="E300" s="25"/>
    </row>
    <row r="301" s="29" customFormat="1" ht="36" spans="2:5">
      <c r="B301" s="26" t="s">
        <v>189</v>
      </c>
      <c r="C301" s="26" t="s">
        <v>189</v>
      </c>
      <c r="D301" s="26" t="s">
        <v>189</v>
      </c>
      <c r="E301" s="26" t="s">
        <v>189</v>
      </c>
    </row>
    <row r="302" s="29" customFormat="1" spans="2:5">
      <c r="B302" s="26"/>
      <c r="C302" s="26"/>
      <c r="D302" s="26"/>
      <c r="E302" s="26"/>
    </row>
    <row r="303" s="29" customFormat="1" ht="36" spans="2:5">
      <c r="B303" s="26" t="s">
        <v>958</v>
      </c>
      <c r="C303" s="26" t="s">
        <v>958</v>
      </c>
      <c r="D303" s="26" t="s">
        <v>958</v>
      </c>
      <c r="E303" s="26" t="s">
        <v>958</v>
      </c>
    </row>
    <row r="304" s="29" customFormat="1" spans="2:5">
      <c r="B304" s="26" t="s">
        <v>275</v>
      </c>
      <c r="C304" s="26" t="s">
        <v>275</v>
      </c>
      <c r="D304" s="26" t="s">
        <v>275</v>
      </c>
      <c r="E304" s="26" t="s">
        <v>275</v>
      </c>
    </row>
    <row r="305" s="29" customFormat="1" ht="124" spans="2:5">
      <c r="B305" s="11" t="s">
        <v>173</v>
      </c>
      <c r="C305" s="11" t="s">
        <v>173</v>
      </c>
      <c r="D305" s="11" t="s">
        <v>173</v>
      </c>
      <c r="E305" s="11" t="s">
        <v>173</v>
      </c>
    </row>
    <row r="306" s="29" customFormat="1" ht="156" spans="2:5">
      <c r="B306" s="12" t="s">
        <v>174</v>
      </c>
      <c r="C306" s="12" t="s">
        <v>174</v>
      </c>
      <c r="D306" s="12" t="s">
        <v>174</v>
      </c>
      <c r="E306" s="12" t="s">
        <v>174</v>
      </c>
    </row>
    <row r="307" s="29" customFormat="1" ht="68" spans="2:5">
      <c r="B307" s="13" t="s">
        <v>951</v>
      </c>
      <c r="C307" s="13" t="s">
        <v>951</v>
      </c>
      <c r="D307" s="13" t="s">
        <v>951</v>
      </c>
      <c r="E307" s="13" t="s">
        <v>951</v>
      </c>
    </row>
    <row r="308" s="29" customFormat="1" ht="22" spans="2:5">
      <c r="B308" s="14" t="s">
        <v>176</v>
      </c>
      <c r="C308" s="14" t="s">
        <v>176</v>
      </c>
      <c r="D308" s="14" t="s">
        <v>176</v>
      </c>
      <c r="E308" s="14" t="s">
        <v>176</v>
      </c>
    </row>
    <row r="309" s="29" customFormat="1" spans="2:5">
      <c r="B309" s="15" t="s">
        <v>177</v>
      </c>
      <c r="C309" s="16" t="s">
        <v>178</v>
      </c>
      <c r="D309" s="17" t="s">
        <v>179</v>
      </c>
      <c r="E309" s="18" t="s">
        <v>180</v>
      </c>
    </row>
    <row r="310" s="29" customFormat="1" ht="41" spans="2:5">
      <c r="B310" s="19" t="s">
        <v>267</v>
      </c>
      <c r="C310" s="20" t="s">
        <v>182</v>
      </c>
      <c r="D310" s="21">
        <v>2</v>
      </c>
      <c r="E310" s="22">
        <v>2177734.461406</v>
      </c>
    </row>
    <row r="311" s="29" customFormat="1" ht="28" spans="2:5">
      <c r="B311" s="19" t="s">
        <v>267</v>
      </c>
      <c r="C311" s="16" t="s">
        <v>183</v>
      </c>
      <c r="D311" s="23">
        <v>2</v>
      </c>
      <c r="E311" s="24">
        <v>2177734.461406</v>
      </c>
    </row>
    <row r="312" s="29" customFormat="1" ht="41" spans="2:5">
      <c r="B312" s="19" t="s">
        <v>269</v>
      </c>
      <c r="C312" s="20" t="s">
        <v>182</v>
      </c>
      <c r="D312" s="21">
        <v>2</v>
      </c>
      <c r="E312" s="22">
        <v>2704504.387387</v>
      </c>
    </row>
    <row r="313" s="29" customFormat="1" ht="28" spans="2:5">
      <c r="B313" s="19" t="s">
        <v>269</v>
      </c>
      <c r="C313" s="16" t="s">
        <v>183</v>
      </c>
      <c r="D313" s="23">
        <v>2</v>
      </c>
      <c r="E313" s="24">
        <v>2704504.387387</v>
      </c>
    </row>
    <row r="314" s="29" customFormat="1" ht="41" spans="2:5">
      <c r="B314" s="19" t="s">
        <v>971</v>
      </c>
      <c r="C314" s="20" t="s">
        <v>182</v>
      </c>
      <c r="D314" s="21">
        <v>4</v>
      </c>
      <c r="E314" s="22">
        <v>290000</v>
      </c>
    </row>
    <row r="315" s="29" customFormat="1" ht="28" spans="2:5">
      <c r="B315" s="19" t="s">
        <v>971</v>
      </c>
      <c r="C315" s="16" t="s">
        <v>183</v>
      </c>
      <c r="D315" s="23">
        <v>4</v>
      </c>
      <c r="E315" s="24">
        <v>290000</v>
      </c>
    </row>
    <row r="316" s="29" customFormat="1" ht="41" spans="2:5">
      <c r="B316" s="19" t="s">
        <v>972</v>
      </c>
      <c r="C316" s="20" t="s">
        <v>182</v>
      </c>
      <c r="D316" s="21">
        <v>4</v>
      </c>
      <c r="E316" s="22">
        <v>242000</v>
      </c>
    </row>
    <row r="317" s="29" customFormat="1" ht="28" spans="2:5">
      <c r="B317" s="19" t="s">
        <v>972</v>
      </c>
      <c r="C317" s="16" t="s">
        <v>183</v>
      </c>
      <c r="D317" s="23">
        <v>4</v>
      </c>
      <c r="E317" s="24">
        <v>242000</v>
      </c>
    </row>
    <row r="318" s="29" customFormat="1" ht="41" spans="2:5">
      <c r="B318" s="19" t="s">
        <v>973</v>
      </c>
      <c r="C318" s="20" t="s">
        <v>182</v>
      </c>
      <c r="D318" s="21">
        <v>1</v>
      </c>
      <c r="E318" s="22">
        <v>0</v>
      </c>
    </row>
    <row r="319" s="29" customFormat="1" ht="28" spans="2:5">
      <c r="B319" s="19" t="s">
        <v>973</v>
      </c>
      <c r="C319" s="16" t="s">
        <v>183</v>
      </c>
      <c r="D319" s="23">
        <v>1</v>
      </c>
      <c r="E319" s="24">
        <v>0</v>
      </c>
    </row>
    <row r="320" s="29" customFormat="1" ht="41" spans="2:5">
      <c r="B320" s="19" t="s">
        <v>821</v>
      </c>
      <c r="C320" s="20" t="s">
        <v>182</v>
      </c>
      <c r="D320" s="21">
        <v>1</v>
      </c>
      <c r="E320" s="22">
        <v>0</v>
      </c>
    </row>
    <row r="321" s="29" customFormat="1" ht="28.75" spans="2:5">
      <c r="B321" s="19" t="s">
        <v>821</v>
      </c>
      <c r="C321" s="16" t="s">
        <v>183</v>
      </c>
      <c r="D321" s="23">
        <v>1</v>
      </c>
      <c r="E321" s="24">
        <v>0</v>
      </c>
    </row>
    <row r="322" s="29" customFormat="1" spans="2:5">
      <c r="B322" s="25"/>
      <c r="C322" s="25"/>
      <c r="D322" s="25"/>
      <c r="E322" s="25"/>
    </row>
    <row r="323" s="29" customFormat="1" ht="36" spans="2:5">
      <c r="B323" s="26" t="s">
        <v>189</v>
      </c>
      <c r="C323" s="26" t="s">
        <v>189</v>
      </c>
      <c r="D323" s="26" t="s">
        <v>189</v>
      </c>
      <c r="E323" s="26" t="s">
        <v>189</v>
      </c>
    </row>
    <row r="324" s="29" customFormat="1" spans="2:5">
      <c r="B324" s="26"/>
      <c r="C324" s="26"/>
      <c r="D324" s="26"/>
      <c r="E324" s="26"/>
    </row>
    <row r="325" s="29" customFormat="1" ht="36" spans="2:5">
      <c r="B325" s="26" t="s">
        <v>958</v>
      </c>
      <c r="C325" s="26" t="s">
        <v>958</v>
      </c>
      <c r="D325" s="26" t="s">
        <v>958</v>
      </c>
      <c r="E325" s="26" t="s">
        <v>958</v>
      </c>
    </row>
    <row r="326" s="29" customFormat="1" spans="2:5">
      <c r="B326" s="26" t="s">
        <v>282</v>
      </c>
      <c r="C326" s="26" t="s">
        <v>282</v>
      </c>
      <c r="D326" s="26" t="s">
        <v>282</v>
      </c>
      <c r="E326" s="26" t="s">
        <v>282</v>
      </c>
    </row>
    <row r="327" s="29" customFormat="1" ht="124" spans="2:5">
      <c r="B327" s="11" t="s">
        <v>173</v>
      </c>
      <c r="C327" s="11" t="s">
        <v>173</v>
      </c>
      <c r="D327" s="11" t="s">
        <v>173</v>
      </c>
      <c r="E327" s="11" t="s">
        <v>173</v>
      </c>
    </row>
    <row r="328" s="29" customFormat="1" ht="156" spans="2:5">
      <c r="B328" s="12" t="s">
        <v>174</v>
      </c>
      <c r="C328" s="12" t="s">
        <v>174</v>
      </c>
      <c r="D328" s="12" t="s">
        <v>174</v>
      </c>
      <c r="E328" s="12" t="s">
        <v>174</v>
      </c>
    </row>
    <row r="329" s="29" customFormat="1" ht="68" spans="2:5">
      <c r="B329" s="13" t="s">
        <v>951</v>
      </c>
      <c r="C329" s="13" t="s">
        <v>951</v>
      </c>
      <c r="D329" s="13" t="s">
        <v>951</v>
      </c>
      <c r="E329" s="13" t="s">
        <v>951</v>
      </c>
    </row>
    <row r="330" s="29" customFormat="1" ht="22" spans="2:5">
      <c r="B330" s="14" t="s">
        <v>176</v>
      </c>
      <c r="C330" s="14" t="s">
        <v>176</v>
      </c>
      <c r="D330" s="14" t="s">
        <v>176</v>
      </c>
      <c r="E330" s="14" t="s">
        <v>176</v>
      </c>
    </row>
    <row r="331" s="29" customFormat="1" spans="2:5">
      <c r="B331" s="15" t="s">
        <v>177</v>
      </c>
      <c r="C331" s="16" t="s">
        <v>178</v>
      </c>
      <c r="D331" s="17" t="s">
        <v>179</v>
      </c>
      <c r="E331" s="18" t="s">
        <v>180</v>
      </c>
    </row>
    <row r="332" s="29" customFormat="1" ht="41" spans="2:5">
      <c r="B332" s="19" t="s">
        <v>974</v>
      </c>
      <c r="C332" s="20" t="s">
        <v>182</v>
      </c>
      <c r="D332" s="21">
        <v>18</v>
      </c>
      <c r="E332" s="22">
        <v>0</v>
      </c>
    </row>
    <row r="333" s="29" customFormat="1" spans="2:5">
      <c r="B333" s="19" t="s">
        <v>974</v>
      </c>
      <c r="C333" s="16" t="s">
        <v>183</v>
      </c>
      <c r="D333" s="23">
        <v>18</v>
      </c>
      <c r="E333" s="24">
        <v>0</v>
      </c>
    </row>
    <row r="334" s="29" customFormat="1" ht="41" spans="2:5">
      <c r="B334" s="19" t="s">
        <v>975</v>
      </c>
      <c r="C334" s="20" t="s">
        <v>182</v>
      </c>
      <c r="D334" s="21">
        <v>11</v>
      </c>
      <c r="E334" s="22">
        <v>0</v>
      </c>
    </row>
    <row r="335" s="29" customFormat="1" ht="28" spans="2:5">
      <c r="B335" s="19" t="s">
        <v>975</v>
      </c>
      <c r="C335" s="20" t="s">
        <v>804</v>
      </c>
      <c r="D335" s="21">
        <v>1</v>
      </c>
      <c r="E335" s="22">
        <v>0</v>
      </c>
    </row>
    <row r="336" s="29" customFormat="1" ht="28" spans="2:5">
      <c r="B336" s="19" t="s">
        <v>975</v>
      </c>
      <c r="C336" s="16" t="s">
        <v>183</v>
      </c>
      <c r="D336" s="23">
        <v>12</v>
      </c>
      <c r="E336" s="24">
        <v>0</v>
      </c>
    </row>
    <row r="337" s="29" customFormat="1" ht="41" spans="2:5">
      <c r="B337" s="19" t="s">
        <v>272</v>
      </c>
      <c r="C337" s="20" t="s">
        <v>182</v>
      </c>
      <c r="D337" s="21">
        <v>2</v>
      </c>
      <c r="E337" s="22">
        <v>0</v>
      </c>
    </row>
    <row r="338" s="29" customFormat="1" ht="28" spans="2:5">
      <c r="B338" s="19" t="s">
        <v>272</v>
      </c>
      <c r="C338" s="20" t="s">
        <v>804</v>
      </c>
      <c r="D338" s="21">
        <v>26</v>
      </c>
      <c r="E338" s="22">
        <v>1000002.01802</v>
      </c>
    </row>
    <row r="339" s="29" customFormat="1" ht="28" spans="2:5">
      <c r="B339" s="19" t="s">
        <v>272</v>
      </c>
      <c r="C339" s="16" t="s">
        <v>183</v>
      </c>
      <c r="D339" s="23">
        <v>28</v>
      </c>
      <c r="E339" s="24">
        <v>1000002.01802</v>
      </c>
    </row>
    <row r="340" s="29" customFormat="1" ht="41" spans="2:5">
      <c r="B340" s="19" t="s">
        <v>421</v>
      </c>
      <c r="C340" s="20" t="s">
        <v>182</v>
      </c>
      <c r="D340" s="21">
        <v>7</v>
      </c>
      <c r="E340" s="22">
        <v>200000.000001</v>
      </c>
    </row>
    <row r="341" s="29" customFormat="1" ht="28" spans="2:5">
      <c r="B341" s="19" t="s">
        <v>421</v>
      </c>
      <c r="C341" s="20" t="s">
        <v>804</v>
      </c>
      <c r="D341" s="21">
        <v>12</v>
      </c>
      <c r="E341" s="22">
        <v>333333.027028</v>
      </c>
    </row>
    <row r="342" s="29" customFormat="1" ht="28" spans="2:5">
      <c r="B342" s="19" t="s">
        <v>421</v>
      </c>
      <c r="C342" s="16" t="s">
        <v>183</v>
      </c>
      <c r="D342" s="23">
        <v>19</v>
      </c>
      <c r="E342" s="24">
        <v>533333.027029</v>
      </c>
    </row>
    <row r="343" s="29" customFormat="1" ht="41.75" spans="2:5">
      <c r="B343" s="20" t="s">
        <v>273</v>
      </c>
      <c r="C343" s="20" t="s">
        <v>182</v>
      </c>
      <c r="D343" s="21">
        <v>8</v>
      </c>
      <c r="E343" s="22">
        <v>0</v>
      </c>
    </row>
    <row r="344" s="29" customFormat="1" spans="2:5">
      <c r="B344" s="25"/>
      <c r="C344" s="25"/>
      <c r="D344" s="25"/>
      <c r="E344" s="25"/>
    </row>
    <row r="345" s="29" customFormat="1" ht="36" spans="2:5">
      <c r="B345" s="26" t="s">
        <v>189</v>
      </c>
      <c r="C345" s="26" t="s">
        <v>189</v>
      </c>
      <c r="D345" s="26" t="s">
        <v>189</v>
      </c>
      <c r="E345" s="26" t="s">
        <v>189</v>
      </c>
    </row>
    <row r="346" s="29" customFormat="1" spans="2:5">
      <c r="B346" s="26"/>
      <c r="C346" s="26"/>
      <c r="D346" s="26"/>
      <c r="E346" s="26"/>
    </row>
    <row r="347" s="29" customFormat="1" ht="36" spans="2:5">
      <c r="B347" s="26" t="s">
        <v>958</v>
      </c>
      <c r="C347" s="26" t="s">
        <v>958</v>
      </c>
      <c r="D347" s="26" t="s">
        <v>958</v>
      </c>
      <c r="E347" s="26" t="s">
        <v>958</v>
      </c>
    </row>
    <row r="348" s="29" customFormat="1" spans="2:5">
      <c r="B348" s="26" t="s">
        <v>289</v>
      </c>
      <c r="C348" s="26" t="s">
        <v>289</v>
      </c>
      <c r="D348" s="26" t="s">
        <v>289</v>
      </c>
      <c r="E348" s="26" t="s">
        <v>289</v>
      </c>
    </row>
    <row r="349" s="29" customFormat="1" ht="124" spans="2:5">
      <c r="B349" s="11" t="s">
        <v>173</v>
      </c>
      <c r="C349" s="11" t="s">
        <v>173</v>
      </c>
      <c r="D349" s="11" t="s">
        <v>173</v>
      </c>
      <c r="E349" s="11" t="s">
        <v>173</v>
      </c>
    </row>
    <row r="350" s="29" customFormat="1" ht="156" spans="2:5">
      <c r="B350" s="12" t="s">
        <v>174</v>
      </c>
      <c r="C350" s="12" t="s">
        <v>174</v>
      </c>
      <c r="D350" s="12" t="s">
        <v>174</v>
      </c>
      <c r="E350" s="12" t="s">
        <v>174</v>
      </c>
    </row>
    <row r="351" s="29" customFormat="1" ht="68" spans="2:5">
      <c r="B351" s="13" t="s">
        <v>951</v>
      </c>
      <c r="C351" s="13" t="s">
        <v>951</v>
      </c>
      <c r="D351" s="13" t="s">
        <v>951</v>
      </c>
      <c r="E351" s="13" t="s">
        <v>951</v>
      </c>
    </row>
    <row r="352" s="29" customFormat="1" ht="22" spans="2:5">
      <c r="B352" s="14" t="s">
        <v>176</v>
      </c>
      <c r="C352" s="14" t="s">
        <v>176</v>
      </c>
      <c r="D352" s="14" t="s">
        <v>176</v>
      </c>
      <c r="E352" s="14" t="s">
        <v>176</v>
      </c>
    </row>
    <row r="353" s="29" customFormat="1" spans="2:5">
      <c r="B353" s="15" t="s">
        <v>177</v>
      </c>
      <c r="C353" s="16" t="s">
        <v>178</v>
      </c>
      <c r="D353" s="17" t="s">
        <v>179</v>
      </c>
      <c r="E353" s="18" t="s">
        <v>180</v>
      </c>
    </row>
    <row r="354" s="29" customFormat="1" ht="28" spans="2:5">
      <c r="B354" s="19" t="s">
        <v>273</v>
      </c>
      <c r="C354" s="20" t="s">
        <v>804</v>
      </c>
      <c r="D354" s="21">
        <v>5</v>
      </c>
      <c r="E354" s="22">
        <v>407207.567568</v>
      </c>
    </row>
    <row r="355" s="29" customFormat="1" ht="28" spans="2:5">
      <c r="B355" s="19" t="s">
        <v>273</v>
      </c>
      <c r="C355" s="16" t="s">
        <v>183</v>
      </c>
      <c r="D355" s="23">
        <v>13</v>
      </c>
      <c r="E355" s="24">
        <v>407207.567568</v>
      </c>
    </row>
    <row r="356" s="29" customFormat="1" ht="41" spans="2:5">
      <c r="B356" s="19" t="s">
        <v>274</v>
      </c>
      <c r="C356" s="20" t="s">
        <v>182</v>
      </c>
      <c r="D356" s="21">
        <v>10</v>
      </c>
      <c r="E356" s="22">
        <v>0</v>
      </c>
    </row>
    <row r="357" s="29" customFormat="1" ht="28" spans="2:5">
      <c r="B357" s="19" t="s">
        <v>274</v>
      </c>
      <c r="C357" s="20" t="s">
        <v>804</v>
      </c>
      <c r="D357" s="21">
        <v>3</v>
      </c>
      <c r="E357" s="22">
        <v>0</v>
      </c>
    </row>
    <row r="358" s="29" customFormat="1" ht="28" spans="2:5">
      <c r="B358" s="19" t="s">
        <v>274</v>
      </c>
      <c r="C358" s="16" t="s">
        <v>183</v>
      </c>
      <c r="D358" s="23">
        <v>13</v>
      </c>
      <c r="E358" s="24">
        <v>0</v>
      </c>
    </row>
    <row r="359" s="29" customFormat="1" ht="41" spans="2:5">
      <c r="B359" s="19" t="s">
        <v>583</v>
      </c>
      <c r="C359" s="20" t="s">
        <v>182</v>
      </c>
      <c r="D359" s="21">
        <v>10</v>
      </c>
      <c r="E359" s="22">
        <v>228828.828829</v>
      </c>
    </row>
    <row r="360" s="29" customFormat="1" ht="28" spans="2:5">
      <c r="B360" s="19" t="s">
        <v>583</v>
      </c>
      <c r="C360" s="16" t="s">
        <v>183</v>
      </c>
      <c r="D360" s="23">
        <v>10</v>
      </c>
      <c r="E360" s="24">
        <v>228828.828829</v>
      </c>
    </row>
    <row r="361" s="29" customFormat="1" ht="41" spans="2:5">
      <c r="B361" s="19" t="s">
        <v>367</v>
      </c>
      <c r="C361" s="20" t="s">
        <v>182</v>
      </c>
      <c r="D361" s="21">
        <v>4</v>
      </c>
      <c r="E361" s="22">
        <v>0</v>
      </c>
    </row>
    <row r="362" s="29" customFormat="1" ht="28" spans="2:5">
      <c r="B362" s="19" t="s">
        <v>367</v>
      </c>
      <c r="C362" s="20" t="s">
        <v>804</v>
      </c>
      <c r="D362" s="21">
        <v>4</v>
      </c>
      <c r="E362" s="22">
        <v>0</v>
      </c>
    </row>
    <row r="363" s="29" customFormat="1" ht="28" spans="2:5">
      <c r="B363" s="19" t="s">
        <v>367</v>
      </c>
      <c r="C363" s="16" t="s">
        <v>183</v>
      </c>
      <c r="D363" s="23">
        <v>8</v>
      </c>
      <c r="E363" s="24">
        <v>0</v>
      </c>
    </row>
    <row r="364" s="29" customFormat="1" ht="41" spans="2:5">
      <c r="B364" s="19" t="s">
        <v>368</v>
      </c>
      <c r="C364" s="20" t="s">
        <v>182</v>
      </c>
      <c r="D364" s="21">
        <v>4</v>
      </c>
      <c r="E364" s="22">
        <v>0</v>
      </c>
    </row>
    <row r="365" s="29" customFormat="1" ht="28" spans="2:5">
      <c r="B365" s="19" t="s">
        <v>368</v>
      </c>
      <c r="C365" s="16" t="s">
        <v>183</v>
      </c>
      <c r="D365" s="23">
        <v>4</v>
      </c>
      <c r="E365" s="24">
        <v>0</v>
      </c>
    </row>
    <row r="366" s="29" customFormat="1" ht="41" spans="2:5">
      <c r="B366" s="19" t="s">
        <v>422</v>
      </c>
      <c r="C366" s="20" t="s">
        <v>182</v>
      </c>
      <c r="D366" s="21">
        <v>4</v>
      </c>
      <c r="E366" s="22">
        <v>0</v>
      </c>
    </row>
    <row r="367" s="29" customFormat="1" ht="28.75" spans="2:5">
      <c r="B367" s="19" t="s">
        <v>422</v>
      </c>
      <c r="C367" s="16" t="s">
        <v>183</v>
      </c>
      <c r="D367" s="23">
        <v>4</v>
      </c>
      <c r="E367" s="24">
        <v>0</v>
      </c>
    </row>
    <row r="368" s="29" customFormat="1" spans="2:5">
      <c r="B368" s="25"/>
      <c r="C368" s="25"/>
      <c r="D368" s="25"/>
      <c r="E368" s="25"/>
    </row>
    <row r="369" s="29" customFormat="1" ht="36" spans="2:5">
      <c r="B369" s="26" t="s">
        <v>189</v>
      </c>
      <c r="C369" s="26" t="s">
        <v>189</v>
      </c>
      <c r="D369" s="26" t="s">
        <v>189</v>
      </c>
      <c r="E369" s="26" t="s">
        <v>189</v>
      </c>
    </row>
    <row r="370" s="29" customFormat="1" spans="2:5">
      <c r="B370" s="26"/>
      <c r="C370" s="26"/>
      <c r="D370" s="26"/>
      <c r="E370" s="26"/>
    </row>
    <row r="371" s="29" customFormat="1" ht="36" spans="2:5">
      <c r="B371" s="26" t="s">
        <v>958</v>
      </c>
      <c r="C371" s="26" t="s">
        <v>958</v>
      </c>
      <c r="D371" s="26" t="s">
        <v>958</v>
      </c>
      <c r="E371" s="26" t="s">
        <v>958</v>
      </c>
    </row>
    <row r="372" s="29" customFormat="1" spans="2:5">
      <c r="B372" s="26" t="s">
        <v>296</v>
      </c>
      <c r="C372" s="26" t="s">
        <v>296</v>
      </c>
      <c r="D372" s="26" t="s">
        <v>296</v>
      </c>
      <c r="E372" s="26" t="s">
        <v>296</v>
      </c>
    </row>
    <row r="373" s="29" customFormat="1" ht="124" spans="2:5">
      <c r="B373" s="11" t="s">
        <v>173</v>
      </c>
      <c r="C373" s="11" t="s">
        <v>173</v>
      </c>
      <c r="D373" s="11" t="s">
        <v>173</v>
      </c>
      <c r="E373" s="11" t="s">
        <v>173</v>
      </c>
    </row>
    <row r="374" s="29" customFormat="1" ht="156" spans="2:5">
      <c r="B374" s="12" t="s">
        <v>174</v>
      </c>
      <c r="C374" s="12" t="s">
        <v>174</v>
      </c>
      <c r="D374" s="12" t="s">
        <v>174</v>
      </c>
      <c r="E374" s="12" t="s">
        <v>174</v>
      </c>
    </row>
    <row r="375" s="29" customFormat="1" ht="68" spans="2:5">
      <c r="B375" s="13" t="s">
        <v>951</v>
      </c>
      <c r="C375" s="13" t="s">
        <v>951</v>
      </c>
      <c r="D375" s="13" t="s">
        <v>951</v>
      </c>
      <c r="E375" s="13" t="s">
        <v>951</v>
      </c>
    </row>
    <row r="376" s="29" customFormat="1" ht="22" spans="2:5">
      <c r="B376" s="14" t="s">
        <v>176</v>
      </c>
      <c r="C376" s="14" t="s">
        <v>176</v>
      </c>
      <c r="D376" s="14" t="s">
        <v>176</v>
      </c>
      <c r="E376" s="14" t="s">
        <v>176</v>
      </c>
    </row>
    <row r="377" s="29" customFormat="1" spans="2:5">
      <c r="B377" s="15" t="s">
        <v>177</v>
      </c>
      <c r="C377" s="16" t="s">
        <v>178</v>
      </c>
      <c r="D377" s="17" t="s">
        <v>179</v>
      </c>
      <c r="E377" s="18" t="s">
        <v>180</v>
      </c>
    </row>
    <row r="378" s="29" customFormat="1" ht="41" spans="2:5">
      <c r="B378" s="19" t="s">
        <v>495</v>
      </c>
      <c r="C378" s="20" t="s">
        <v>182</v>
      </c>
      <c r="D378" s="21">
        <v>8</v>
      </c>
      <c r="E378" s="22">
        <v>0</v>
      </c>
    </row>
    <row r="379" s="29" customFormat="1" ht="28" spans="2:5">
      <c r="B379" s="19" t="s">
        <v>495</v>
      </c>
      <c r="C379" s="16" t="s">
        <v>183</v>
      </c>
      <c r="D379" s="23">
        <v>8</v>
      </c>
      <c r="E379" s="24">
        <v>0</v>
      </c>
    </row>
    <row r="380" s="29" customFormat="1" ht="41" spans="2:5">
      <c r="B380" s="19" t="s">
        <v>423</v>
      </c>
      <c r="C380" s="20" t="s">
        <v>182</v>
      </c>
      <c r="D380" s="21">
        <v>2</v>
      </c>
      <c r="E380" s="22">
        <v>0</v>
      </c>
    </row>
    <row r="381" s="29" customFormat="1" ht="28" spans="2:5">
      <c r="B381" s="19" t="s">
        <v>423</v>
      </c>
      <c r="C381" s="16" t="s">
        <v>183</v>
      </c>
      <c r="D381" s="23">
        <v>2</v>
      </c>
      <c r="E381" s="24">
        <v>0</v>
      </c>
    </row>
    <row r="382" s="29" customFormat="1" ht="41" spans="2:5">
      <c r="B382" s="19" t="s">
        <v>976</v>
      </c>
      <c r="C382" s="20" t="s">
        <v>182</v>
      </c>
      <c r="D382" s="21">
        <v>1</v>
      </c>
      <c r="E382" s="22">
        <v>362500</v>
      </c>
    </row>
    <row r="383" s="29" customFormat="1" ht="28" spans="2:5">
      <c r="B383" s="19" t="s">
        <v>976</v>
      </c>
      <c r="C383" s="16" t="s">
        <v>183</v>
      </c>
      <c r="D383" s="23">
        <v>1</v>
      </c>
      <c r="E383" s="24">
        <v>362500</v>
      </c>
    </row>
    <row r="384" s="29" customFormat="1" ht="41" spans="2:5">
      <c r="B384" s="19" t="s">
        <v>977</v>
      </c>
      <c r="C384" s="20" t="s">
        <v>182</v>
      </c>
      <c r="D384" s="21">
        <v>1</v>
      </c>
      <c r="E384" s="22">
        <v>240000</v>
      </c>
    </row>
    <row r="385" s="29" customFormat="1" ht="28" spans="2:5">
      <c r="B385" s="19" t="s">
        <v>977</v>
      </c>
      <c r="C385" s="16" t="s">
        <v>183</v>
      </c>
      <c r="D385" s="23">
        <v>1</v>
      </c>
      <c r="E385" s="24">
        <v>240000</v>
      </c>
    </row>
    <row r="386" s="29" customFormat="1" ht="41" spans="2:5">
      <c r="B386" s="19" t="s">
        <v>978</v>
      </c>
      <c r="C386" s="20" t="s">
        <v>182</v>
      </c>
      <c r="D386" s="21">
        <v>1</v>
      </c>
      <c r="E386" s="22">
        <v>152740.286299</v>
      </c>
    </row>
    <row r="387" s="29" customFormat="1" spans="2:5">
      <c r="B387" s="19" t="s">
        <v>978</v>
      </c>
      <c r="C387" s="16" t="s">
        <v>183</v>
      </c>
      <c r="D387" s="23">
        <v>1</v>
      </c>
      <c r="E387" s="24">
        <v>152740.286299</v>
      </c>
    </row>
    <row r="388" s="29" customFormat="1" ht="41" spans="2:5">
      <c r="B388" s="19" t="s">
        <v>424</v>
      </c>
      <c r="C388" s="20" t="s">
        <v>182</v>
      </c>
      <c r="D388" s="21">
        <v>67</v>
      </c>
      <c r="E388" s="22">
        <v>553152.63063</v>
      </c>
    </row>
    <row r="389" s="29" customFormat="1" ht="28" spans="2:5">
      <c r="B389" s="19" t="s">
        <v>424</v>
      </c>
      <c r="C389" s="20" t="s">
        <v>804</v>
      </c>
      <c r="D389" s="21">
        <v>28</v>
      </c>
      <c r="E389" s="22">
        <v>0</v>
      </c>
    </row>
    <row r="390" s="29" customFormat="1" ht="28.75" spans="2:5">
      <c r="B390" s="19" t="s">
        <v>424</v>
      </c>
      <c r="C390" s="16" t="s">
        <v>183</v>
      </c>
      <c r="D390" s="23">
        <v>95</v>
      </c>
      <c r="E390" s="24">
        <v>553152.63063</v>
      </c>
    </row>
    <row r="391" s="29" customFormat="1" spans="2:5">
      <c r="B391" s="25"/>
      <c r="C391" s="25"/>
      <c r="D391" s="25"/>
      <c r="E391" s="25"/>
    </row>
    <row r="392" s="29" customFormat="1" ht="36" spans="2:5">
      <c r="B392" s="26" t="s">
        <v>189</v>
      </c>
      <c r="C392" s="26" t="s">
        <v>189</v>
      </c>
      <c r="D392" s="26" t="s">
        <v>189</v>
      </c>
      <c r="E392" s="26" t="s">
        <v>189</v>
      </c>
    </row>
    <row r="393" s="29" customFormat="1" spans="2:5">
      <c r="B393" s="26"/>
      <c r="C393" s="26"/>
      <c r="D393" s="26"/>
      <c r="E393" s="26"/>
    </row>
    <row r="394" s="29" customFormat="1" ht="36" spans="2:5">
      <c r="B394" s="26" t="s">
        <v>958</v>
      </c>
      <c r="C394" s="26" t="s">
        <v>958</v>
      </c>
      <c r="D394" s="26" t="s">
        <v>958</v>
      </c>
      <c r="E394" s="26" t="s">
        <v>958</v>
      </c>
    </row>
    <row r="395" s="29" customFormat="1" spans="2:5">
      <c r="B395" s="26" t="s">
        <v>303</v>
      </c>
      <c r="C395" s="26" t="s">
        <v>303</v>
      </c>
      <c r="D395" s="26" t="s">
        <v>303</v>
      </c>
      <c r="E395" s="26" t="s">
        <v>303</v>
      </c>
    </row>
    <row r="396" s="29" customFormat="1" ht="124" spans="2:5">
      <c r="B396" s="11" t="s">
        <v>173</v>
      </c>
      <c r="C396" s="11" t="s">
        <v>173</v>
      </c>
      <c r="D396" s="11" t="s">
        <v>173</v>
      </c>
      <c r="E396" s="11" t="s">
        <v>173</v>
      </c>
    </row>
    <row r="397" s="29" customFormat="1" ht="156" spans="2:5">
      <c r="B397" s="12" t="s">
        <v>174</v>
      </c>
      <c r="C397" s="12" t="s">
        <v>174</v>
      </c>
      <c r="D397" s="12" t="s">
        <v>174</v>
      </c>
      <c r="E397" s="12" t="s">
        <v>174</v>
      </c>
    </row>
    <row r="398" s="29" customFormat="1" ht="68" spans="2:5">
      <c r="B398" s="13" t="s">
        <v>951</v>
      </c>
      <c r="C398" s="13" t="s">
        <v>951</v>
      </c>
      <c r="D398" s="13" t="s">
        <v>951</v>
      </c>
      <c r="E398" s="13" t="s">
        <v>951</v>
      </c>
    </row>
    <row r="399" s="29" customFormat="1" ht="22" spans="2:5">
      <c r="B399" s="14" t="s">
        <v>176</v>
      </c>
      <c r="C399" s="14" t="s">
        <v>176</v>
      </c>
      <c r="D399" s="14" t="s">
        <v>176</v>
      </c>
      <c r="E399" s="14" t="s">
        <v>176</v>
      </c>
    </row>
    <row r="400" s="29" customFormat="1" spans="2:5">
      <c r="B400" s="15" t="s">
        <v>177</v>
      </c>
      <c r="C400" s="16" t="s">
        <v>178</v>
      </c>
      <c r="D400" s="17" t="s">
        <v>179</v>
      </c>
      <c r="E400" s="18" t="s">
        <v>180</v>
      </c>
    </row>
    <row r="401" s="29" customFormat="1" ht="41" spans="2:5">
      <c r="B401" s="19" t="s">
        <v>827</v>
      </c>
      <c r="C401" s="20" t="s">
        <v>182</v>
      </c>
      <c r="D401" s="21">
        <v>1</v>
      </c>
      <c r="E401" s="22">
        <v>163063.063063</v>
      </c>
    </row>
    <row r="402" s="29" customFormat="1" ht="28" spans="2:5">
      <c r="B402" s="19" t="s">
        <v>827</v>
      </c>
      <c r="C402" s="20" t="s">
        <v>804</v>
      </c>
      <c r="D402" s="21">
        <v>2</v>
      </c>
      <c r="E402" s="22">
        <v>409009.00901</v>
      </c>
    </row>
    <row r="403" s="29" customFormat="1" spans="2:5">
      <c r="B403" s="19" t="s">
        <v>827</v>
      </c>
      <c r="C403" s="16" t="s">
        <v>183</v>
      </c>
      <c r="D403" s="23">
        <v>3</v>
      </c>
      <c r="E403" s="24">
        <v>572072.072073</v>
      </c>
    </row>
    <row r="404" s="29" customFormat="1" ht="41" spans="2:5">
      <c r="B404" s="19" t="s">
        <v>689</v>
      </c>
      <c r="C404" s="20" t="s">
        <v>182</v>
      </c>
      <c r="D404" s="21">
        <v>6</v>
      </c>
      <c r="E404" s="22">
        <v>710970.908262</v>
      </c>
    </row>
    <row r="405" s="29" customFormat="1" spans="2:5">
      <c r="B405" s="19" t="s">
        <v>689</v>
      </c>
      <c r="C405" s="16" t="s">
        <v>183</v>
      </c>
      <c r="D405" s="23">
        <v>6</v>
      </c>
      <c r="E405" s="24">
        <v>710970.908262</v>
      </c>
    </row>
    <row r="406" s="29" customFormat="1" ht="41" spans="2:5">
      <c r="B406" s="19" t="s">
        <v>828</v>
      </c>
      <c r="C406" s="20" t="s">
        <v>182</v>
      </c>
      <c r="D406" s="21">
        <v>3</v>
      </c>
      <c r="E406" s="22">
        <v>304504.504504</v>
      </c>
    </row>
    <row r="407" s="29" customFormat="1" spans="2:5">
      <c r="B407" s="19" t="s">
        <v>828</v>
      </c>
      <c r="C407" s="16" t="s">
        <v>183</v>
      </c>
      <c r="D407" s="23">
        <v>3</v>
      </c>
      <c r="E407" s="24">
        <v>304504.504504</v>
      </c>
    </row>
    <row r="408" s="29" customFormat="1" ht="41" spans="2:5">
      <c r="B408" s="19" t="s">
        <v>829</v>
      </c>
      <c r="C408" s="20" t="s">
        <v>182</v>
      </c>
      <c r="D408" s="21">
        <v>2</v>
      </c>
      <c r="E408" s="22">
        <v>189189.18919</v>
      </c>
    </row>
    <row r="409" s="29" customFormat="1" ht="28" spans="2:5">
      <c r="B409" s="19" t="s">
        <v>829</v>
      </c>
      <c r="C409" s="20" t="s">
        <v>804</v>
      </c>
      <c r="D409" s="21">
        <v>1</v>
      </c>
      <c r="E409" s="22">
        <v>94595</v>
      </c>
    </row>
    <row r="410" s="29" customFormat="1" spans="2:5">
      <c r="B410" s="19" t="s">
        <v>829</v>
      </c>
      <c r="C410" s="16" t="s">
        <v>183</v>
      </c>
      <c r="D410" s="23">
        <v>3</v>
      </c>
      <c r="E410" s="24">
        <v>283784.18919</v>
      </c>
    </row>
    <row r="411" s="29" customFormat="1" ht="41" spans="2:5">
      <c r="B411" s="19" t="s">
        <v>979</v>
      </c>
      <c r="C411" s="20" t="s">
        <v>182</v>
      </c>
      <c r="D411" s="21">
        <v>2</v>
      </c>
      <c r="E411" s="22">
        <v>218018.018018</v>
      </c>
    </row>
    <row r="412" s="29" customFormat="1" spans="2:5">
      <c r="B412" s="19" t="s">
        <v>979</v>
      </c>
      <c r="C412" s="16" t="s">
        <v>183</v>
      </c>
      <c r="D412" s="23">
        <v>2</v>
      </c>
      <c r="E412" s="24">
        <v>218018.018018</v>
      </c>
    </row>
    <row r="413" s="29" customFormat="1" ht="41.75" spans="2:5">
      <c r="B413" s="20" t="s">
        <v>690</v>
      </c>
      <c r="C413" s="20" t="s">
        <v>182</v>
      </c>
      <c r="D413" s="21">
        <v>1</v>
      </c>
      <c r="E413" s="22">
        <v>107207.207207</v>
      </c>
    </row>
    <row r="414" s="29" customFormat="1" spans="2:5">
      <c r="B414" s="25"/>
      <c r="C414" s="25"/>
      <c r="D414" s="25"/>
      <c r="E414" s="25"/>
    </row>
    <row r="415" s="29" customFormat="1" ht="36" spans="2:5">
      <c r="B415" s="26" t="s">
        <v>189</v>
      </c>
      <c r="C415" s="26" t="s">
        <v>189</v>
      </c>
      <c r="D415" s="26" t="s">
        <v>189</v>
      </c>
      <c r="E415" s="26" t="s">
        <v>189</v>
      </c>
    </row>
    <row r="416" s="29" customFormat="1" spans="2:5">
      <c r="B416" s="26"/>
      <c r="C416" s="26"/>
      <c r="D416" s="26"/>
      <c r="E416" s="26"/>
    </row>
    <row r="417" s="29" customFormat="1" ht="36" spans="2:5">
      <c r="B417" s="26" t="s">
        <v>958</v>
      </c>
      <c r="C417" s="26" t="s">
        <v>958</v>
      </c>
      <c r="D417" s="26" t="s">
        <v>958</v>
      </c>
      <c r="E417" s="26" t="s">
        <v>958</v>
      </c>
    </row>
    <row r="418" s="29" customFormat="1" spans="2:5">
      <c r="B418" s="26" t="s">
        <v>310</v>
      </c>
      <c r="C418" s="26" t="s">
        <v>310</v>
      </c>
      <c r="D418" s="26" t="s">
        <v>310</v>
      </c>
      <c r="E418" s="26" t="s">
        <v>310</v>
      </c>
    </row>
    <row r="419" s="29" customFormat="1" ht="124" spans="2:5">
      <c r="B419" s="11" t="s">
        <v>173</v>
      </c>
      <c r="C419" s="11" t="s">
        <v>173</v>
      </c>
      <c r="D419" s="11" t="s">
        <v>173</v>
      </c>
      <c r="E419" s="11" t="s">
        <v>173</v>
      </c>
    </row>
    <row r="420" s="29" customFormat="1" ht="156" spans="2:5">
      <c r="B420" s="12" t="s">
        <v>174</v>
      </c>
      <c r="C420" s="12" t="s">
        <v>174</v>
      </c>
      <c r="D420" s="12" t="s">
        <v>174</v>
      </c>
      <c r="E420" s="12" t="s">
        <v>174</v>
      </c>
    </row>
    <row r="421" s="29" customFormat="1" ht="68" spans="2:5">
      <c r="B421" s="13" t="s">
        <v>951</v>
      </c>
      <c r="C421" s="13" t="s">
        <v>951</v>
      </c>
      <c r="D421" s="13" t="s">
        <v>951</v>
      </c>
      <c r="E421" s="13" t="s">
        <v>951</v>
      </c>
    </row>
    <row r="422" s="29" customFormat="1" ht="22" spans="2:5">
      <c r="B422" s="14" t="s">
        <v>176</v>
      </c>
      <c r="C422" s="14" t="s">
        <v>176</v>
      </c>
      <c r="D422" s="14" t="s">
        <v>176</v>
      </c>
      <c r="E422" s="14" t="s">
        <v>176</v>
      </c>
    </row>
    <row r="423" s="29" customFormat="1" spans="2:5">
      <c r="B423" s="15" t="s">
        <v>177</v>
      </c>
      <c r="C423" s="16" t="s">
        <v>178</v>
      </c>
      <c r="D423" s="17" t="s">
        <v>179</v>
      </c>
      <c r="E423" s="18" t="s">
        <v>180</v>
      </c>
    </row>
    <row r="424" s="29" customFormat="1" ht="28" spans="2:5">
      <c r="B424" s="19" t="s">
        <v>690</v>
      </c>
      <c r="C424" s="20" t="s">
        <v>804</v>
      </c>
      <c r="D424" s="21">
        <v>1</v>
      </c>
      <c r="E424" s="22">
        <v>107207.207207</v>
      </c>
    </row>
    <row r="425" s="29" customFormat="1" spans="2:5">
      <c r="B425" s="19" t="s">
        <v>690</v>
      </c>
      <c r="C425" s="16" t="s">
        <v>183</v>
      </c>
      <c r="D425" s="23">
        <v>2</v>
      </c>
      <c r="E425" s="24">
        <v>214414.414414</v>
      </c>
    </row>
    <row r="426" s="29" customFormat="1" ht="41" spans="2:5">
      <c r="B426" s="19" t="s">
        <v>980</v>
      </c>
      <c r="C426" s="20" t="s">
        <v>182</v>
      </c>
      <c r="D426" s="21">
        <v>2</v>
      </c>
      <c r="E426" s="22">
        <v>257657.657658</v>
      </c>
    </row>
    <row r="427" s="29" customFormat="1" spans="2:5">
      <c r="B427" s="19" t="s">
        <v>980</v>
      </c>
      <c r="C427" s="16" t="s">
        <v>183</v>
      </c>
      <c r="D427" s="23">
        <v>2</v>
      </c>
      <c r="E427" s="24">
        <v>257657.657658</v>
      </c>
    </row>
    <row r="428" s="29" customFormat="1" ht="41" spans="2:5">
      <c r="B428" s="19" t="s">
        <v>691</v>
      </c>
      <c r="C428" s="20" t="s">
        <v>182</v>
      </c>
      <c r="D428" s="21">
        <v>2</v>
      </c>
      <c r="E428" s="22">
        <v>196396.396396</v>
      </c>
    </row>
    <row r="429" s="29" customFormat="1" spans="2:5">
      <c r="B429" s="19" t="s">
        <v>691</v>
      </c>
      <c r="C429" s="16" t="s">
        <v>183</v>
      </c>
      <c r="D429" s="23">
        <v>2</v>
      </c>
      <c r="E429" s="24">
        <v>196396.396396</v>
      </c>
    </row>
    <row r="430" s="29" customFormat="1" ht="28" spans="2:5">
      <c r="B430" s="19" t="s">
        <v>830</v>
      </c>
      <c r="C430" s="20" t="s">
        <v>804</v>
      </c>
      <c r="D430" s="21">
        <v>1</v>
      </c>
      <c r="E430" s="22">
        <v>83783.783784</v>
      </c>
    </row>
    <row r="431" s="29" customFormat="1" spans="2:5">
      <c r="B431" s="19" t="s">
        <v>830</v>
      </c>
      <c r="C431" s="16" t="s">
        <v>183</v>
      </c>
      <c r="D431" s="23">
        <v>1</v>
      </c>
      <c r="E431" s="24">
        <v>83783.783784</v>
      </c>
    </row>
    <row r="432" s="29" customFormat="1" ht="41" spans="2:5">
      <c r="B432" s="19" t="s">
        <v>831</v>
      </c>
      <c r="C432" s="20" t="s">
        <v>182</v>
      </c>
      <c r="D432" s="21">
        <v>1</v>
      </c>
      <c r="E432" s="22">
        <v>74774.774775</v>
      </c>
    </row>
    <row r="433" s="29" customFormat="1" spans="2:5">
      <c r="B433" s="19" t="s">
        <v>831</v>
      </c>
      <c r="C433" s="16" t="s">
        <v>183</v>
      </c>
      <c r="D433" s="23">
        <v>1</v>
      </c>
      <c r="E433" s="24">
        <v>74774.774775</v>
      </c>
    </row>
    <row r="434" s="29" customFormat="1" ht="41" spans="2:5">
      <c r="B434" s="19" t="s">
        <v>832</v>
      </c>
      <c r="C434" s="20" t="s">
        <v>182</v>
      </c>
      <c r="D434" s="21">
        <v>1</v>
      </c>
      <c r="E434" s="22">
        <v>162162.162162</v>
      </c>
    </row>
    <row r="435" s="29" customFormat="1" ht="28" spans="2:5">
      <c r="B435" s="19" t="s">
        <v>832</v>
      </c>
      <c r="C435" s="20" t="s">
        <v>804</v>
      </c>
      <c r="D435" s="21">
        <v>2</v>
      </c>
      <c r="E435" s="22">
        <v>324324.567567</v>
      </c>
    </row>
    <row r="436" s="29" customFormat="1" spans="2:5">
      <c r="B436" s="19" t="s">
        <v>832</v>
      </c>
      <c r="C436" s="16" t="s">
        <v>183</v>
      </c>
      <c r="D436" s="23">
        <v>3</v>
      </c>
      <c r="E436" s="24">
        <v>486486.729729</v>
      </c>
    </row>
    <row r="437" s="29" customFormat="1" ht="41.75" spans="2:5">
      <c r="B437" s="20" t="s">
        <v>833</v>
      </c>
      <c r="C437" s="20" t="s">
        <v>182</v>
      </c>
      <c r="D437" s="21">
        <v>2</v>
      </c>
      <c r="E437" s="22">
        <v>186486.486486</v>
      </c>
    </row>
    <row r="438" s="29" customFormat="1" spans="2:5">
      <c r="B438" s="25"/>
      <c r="C438" s="25"/>
      <c r="D438" s="25"/>
      <c r="E438" s="25"/>
    </row>
    <row r="439" s="29" customFormat="1" ht="36" spans="2:5">
      <c r="B439" s="26" t="s">
        <v>189</v>
      </c>
      <c r="C439" s="26" t="s">
        <v>189</v>
      </c>
      <c r="D439" s="26" t="s">
        <v>189</v>
      </c>
      <c r="E439" s="26" t="s">
        <v>189</v>
      </c>
    </row>
    <row r="440" s="29" customFormat="1" spans="2:5">
      <c r="B440" s="26"/>
      <c r="C440" s="26"/>
      <c r="D440" s="26"/>
      <c r="E440" s="26"/>
    </row>
    <row r="441" s="29" customFormat="1" ht="36" spans="2:5">
      <c r="B441" s="26" t="s">
        <v>958</v>
      </c>
      <c r="C441" s="26" t="s">
        <v>958</v>
      </c>
      <c r="D441" s="26" t="s">
        <v>958</v>
      </c>
      <c r="E441" s="26" t="s">
        <v>958</v>
      </c>
    </row>
    <row r="442" s="29" customFormat="1" spans="2:5">
      <c r="B442" s="26" t="s">
        <v>317</v>
      </c>
      <c r="C442" s="26" t="s">
        <v>317</v>
      </c>
      <c r="D442" s="26" t="s">
        <v>317</v>
      </c>
      <c r="E442" s="26" t="s">
        <v>317</v>
      </c>
    </row>
    <row r="443" s="29" customFormat="1" ht="124" spans="2:5">
      <c r="B443" s="11" t="s">
        <v>173</v>
      </c>
      <c r="C443" s="11" t="s">
        <v>173</v>
      </c>
      <c r="D443" s="11" t="s">
        <v>173</v>
      </c>
      <c r="E443" s="11" t="s">
        <v>173</v>
      </c>
    </row>
    <row r="444" s="29" customFormat="1" ht="156" spans="2:5">
      <c r="B444" s="12" t="s">
        <v>174</v>
      </c>
      <c r="C444" s="12" t="s">
        <v>174</v>
      </c>
      <c r="D444" s="12" t="s">
        <v>174</v>
      </c>
      <c r="E444" s="12" t="s">
        <v>174</v>
      </c>
    </row>
    <row r="445" s="29" customFormat="1" ht="68" spans="2:5">
      <c r="B445" s="13" t="s">
        <v>951</v>
      </c>
      <c r="C445" s="13" t="s">
        <v>951</v>
      </c>
      <c r="D445" s="13" t="s">
        <v>951</v>
      </c>
      <c r="E445" s="13" t="s">
        <v>951</v>
      </c>
    </row>
    <row r="446" s="29" customFormat="1" ht="22" spans="2:5">
      <c r="B446" s="14" t="s">
        <v>176</v>
      </c>
      <c r="C446" s="14" t="s">
        <v>176</v>
      </c>
      <c r="D446" s="14" t="s">
        <v>176</v>
      </c>
      <c r="E446" s="14" t="s">
        <v>176</v>
      </c>
    </row>
    <row r="447" s="29" customFormat="1" spans="2:5">
      <c r="B447" s="15" t="s">
        <v>177</v>
      </c>
      <c r="C447" s="16" t="s">
        <v>178</v>
      </c>
      <c r="D447" s="17" t="s">
        <v>179</v>
      </c>
      <c r="E447" s="18" t="s">
        <v>180</v>
      </c>
    </row>
    <row r="448" s="29" customFormat="1" ht="28" spans="2:5">
      <c r="B448" s="19" t="s">
        <v>833</v>
      </c>
      <c r="C448" s="20" t="s">
        <v>804</v>
      </c>
      <c r="D448" s="21">
        <v>1</v>
      </c>
      <c r="E448" s="22">
        <v>93243.243243</v>
      </c>
    </row>
    <row r="449" s="29" customFormat="1" spans="2:5">
      <c r="B449" s="19" t="s">
        <v>833</v>
      </c>
      <c r="C449" s="16" t="s">
        <v>183</v>
      </c>
      <c r="D449" s="23">
        <v>3</v>
      </c>
      <c r="E449" s="24">
        <v>279729.729729</v>
      </c>
    </row>
    <row r="450" s="29" customFormat="1" ht="41" spans="2:5">
      <c r="B450" s="19" t="s">
        <v>981</v>
      </c>
      <c r="C450" s="20" t="s">
        <v>182</v>
      </c>
      <c r="D450" s="21">
        <v>1</v>
      </c>
      <c r="E450" s="22">
        <v>111261.261261</v>
      </c>
    </row>
    <row r="451" s="29" customFormat="1" spans="2:5">
      <c r="B451" s="19" t="s">
        <v>981</v>
      </c>
      <c r="C451" s="16" t="s">
        <v>183</v>
      </c>
      <c r="D451" s="23">
        <v>1</v>
      </c>
      <c r="E451" s="24">
        <v>111261.261261</v>
      </c>
    </row>
    <row r="452" s="29" customFormat="1" ht="41" spans="2:5">
      <c r="B452" s="19" t="s">
        <v>835</v>
      </c>
      <c r="C452" s="20" t="s">
        <v>182</v>
      </c>
      <c r="D452" s="21">
        <v>1</v>
      </c>
      <c r="E452" s="22">
        <v>79729.72973</v>
      </c>
    </row>
    <row r="453" s="29" customFormat="1" spans="2:5">
      <c r="B453" s="19" t="s">
        <v>835</v>
      </c>
      <c r="C453" s="16" t="s">
        <v>183</v>
      </c>
      <c r="D453" s="23">
        <v>1</v>
      </c>
      <c r="E453" s="24">
        <v>79729.72973</v>
      </c>
    </row>
    <row r="454" s="29" customFormat="1" ht="41" spans="2:5">
      <c r="B454" s="19" t="s">
        <v>426</v>
      </c>
      <c r="C454" s="20" t="s">
        <v>182</v>
      </c>
      <c r="D454" s="21">
        <v>38</v>
      </c>
      <c r="E454" s="22">
        <v>0</v>
      </c>
    </row>
    <row r="455" s="29" customFormat="1" spans="2:5">
      <c r="B455" s="19" t="s">
        <v>426</v>
      </c>
      <c r="C455" s="16" t="s">
        <v>183</v>
      </c>
      <c r="D455" s="23">
        <v>38</v>
      </c>
      <c r="E455" s="24">
        <v>0</v>
      </c>
    </row>
    <row r="456" s="29" customFormat="1" ht="41" spans="2:5">
      <c r="B456" s="19" t="s">
        <v>498</v>
      </c>
      <c r="C456" s="20" t="s">
        <v>182</v>
      </c>
      <c r="D456" s="21">
        <v>2</v>
      </c>
      <c r="E456" s="22">
        <v>0</v>
      </c>
    </row>
    <row r="457" s="29" customFormat="1" spans="2:5">
      <c r="B457" s="19" t="s">
        <v>498</v>
      </c>
      <c r="C457" s="16" t="s">
        <v>183</v>
      </c>
      <c r="D457" s="23">
        <v>2</v>
      </c>
      <c r="E457" s="24">
        <v>0</v>
      </c>
    </row>
    <row r="458" s="29" customFormat="1" ht="41" spans="2:5">
      <c r="B458" s="19" t="s">
        <v>427</v>
      </c>
      <c r="C458" s="20" t="s">
        <v>182</v>
      </c>
      <c r="D458" s="21">
        <v>6</v>
      </c>
      <c r="E458" s="22">
        <v>0</v>
      </c>
    </row>
    <row r="459" s="29" customFormat="1" ht="28" spans="2:5">
      <c r="B459" s="19" t="s">
        <v>427</v>
      </c>
      <c r="C459" s="20" t="s">
        <v>804</v>
      </c>
      <c r="D459" s="21">
        <v>2</v>
      </c>
      <c r="E459" s="22">
        <v>0</v>
      </c>
    </row>
    <row r="460" s="29" customFormat="1" ht="17.55" spans="2:5">
      <c r="B460" s="19" t="s">
        <v>427</v>
      </c>
      <c r="C460" s="16" t="s">
        <v>183</v>
      </c>
      <c r="D460" s="23">
        <v>8</v>
      </c>
      <c r="E460" s="24">
        <v>0</v>
      </c>
    </row>
    <row r="461" s="29" customFormat="1" spans="2:5">
      <c r="B461" s="25"/>
      <c r="C461" s="25"/>
      <c r="D461" s="25"/>
      <c r="E461" s="25"/>
    </row>
    <row r="462" s="29" customFormat="1" ht="36" spans="2:5">
      <c r="B462" s="26" t="s">
        <v>189</v>
      </c>
      <c r="C462" s="26" t="s">
        <v>189</v>
      </c>
      <c r="D462" s="26" t="s">
        <v>189</v>
      </c>
      <c r="E462" s="26" t="s">
        <v>189</v>
      </c>
    </row>
    <row r="463" s="29" customFormat="1" spans="2:5">
      <c r="B463" s="26"/>
      <c r="C463" s="26"/>
      <c r="D463" s="26"/>
      <c r="E463" s="26"/>
    </row>
    <row r="464" s="29" customFormat="1" ht="36" spans="2:5">
      <c r="B464" s="26" t="s">
        <v>958</v>
      </c>
      <c r="C464" s="26" t="s">
        <v>958</v>
      </c>
      <c r="D464" s="26" t="s">
        <v>958</v>
      </c>
      <c r="E464" s="26" t="s">
        <v>958</v>
      </c>
    </row>
    <row r="465" s="29" customFormat="1" spans="2:5">
      <c r="B465" s="26" t="s">
        <v>324</v>
      </c>
      <c r="C465" s="26" t="s">
        <v>324</v>
      </c>
      <c r="D465" s="26" t="s">
        <v>324</v>
      </c>
      <c r="E465" s="26" t="s">
        <v>324</v>
      </c>
    </row>
    <row r="466" s="29" customFormat="1" ht="124" spans="2:5">
      <c r="B466" s="11" t="s">
        <v>173</v>
      </c>
      <c r="C466" s="11" t="s">
        <v>173</v>
      </c>
      <c r="D466" s="11" t="s">
        <v>173</v>
      </c>
      <c r="E466" s="11" t="s">
        <v>173</v>
      </c>
    </row>
    <row r="467" s="29" customFormat="1" ht="156" spans="2:5">
      <c r="B467" s="12" t="s">
        <v>174</v>
      </c>
      <c r="C467" s="12" t="s">
        <v>174</v>
      </c>
      <c r="D467" s="12" t="s">
        <v>174</v>
      </c>
      <c r="E467" s="12" t="s">
        <v>174</v>
      </c>
    </row>
    <row r="468" s="29" customFormat="1" ht="68" spans="2:5">
      <c r="B468" s="13" t="s">
        <v>951</v>
      </c>
      <c r="C468" s="13" t="s">
        <v>951</v>
      </c>
      <c r="D468" s="13" t="s">
        <v>951</v>
      </c>
      <c r="E468" s="13" t="s">
        <v>951</v>
      </c>
    </row>
    <row r="469" s="29" customFormat="1" ht="22" spans="2:5">
      <c r="B469" s="14" t="s">
        <v>176</v>
      </c>
      <c r="C469" s="14" t="s">
        <v>176</v>
      </c>
      <c r="D469" s="14" t="s">
        <v>176</v>
      </c>
      <c r="E469" s="14" t="s">
        <v>176</v>
      </c>
    </row>
    <row r="470" s="29" customFormat="1" spans="2:5">
      <c r="B470" s="15" t="s">
        <v>177</v>
      </c>
      <c r="C470" s="16" t="s">
        <v>178</v>
      </c>
      <c r="D470" s="17" t="s">
        <v>179</v>
      </c>
      <c r="E470" s="18" t="s">
        <v>180</v>
      </c>
    </row>
    <row r="471" s="29" customFormat="1" ht="41" spans="2:5">
      <c r="B471" s="19" t="s">
        <v>428</v>
      </c>
      <c r="C471" s="20" t="s">
        <v>182</v>
      </c>
      <c r="D471" s="21">
        <v>5</v>
      </c>
      <c r="E471" s="22">
        <v>0</v>
      </c>
    </row>
    <row r="472" s="29" customFormat="1" ht="28" spans="2:5">
      <c r="B472" s="19" t="s">
        <v>428</v>
      </c>
      <c r="C472" s="20" t="s">
        <v>804</v>
      </c>
      <c r="D472" s="21">
        <v>3</v>
      </c>
      <c r="E472" s="22">
        <v>0</v>
      </c>
    </row>
    <row r="473" s="29" customFormat="1" spans="2:5">
      <c r="B473" s="19" t="s">
        <v>428</v>
      </c>
      <c r="C473" s="16" t="s">
        <v>183</v>
      </c>
      <c r="D473" s="23">
        <v>8</v>
      </c>
      <c r="E473" s="24">
        <v>0</v>
      </c>
    </row>
    <row r="474" s="29" customFormat="1" ht="41" spans="2:5">
      <c r="B474" s="19" t="s">
        <v>429</v>
      </c>
      <c r="C474" s="20" t="s">
        <v>182</v>
      </c>
      <c r="D474" s="21">
        <v>45</v>
      </c>
      <c r="E474" s="22">
        <v>0</v>
      </c>
    </row>
    <row r="475" s="29" customFormat="1" ht="28" spans="2:5">
      <c r="B475" s="19" t="s">
        <v>429</v>
      </c>
      <c r="C475" s="20" t="s">
        <v>804</v>
      </c>
      <c r="D475" s="21">
        <v>9</v>
      </c>
      <c r="E475" s="22">
        <v>0</v>
      </c>
    </row>
    <row r="476" s="29" customFormat="1" spans="2:5">
      <c r="B476" s="19" t="s">
        <v>429</v>
      </c>
      <c r="C476" s="16" t="s">
        <v>183</v>
      </c>
      <c r="D476" s="23">
        <v>54</v>
      </c>
      <c r="E476" s="24">
        <v>0</v>
      </c>
    </row>
    <row r="477" s="29" customFormat="1" ht="41" spans="2:5">
      <c r="B477" s="19" t="s">
        <v>430</v>
      </c>
      <c r="C477" s="20" t="s">
        <v>182</v>
      </c>
      <c r="D477" s="21">
        <v>1</v>
      </c>
      <c r="E477" s="22">
        <v>0</v>
      </c>
    </row>
    <row r="478" s="29" customFormat="1" spans="2:5">
      <c r="B478" s="19" t="s">
        <v>430</v>
      </c>
      <c r="C478" s="16" t="s">
        <v>183</v>
      </c>
      <c r="D478" s="23">
        <v>1</v>
      </c>
      <c r="E478" s="24">
        <v>0</v>
      </c>
    </row>
    <row r="479" s="29" customFormat="1" ht="41" spans="2:5">
      <c r="B479" s="19" t="s">
        <v>431</v>
      </c>
      <c r="C479" s="20" t="s">
        <v>182</v>
      </c>
      <c r="D479" s="21">
        <v>9</v>
      </c>
      <c r="E479" s="22">
        <v>0</v>
      </c>
    </row>
    <row r="480" s="29" customFormat="1" ht="28" spans="2:5">
      <c r="B480" s="19" t="s">
        <v>431</v>
      </c>
      <c r="C480" s="20" t="s">
        <v>804</v>
      </c>
      <c r="D480" s="21">
        <v>5</v>
      </c>
      <c r="E480" s="22">
        <v>0</v>
      </c>
    </row>
    <row r="481" s="29" customFormat="1" spans="2:5">
      <c r="B481" s="19" t="s">
        <v>431</v>
      </c>
      <c r="C481" s="16" t="s">
        <v>183</v>
      </c>
      <c r="D481" s="23">
        <v>14</v>
      </c>
      <c r="E481" s="24">
        <v>0</v>
      </c>
    </row>
    <row r="482" s="29" customFormat="1" ht="41.75" spans="2:5">
      <c r="B482" s="20" t="s">
        <v>432</v>
      </c>
      <c r="C482" s="20" t="s">
        <v>182</v>
      </c>
      <c r="D482" s="21">
        <v>5</v>
      </c>
      <c r="E482" s="22">
        <v>0</v>
      </c>
    </row>
    <row r="483" s="29" customFormat="1" spans="2:5">
      <c r="B483" s="25"/>
      <c r="C483" s="25"/>
      <c r="D483" s="25"/>
      <c r="E483" s="25"/>
    </row>
    <row r="484" s="29" customFormat="1" ht="36" spans="2:5">
      <c r="B484" s="26" t="s">
        <v>189</v>
      </c>
      <c r="C484" s="26" t="s">
        <v>189</v>
      </c>
      <c r="D484" s="26" t="s">
        <v>189</v>
      </c>
      <c r="E484" s="26" t="s">
        <v>189</v>
      </c>
    </row>
    <row r="485" s="29" customFormat="1" spans="2:5">
      <c r="B485" s="26"/>
      <c r="C485" s="26"/>
      <c r="D485" s="26"/>
      <c r="E485" s="26"/>
    </row>
    <row r="486" s="29" customFormat="1" ht="36" spans="2:5">
      <c r="B486" s="26" t="s">
        <v>958</v>
      </c>
      <c r="C486" s="26" t="s">
        <v>958</v>
      </c>
      <c r="D486" s="26" t="s">
        <v>958</v>
      </c>
      <c r="E486" s="26" t="s">
        <v>958</v>
      </c>
    </row>
    <row r="487" s="29" customFormat="1" spans="2:5">
      <c r="B487" s="26" t="s">
        <v>331</v>
      </c>
      <c r="C487" s="26" t="s">
        <v>331</v>
      </c>
      <c r="D487" s="26" t="s">
        <v>331</v>
      </c>
      <c r="E487" s="26" t="s">
        <v>331</v>
      </c>
    </row>
    <row r="488" s="29" customFormat="1" ht="124" spans="2:5">
      <c r="B488" s="11" t="s">
        <v>173</v>
      </c>
      <c r="C488" s="11" t="s">
        <v>173</v>
      </c>
      <c r="D488" s="11" t="s">
        <v>173</v>
      </c>
      <c r="E488" s="11" t="s">
        <v>173</v>
      </c>
    </row>
    <row r="489" s="29" customFormat="1" ht="156" spans="2:5">
      <c r="B489" s="12" t="s">
        <v>174</v>
      </c>
      <c r="C489" s="12" t="s">
        <v>174</v>
      </c>
      <c r="D489" s="12" t="s">
        <v>174</v>
      </c>
      <c r="E489" s="12" t="s">
        <v>174</v>
      </c>
    </row>
    <row r="490" s="29" customFormat="1" ht="68" spans="2:5">
      <c r="B490" s="13" t="s">
        <v>951</v>
      </c>
      <c r="C490" s="13" t="s">
        <v>951</v>
      </c>
      <c r="D490" s="13" t="s">
        <v>951</v>
      </c>
      <c r="E490" s="13" t="s">
        <v>951</v>
      </c>
    </row>
    <row r="491" s="29" customFormat="1" ht="22" spans="2:5">
      <c r="B491" s="14" t="s">
        <v>176</v>
      </c>
      <c r="C491" s="14" t="s">
        <v>176</v>
      </c>
      <c r="D491" s="14" t="s">
        <v>176</v>
      </c>
      <c r="E491" s="14" t="s">
        <v>176</v>
      </c>
    </row>
    <row r="492" s="29" customFormat="1" spans="2:5">
      <c r="B492" s="15" t="s">
        <v>177</v>
      </c>
      <c r="C492" s="16" t="s">
        <v>178</v>
      </c>
      <c r="D492" s="17" t="s">
        <v>179</v>
      </c>
      <c r="E492" s="18" t="s">
        <v>180</v>
      </c>
    </row>
    <row r="493" s="29" customFormat="1" ht="28" spans="2:5">
      <c r="B493" s="19" t="s">
        <v>432</v>
      </c>
      <c r="C493" s="20" t="s">
        <v>804</v>
      </c>
      <c r="D493" s="21">
        <v>4</v>
      </c>
      <c r="E493" s="22">
        <v>0</v>
      </c>
    </row>
    <row r="494" s="29" customFormat="1" spans="2:5">
      <c r="B494" s="19" t="s">
        <v>432</v>
      </c>
      <c r="C494" s="16" t="s">
        <v>183</v>
      </c>
      <c r="D494" s="23">
        <v>9</v>
      </c>
      <c r="E494" s="24">
        <v>0</v>
      </c>
    </row>
    <row r="495" s="29" customFormat="1" ht="41" spans="2:5">
      <c r="B495" s="19" t="s">
        <v>433</v>
      </c>
      <c r="C495" s="20" t="s">
        <v>182</v>
      </c>
      <c r="D495" s="21">
        <v>3</v>
      </c>
      <c r="E495" s="22">
        <v>0</v>
      </c>
    </row>
    <row r="496" s="29" customFormat="1" spans="2:5">
      <c r="B496" s="19" t="s">
        <v>433</v>
      </c>
      <c r="C496" s="16" t="s">
        <v>183</v>
      </c>
      <c r="D496" s="23">
        <v>3</v>
      </c>
      <c r="E496" s="24">
        <v>0</v>
      </c>
    </row>
    <row r="497" s="29" customFormat="1" ht="41" spans="2:5">
      <c r="B497" s="19" t="s">
        <v>434</v>
      </c>
      <c r="C497" s="20" t="s">
        <v>182</v>
      </c>
      <c r="D497" s="21">
        <v>19</v>
      </c>
      <c r="E497" s="22">
        <v>0</v>
      </c>
    </row>
    <row r="498" s="29" customFormat="1" ht="28" spans="2:5">
      <c r="B498" s="19" t="s">
        <v>434</v>
      </c>
      <c r="C498" s="20" t="s">
        <v>804</v>
      </c>
      <c r="D498" s="21">
        <v>5</v>
      </c>
      <c r="E498" s="22">
        <v>0</v>
      </c>
    </row>
    <row r="499" s="29" customFormat="1" spans="2:5">
      <c r="B499" s="19" t="s">
        <v>434</v>
      </c>
      <c r="C499" s="16" t="s">
        <v>183</v>
      </c>
      <c r="D499" s="23">
        <v>24</v>
      </c>
      <c r="E499" s="24">
        <v>0</v>
      </c>
    </row>
    <row r="500" s="29" customFormat="1" ht="41" spans="2:5">
      <c r="B500" s="19" t="s">
        <v>435</v>
      </c>
      <c r="C500" s="20" t="s">
        <v>182</v>
      </c>
      <c r="D500" s="21">
        <v>3</v>
      </c>
      <c r="E500" s="22">
        <v>0</v>
      </c>
    </row>
    <row r="501" s="29" customFormat="1" ht="28" spans="2:5">
      <c r="B501" s="19" t="s">
        <v>435</v>
      </c>
      <c r="C501" s="20" t="s">
        <v>804</v>
      </c>
      <c r="D501" s="21">
        <v>6</v>
      </c>
      <c r="E501" s="22">
        <v>0</v>
      </c>
    </row>
    <row r="502" s="29" customFormat="1" spans="2:5">
      <c r="B502" s="19" t="s">
        <v>435</v>
      </c>
      <c r="C502" s="16" t="s">
        <v>183</v>
      </c>
      <c r="D502" s="23">
        <v>9</v>
      </c>
      <c r="E502" s="24">
        <v>0</v>
      </c>
    </row>
    <row r="503" s="29" customFormat="1" ht="41" spans="2:5">
      <c r="B503" s="19" t="s">
        <v>436</v>
      </c>
      <c r="C503" s="20" t="s">
        <v>182</v>
      </c>
      <c r="D503" s="21">
        <v>3</v>
      </c>
      <c r="E503" s="22">
        <v>0</v>
      </c>
    </row>
    <row r="504" s="29" customFormat="1" ht="28" spans="2:5">
      <c r="B504" s="19" t="s">
        <v>436</v>
      </c>
      <c r="C504" s="20" t="s">
        <v>804</v>
      </c>
      <c r="D504" s="21">
        <v>2</v>
      </c>
      <c r="E504" s="22">
        <v>0</v>
      </c>
    </row>
    <row r="505" s="29" customFormat="1" ht="17.55" spans="2:5">
      <c r="B505" s="19" t="s">
        <v>436</v>
      </c>
      <c r="C505" s="16" t="s">
        <v>183</v>
      </c>
      <c r="D505" s="23">
        <v>5</v>
      </c>
      <c r="E505" s="24">
        <v>0</v>
      </c>
    </row>
    <row r="506" s="29" customFormat="1" spans="2:5">
      <c r="B506" s="25"/>
      <c r="C506" s="25"/>
      <c r="D506" s="25"/>
      <c r="E506" s="25"/>
    </row>
    <row r="507" s="29" customFormat="1" ht="36" spans="2:5">
      <c r="B507" s="26" t="s">
        <v>189</v>
      </c>
      <c r="C507" s="26" t="s">
        <v>189</v>
      </c>
      <c r="D507" s="26" t="s">
        <v>189</v>
      </c>
      <c r="E507" s="26" t="s">
        <v>189</v>
      </c>
    </row>
    <row r="508" s="29" customFormat="1" spans="2:5">
      <c r="B508" s="26"/>
      <c r="C508" s="26"/>
      <c r="D508" s="26"/>
      <c r="E508" s="26"/>
    </row>
    <row r="509" s="29" customFormat="1" ht="36" spans="2:5">
      <c r="B509" s="26" t="s">
        <v>958</v>
      </c>
      <c r="C509" s="26" t="s">
        <v>958</v>
      </c>
      <c r="D509" s="26" t="s">
        <v>958</v>
      </c>
      <c r="E509" s="26" t="s">
        <v>958</v>
      </c>
    </row>
    <row r="510" s="29" customFormat="1" spans="2:5">
      <c r="B510" s="26" t="s">
        <v>338</v>
      </c>
      <c r="C510" s="26" t="s">
        <v>338</v>
      </c>
      <c r="D510" s="26" t="s">
        <v>338</v>
      </c>
      <c r="E510" s="26" t="s">
        <v>338</v>
      </c>
    </row>
    <row r="511" s="29" customFormat="1" ht="124" spans="2:5">
      <c r="B511" s="11" t="s">
        <v>173</v>
      </c>
      <c r="C511" s="11" t="s">
        <v>173</v>
      </c>
      <c r="D511" s="11" t="s">
        <v>173</v>
      </c>
      <c r="E511" s="11" t="s">
        <v>173</v>
      </c>
    </row>
    <row r="512" s="29" customFormat="1" ht="156" spans="2:5">
      <c r="B512" s="12" t="s">
        <v>174</v>
      </c>
      <c r="C512" s="12" t="s">
        <v>174</v>
      </c>
      <c r="D512" s="12" t="s">
        <v>174</v>
      </c>
      <c r="E512" s="12" t="s">
        <v>174</v>
      </c>
    </row>
    <row r="513" s="29" customFormat="1" ht="68" spans="2:5">
      <c r="B513" s="13" t="s">
        <v>951</v>
      </c>
      <c r="C513" s="13" t="s">
        <v>951</v>
      </c>
      <c r="D513" s="13" t="s">
        <v>951</v>
      </c>
      <c r="E513" s="13" t="s">
        <v>951</v>
      </c>
    </row>
    <row r="514" s="29" customFormat="1" ht="22" spans="2:5">
      <c r="B514" s="14" t="s">
        <v>176</v>
      </c>
      <c r="C514" s="14" t="s">
        <v>176</v>
      </c>
      <c r="D514" s="14" t="s">
        <v>176</v>
      </c>
      <c r="E514" s="14" t="s">
        <v>176</v>
      </c>
    </row>
    <row r="515" s="29" customFormat="1" spans="2:5">
      <c r="B515" s="15" t="s">
        <v>177</v>
      </c>
      <c r="C515" s="16" t="s">
        <v>178</v>
      </c>
      <c r="D515" s="17" t="s">
        <v>179</v>
      </c>
      <c r="E515" s="18" t="s">
        <v>180</v>
      </c>
    </row>
    <row r="516" s="29" customFormat="1" ht="41" spans="2:5">
      <c r="B516" s="19" t="s">
        <v>437</v>
      </c>
      <c r="C516" s="20" t="s">
        <v>182</v>
      </c>
      <c r="D516" s="21">
        <v>2</v>
      </c>
      <c r="E516" s="22">
        <v>0</v>
      </c>
    </row>
    <row r="517" s="29" customFormat="1" ht="28" spans="2:5">
      <c r="B517" s="19" t="s">
        <v>437</v>
      </c>
      <c r="C517" s="20" t="s">
        <v>804</v>
      </c>
      <c r="D517" s="21">
        <v>2</v>
      </c>
      <c r="E517" s="22">
        <v>0</v>
      </c>
    </row>
    <row r="518" s="29" customFormat="1" spans="2:5">
      <c r="B518" s="19" t="s">
        <v>437</v>
      </c>
      <c r="C518" s="16" t="s">
        <v>183</v>
      </c>
      <c r="D518" s="23">
        <v>4</v>
      </c>
      <c r="E518" s="24">
        <v>0</v>
      </c>
    </row>
    <row r="519" s="29" customFormat="1" ht="41" spans="2:5">
      <c r="B519" s="19" t="s">
        <v>438</v>
      </c>
      <c r="C519" s="20" t="s">
        <v>182</v>
      </c>
      <c r="D519" s="21">
        <v>1</v>
      </c>
      <c r="E519" s="22">
        <v>0</v>
      </c>
    </row>
    <row r="520" s="29" customFormat="1" spans="2:5">
      <c r="B520" s="19" t="s">
        <v>438</v>
      </c>
      <c r="C520" s="16" t="s">
        <v>183</v>
      </c>
      <c r="D520" s="23">
        <v>1</v>
      </c>
      <c r="E520" s="24">
        <v>0</v>
      </c>
    </row>
    <row r="521" s="29" customFormat="1" ht="41" spans="2:5">
      <c r="B521" s="19" t="s">
        <v>439</v>
      </c>
      <c r="C521" s="20" t="s">
        <v>182</v>
      </c>
      <c r="D521" s="21">
        <v>2</v>
      </c>
      <c r="E521" s="22">
        <v>0</v>
      </c>
    </row>
    <row r="522" s="29" customFormat="1" spans="2:5">
      <c r="B522" s="19" t="s">
        <v>439</v>
      </c>
      <c r="C522" s="16" t="s">
        <v>183</v>
      </c>
      <c r="D522" s="23">
        <v>2</v>
      </c>
      <c r="E522" s="24">
        <v>0</v>
      </c>
    </row>
    <row r="523" s="29" customFormat="1" ht="41" spans="2:5">
      <c r="B523" s="19" t="s">
        <v>440</v>
      </c>
      <c r="C523" s="20" t="s">
        <v>182</v>
      </c>
      <c r="D523" s="21">
        <v>26</v>
      </c>
      <c r="E523" s="22">
        <v>0</v>
      </c>
    </row>
    <row r="524" s="29" customFormat="1" ht="28" spans="2:5">
      <c r="B524" s="19" t="s">
        <v>440</v>
      </c>
      <c r="C524" s="20" t="s">
        <v>804</v>
      </c>
      <c r="D524" s="21">
        <v>7</v>
      </c>
      <c r="E524" s="22">
        <v>0</v>
      </c>
    </row>
    <row r="525" s="29" customFormat="1" spans="2:5">
      <c r="B525" s="19" t="s">
        <v>440</v>
      </c>
      <c r="C525" s="16" t="s">
        <v>183</v>
      </c>
      <c r="D525" s="23">
        <v>33</v>
      </c>
      <c r="E525" s="24">
        <v>0</v>
      </c>
    </row>
    <row r="526" s="29" customFormat="1" ht="28" spans="2:5">
      <c r="B526" s="19" t="s">
        <v>441</v>
      </c>
      <c r="C526" s="20" t="s">
        <v>804</v>
      </c>
      <c r="D526" s="21">
        <v>1</v>
      </c>
      <c r="E526" s="22">
        <v>0</v>
      </c>
    </row>
    <row r="527" s="29" customFormat="1" spans="2:5">
      <c r="B527" s="19" t="s">
        <v>441</v>
      </c>
      <c r="C527" s="16" t="s">
        <v>183</v>
      </c>
      <c r="D527" s="23">
        <v>1</v>
      </c>
      <c r="E527" s="24">
        <v>0</v>
      </c>
    </row>
    <row r="528" s="29" customFormat="1" ht="41" spans="2:5">
      <c r="B528" s="19" t="s">
        <v>442</v>
      </c>
      <c r="C528" s="20" t="s">
        <v>182</v>
      </c>
      <c r="D528" s="21">
        <v>3</v>
      </c>
      <c r="E528" s="22">
        <v>0</v>
      </c>
    </row>
    <row r="529" s="29" customFormat="1" ht="17.55" spans="2:5">
      <c r="B529" s="19" t="s">
        <v>442</v>
      </c>
      <c r="C529" s="16" t="s">
        <v>183</v>
      </c>
      <c r="D529" s="23">
        <v>3</v>
      </c>
      <c r="E529" s="24">
        <v>0</v>
      </c>
    </row>
    <row r="530" s="29" customFormat="1" spans="2:5">
      <c r="B530" s="25"/>
      <c r="C530" s="25"/>
      <c r="D530" s="25"/>
      <c r="E530" s="25"/>
    </row>
    <row r="531" s="29" customFormat="1" ht="36" spans="2:5">
      <c r="B531" s="26" t="s">
        <v>189</v>
      </c>
      <c r="C531" s="26" t="s">
        <v>189</v>
      </c>
      <c r="D531" s="26" t="s">
        <v>189</v>
      </c>
      <c r="E531" s="26" t="s">
        <v>189</v>
      </c>
    </row>
    <row r="532" s="29" customFormat="1" spans="2:5">
      <c r="B532" s="26"/>
      <c r="C532" s="26"/>
      <c r="D532" s="26"/>
      <c r="E532" s="26"/>
    </row>
    <row r="533" s="29" customFormat="1" ht="36" spans="2:5">
      <c r="B533" s="26" t="s">
        <v>958</v>
      </c>
      <c r="C533" s="26" t="s">
        <v>958</v>
      </c>
      <c r="D533" s="26" t="s">
        <v>958</v>
      </c>
      <c r="E533" s="26" t="s">
        <v>958</v>
      </c>
    </row>
    <row r="534" s="29" customFormat="1" spans="2:5">
      <c r="B534" s="26" t="s">
        <v>342</v>
      </c>
      <c r="C534" s="26" t="s">
        <v>342</v>
      </c>
      <c r="D534" s="26" t="s">
        <v>342</v>
      </c>
      <c r="E534" s="26" t="s">
        <v>342</v>
      </c>
    </row>
    <row r="535" s="29" customFormat="1" ht="124" spans="2:5">
      <c r="B535" s="11" t="s">
        <v>173</v>
      </c>
      <c r="C535" s="11" t="s">
        <v>173</v>
      </c>
      <c r="D535" s="11" t="s">
        <v>173</v>
      </c>
      <c r="E535" s="11" t="s">
        <v>173</v>
      </c>
    </row>
    <row r="536" s="29" customFormat="1" ht="156" spans="2:5">
      <c r="B536" s="12" t="s">
        <v>174</v>
      </c>
      <c r="C536" s="12" t="s">
        <v>174</v>
      </c>
      <c r="D536" s="12" t="s">
        <v>174</v>
      </c>
      <c r="E536" s="12" t="s">
        <v>174</v>
      </c>
    </row>
    <row r="537" s="29" customFormat="1" ht="68" spans="2:5">
      <c r="B537" s="13" t="s">
        <v>951</v>
      </c>
      <c r="C537" s="13" t="s">
        <v>951</v>
      </c>
      <c r="D537" s="13" t="s">
        <v>951</v>
      </c>
      <c r="E537" s="13" t="s">
        <v>951</v>
      </c>
    </row>
    <row r="538" s="29" customFormat="1" ht="22" spans="2:5">
      <c r="B538" s="14" t="s">
        <v>176</v>
      </c>
      <c r="C538" s="14" t="s">
        <v>176</v>
      </c>
      <c r="D538" s="14" t="s">
        <v>176</v>
      </c>
      <c r="E538" s="14" t="s">
        <v>176</v>
      </c>
    </row>
    <row r="539" s="29" customFormat="1" spans="2:5">
      <c r="B539" s="15" t="s">
        <v>177</v>
      </c>
      <c r="C539" s="16" t="s">
        <v>178</v>
      </c>
      <c r="D539" s="17" t="s">
        <v>179</v>
      </c>
      <c r="E539" s="18" t="s">
        <v>180</v>
      </c>
    </row>
    <row r="540" s="29" customFormat="1" ht="41" spans="2:5">
      <c r="B540" s="19" t="s">
        <v>443</v>
      </c>
      <c r="C540" s="20" t="s">
        <v>182</v>
      </c>
      <c r="D540" s="21">
        <v>5</v>
      </c>
      <c r="E540" s="22">
        <v>0</v>
      </c>
    </row>
    <row r="541" s="29" customFormat="1" ht="28" spans="2:5">
      <c r="B541" s="19" t="s">
        <v>443</v>
      </c>
      <c r="C541" s="20" t="s">
        <v>804</v>
      </c>
      <c r="D541" s="21">
        <v>1</v>
      </c>
      <c r="E541" s="22">
        <v>0</v>
      </c>
    </row>
    <row r="542" s="29" customFormat="1" spans="2:5">
      <c r="B542" s="19" t="s">
        <v>443</v>
      </c>
      <c r="C542" s="16" t="s">
        <v>183</v>
      </c>
      <c r="D542" s="23">
        <v>6</v>
      </c>
      <c r="E542" s="24">
        <v>0</v>
      </c>
    </row>
    <row r="543" s="29" customFormat="1" ht="41" spans="2:5">
      <c r="B543" s="19" t="s">
        <v>444</v>
      </c>
      <c r="C543" s="20" t="s">
        <v>182</v>
      </c>
      <c r="D543" s="21">
        <v>3</v>
      </c>
      <c r="E543" s="22">
        <v>0</v>
      </c>
    </row>
    <row r="544" s="29" customFormat="1" ht="28" spans="2:5">
      <c r="B544" s="19" t="s">
        <v>444</v>
      </c>
      <c r="C544" s="20" t="s">
        <v>804</v>
      </c>
      <c r="D544" s="21">
        <v>1</v>
      </c>
      <c r="E544" s="22">
        <v>0</v>
      </c>
    </row>
    <row r="545" s="29" customFormat="1" spans="2:5">
      <c r="B545" s="19" t="s">
        <v>444</v>
      </c>
      <c r="C545" s="16" t="s">
        <v>183</v>
      </c>
      <c r="D545" s="23">
        <v>4</v>
      </c>
      <c r="E545" s="24">
        <v>0</v>
      </c>
    </row>
    <row r="546" s="29" customFormat="1" ht="41" spans="2:5">
      <c r="B546" s="19" t="s">
        <v>499</v>
      </c>
      <c r="C546" s="20" t="s">
        <v>182</v>
      </c>
      <c r="D546" s="21">
        <v>2</v>
      </c>
      <c r="E546" s="22">
        <v>0</v>
      </c>
    </row>
    <row r="547" s="29" customFormat="1" spans="2:5">
      <c r="B547" s="19" t="s">
        <v>499</v>
      </c>
      <c r="C547" s="16" t="s">
        <v>183</v>
      </c>
      <c r="D547" s="23">
        <v>2</v>
      </c>
      <c r="E547" s="24">
        <v>0</v>
      </c>
    </row>
    <row r="548" s="29" customFormat="1" ht="28" spans="2:5">
      <c r="B548" s="19" t="s">
        <v>982</v>
      </c>
      <c r="C548" s="20" t="s">
        <v>804</v>
      </c>
      <c r="D548" s="21">
        <v>1</v>
      </c>
      <c r="E548" s="22">
        <v>850000</v>
      </c>
    </row>
    <row r="549" s="29" customFormat="1" ht="28" spans="2:5">
      <c r="B549" s="19" t="s">
        <v>982</v>
      </c>
      <c r="C549" s="16" t="s">
        <v>183</v>
      </c>
      <c r="D549" s="23">
        <v>1</v>
      </c>
      <c r="E549" s="24">
        <v>850000</v>
      </c>
    </row>
    <row r="550" s="29" customFormat="1" ht="41" spans="2:5">
      <c r="B550" s="19" t="s">
        <v>837</v>
      </c>
      <c r="C550" s="20" t="s">
        <v>182</v>
      </c>
      <c r="D550" s="21">
        <v>2</v>
      </c>
      <c r="E550" s="22">
        <v>0</v>
      </c>
    </row>
    <row r="551" s="29" customFormat="1" spans="2:5">
      <c r="B551" s="19" t="s">
        <v>837</v>
      </c>
      <c r="C551" s="16" t="s">
        <v>183</v>
      </c>
      <c r="D551" s="23">
        <v>2</v>
      </c>
      <c r="E551" s="24">
        <v>0</v>
      </c>
    </row>
    <row r="552" s="29" customFormat="1" ht="41" spans="2:5">
      <c r="B552" s="19" t="s">
        <v>500</v>
      </c>
      <c r="C552" s="20" t="s">
        <v>182</v>
      </c>
      <c r="D552" s="21">
        <v>4</v>
      </c>
      <c r="E552" s="22">
        <v>0</v>
      </c>
    </row>
    <row r="553" s="29" customFormat="1" ht="17.55" spans="2:5">
      <c r="B553" s="19" t="s">
        <v>500</v>
      </c>
      <c r="C553" s="16" t="s">
        <v>183</v>
      </c>
      <c r="D553" s="23">
        <v>4</v>
      </c>
      <c r="E553" s="24">
        <v>0</v>
      </c>
    </row>
    <row r="554" s="29" customFormat="1" spans="2:5">
      <c r="B554" s="25"/>
      <c r="C554" s="25"/>
      <c r="D554" s="25"/>
      <c r="E554" s="25"/>
    </row>
    <row r="555" s="29" customFormat="1" ht="36" spans="2:5">
      <c r="B555" s="26" t="s">
        <v>189</v>
      </c>
      <c r="C555" s="26" t="s">
        <v>189</v>
      </c>
      <c r="D555" s="26" t="s">
        <v>189</v>
      </c>
      <c r="E555" s="26" t="s">
        <v>189</v>
      </c>
    </row>
    <row r="556" s="29" customFormat="1" spans="2:5">
      <c r="B556" s="26"/>
      <c r="C556" s="26"/>
      <c r="D556" s="26"/>
      <c r="E556" s="26"/>
    </row>
    <row r="557" s="29" customFormat="1" ht="36" spans="2:5">
      <c r="B557" s="26" t="s">
        <v>958</v>
      </c>
      <c r="C557" s="26" t="s">
        <v>958</v>
      </c>
      <c r="D557" s="26" t="s">
        <v>958</v>
      </c>
      <c r="E557" s="26" t="s">
        <v>958</v>
      </c>
    </row>
    <row r="558" s="29" customFormat="1" spans="2:5">
      <c r="B558" s="26" t="s">
        <v>476</v>
      </c>
      <c r="C558" s="26" t="s">
        <v>476</v>
      </c>
      <c r="D558" s="26" t="s">
        <v>476</v>
      </c>
      <c r="E558" s="26" t="s">
        <v>476</v>
      </c>
    </row>
    <row r="559" s="29" customFormat="1" ht="124" spans="2:5">
      <c r="B559" s="11" t="s">
        <v>173</v>
      </c>
      <c r="C559" s="11" t="s">
        <v>173</v>
      </c>
      <c r="D559" s="11" t="s">
        <v>173</v>
      </c>
      <c r="E559" s="11" t="s">
        <v>173</v>
      </c>
    </row>
    <row r="560" s="29" customFormat="1" ht="156" spans="2:5">
      <c r="B560" s="12" t="s">
        <v>174</v>
      </c>
      <c r="C560" s="12" t="s">
        <v>174</v>
      </c>
      <c r="D560" s="12" t="s">
        <v>174</v>
      </c>
      <c r="E560" s="12" t="s">
        <v>174</v>
      </c>
    </row>
    <row r="561" s="29" customFormat="1" ht="68" spans="2:5">
      <c r="B561" s="13" t="s">
        <v>951</v>
      </c>
      <c r="C561" s="13" t="s">
        <v>951</v>
      </c>
      <c r="D561" s="13" t="s">
        <v>951</v>
      </c>
      <c r="E561" s="13" t="s">
        <v>951</v>
      </c>
    </row>
    <row r="562" s="29" customFormat="1" ht="22" spans="2:5">
      <c r="B562" s="14" t="s">
        <v>176</v>
      </c>
      <c r="C562" s="14" t="s">
        <v>176</v>
      </c>
      <c r="D562" s="14" t="s">
        <v>176</v>
      </c>
      <c r="E562" s="14" t="s">
        <v>176</v>
      </c>
    </row>
    <row r="563" s="29" customFormat="1" spans="2:5">
      <c r="B563" s="15" t="s">
        <v>177</v>
      </c>
      <c r="C563" s="16" t="s">
        <v>178</v>
      </c>
      <c r="D563" s="17" t="s">
        <v>179</v>
      </c>
      <c r="E563" s="18" t="s">
        <v>180</v>
      </c>
    </row>
    <row r="564" s="29" customFormat="1" ht="41" spans="2:5">
      <c r="B564" s="19" t="s">
        <v>841</v>
      </c>
      <c r="C564" s="20" t="s">
        <v>182</v>
      </c>
      <c r="D564" s="21">
        <v>8</v>
      </c>
      <c r="E564" s="22">
        <v>1261261.261262</v>
      </c>
    </row>
    <row r="565" s="29" customFormat="1" spans="2:5">
      <c r="B565" s="19" t="s">
        <v>841</v>
      </c>
      <c r="C565" s="16" t="s">
        <v>183</v>
      </c>
      <c r="D565" s="23">
        <v>8</v>
      </c>
      <c r="E565" s="24">
        <v>1261261.261262</v>
      </c>
    </row>
    <row r="566" s="29" customFormat="1" ht="41" spans="2:5">
      <c r="B566" s="19" t="s">
        <v>697</v>
      </c>
      <c r="C566" s="20" t="s">
        <v>182</v>
      </c>
      <c r="D566" s="21">
        <v>12</v>
      </c>
      <c r="E566" s="22">
        <v>1891891.91892</v>
      </c>
    </row>
    <row r="567" s="29" customFormat="1" ht="28" spans="2:5">
      <c r="B567" s="19" t="s">
        <v>697</v>
      </c>
      <c r="C567" s="20" t="s">
        <v>804</v>
      </c>
      <c r="D567" s="21">
        <v>4</v>
      </c>
      <c r="E567" s="22">
        <v>857657.657658</v>
      </c>
    </row>
    <row r="568" s="29" customFormat="1" ht="28" spans="2:5">
      <c r="B568" s="19" t="s">
        <v>697</v>
      </c>
      <c r="C568" s="16" t="s">
        <v>183</v>
      </c>
      <c r="D568" s="23">
        <v>16</v>
      </c>
      <c r="E568" s="24">
        <v>2749549.576578</v>
      </c>
    </row>
    <row r="569" s="29" customFormat="1" ht="28" spans="2:5">
      <c r="B569" s="19" t="s">
        <v>983</v>
      </c>
      <c r="C569" s="20" t="s">
        <v>804</v>
      </c>
      <c r="D569" s="21">
        <v>4</v>
      </c>
      <c r="E569" s="22">
        <v>855855.855856</v>
      </c>
    </row>
    <row r="570" s="29" customFormat="1" ht="28" spans="2:5">
      <c r="B570" s="19" t="s">
        <v>983</v>
      </c>
      <c r="C570" s="16" t="s">
        <v>183</v>
      </c>
      <c r="D570" s="23">
        <v>4</v>
      </c>
      <c r="E570" s="24">
        <v>855855.855856</v>
      </c>
    </row>
    <row r="571" s="29" customFormat="1" ht="41" spans="2:5">
      <c r="B571" s="19" t="s">
        <v>502</v>
      </c>
      <c r="C571" s="20" t="s">
        <v>182</v>
      </c>
      <c r="D571" s="21">
        <v>59</v>
      </c>
      <c r="E571" s="22">
        <v>6931532.270268</v>
      </c>
    </row>
    <row r="572" s="29" customFormat="1" ht="28" spans="2:5">
      <c r="B572" s="19" t="s">
        <v>502</v>
      </c>
      <c r="C572" s="20" t="s">
        <v>804</v>
      </c>
      <c r="D572" s="21">
        <v>11</v>
      </c>
      <c r="E572" s="22">
        <v>1300901.36036</v>
      </c>
    </row>
    <row r="573" s="29" customFormat="1" ht="28" spans="2:5">
      <c r="B573" s="19" t="s">
        <v>502</v>
      </c>
      <c r="C573" s="16" t="s">
        <v>183</v>
      </c>
      <c r="D573" s="23">
        <v>70</v>
      </c>
      <c r="E573" s="24">
        <v>8232433.630628</v>
      </c>
    </row>
    <row r="574" s="29" customFormat="1" ht="28" spans="2:5">
      <c r="B574" s="19" t="s">
        <v>984</v>
      </c>
      <c r="C574" s="20" t="s">
        <v>804</v>
      </c>
      <c r="D574" s="21">
        <v>1</v>
      </c>
      <c r="E574" s="22">
        <v>1625000</v>
      </c>
    </row>
    <row r="575" s="29" customFormat="1" spans="2:5">
      <c r="B575" s="19" t="s">
        <v>984</v>
      </c>
      <c r="C575" s="16" t="s">
        <v>183</v>
      </c>
      <c r="D575" s="23">
        <v>1</v>
      </c>
      <c r="E575" s="24">
        <v>1625000</v>
      </c>
    </row>
    <row r="576" s="29" customFormat="1" ht="28" spans="2:5">
      <c r="B576" s="19" t="s">
        <v>985</v>
      </c>
      <c r="C576" s="20" t="s">
        <v>804</v>
      </c>
      <c r="D576" s="21">
        <v>2</v>
      </c>
      <c r="E576" s="22">
        <v>210810.810811</v>
      </c>
    </row>
    <row r="577" s="29" customFormat="1" ht="28.75" spans="2:5">
      <c r="B577" s="19" t="s">
        <v>985</v>
      </c>
      <c r="C577" s="16" t="s">
        <v>183</v>
      </c>
      <c r="D577" s="23">
        <v>2</v>
      </c>
      <c r="E577" s="24">
        <v>210810.810811</v>
      </c>
    </row>
    <row r="578" s="29" customFormat="1" spans="2:5">
      <c r="B578" s="25"/>
      <c r="C578" s="25"/>
      <c r="D578" s="25"/>
      <c r="E578" s="25"/>
    </row>
    <row r="579" s="29" customFormat="1" ht="36" spans="2:5">
      <c r="B579" s="26" t="s">
        <v>189</v>
      </c>
      <c r="C579" s="26" t="s">
        <v>189</v>
      </c>
      <c r="D579" s="26" t="s">
        <v>189</v>
      </c>
      <c r="E579" s="26" t="s">
        <v>189</v>
      </c>
    </row>
    <row r="580" s="29" customFormat="1" spans="2:5">
      <c r="B580" s="26"/>
      <c r="C580" s="26"/>
      <c r="D580" s="26"/>
      <c r="E580" s="26"/>
    </row>
    <row r="581" s="29" customFormat="1" ht="36" spans="2:5">
      <c r="B581" s="26" t="s">
        <v>958</v>
      </c>
      <c r="C581" s="26" t="s">
        <v>958</v>
      </c>
      <c r="D581" s="26" t="s">
        <v>958</v>
      </c>
      <c r="E581" s="26" t="s">
        <v>958</v>
      </c>
    </row>
    <row r="582" s="29" customFormat="1" spans="2:5">
      <c r="B582" s="26" t="s">
        <v>480</v>
      </c>
      <c r="C582" s="26" t="s">
        <v>480</v>
      </c>
      <c r="D582" s="26" t="s">
        <v>480</v>
      </c>
      <c r="E582" s="26" t="s">
        <v>480</v>
      </c>
    </row>
    <row r="583" s="29" customFormat="1" ht="124" spans="2:5">
      <c r="B583" s="11" t="s">
        <v>173</v>
      </c>
      <c r="C583" s="11" t="s">
        <v>173</v>
      </c>
      <c r="D583" s="11" t="s">
        <v>173</v>
      </c>
      <c r="E583" s="11" t="s">
        <v>173</v>
      </c>
    </row>
    <row r="584" s="29" customFormat="1" ht="156" spans="2:5">
      <c r="B584" s="12" t="s">
        <v>174</v>
      </c>
      <c r="C584" s="12" t="s">
        <v>174</v>
      </c>
      <c r="D584" s="12" t="s">
        <v>174</v>
      </c>
      <c r="E584" s="12" t="s">
        <v>174</v>
      </c>
    </row>
    <row r="585" s="29" customFormat="1" ht="68" spans="2:5">
      <c r="B585" s="13" t="s">
        <v>951</v>
      </c>
      <c r="C585" s="13" t="s">
        <v>951</v>
      </c>
      <c r="D585" s="13" t="s">
        <v>951</v>
      </c>
      <c r="E585" s="13" t="s">
        <v>951</v>
      </c>
    </row>
    <row r="586" s="29" customFormat="1" ht="22" spans="2:5">
      <c r="B586" s="14" t="s">
        <v>176</v>
      </c>
      <c r="C586" s="14" t="s">
        <v>176</v>
      </c>
      <c r="D586" s="14" t="s">
        <v>176</v>
      </c>
      <c r="E586" s="14" t="s">
        <v>176</v>
      </c>
    </row>
    <row r="587" s="29" customFormat="1" spans="2:5">
      <c r="B587" s="15" t="s">
        <v>177</v>
      </c>
      <c r="C587" s="16" t="s">
        <v>178</v>
      </c>
      <c r="D587" s="17" t="s">
        <v>179</v>
      </c>
      <c r="E587" s="18" t="s">
        <v>180</v>
      </c>
    </row>
    <row r="588" s="29" customFormat="1" ht="41" spans="2:5">
      <c r="B588" s="19" t="s">
        <v>700</v>
      </c>
      <c r="C588" s="20" t="s">
        <v>182</v>
      </c>
      <c r="D588" s="21">
        <v>2</v>
      </c>
      <c r="E588" s="22">
        <v>390990.990991</v>
      </c>
    </row>
    <row r="589" s="29" customFormat="1" spans="2:5">
      <c r="B589" s="19" t="s">
        <v>700</v>
      </c>
      <c r="C589" s="16" t="s">
        <v>183</v>
      </c>
      <c r="D589" s="23">
        <v>2</v>
      </c>
      <c r="E589" s="24">
        <v>390990.990991</v>
      </c>
    </row>
    <row r="590" s="29" customFormat="1" ht="41" spans="2:5">
      <c r="B590" s="19" t="s">
        <v>986</v>
      </c>
      <c r="C590" s="20" t="s">
        <v>182</v>
      </c>
      <c r="D590" s="21">
        <v>1</v>
      </c>
      <c r="E590" s="22">
        <v>0</v>
      </c>
    </row>
    <row r="591" s="29" customFormat="1" spans="2:5">
      <c r="B591" s="19" t="s">
        <v>986</v>
      </c>
      <c r="C591" s="16" t="s">
        <v>183</v>
      </c>
      <c r="D591" s="23">
        <v>1</v>
      </c>
      <c r="E591" s="24">
        <v>0</v>
      </c>
    </row>
    <row r="592" s="29" customFormat="1" ht="28" spans="2:5">
      <c r="B592" s="19" t="s">
        <v>987</v>
      </c>
      <c r="C592" s="20" t="s">
        <v>804</v>
      </c>
      <c r="D592" s="21">
        <v>1</v>
      </c>
      <c r="E592" s="22">
        <v>200000</v>
      </c>
    </row>
    <row r="593" s="29" customFormat="1" spans="2:5">
      <c r="B593" s="19" t="s">
        <v>987</v>
      </c>
      <c r="C593" s="16" t="s">
        <v>183</v>
      </c>
      <c r="D593" s="23">
        <v>1</v>
      </c>
      <c r="E593" s="24">
        <v>200000</v>
      </c>
    </row>
    <row r="594" s="29" customFormat="1" ht="28" spans="2:5">
      <c r="B594" s="19" t="s">
        <v>988</v>
      </c>
      <c r="C594" s="20" t="s">
        <v>804</v>
      </c>
      <c r="D594" s="21">
        <v>1</v>
      </c>
      <c r="E594" s="22">
        <v>600000</v>
      </c>
    </row>
    <row r="595" s="29" customFormat="1" spans="2:5">
      <c r="B595" s="19" t="s">
        <v>988</v>
      </c>
      <c r="C595" s="16" t="s">
        <v>183</v>
      </c>
      <c r="D595" s="23">
        <v>1</v>
      </c>
      <c r="E595" s="24">
        <v>600000</v>
      </c>
    </row>
    <row r="596" s="29" customFormat="1" ht="41" spans="2:5">
      <c r="B596" s="19" t="s">
        <v>989</v>
      </c>
      <c r="C596" s="20" t="s">
        <v>182</v>
      </c>
      <c r="D596" s="21">
        <v>1</v>
      </c>
      <c r="E596" s="22">
        <v>130920.245399</v>
      </c>
    </row>
    <row r="597" s="29" customFormat="1" spans="2:5">
      <c r="B597" s="19" t="s">
        <v>989</v>
      </c>
      <c r="C597" s="16" t="s">
        <v>183</v>
      </c>
      <c r="D597" s="23">
        <v>1</v>
      </c>
      <c r="E597" s="24">
        <v>130920.245399</v>
      </c>
    </row>
    <row r="598" s="29" customFormat="1" ht="28" spans="2:5">
      <c r="B598" s="19" t="s">
        <v>990</v>
      </c>
      <c r="C598" s="20" t="s">
        <v>804</v>
      </c>
      <c r="D598" s="21">
        <v>1</v>
      </c>
      <c r="E598" s="22">
        <v>200000</v>
      </c>
    </row>
    <row r="599" s="29" customFormat="1" spans="2:5">
      <c r="B599" s="19" t="s">
        <v>990</v>
      </c>
      <c r="C599" s="16" t="s">
        <v>183</v>
      </c>
      <c r="D599" s="23">
        <v>1</v>
      </c>
      <c r="E599" s="24">
        <v>200000</v>
      </c>
    </row>
    <row r="600" s="29" customFormat="1" ht="41" spans="2:5">
      <c r="B600" s="19" t="s">
        <v>299</v>
      </c>
      <c r="C600" s="20" t="s">
        <v>182</v>
      </c>
      <c r="D600" s="21">
        <v>49</v>
      </c>
      <c r="E600" s="22">
        <v>0</v>
      </c>
    </row>
    <row r="601" s="29" customFormat="1" ht="28" spans="2:5">
      <c r="B601" s="19" t="s">
        <v>299</v>
      </c>
      <c r="C601" s="20" t="s">
        <v>804</v>
      </c>
      <c r="D601" s="21">
        <v>20</v>
      </c>
      <c r="E601" s="22">
        <v>0</v>
      </c>
    </row>
    <row r="602" s="29" customFormat="1" ht="28.75" spans="2:5">
      <c r="B602" s="19" t="s">
        <v>299</v>
      </c>
      <c r="C602" s="16" t="s">
        <v>183</v>
      </c>
      <c r="D602" s="23">
        <v>69</v>
      </c>
      <c r="E602" s="24">
        <v>0</v>
      </c>
    </row>
    <row r="603" s="29" customFormat="1" spans="2:5">
      <c r="B603" s="25"/>
      <c r="C603" s="25"/>
      <c r="D603" s="25"/>
      <c r="E603" s="25"/>
    </row>
    <row r="604" s="29" customFormat="1" ht="36" spans="2:5">
      <c r="B604" s="26" t="s">
        <v>189</v>
      </c>
      <c r="C604" s="26" t="s">
        <v>189</v>
      </c>
      <c r="D604" s="26" t="s">
        <v>189</v>
      </c>
      <c r="E604" s="26" t="s">
        <v>189</v>
      </c>
    </row>
    <row r="605" s="29" customFormat="1" spans="2:5">
      <c r="B605" s="26"/>
      <c r="C605" s="26"/>
      <c r="D605" s="26"/>
      <c r="E605" s="26"/>
    </row>
    <row r="606" s="29" customFormat="1" ht="36" spans="2:5">
      <c r="B606" s="26" t="s">
        <v>958</v>
      </c>
      <c r="C606" s="26" t="s">
        <v>958</v>
      </c>
      <c r="D606" s="26" t="s">
        <v>958</v>
      </c>
      <c r="E606" s="26" t="s">
        <v>958</v>
      </c>
    </row>
    <row r="607" s="29" customFormat="1" spans="2:5">
      <c r="B607" s="26" t="s">
        <v>523</v>
      </c>
      <c r="C607" s="26" t="s">
        <v>523</v>
      </c>
      <c r="D607" s="26" t="s">
        <v>523</v>
      </c>
      <c r="E607" s="26" t="s">
        <v>523</v>
      </c>
    </row>
    <row r="608" s="29" customFormat="1" ht="124" spans="2:5">
      <c r="B608" s="11" t="s">
        <v>173</v>
      </c>
      <c r="C608" s="11" t="s">
        <v>173</v>
      </c>
      <c r="D608" s="11" t="s">
        <v>173</v>
      </c>
      <c r="E608" s="11" t="s">
        <v>173</v>
      </c>
    </row>
    <row r="609" s="29" customFormat="1" ht="156" spans="2:5">
      <c r="B609" s="12" t="s">
        <v>174</v>
      </c>
      <c r="C609" s="12" t="s">
        <v>174</v>
      </c>
      <c r="D609" s="12" t="s">
        <v>174</v>
      </c>
      <c r="E609" s="12" t="s">
        <v>174</v>
      </c>
    </row>
    <row r="610" s="29" customFormat="1" ht="68" spans="2:5">
      <c r="B610" s="13" t="s">
        <v>951</v>
      </c>
      <c r="C610" s="13" t="s">
        <v>951</v>
      </c>
      <c r="D610" s="13" t="s">
        <v>951</v>
      </c>
      <c r="E610" s="13" t="s">
        <v>951</v>
      </c>
    </row>
    <row r="611" s="29" customFormat="1" ht="22" spans="2:5">
      <c r="B611" s="14" t="s">
        <v>176</v>
      </c>
      <c r="C611" s="14" t="s">
        <v>176</v>
      </c>
      <c r="D611" s="14" t="s">
        <v>176</v>
      </c>
      <c r="E611" s="14" t="s">
        <v>176</v>
      </c>
    </row>
    <row r="612" s="29" customFormat="1" spans="2:5">
      <c r="B612" s="15" t="s">
        <v>177</v>
      </c>
      <c r="C612" s="16" t="s">
        <v>178</v>
      </c>
      <c r="D612" s="17" t="s">
        <v>179</v>
      </c>
      <c r="E612" s="18" t="s">
        <v>180</v>
      </c>
    </row>
    <row r="613" s="29" customFormat="1" ht="41" spans="2:5">
      <c r="B613" s="19" t="s">
        <v>371</v>
      </c>
      <c r="C613" s="20" t="s">
        <v>182</v>
      </c>
      <c r="D613" s="21">
        <v>46</v>
      </c>
      <c r="E613" s="22">
        <v>0</v>
      </c>
    </row>
    <row r="614" s="29" customFormat="1" ht="28" spans="2:5">
      <c r="B614" s="19" t="s">
        <v>371</v>
      </c>
      <c r="C614" s="20" t="s">
        <v>804</v>
      </c>
      <c r="D614" s="21">
        <v>18</v>
      </c>
      <c r="E614" s="22">
        <v>0</v>
      </c>
    </row>
    <row r="615" s="29" customFormat="1" ht="28" spans="2:5">
      <c r="B615" s="19" t="s">
        <v>371</v>
      </c>
      <c r="C615" s="16" t="s">
        <v>183</v>
      </c>
      <c r="D615" s="23">
        <v>64</v>
      </c>
      <c r="E615" s="24">
        <v>0</v>
      </c>
    </row>
    <row r="616" s="29" customFormat="1" ht="41" spans="2:5">
      <c r="B616" s="19" t="s">
        <v>372</v>
      </c>
      <c r="C616" s="20" t="s">
        <v>182</v>
      </c>
      <c r="D616" s="21">
        <v>1</v>
      </c>
      <c r="E616" s="22">
        <v>0</v>
      </c>
    </row>
    <row r="617" s="29" customFormat="1" spans="2:5">
      <c r="B617" s="19" t="s">
        <v>372</v>
      </c>
      <c r="C617" s="16" t="s">
        <v>183</v>
      </c>
      <c r="D617" s="23">
        <v>1</v>
      </c>
      <c r="E617" s="24">
        <v>0</v>
      </c>
    </row>
    <row r="618" s="29" customFormat="1" ht="41" spans="2:5">
      <c r="B618" s="19" t="s">
        <v>373</v>
      </c>
      <c r="C618" s="20" t="s">
        <v>182</v>
      </c>
      <c r="D618" s="21">
        <v>108</v>
      </c>
      <c r="E618" s="22">
        <v>0</v>
      </c>
    </row>
    <row r="619" s="29" customFormat="1" ht="28" spans="2:5">
      <c r="B619" s="19" t="s">
        <v>373</v>
      </c>
      <c r="C619" s="20" t="s">
        <v>804</v>
      </c>
      <c r="D619" s="21">
        <v>27</v>
      </c>
      <c r="E619" s="22">
        <v>0</v>
      </c>
    </row>
    <row r="620" s="29" customFormat="1" ht="28" spans="2:5">
      <c r="B620" s="19" t="s">
        <v>373</v>
      </c>
      <c r="C620" s="16" t="s">
        <v>183</v>
      </c>
      <c r="D620" s="23">
        <v>135</v>
      </c>
      <c r="E620" s="24">
        <v>0</v>
      </c>
    </row>
    <row r="621" s="29" customFormat="1" ht="41" spans="2:5">
      <c r="B621" s="19" t="s">
        <v>374</v>
      </c>
      <c r="C621" s="20" t="s">
        <v>182</v>
      </c>
      <c r="D621" s="21">
        <v>8</v>
      </c>
      <c r="E621" s="22">
        <v>0</v>
      </c>
    </row>
    <row r="622" s="29" customFormat="1" ht="28" spans="2:5">
      <c r="B622" s="19" t="s">
        <v>374</v>
      </c>
      <c r="C622" s="20" t="s">
        <v>804</v>
      </c>
      <c r="D622" s="21">
        <v>3</v>
      </c>
      <c r="E622" s="22">
        <v>0</v>
      </c>
    </row>
    <row r="623" s="29" customFormat="1" ht="28" spans="2:5">
      <c r="B623" s="19" t="s">
        <v>374</v>
      </c>
      <c r="C623" s="16" t="s">
        <v>183</v>
      </c>
      <c r="D623" s="23">
        <v>11</v>
      </c>
      <c r="E623" s="24">
        <v>0</v>
      </c>
    </row>
    <row r="624" s="29" customFormat="1" ht="41.75" spans="2:5">
      <c r="B624" s="20" t="s">
        <v>300</v>
      </c>
      <c r="C624" s="20" t="s">
        <v>182</v>
      </c>
      <c r="D624" s="21">
        <v>10</v>
      </c>
      <c r="E624" s="22">
        <v>0</v>
      </c>
    </row>
    <row r="625" s="29" customFormat="1" spans="2:5">
      <c r="B625" s="25"/>
      <c r="C625" s="25"/>
      <c r="D625" s="25"/>
      <c r="E625" s="25"/>
    </row>
    <row r="626" s="29" customFormat="1" ht="36" spans="2:5">
      <c r="B626" s="26" t="s">
        <v>189</v>
      </c>
      <c r="C626" s="26" t="s">
        <v>189</v>
      </c>
      <c r="D626" s="26" t="s">
        <v>189</v>
      </c>
      <c r="E626" s="26" t="s">
        <v>189</v>
      </c>
    </row>
    <row r="627" s="29" customFormat="1" spans="2:5">
      <c r="B627" s="26"/>
      <c r="C627" s="26"/>
      <c r="D627" s="26"/>
      <c r="E627" s="26"/>
    </row>
    <row r="628" s="29" customFormat="1" ht="36" spans="2:5">
      <c r="B628" s="26" t="s">
        <v>958</v>
      </c>
      <c r="C628" s="26" t="s">
        <v>958</v>
      </c>
      <c r="D628" s="26" t="s">
        <v>958</v>
      </c>
      <c r="E628" s="26" t="s">
        <v>958</v>
      </c>
    </row>
    <row r="629" s="29" customFormat="1" spans="2:5">
      <c r="B629" s="26" t="s">
        <v>529</v>
      </c>
      <c r="C629" s="26" t="s">
        <v>529</v>
      </c>
      <c r="D629" s="26" t="s">
        <v>529</v>
      </c>
      <c r="E629" s="26" t="s">
        <v>529</v>
      </c>
    </row>
    <row r="630" s="29" customFormat="1" ht="124" spans="2:5">
      <c r="B630" s="11" t="s">
        <v>173</v>
      </c>
      <c r="C630" s="11" t="s">
        <v>173</v>
      </c>
      <c r="D630" s="11" t="s">
        <v>173</v>
      </c>
      <c r="E630" s="11" t="s">
        <v>173</v>
      </c>
    </row>
    <row r="631" s="29" customFormat="1" ht="156" spans="2:5">
      <c r="B631" s="12" t="s">
        <v>174</v>
      </c>
      <c r="C631" s="12" t="s">
        <v>174</v>
      </c>
      <c r="D631" s="12" t="s">
        <v>174</v>
      </c>
      <c r="E631" s="12" t="s">
        <v>174</v>
      </c>
    </row>
    <row r="632" s="29" customFormat="1" ht="68" spans="2:5">
      <c r="B632" s="13" t="s">
        <v>951</v>
      </c>
      <c r="C632" s="13" t="s">
        <v>951</v>
      </c>
      <c r="D632" s="13" t="s">
        <v>951</v>
      </c>
      <c r="E632" s="13" t="s">
        <v>951</v>
      </c>
    </row>
    <row r="633" s="29" customFormat="1" ht="22" spans="2:5">
      <c r="B633" s="14" t="s">
        <v>176</v>
      </c>
      <c r="C633" s="14" t="s">
        <v>176</v>
      </c>
      <c r="D633" s="14" t="s">
        <v>176</v>
      </c>
      <c r="E633" s="14" t="s">
        <v>176</v>
      </c>
    </row>
    <row r="634" s="29" customFormat="1" spans="2:5">
      <c r="B634" s="15" t="s">
        <v>177</v>
      </c>
      <c r="C634" s="16" t="s">
        <v>178</v>
      </c>
      <c r="D634" s="17" t="s">
        <v>179</v>
      </c>
      <c r="E634" s="18" t="s">
        <v>180</v>
      </c>
    </row>
    <row r="635" s="29" customFormat="1" ht="28" spans="2:5">
      <c r="B635" s="19" t="s">
        <v>300</v>
      </c>
      <c r="C635" s="20" t="s">
        <v>804</v>
      </c>
      <c r="D635" s="21">
        <v>1</v>
      </c>
      <c r="E635" s="22">
        <v>0</v>
      </c>
    </row>
    <row r="636" s="29" customFormat="1" spans="2:5">
      <c r="B636" s="19" t="s">
        <v>300</v>
      </c>
      <c r="C636" s="16" t="s">
        <v>183</v>
      </c>
      <c r="D636" s="23">
        <v>11</v>
      </c>
      <c r="E636" s="24">
        <v>0</v>
      </c>
    </row>
    <row r="637" s="29" customFormat="1" ht="41" spans="2:5">
      <c r="B637" s="19" t="s">
        <v>845</v>
      </c>
      <c r="C637" s="20" t="s">
        <v>182</v>
      </c>
      <c r="D637" s="21">
        <v>3</v>
      </c>
      <c r="E637" s="22">
        <v>148648.64865</v>
      </c>
    </row>
    <row r="638" s="29" customFormat="1" ht="28" spans="2:5">
      <c r="B638" s="19" t="s">
        <v>845</v>
      </c>
      <c r="C638" s="16" t="s">
        <v>183</v>
      </c>
      <c r="D638" s="23">
        <v>3</v>
      </c>
      <c r="E638" s="24">
        <v>148648.64865</v>
      </c>
    </row>
    <row r="639" s="29" customFormat="1" ht="41" spans="2:5">
      <c r="B639" s="19" t="s">
        <v>375</v>
      </c>
      <c r="C639" s="20" t="s">
        <v>182</v>
      </c>
      <c r="D639" s="21">
        <v>108</v>
      </c>
      <c r="E639" s="22">
        <v>0</v>
      </c>
    </row>
    <row r="640" s="29" customFormat="1" ht="28" spans="2:5">
      <c r="B640" s="19" t="s">
        <v>375</v>
      </c>
      <c r="C640" s="20" t="s">
        <v>804</v>
      </c>
      <c r="D640" s="21">
        <v>27</v>
      </c>
      <c r="E640" s="22">
        <v>0</v>
      </c>
    </row>
    <row r="641" s="29" customFormat="1" spans="2:5">
      <c r="B641" s="19" t="s">
        <v>375</v>
      </c>
      <c r="C641" s="16" t="s">
        <v>183</v>
      </c>
      <c r="D641" s="23">
        <v>135</v>
      </c>
      <c r="E641" s="24">
        <v>0</v>
      </c>
    </row>
    <row r="642" s="29" customFormat="1" ht="41" spans="2:5">
      <c r="B642" s="19" t="s">
        <v>302</v>
      </c>
      <c r="C642" s="20" t="s">
        <v>182</v>
      </c>
      <c r="D642" s="21">
        <v>82</v>
      </c>
      <c r="E642" s="22">
        <v>222161.783783</v>
      </c>
    </row>
    <row r="643" s="29" customFormat="1" ht="28" spans="2:5">
      <c r="B643" s="19" t="s">
        <v>302</v>
      </c>
      <c r="C643" s="20" t="s">
        <v>804</v>
      </c>
      <c r="D643" s="21">
        <v>20</v>
      </c>
      <c r="E643" s="22">
        <v>21081.081081</v>
      </c>
    </row>
    <row r="644" s="29" customFormat="1" spans="2:5">
      <c r="B644" s="19" t="s">
        <v>302</v>
      </c>
      <c r="C644" s="16" t="s">
        <v>183</v>
      </c>
      <c r="D644" s="23">
        <v>102</v>
      </c>
      <c r="E644" s="24">
        <v>243242.864864</v>
      </c>
    </row>
    <row r="645" s="29" customFormat="1" ht="41" spans="2:5">
      <c r="B645" s="19" t="s">
        <v>991</v>
      </c>
      <c r="C645" s="20" t="s">
        <v>182</v>
      </c>
      <c r="D645" s="21">
        <v>1</v>
      </c>
      <c r="E645" s="22">
        <v>47748</v>
      </c>
    </row>
    <row r="646" s="29" customFormat="1" ht="28" spans="2:5">
      <c r="B646" s="19" t="s">
        <v>991</v>
      </c>
      <c r="C646" s="16" t="s">
        <v>183</v>
      </c>
      <c r="D646" s="23">
        <v>1</v>
      </c>
      <c r="E646" s="24">
        <v>47748</v>
      </c>
    </row>
    <row r="647" s="29" customFormat="1" ht="41.75" spans="2:5">
      <c r="B647" s="20" t="s">
        <v>848</v>
      </c>
      <c r="C647" s="20" t="s">
        <v>182</v>
      </c>
      <c r="D647" s="21">
        <v>1</v>
      </c>
      <c r="E647" s="22">
        <v>53153.153153</v>
      </c>
    </row>
    <row r="648" s="29" customFormat="1" spans="2:5">
      <c r="B648" s="25"/>
      <c r="C648" s="25"/>
      <c r="D648" s="25"/>
      <c r="E648" s="25"/>
    </row>
    <row r="649" s="29" customFormat="1" ht="36" spans="2:5">
      <c r="B649" s="26" t="s">
        <v>189</v>
      </c>
      <c r="C649" s="26" t="s">
        <v>189</v>
      </c>
      <c r="D649" s="26" t="s">
        <v>189</v>
      </c>
      <c r="E649" s="26" t="s">
        <v>189</v>
      </c>
    </row>
    <row r="650" s="29" customFormat="1" spans="2:5">
      <c r="B650" s="26"/>
      <c r="C650" s="26"/>
      <c r="D650" s="26"/>
      <c r="E650" s="26"/>
    </row>
    <row r="651" s="29" customFormat="1" ht="36" spans="2:5">
      <c r="B651" s="26" t="s">
        <v>958</v>
      </c>
      <c r="C651" s="26" t="s">
        <v>958</v>
      </c>
      <c r="D651" s="26" t="s">
        <v>958</v>
      </c>
      <c r="E651" s="26" t="s">
        <v>958</v>
      </c>
    </row>
    <row r="652" s="29" customFormat="1" spans="2:5">
      <c r="B652" s="26" t="s">
        <v>533</v>
      </c>
      <c r="C652" s="26" t="s">
        <v>533</v>
      </c>
      <c r="D652" s="26" t="s">
        <v>533</v>
      </c>
      <c r="E652" s="26" t="s">
        <v>533</v>
      </c>
    </row>
    <row r="653" s="29" customFormat="1" ht="124" spans="2:5">
      <c r="B653" s="11" t="s">
        <v>173</v>
      </c>
      <c r="C653" s="11" t="s">
        <v>173</v>
      </c>
      <c r="D653" s="11" t="s">
        <v>173</v>
      </c>
      <c r="E653" s="11" t="s">
        <v>173</v>
      </c>
    </row>
    <row r="654" s="29" customFormat="1" ht="156" spans="2:5">
      <c r="B654" s="12" t="s">
        <v>174</v>
      </c>
      <c r="C654" s="12" t="s">
        <v>174</v>
      </c>
      <c r="D654" s="12" t="s">
        <v>174</v>
      </c>
      <c r="E654" s="12" t="s">
        <v>174</v>
      </c>
    </row>
    <row r="655" s="29" customFormat="1" ht="68" spans="2:5">
      <c r="B655" s="13" t="s">
        <v>951</v>
      </c>
      <c r="C655" s="13" t="s">
        <v>951</v>
      </c>
      <c r="D655" s="13" t="s">
        <v>951</v>
      </c>
      <c r="E655" s="13" t="s">
        <v>951</v>
      </c>
    </row>
    <row r="656" s="29" customFormat="1" ht="22" spans="2:5">
      <c r="B656" s="14" t="s">
        <v>176</v>
      </c>
      <c r="C656" s="14" t="s">
        <v>176</v>
      </c>
      <c r="D656" s="14" t="s">
        <v>176</v>
      </c>
      <c r="E656" s="14" t="s">
        <v>176</v>
      </c>
    </row>
    <row r="657" s="29" customFormat="1" spans="2:5">
      <c r="B657" s="15" t="s">
        <v>177</v>
      </c>
      <c r="C657" s="16" t="s">
        <v>178</v>
      </c>
      <c r="D657" s="17" t="s">
        <v>179</v>
      </c>
      <c r="E657" s="18" t="s">
        <v>180</v>
      </c>
    </row>
    <row r="658" s="29" customFormat="1" ht="28" spans="2:5">
      <c r="B658" s="19" t="s">
        <v>848</v>
      </c>
      <c r="C658" s="20" t="s">
        <v>804</v>
      </c>
      <c r="D658" s="21">
        <v>1</v>
      </c>
      <c r="E658" s="22">
        <v>53152.765766</v>
      </c>
    </row>
    <row r="659" s="29" customFormat="1" ht="28" spans="2:5">
      <c r="B659" s="19" t="s">
        <v>848</v>
      </c>
      <c r="C659" s="16" t="s">
        <v>183</v>
      </c>
      <c r="D659" s="23">
        <v>2</v>
      </c>
      <c r="E659" s="24">
        <v>106305.918919</v>
      </c>
    </row>
    <row r="660" s="29" customFormat="1" ht="41" spans="2:5">
      <c r="B660" s="19" t="s">
        <v>849</v>
      </c>
      <c r="C660" s="20" t="s">
        <v>182</v>
      </c>
      <c r="D660" s="21">
        <v>2</v>
      </c>
      <c r="E660" s="22">
        <v>68468.468468</v>
      </c>
    </row>
    <row r="661" s="29" customFormat="1" ht="28" spans="2:5">
      <c r="B661" s="19" t="s">
        <v>849</v>
      </c>
      <c r="C661" s="16" t="s">
        <v>183</v>
      </c>
      <c r="D661" s="23">
        <v>2</v>
      </c>
      <c r="E661" s="24">
        <v>68468.468468</v>
      </c>
    </row>
    <row r="662" s="29" customFormat="1" ht="28" spans="2:5">
      <c r="B662" s="19" t="s">
        <v>992</v>
      </c>
      <c r="C662" s="20" t="s">
        <v>804</v>
      </c>
      <c r="D662" s="21">
        <v>1</v>
      </c>
      <c r="E662" s="22">
        <v>34234.234234</v>
      </c>
    </row>
    <row r="663" s="29" customFormat="1" ht="28" spans="2:5">
      <c r="B663" s="19" t="s">
        <v>992</v>
      </c>
      <c r="C663" s="16" t="s">
        <v>183</v>
      </c>
      <c r="D663" s="23">
        <v>1</v>
      </c>
      <c r="E663" s="24">
        <v>34234.234234</v>
      </c>
    </row>
    <row r="664" s="29" customFormat="1" ht="41" spans="2:5">
      <c r="B664" s="19" t="s">
        <v>852</v>
      </c>
      <c r="C664" s="20" t="s">
        <v>182</v>
      </c>
      <c r="D664" s="21">
        <v>1</v>
      </c>
      <c r="E664" s="22">
        <v>89189.594595</v>
      </c>
    </row>
    <row r="665" s="29" customFormat="1" ht="28" spans="2:5">
      <c r="B665" s="19" t="s">
        <v>852</v>
      </c>
      <c r="C665" s="16" t="s">
        <v>183</v>
      </c>
      <c r="D665" s="23">
        <v>1</v>
      </c>
      <c r="E665" s="24">
        <v>89189.594595</v>
      </c>
    </row>
    <row r="666" s="29" customFormat="1" ht="41" spans="2:5">
      <c r="B666" s="19" t="s">
        <v>853</v>
      </c>
      <c r="C666" s="20" t="s">
        <v>182</v>
      </c>
      <c r="D666" s="21">
        <v>2</v>
      </c>
      <c r="E666" s="22">
        <v>142342.171171</v>
      </c>
    </row>
    <row r="667" s="29" customFormat="1" ht="28" spans="2:5">
      <c r="B667" s="19" t="s">
        <v>853</v>
      </c>
      <c r="C667" s="16" t="s">
        <v>183</v>
      </c>
      <c r="D667" s="23">
        <v>2</v>
      </c>
      <c r="E667" s="24">
        <v>142342.171171</v>
      </c>
    </row>
    <row r="668" s="29" customFormat="1" ht="41" spans="2:5">
      <c r="B668" s="19" t="s">
        <v>854</v>
      </c>
      <c r="C668" s="20" t="s">
        <v>182</v>
      </c>
      <c r="D668" s="21">
        <v>1</v>
      </c>
      <c r="E668" s="22">
        <v>51351.765766</v>
      </c>
    </row>
    <row r="669" s="29" customFormat="1" ht="28" spans="2:5">
      <c r="B669" s="19" t="s">
        <v>854</v>
      </c>
      <c r="C669" s="16" t="s">
        <v>183</v>
      </c>
      <c r="D669" s="23">
        <v>1</v>
      </c>
      <c r="E669" s="24">
        <v>51351.765766</v>
      </c>
    </row>
    <row r="670" s="29" customFormat="1" ht="41" spans="2:5">
      <c r="B670" s="19" t="s">
        <v>993</v>
      </c>
      <c r="C670" s="20" t="s">
        <v>182</v>
      </c>
      <c r="D670" s="21">
        <v>2</v>
      </c>
      <c r="E670" s="22">
        <v>1598000</v>
      </c>
    </row>
    <row r="671" s="29" customFormat="1" ht="28.75" spans="2:5">
      <c r="B671" s="19" t="s">
        <v>993</v>
      </c>
      <c r="C671" s="16" t="s">
        <v>183</v>
      </c>
      <c r="D671" s="23">
        <v>2</v>
      </c>
      <c r="E671" s="24">
        <v>1598000</v>
      </c>
    </row>
    <row r="672" s="29" customFormat="1" spans="2:5">
      <c r="B672" s="25"/>
      <c r="C672" s="25"/>
      <c r="D672" s="25"/>
      <c r="E672" s="25"/>
    </row>
    <row r="673" s="29" customFormat="1" ht="36" spans="2:5">
      <c r="B673" s="26" t="s">
        <v>189</v>
      </c>
      <c r="C673" s="26" t="s">
        <v>189</v>
      </c>
      <c r="D673" s="26" t="s">
        <v>189</v>
      </c>
      <c r="E673" s="26" t="s">
        <v>189</v>
      </c>
    </row>
    <row r="674" s="29" customFormat="1" spans="2:5">
      <c r="B674" s="26"/>
      <c r="C674" s="26"/>
      <c r="D674" s="26"/>
      <c r="E674" s="26"/>
    </row>
    <row r="675" s="29" customFormat="1" ht="36" spans="2:5">
      <c r="B675" s="26" t="s">
        <v>958</v>
      </c>
      <c r="C675" s="26" t="s">
        <v>958</v>
      </c>
      <c r="D675" s="26" t="s">
        <v>958</v>
      </c>
      <c r="E675" s="26" t="s">
        <v>958</v>
      </c>
    </row>
    <row r="676" s="29" customFormat="1" spans="2:5">
      <c r="B676" s="26" t="s">
        <v>540</v>
      </c>
      <c r="C676" s="26" t="s">
        <v>540</v>
      </c>
      <c r="D676" s="26" t="s">
        <v>540</v>
      </c>
      <c r="E676" s="26" t="s">
        <v>540</v>
      </c>
    </row>
    <row r="677" s="29" customFormat="1" ht="124" spans="2:5">
      <c r="B677" s="11" t="s">
        <v>173</v>
      </c>
      <c r="C677" s="11" t="s">
        <v>173</v>
      </c>
      <c r="D677" s="11" t="s">
        <v>173</v>
      </c>
      <c r="E677" s="11" t="s">
        <v>173</v>
      </c>
    </row>
    <row r="678" s="29" customFormat="1" ht="156" spans="2:5">
      <c r="B678" s="12" t="s">
        <v>174</v>
      </c>
      <c r="C678" s="12" t="s">
        <v>174</v>
      </c>
      <c r="D678" s="12" t="s">
        <v>174</v>
      </c>
      <c r="E678" s="12" t="s">
        <v>174</v>
      </c>
    </row>
    <row r="679" s="29" customFormat="1" ht="68" spans="2:5">
      <c r="B679" s="13" t="s">
        <v>951</v>
      </c>
      <c r="C679" s="13" t="s">
        <v>951</v>
      </c>
      <c r="D679" s="13" t="s">
        <v>951</v>
      </c>
      <c r="E679" s="13" t="s">
        <v>951</v>
      </c>
    </row>
    <row r="680" s="29" customFormat="1" ht="22" spans="2:5">
      <c r="B680" s="14" t="s">
        <v>176</v>
      </c>
      <c r="C680" s="14" t="s">
        <v>176</v>
      </c>
      <c r="D680" s="14" t="s">
        <v>176</v>
      </c>
      <c r="E680" s="14" t="s">
        <v>176</v>
      </c>
    </row>
    <row r="681" s="29" customFormat="1" spans="2:5">
      <c r="B681" s="15" t="s">
        <v>177</v>
      </c>
      <c r="C681" s="16" t="s">
        <v>178</v>
      </c>
      <c r="D681" s="17" t="s">
        <v>179</v>
      </c>
      <c r="E681" s="18" t="s">
        <v>180</v>
      </c>
    </row>
    <row r="682" s="29" customFormat="1" ht="41" spans="2:5">
      <c r="B682" s="19" t="s">
        <v>994</v>
      </c>
      <c r="C682" s="20" t="s">
        <v>182</v>
      </c>
      <c r="D682" s="21">
        <v>2</v>
      </c>
      <c r="E682" s="22">
        <v>3612612.612613</v>
      </c>
    </row>
    <row r="683" s="29" customFormat="1" ht="28" spans="2:5">
      <c r="B683" s="19" t="s">
        <v>994</v>
      </c>
      <c r="C683" s="16" t="s">
        <v>183</v>
      </c>
      <c r="D683" s="23">
        <v>2</v>
      </c>
      <c r="E683" s="24">
        <v>3612612.612613</v>
      </c>
    </row>
    <row r="684" s="29" customFormat="1" ht="28" spans="2:5">
      <c r="B684" s="19" t="s">
        <v>308</v>
      </c>
      <c r="C684" s="20" t="s">
        <v>804</v>
      </c>
      <c r="D684" s="21">
        <v>2</v>
      </c>
      <c r="E684" s="22">
        <v>1675676</v>
      </c>
    </row>
    <row r="685" s="29" customFormat="1" ht="28" spans="2:5">
      <c r="B685" s="19" t="s">
        <v>308</v>
      </c>
      <c r="C685" s="16" t="s">
        <v>183</v>
      </c>
      <c r="D685" s="23">
        <v>2</v>
      </c>
      <c r="E685" s="24">
        <v>1675676</v>
      </c>
    </row>
    <row r="686" s="29" customFormat="1" ht="41" spans="2:5">
      <c r="B686" s="19" t="s">
        <v>995</v>
      </c>
      <c r="C686" s="20" t="s">
        <v>182</v>
      </c>
      <c r="D686" s="21">
        <v>4</v>
      </c>
      <c r="E686" s="22">
        <v>2147748</v>
      </c>
    </row>
    <row r="687" s="29" customFormat="1" ht="28" spans="2:5">
      <c r="B687" s="19" t="s">
        <v>995</v>
      </c>
      <c r="C687" s="16" t="s">
        <v>183</v>
      </c>
      <c r="D687" s="23">
        <v>4</v>
      </c>
      <c r="E687" s="24">
        <v>2147748</v>
      </c>
    </row>
    <row r="688" s="29" customFormat="1" ht="41" spans="2:5">
      <c r="B688" s="19" t="s">
        <v>996</v>
      </c>
      <c r="C688" s="20" t="s">
        <v>182</v>
      </c>
      <c r="D688" s="21">
        <v>4</v>
      </c>
      <c r="E688" s="22">
        <v>3852252</v>
      </c>
    </row>
    <row r="689" s="29" customFormat="1" ht="28" spans="2:5">
      <c r="B689" s="19" t="s">
        <v>996</v>
      </c>
      <c r="C689" s="16" t="s">
        <v>183</v>
      </c>
      <c r="D689" s="23">
        <v>4</v>
      </c>
      <c r="E689" s="24">
        <v>3852252</v>
      </c>
    </row>
    <row r="690" s="29" customFormat="1" ht="28" spans="2:5">
      <c r="B690" s="19" t="s">
        <v>997</v>
      </c>
      <c r="C690" s="20" t="s">
        <v>804</v>
      </c>
      <c r="D690" s="21">
        <v>1</v>
      </c>
      <c r="E690" s="22">
        <v>750000</v>
      </c>
    </row>
    <row r="691" s="29" customFormat="1" spans="2:5">
      <c r="B691" s="19" t="s">
        <v>997</v>
      </c>
      <c r="C691" s="16" t="s">
        <v>183</v>
      </c>
      <c r="D691" s="23">
        <v>1</v>
      </c>
      <c r="E691" s="24">
        <v>750000</v>
      </c>
    </row>
    <row r="692" s="29" customFormat="1" ht="28" spans="2:5">
      <c r="B692" s="19" t="s">
        <v>998</v>
      </c>
      <c r="C692" s="20" t="s">
        <v>804</v>
      </c>
      <c r="D692" s="21">
        <v>1</v>
      </c>
      <c r="E692" s="22">
        <v>209000</v>
      </c>
    </row>
    <row r="693" s="29" customFormat="1" ht="28" spans="2:5">
      <c r="B693" s="19" t="s">
        <v>998</v>
      </c>
      <c r="C693" s="16" t="s">
        <v>183</v>
      </c>
      <c r="D693" s="23">
        <v>1</v>
      </c>
      <c r="E693" s="24">
        <v>209000</v>
      </c>
    </row>
    <row r="694" s="29" customFormat="1" ht="41" spans="2:5">
      <c r="B694" s="19" t="s">
        <v>999</v>
      </c>
      <c r="C694" s="20" t="s">
        <v>182</v>
      </c>
      <c r="D694" s="21">
        <v>1</v>
      </c>
      <c r="E694" s="22">
        <v>124000</v>
      </c>
    </row>
    <row r="695" s="29" customFormat="1" ht="17.55" spans="2:5">
      <c r="B695" s="19" t="s">
        <v>999</v>
      </c>
      <c r="C695" s="16" t="s">
        <v>183</v>
      </c>
      <c r="D695" s="23">
        <v>1</v>
      </c>
      <c r="E695" s="24">
        <v>124000</v>
      </c>
    </row>
    <row r="696" s="29" customFormat="1" spans="2:5">
      <c r="B696" s="25"/>
      <c r="C696" s="25"/>
      <c r="D696" s="25"/>
      <c r="E696" s="25"/>
    </row>
    <row r="697" s="29" customFormat="1" ht="36" spans="2:5">
      <c r="B697" s="26" t="s">
        <v>189</v>
      </c>
      <c r="C697" s="26" t="s">
        <v>189</v>
      </c>
      <c r="D697" s="26" t="s">
        <v>189</v>
      </c>
      <c r="E697" s="26" t="s">
        <v>189</v>
      </c>
    </row>
    <row r="698" s="29" customFormat="1" spans="2:5">
      <c r="B698" s="26"/>
      <c r="C698" s="26"/>
      <c r="D698" s="26"/>
      <c r="E698" s="26"/>
    </row>
    <row r="699" s="29" customFormat="1" ht="36" spans="2:5">
      <c r="B699" s="26" t="s">
        <v>958</v>
      </c>
      <c r="C699" s="26" t="s">
        <v>958</v>
      </c>
      <c r="D699" s="26" t="s">
        <v>958</v>
      </c>
      <c r="E699" s="26" t="s">
        <v>958</v>
      </c>
    </row>
    <row r="700" s="29" customFormat="1" spans="2:5">
      <c r="B700" s="26" t="s">
        <v>547</v>
      </c>
      <c r="C700" s="26" t="s">
        <v>547</v>
      </c>
      <c r="D700" s="26" t="s">
        <v>547</v>
      </c>
      <c r="E700" s="26" t="s">
        <v>547</v>
      </c>
    </row>
    <row r="701" s="29" customFormat="1" ht="124" spans="2:5">
      <c r="B701" s="11" t="s">
        <v>173</v>
      </c>
      <c r="C701" s="11" t="s">
        <v>173</v>
      </c>
      <c r="D701" s="11" t="s">
        <v>173</v>
      </c>
      <c r="E701" s="11" t="s">
        <v>173</v>
      </c>
    </row>
    <row r="702" s="29" customFormat="1" ht="156" spans="2:5">
      <c r="B702" s="12" t="s">
        <v>174</v>
      </c>
      <c r="C702" s="12" t="s">
        <v>174</v>
      </c>
      <c r="D702" s="12" t="s">
        <v>174</v>
      </c>
      <c r="E702" s="12" t="s">
        <v>174</v>
      </c>
    </row>
    <row r="703" s="29" customFormat="1" ht="68" spans="2:5">
      <c r="B703" s="13" t="s">
        <v>951</v>
      </c>
      <c r="C703" s="13" t="s">
        <v>951</v>
      </c>
      <c r="D703" s="13" t="s">
        <v>951</v>
      </c>
      <c r="E703" s="13" t="s">
        <v>951</v>
      </c>
    </row>
    <row r="704" s="29" customFormat="1" ht="22" spans="2:5">
      <c r="B704" s="14" t="s">
        <v>176</v>
      </c>
      <c r="C704" s="14" t="s">
        <v>176</v>
      </c>
      <c r="D704" s="14" t="s">
        <v>176</v>
      </c>
      <c r="E704" s="14" t="s">
        <v>176</v>
      </c>
    </row>
    <row r="705" s="29" customFormat="1" spans="2:5">
      <c r="B705" s="15" t="s">
        <v>177</v>
      </c>
      <c r="C705" s="16" t="s">
        <v>178</v>
      </c>
      <c r="D705" s="17" t="s">
        <v>179</v>
      </c>
      <c r="E705" s="18" t="s">
        <v>180</v>
      </c>
    </row>
    <row r="706" s="29" customFormat="1" ht="41" spans="2:5">
      <c r="B706" s="19" t="s">
        <v>1000</v>
      </c>
      <c r="C706" s="20" t="s">
        <v>182</v>
      </c>
      <c r="D706" s="21">
        <v>1</v>
      </c>
      <c r="E706" s="22">
        <v>72500</v>
      </c>
    </row>
    <row r="707" s="29" customFormat="1" ht="28" spans="2:5">
      <c r="B707" s="19" t="s">
        <v>1000</v>
      </c>
      <c r="C707" s="16" t="s">
        <v>183</v>
      </c>
      <c r="D707" s="23">
        <v>1</v>
      </c>
      <c r="E707" s="24">
        <v>72500</v>
      </c>
    </row>
    <row r="708" s="29" customFormat="1" ht="41" spans="2:5">
      <c r="B708" s="19" t="s">
        <v>1001</v>
      </c>
      <c r="C708" s="20" t="s">
        <v>182</v>
      </c>
      <c r="D708" s="21">
        <v>2</v>
      </c>
      <c r="E708" s="22">
        <v>1765748.070392</v>
      </c>
    </row>
    <row r="709" s="29" customFormat="1" ht="28" spans="2:5">
      <c r="B709" s="19" t="s">
        <v>1001</v>
      </c>
      <c r="C709" s="16" t="s">
        <v>183</v>
      </c>
      <c r="D709" s="23">
        <v>2</v>
      </c>
      <c r="E709" s="24">
        <v>1765748.070392</v>
      </c>
    </row>
    <row r="710" s="29" customFormat="1" ht="41" spans="2:5">
      <c r="B710" s="19" t="s">
        <v>1002</v>
      </c>
      <c r="C710" s="20" t="s">
        <v>182</v>
      </c>
      <c r="D710" s="21">
        <v>4</v>
      </c>
      <c r="E710" s="22">
        <v>227039.6083</v>
      </c>
    </row>
    <row r="711" s="29" customFormat="1" ht="28" spans="2:5">
      <c r="B711" s="19" t="s">
        <v>1002</v>
      </c>
      <c r="C711" s="16" t="s">
        <v>183</v>
      </c>
      <c r="D711" s="23">
        <v>4</v>
      </c>
      <c r="E711" s="24">
        <v>227039.6083</v>
      </c>
    </row>
    <row r="712" s="29" customFormat="1" ht="41" spans="2:5">
      <c r="B712" s="19" t="s">
        <v>1003</v>
      </c>
      <c r="C712" s="20" t="s">
        <v>182</v>
      </c>
      <c r="D712" s="21">
        <v>2</v>
      </c>
      <c r="E712" s="22">
        <v>1449122.484477</v>
      </c>
    </row>
    <row r="713" s="29" customFormat="1" ht="28" spans="2:5">
      <c r="B713" s="19" t="s">
        <v>1003</v>
      </c>
      <c r="C713" s="16" t="s">
        <v>183</v>
      </c>
      <c r="D713" s="23">
        <v>2</v>
      </c>
      <c r="E713" s="24">
        <v>1449122.484477</v>
      </c>
    </row>
    <row r="714" s="29" customFormat="1" ht="41" spans="2:5">
      <c r="B714" s="19" t="s">
        <v>1004</v>
      </c>
      <c r="C714" s="20" t="s">
        <v>182</v>
      </c>
      <c r="D714" s="21">
        <v>1</v>
      </c>
      <c r="E714" s="22">
        <v>241718.89332</v>
      </c>
    </row>
    <row r="715" s="29" customFormat="1" ht="28" spans="2:5">
      <c r="B715" s="19" t="s">
        <v>1004</v>
      </c>
      <c r="C715" s="16" t="s">
        <v>183</v>
      </c>
      <c r="D715" s="23">
        <v>1</v>
      </c>
      <c r="E715" s="24">
        <v>241718.89332</v>
      </c>
    </row>
    <row r="716" s="29" customFormat="1" ht="41" spans="2:5">
      <c r="B716" s="19" t="s">
        <v>1005</v>
      </c>
      <c r="C716" s="20" t="s">
        <v>182</v>
      </c>
      <c r="D716" s="21">
        <v>1</v>
      </c>
      <c r="E716" s="22">
        <v>234868.56031</v>
      </c>
    </row>
    <row r="717" s="29" customFormat="1" ht="41.75" spans="2:5">
      <c r="B717" s="19" t="s">
        <v>1005</v>
      </c>
      <c r="C717" s="16" t="s">
        <v>183</v>
      </c>
      <c r="D717" s="23">
        <v>1</v>
      </c>
      <c r="E717" s="24">
        <v>234868.56031</v>
      </c>
    </row>
    <row r="718" s="29" customFormat="1" spans="2:5">
      <c r="B718" s="25"/>
      <c r="C718" s="25"/>
      <c r="D718" s="25"/>
      <c r="E718" s="25"/>
    </row>
    <row r="719" s="29" customFormat="1" ht="36" spans="2:5">
      <c r="B719" s="26" t="s">
        <v>189</v>
      </c>
      <c r="C719" s="26" t="s">
        <v>189</v>
      </c>
      <c r="D719" s="26" t="s">
        <v>189</v>
      </c>
      <c r="E719" s="26" t="s">
        <v>189</v>
      </c>
    </row>
    <row r="720" s="29" customFormat="1" spans="2:5">
      <c r="B720" s="26"/>
      <c r="C720" s="26"/>
      <c r="D720" s="26"/>
      <c r="E720" s="26"/>
    </row>
    <row r="721" s="29" customFormat="1" ht="36" spans="2:5">
      <c r="B721" s="26" t="s">
        <v>958</v>
      </c>
      <c r="C721" s="26" t="s">
        <v>958</v>
      </c>
      <c r="D721" s="26" t="s">
        <v>958</v>
      </c>
      <c r="E721" s="26" t="s">
        <v>958</v>
      </c>
    </row>
    <row r="722" s="29" customFormat="1" spans="2:5">
      <c r="B722" s="26" t="s">
        <v>554</v>
      </c>
      <c r="C722" s="26" t="s">
        <v>554</v>
      </c>
      <c r="D722" s="26" t="s">
        <v>554</v>
      </c>
      <c r="E722" s="26" t="s">
        <v>554</v>
      </c>
    </row>
    <row r="723" s="29" customFormat="1" ht="124" spans="2:5">
      <c r="B723" s="11" t="s">
        <v>173</v>
      </c>
      <c r="C723" s="11" t="s">
        <v>173</v>
      </c>
      <c r="D723" s="11" t="s">
        <v>173</v>
      </c>
      <c r="E723" s="11" t="s">
        <v>173</v>
      </c>
    </row>
    <row r="724" s="29" customFormat="1" ht="156" spans="2:5">
      <c r="B724" s="12" t="s">
        <v>174</v>
      </c>
      <c r="C724" s="12" t="s">
        <v>174</v>
      </c>
      <c r="D724" s="12" t="s">
        <v>174</v>
      </c>
      <c r="E724" s="12" t="s">
        <v>174</v>
      </c>
    </row>
    <row r="725" s="29" customFormat="1" ht="68" spans="2:5">
      <c r="B725" s="13" t="s">
        <v>951</v>
      </c>
      <c r="C725" s="13" t="s">
        <v>951</v>
      </c>
      <c r="D725" s="13" t="s">
        <v>951</v>
      </c>
      <c r="E725" s="13" t="s">
        <v>951</v>
      </c>
    </row>
    <row r="726" s="29" customFormat="1" ht="22" spans="2:5">
      <c r="B726" s="14" t="s">
        <v>176</v>
      </c>
      <c r="C726" s="14" t="s">
        <v>176</v>
      </c>
      <c r="D726" s="14" t="s">
        <v>176</v>
      </c>
      <c r="E726" s="14" t="s">
        <v>176</v>
      </c>
    </row>
    <row r="727" s="29" customFormat="1" spans="2:5">
      <c r="B727" s="15" t="s">
        <v>177</v>
      </c>
      <c r="C727" s="16" t="s">
        <v>178</v>
      </c>
      <c r="D727" s="17" t="s">
        <v>179</v>
      </c>
      <c r="E727" s="18" t="s">
        <v>180</v>
      </c>
    </row>
    <row r="728" s="29" customFormat="1" ht="41" spans="2:5">
      <c r="B728" s="19" t="s">
        <v>1006</v>
      </c>
      <c r="C728" s="20" t="s">
        <v>182</v>
      </c>
      <c r="D728" s="21">
        <v>1</v>
      </c>
      <c r="E728" s="22">
        <v>197297.297297</v>
      </c>
    </row>
    <row r="729" s="29" customFormat="1" ht="28" spans="2:5">
      <c r="B729" s="19" t="s">
        <v>1006</v>
      </c>
      <c r="C729" s="16" t="s">
        <v>183</v>
      </c>
      <c r="D729" s="23">
        <v>1</v>
      </c>
      <c r="E729" s="24">
        <v>197297.297297</v>
      </c>
    </row>
    <row r="730" s="29" customFormat="1" ht="41" spans="2:5">
      <c r="B730" s="19" t="s">
        <v>1007</v>
      </c>
      <c r="C730" s="20" t="s">
        <v>182</v>
      </c>
      <c r="D730" s="21">
        <v>1</v>
      </c>
      <c r="E730" s="22">
        <v>56759.902075</v>
      </c>
    </row>
    <row r="731" s="29" customFormat="1" ht="28" spans="2:5">
      <c r="B731" s="19" t="s">
        <v>1007</v>
      </c>
      <c r="C731" s="16" t="s">
        <v>183</v>
      </c>
      <c r="D731" s="23">
        <v>1</v>
      </c>
      <c r="E731" s="24">
        <v>56759.902075</v>
      </c>
    </row>
    <row r="732" s="29" customFormat="1" ht="41" spans="2:5">
      <c r="B732" s="19" t="s">
        <v>1008</v>
      </c>
      <c r="C732" s="20" t="s">
        <v>182</v>
      </c>
      <c r="D732" s="21">
        <v>1</v>
      </c>
      <c r="E732" s="22">
        <v>191809.324254</v>
      </c>
    </row>
    <row r="733" s="29" customFormat="1" ht="28" spans="2:5">
      <c r="B733" s="19" t="s">
        <v>1008</v>
      </c>
      <c r="C733" s="16" t="s">
        <v>183</v>
      </c>
      <c r="D733" s="23">
        <v>1</v>
      </c>
      <c r="E733" s="24">
        <v>191809.324254</v>
      </c>
    </row>
    <row r="734" s="29" customFormat="1" ht="41" spans="2:5">
      <c r="B734" s="19" t="s">
        <v>1009</v>
      </c>
      <c r="C734" s="20" t="s">
        <v>182</v>
      </c>
      <c r="D734" s="21">
        <v>1</v>
      </c>
      <c r="E734" s="22">
        <v>212105.98795</v>
      </c>
    </row>
    <row r="735" s="29" customFormat="1" ht="28" spans="2:5">
      <c r="B735" s="19" t="s">
        <v>1009</v>
      </c>
      <c r="C735" s="16" t="s">
        <v>183</v>
      </c>
      <c r="D735" s="23">
        <v>1</v>
      </c>
      <c r="E735" s="24">
        <v>212105.98795</v>
      </c>
    </row>
    <row r="736" s="29" customFormat="1" ht="28" spans="2:5">
      <c r="B736" s="19" t="s">
        <v>1010</v>
      </c>
      <c r="C736" s="20" t="s">
        <v>804</v>
      </c>
      <c r="D736" s="21">
        <v>1</v>
      </c>
      <c r="E736" s="22">
        <v>360000</v>
      </c>
    </row>
    <row r="737" s="29" customFormat="1" ht="28" spans="2:5">
      <c r="B737" s="19" t="s">
        <v>1010</v>
      </c>
      <c r="C737" s="16" t="s">
        <v>183</v>
      </c>
      <c r="D737" s="23">
        <v>1</v>
      </c>
      <c r="E737" s="24">
        <v>360000</v>
      </c>
    </row>
    <row r="738" s="29" customFormat="1" ht="41" spans="2:5">
      <c r="B738" s="19" t="s">
        <v>1011</v>
      </c>
      <c r="C738" s="20" t="s">
        <v>182</v>
      </c>
      <c r="D738" s="21">
        <v>2</v>
      </c>
      <c r="E738" s="22">
        <v>141899.755188</v>
      </c>
    </row>
    <row r="739" s="29" customFormat="1" ht="28" spans="2:5">
      <c r="B739" s="19" t="s">
        <v>1011</v>
      </c>
      <c r="C739" s="16" t="s">
        <v>183</v>
      </c>
      <c r="D739" s="23">
        <v>2</v>
      </c>
      <c r="E739" s="24">
        <v>141899.755188</v>
      </c>
    </row>
    <row r="740" s="29" customFormat="1" ht="41" spans="2:5">
      <c r="B740" s="19" t="s">
        <v>1012</v>
      </c>
      <c r="C740" s="20" t="s">
        <v>182</v>
      </c>
      <c r="D740" s="21">
        <v>2</v>
      </c>
      <c r="E740" s="22">
        <v>248000</v>
      </c>
    </row>
    <row r="741" s="29" customFormat="1" ht="28.75" spans="2:5">
      <c r="B741" s="19" t="s">
        <v>1012</v>
      </c>
      <c r="C741" s="16" t="s">
        <v>183</v>
      </c>
      <c r="D741" s="23">
        <v>2</v>
      </c>
      <c r="E741" s="24">
        <v>248000</v>
      </c>
    </row>
    <row r="742" s="29" customFormat="1" spans="2:5">
      <c r="B742" s="25"/>
      <c r="C742" s="25"/>
      <c r="D742" s="25"/>
      <c r="E742" s="25"/>
    </row>
    <row r="743" s="29" customFormat="1" ht="36" spans="2:5">
      <c r="B743" s="26" t="s">
        <v>189</v>
      </c>
      <c r="C743" s="26" t="s">
        <v>189</v>
      </c>
      <c r="D743" s="26" t="s">
        <v>189</v>
      </c>
      <c r="E743" s="26" t="s">
        <v>189</v>
      </c>
    </row>
    <row r="744" s="29" customFormat="1" spans="2:5">
      <c r="B744" s="26"/>
      <c r="C744" s="26"/>
      <c r="D744" s="26"/>
      <c r="E744" s="26"/>
    </row>
    <row r="745" s="29" customFormat="1" ht="36" spans="2:5">
      <c r="B745" s="26" t="s">
        <v>958</v>
      </c>
      <c r="C745" s="26" t="s">
        <v>958</v>
      </c>
      <c r="D745" s="26" t="s">
        <v>958</v>
      </c>
      <c r="E745" s="26" t="s">
        <v>958</v>
      </c>
    </row>
    <row r="746" s="29" customFormat="1" spans="2:5">
      <c r="B746" s="26" t="s">
        <v>561</v>
      </c>
      <c r="C746" s="26" t="s">
        <v>561</v>
      </c>
      <c r="D746" s="26" t="s">
        <v>561</v>
      </c>
      <c r="E746" s="26" t="s">
        <v>561</v>
      </c>
    </row>
    <row r="747" s="29" customFormat="1" ht="124" spans="2:5">
      <c r="B747" s="11" t="s">
        <v>173</v>
      </c>
      <c r="C747" s="11" t="s">
        <v>173</v>
      </c>
      <c r="D747" s="11" t="s">
        <v>173</v>
      </c>
      <c r="E747" s="11" t="s">
        <v>173</v>
      </c>
    </row>
    <row r="748" s="29" customFormat="1" ht="156" spans="2:5">
      <c r="B748" s="12" t="s">
        <v>174</v>
      </c>
      <c r="C748" s="12" t="s">
        <v>174</v>
      </c>
      <c r="D748" s="12" t="s">
        <v>174</v>
      </c>
      <c r="E748" s="12" t="s">
        <v>174</v>
      </c>
    </row>
    <row r="749" s="29" customFormat="1" ht="68" spans="2:5">
      <c r="B749" s="13" t="s">
        <v>951</v>
      </c>
      <c r="C749" s="13" t="s">
        <v>951</v>
      </c>
      <c r="D749" s="13" t="s">
        <v>951</v>
      </c>
      <c r="E749" s="13" t="s">
        <v>951</v>
      </c>
    </row>
    <row r="750" s="29" customFormat="1" ht="22" spans="2:5">
      <c r="B750" s="14" t="s">
        <v>176</v>
      </c>
      <c r="C750" s="14" t="s">
        <v>176</v>
      </c>
      <c r="D750" s="14" t="s">
        <v>176</v>
      </c>
      <c r="E750" s="14" t="s">
        <v>176</v>
      </c>
    </row>
    <row r="751" s="29" customFormat="1" spans="2:5">
      <c r="B751" s="15" t="s">
        <v>177</v>
      </c>
      <c r="C751" s="16" t="s">
        <v>178</v>
      </c>
      <c r="D751" s="17" t="s">
        <v>179</v>
      </c>
      <c r="E751" s="18" t="s">
        <v>180</v>
      </c>
    </row>
    <row r="752" s="29" customFormat="1" ht="41" spans="2:5">
      <c r="B752" s="19" t="s">
        <v>1013</v>
      </c>
      <c r="C752" s="20" t="s">
        <v>182</v>
      </c>
      <c r="D752" s="21">
        <v>1</v>
      </c>
      <c r="E752" s="22">
        <v>182000</v>
      </c>
    </row>
    <row r="753" s="29" customFormat="1" ht="28" spans="2:5">
      <c r="B753" s="19" t="s">
        <v>1013</v>
      </c>
      <c r="C753" s="16" t="s">
        <v>183</v>
      </c>
      <c r="D753" s="23">
        <v>1</v>
      </c>
      <c r="E753" s="24">
        <v>182000</v>
      </c>
    </row>
    <row r="754" s="29" customFormat="1" ht="41" spans="2:5">
      <c r="B754" s="19" t="s">
        <v>1014</v>
      </c>
      <c r="C754" s="20" t="s">
        <v>182</v>
      </c>
      <c r="D754" s="21">
        <v>1</v>
      </c>
      <c r="E754" s="22">
        <v>244654.750323</v>
      </c>
    </row>
    <row r="755" s="29" customFormat="1" ht="28" spans="2:5">
      <c r="B755" s="19" t="s">
        <v>1014</v>
      </c>
      <c r="C755" s="16" t="s">
        <v>183</v>
      </c>
      <c r="D755" s="23">
        <v>1</v>
      </c>
      <c r="E755" s="24">
        <v>244654.750323</v>
      </c>
    </row>
    <row r="756" s="29" customFormat="1" ht="41" spans="2:5">
      <c r="B756" s="19" t="s">
        <v>1015</v>
      </c>
      <c r="C756" s="20" t="s">
        <v>182</v>
      </c>
      <c r="D756" s="21">
        <v>1</v>
      </c>
      <c r="E756" s="22">
        <v>131000</v>
      </c>
    </row>
    <row r="757" s="29" customFormat="1" ht="28" spans="2:5">
      <c r="B757" s="19" t="s">
        <v>1015</v>
      </c>
      <c r="C757" s="16" t="s">
        <v>183</v>
      </c>
      <c r="D757" s="23">
        <v>1</v>
      </c>
      <c r="E757" s="24">
        <v>131000</v>
      </c>
    </row>
    <row r="758" s="29" customFormat="1" ht="41" spans="2:5">
      <c r="B758" s="19" t="s">
        <v>1016</v>
      </c>
      <c r="C758" s="20" t="s">
        <v>182</v>
      </c>
      <c r="D758" s="21">
        <v>1</v>
      </c>
      <c r="E758" s="22">
        <v>95000</v>
      </c>
    </row>
    <row r="759" s="29" customFormat="1" ht="28" spans="2:5">
      <c r="B759" s="19" t="s">
        <v>1016</v>
      </c>
      <c r="C759" s="16" t="s">
        <v>183</v>
      </c>
      <c r="D759" s="23">
        <v>1</v>
      </c>
      <c r="E759" s="24">
        <v>95000</v>
      </c>
    </row>
    <row r="760" s="29" customFormat="1" ht="41" spans="2:5">
      <c r="B760" s="19" t="s">
        <v>1017</v>
      </c>
      <c r="C760" s="20" t="s">
        <v>182</v>
      </c>
      <c r="D760" s="21">
        <v>1</v>
      </c>
      <c r="E760" s="22">
        <v>124000</v>
      </c>
    </row>
    <row r="761" s="29" customFormat="1" ht="28" spans="2:5">
      <c r="B761" s="19" t="s">
        <v>1017</v>
      </c>
      <c r="C761" s="16" t="s">
        <v>183</v>
      </c>
      <c r="D761" s="23">
        <v>1</v>
      </c>
      <c r="E761" s="24">
        <v>124000</v>
      </c>
    </row>
    <row r="762" s="29" customFormat="1" ht="41" spans="2:5">
      <c r="B762" s="19" t="s">
        <v>1018</v>
      </c>
      <c r="C762" s="20" t="s">
        <v>182</v>
      </c>
      <c r="D762" s="21">
        <v>1</v>
      </c>
      <c r="E762" s="22">
        <v>196000</v>
      </c>
    </row>
    <row r="763" s="29" customFormat="1" ht="28.75" spans="2:5">
      <c r="B763" s="19" t="s">
        <v>1018</v>
      </c>
      <c r="C763" s="16" t="s">
        <v>183</v>
      </c>
      <c r="D763" s="23">
        <v>1</v>
      </c>
      <c r="E763" s="24">
        <v>196000</v>
      </c>
    </row>
    <row r="764" s="29" customFormat="1" spans="2:5">
      <c r="B764" s="25"/>
      <c r="C764" s="25"/>
      <c r="D764" s="25"/>
      <c r="E764" s="25"/>
    </row>
    <row r="765" s="29" customFormat="1" ht="36" spans="2:5">
      <c r="B765" s="26" t="s">
        <v>189</v>
      </c>
      <c r="C765" s="26" t="s">
        <v>189</v>
      </c>
      <c r="D765" s="26" t="s">
        <v>189</v>
      </c>
      <c r="E765" s="26" t="s">
        <v>189</v>
      </c>
    </row>
    <row r="766" s="29" customFormat="1" spans="2:5">
      <c r="B766" s="26"/>
      <c r="C766" s="26"/>
      <c r="D766" s="26"/>
      <c r="E766" s="26"/>
    </row>
    <row r="767" s="29" customFormat="1" ht="36" spans="2:5">
      <c r="B767" s="26" t="s">
        <v>958</v>
      </c>
      <c r="C767" s="26" t="s">
        <v>958</v>
      </c>
      <c r="D767" s="26" t="s">
        <v>958</v>
      </c>
      <c r="E767" s="26" t="s">
        <v>958</v>
      </c>
    </row>
    <row r="768" s="29" customFormat="1" spans="2:5">
      <c r="B768" s="26" t="s">
        <v>566</v>
      </c>
      <c r="C768" s="26" t="s">
        <v>566</v>
      </c>
      <c r="D768" s="26" t="s">
        <v>566</v>
      </c>
      <c r="E768" s="26" t="s">
        <v>566</v>
      </c>
    </row>
    <row r="769" s="29" customFormat="1" ht="124" spans="2:5">
      <c r="B769" s="11" t="s">
        <v>173</v>
      </c>
      <c r="C769" s="11" t="s">
        <v>173</v>
      </c>
      <c r="D769" s="11" t="s">
        <v>173</v>
      </c>
      <c r="E769" s="11" t="s">
        <v>173</v>
      </c>
    </row>
    <row r="770" s="29" customFormat="1" ht="156" spans="2:5">
      <c r="B770" s="12" t="s">
        <v>174</v>
      </c>
      <c r="C770" s="12" t="s">
        <v>174</v>
      </c>
      <c r="D770" s="12" t="s">
        <v>174</v>
      </c>
      <c r="E770" s="12" t="s">
        <v>174</v>
      </c>
    </row>
    <row r="771" s="29" customFormat="1" ht="68" spans="2:5">
      <c r="B771" s="13" t="s">
        <v>951</v>
      </c>
      <c r="C771" s="13" t="s">
        <v>951</v>
      </c>
      <c r="D771" s="13" t="s">
        <v>951</v>
      </c>
      <c r="E771" s="13" t="s">
        <v>951</v>
      </c>
    </row>
    <row r="772" s="29" customFormat="1" ht="22" spans="2:5">
      <c r="B772" s="14" t="s">
        <v>176</v>
      </c>
      <c r="C772" s="14" t="s">
        <v>176</v>
      </c>
      <c r="D772" s="14" t="s">
        <v>176</v>
      </c>
      <c r="E772" s="14" t="s">
        <v>176</v>
      </c>
    </row>
    <row r="773" s="29" customFormat="1" spans="2:5">
      <c r="B773" s="15" t="s">
        <v>177</v>
      </c>
      <c r="C773" s="16" t="s">
        <v>178</v>
      </c>
      <c r="D773" s="17" t="s">
        <v>179</v>
      </c>
      <c r="E773" s="18" t="s">
        <v>180</v>
      </c>
    </row>
    <row r="774" s="29" customFormat="1" ht="41" spans="2:5">
      <c r="B774" s="19" t="s">
        <v>1019</v>
      </c>
      <c r="C774" s="20" t="s">
        <v>182</v>
      </c>
      <c r="D774" s="21">
        <v>1</v>
      </c>
      <c r="E774" s="22">
        <v>85139.853113</v>
      </c>
    </row>
    <row r="775" s="29" customFormat="1" ht="28" spans="2:5">
      <c r="B775" s="19" t="s">
        <v>1019</v>
      </c>
      <c r="C775" s="16" t="s">
        <v>183</v>
      </c>
      <c r="D775" s="23">
        <v>1</v>
      </c>
      <c r="E775" s="24">
        <v>85139.853113</v>
      </c>
    </row>
    <row r="776" s="29" customFormat="1" ht="41" spans="2:5">
      <c r="B776" s="19" t="s">
        <v>1020</v>
      </c>
      <c r="C776" s="20" t="s">
        <v>182</v>
      </c>
      <c r="D776" s="21">
        <v>1</v>
      </c>
      <c r="E776" s="22">
        <v>145000</v>
      </c>
    </row>
    <row r="777" s="29" customFormat="1" ht="28" spans="2:5">
      <c r="B777" s="19" t="s">
        <v>1020</v>
      </c>
      <c r="C777" s="16" t="s">
        <v>183</v>
      </c>
      <c r="D777" s="23">
        <v>1</v>
      </c>
      <c r="E777" s="24">
        <v>145000</v>
      </c>
    </row>
    <row r="778" s="29" customFormat="1" ht="41" spans="2:5">
      <c r="B778" s="19" t="s">
        <v>1021</v>
      </c>
      <c r="C778" s="20" t="s">
        <v>182</v>
      </c>
      <c r="D778" s="21">
        <v>1</v>
      </c>
      <c r="E778" s="22">
        <v>47864.625599</v>
      </c>
    </row>
    <row r="779" s="29" customFormat="1" ht="28" spans="2:5">
      <c r="B779" s="19" t="s">
        <v>1021</v>
      </c>
      <c r="C779" s="16" t="s">
        <v>183</v>
      </c>
      <c r="D779" s="23">
        <v>1</v>
      </c>
      <c r="E779" s="24">
        <v>47864.625599</v>
      </c>
    </row>
    <row r="780" s="29" customFormat="1" ht="28" spans="2:5">
      <c r="B780" s="19" t="s">
        <v>1022</v>
      </c>
      <c r="C780" s="20" t="s">
        <v>804</v>
      </c>
      <c r="D780" s="21">
        <v>2</v>
      </c>
      <c r="E780" s="22">
        <v>480000</v>
      </c>
    </row>
    <row r="781" s="29" customFormat="1" spans="2:5">
      <c r="B781" s="19" t="s">
        <v>1022</v>
      </c>
      <c r="C781" s="16" t="s">
        <v>183</v>
      </c>
      <c r="D781" s="23">
        <v>2</v>
      </c>
      <c r="E781" s="24">
        <v>480000</v>
      </c>
    </row>
    <row r="782" s="29" customFormat="1" ht="41" spans="2:5">
      <c r="B782" s="19" t="s">
        <v>1023</v>
      </c>
      <c r="C782" s="20" t="s">
        <v>182</v>
      </c>
      <c r="D782" s="21">
        <v>1</v>
      </c>
      <c r="E782" s="22">
        <v>203000</v>
      </c>
    </row>
    <row r="783" s="29" customFormat="1" spans="2:5">
      <c r="B783" s="19" t="s">
        <v>1023</v>
      </c>
      <c r="C783" s="16" t="s">
        <v>183</v>
      </c>
      <c r="D783" s="23">
        <v>1</v>
      </c>
      <c r="E783" s="24">
        <v>203000</v>
      </c>
    </row>
    <row r="784" s="29" customFormat="1" ht="41" spans="2:5">
      <c r="B784" s="19" t="s">
        <v>1024</v>
      </c>
      <c r="C784" s="20" t="s">
        <v>182</v>
      </c>
      <c r="D784" s="21">
        <v>1</v>
      </c>
      <c r="E784" s="22">
        <v>145000</v>
      </c>
    </row>
    <row r="785" s="29" customFormat="1" spans="2:5">
      <c r="B785" s="19" t="s">
        <v>1024</v>
      </c>
      <c r="C785" s="16" t="s">
        <v>183</v>
      </c>
      <c r="D785" s="23">
        <v>1</v>
      </c>
      <c r="E785" s="24">
        <v>145000</v>
      </c>
    </row>
    <row r="786" s="29" customFormat="1" ht="41" spans="2:5">
      <c r="B786" s="19" t="s">
        <v>1025</v>
      </c>
      <c r="C786" s="20" t="s">
        <v>182</v>
      </c>
      <c r="D786" s="21">
        <v>1</v>
      </c>
      <c r="E786" s="22">
        <v>435000</v>
      </c>
    </row>
    <row r="787" s="29" customFormat="1" ht="17.55" spans="2:5">
      <c r="B787" s="19" t="s">
        <v>1025</v>
      </c>
      <c r="C787" s="16" t="s">
        <v>183</v>
      </c>
      <c r="D787" s="23">
        <v>1</v>
      </c>
      <c r="E787" s="24">
        <v>435000</v>
      </c>
    </row>
    <row r="788" s="29" customFormat="1" spans="2:5">
      <c r="B788" s="25"/>
      <c r="C788" s="25"/>
      <c r="D788" s="25"/>
      <c r="E788" s="25"/>
    </row>
    <row r="789" s="29" customFormat="1" ht="36" spans="2:5">
      <c r="B789" s="26" t="s">
        <v>189</v>
      </c>
      <c r="C789" s="26" t="s">
        <v>189</v>
      </c>
      <c r="D789" s="26" t="s">
        <v>189</v>
      </c>
      <c r="E789" s="26" t="s">
        <v>189</v>
      </c>
    </row>
    <row r="790" s="29" customFormat="1" spans="2:5">
      <c r="B790" s="26"/>
      <c r="C790" s="26"/>
      <c r="D790" s="26"/>
      <c r="E790" s="26"/>
    </row>
    <row r="791" s="29" customFormat="1" ht="36" spans="2:5">
      <c r="B791" s="26" t="s">
        <v>958</v>
      </c>
      <c r="C791" s="26" t="s">
        <v>958</v>
      </c>
      <c r="D791" s="26" t="s">
        <v>958</v>
      </c>
      <c r="E791" s="26" t="s">
        <v>958</v>
      </c>
    </row>
    <row r="792" s="29" customFormat="1" spans="2:5">
      <c r="B792" s="26" t="s">
        <v>645</v>
      </c>
      <c r="C792" s="26" t="s">
        <v>645</v>
      </c>
      <c r="D792" s="26" t="s">
        <v>645</v>
      </c>
      <c r="E792" s="26" t="s">
        <v>645</v>
      </c>
    </row>
    <row r="793" s="29" customFormat="1" ht="124" spans="2:5">
      <c r="B793" s="11" t="s">
        <v>173</v>
      </c>
      <c r="C793" s="11" t="s">
        <v>173</v>
      </c>
      <c r="D793" s="11" t="s">
        <v>173</v>
      </c>
      <c r="E793" s="11" t="s">
        <v>173</v>
      </c>
    </row>
    <row r="794" s="29" customFormat="1" ht="156" spans="2:5">
      <c r="B794" s="12" t="s">
        <v>174</v>
      </c>
      <c r="C794" s="12" t="s">
        <v>174</v>
      </c>
      <c r="D794" s="12" t="s">
        <v>174</v>
      </c>
      <c r="E794" s="12" t="s">
        <v>174</v>
      </c>
    </row>
    <row r="795" s="29" customFormat="1" ht="68" spans="2:5">
      <c r="B795" s="13" t="s">
        <v>951</v>
      </c>
      <c r="C795" s="13" t="s">
        <v>951</v>
      </c>
      <c r="D795" s="13" t="s">
        <v>951</v>
      </c>
      <c r="E795" s="13" t="s">
        <v>951</v>
      </c>
    </row>
    <row r="796" s="29" customFormat="1" ht="22" spans="2:5">
      <c r="B796" s="14" t="s">
        <v>176</v>
      </c>
      <c r="C796" s="14" t="s">
        <v>176</v>
      </c>
      <c r="D796" s="14" t="s">
        <v>176</v>
      </c>
      <c r="E796" s="14" t="s">
        <v>176</v>
      </c>
    </row>
    <row r="797" s="29" customFormat="1" spans="2:5">
      <c r="B797" s="15" t="s">
        <v>177</v>
      </c>
      <c r="C797" s="16" t="s">
        <v>178</v>
      </c>
      <c r="D797" s="17" t="s">
        <v>179</v>
      </c>
      <c r="E797" s="18" t="s">
        <v>180</v>
      </c>
    </row>
    <row r="798" s="29" customFormat="1" ht="41" spans="2:5">
      <c r="B798" s="19" t="s">
        <v>1026</v>
      </c>
      <c r="C798" s="20" t="s">
        <v>182</v>
      </c>
      <c r="D798" s="21">
        <v>1</v>
      </c>
      <c r="E798" s="22">
        <v>508000</v>
      </c>
    </row>
    <row r="799" s="29" customFormat="1" spans="2:5">
      <c r="B799" s="19" t="s">
        <v>1026</v>
      </c>
      <c r="C799" s="16" t="s">
        <v>183</v>
      </c>
      <c r="D799" s="23">
        <v>1</v>
      </c>
      <c r="E799" s="24">
        <v>508000</v>
      </c>
    </row>
    <row r="800" s="29" customFormat="1" ht="41" spans="2:5">
      <c r="B800" s="19" t="s">
        <v>1027</v>
      </c>
      <c r="C800" s="20" t="s">
        <v>182</v>
      </c>
      <c r="D800" s="21">
        <v>1</v>
      </c>
      <c r="E800" s="22">
        <v>118000</v>
      </c>
    </row>
    <row r="801" s="29" customFormat="1" ht="28" spans="2:5">
      <c r="B801" s="19" t="s">
        <v>1027</v>
      </c>
      <c r="C801" s="16" t="s">
        <v>183</v>
      </c>
      <c r="D801" s="23">
        <v>1</v>
      </c>
      <c r="E801" s="24">
        <v>118000</v>
      </c>
    </row>
    <row r="802" s="29" customFormat="1" ht="41" spans="2:5">
      <c r="B802" s="19" t="s">
        <v>1028</v>
      </c>
      <c r="C802" s="20" t="s">
        <v>182</v>
      </c>
      <c r="D802" s="21">
        <v>4</v>
      </c>
      <c r="E802" s="22">
        <v>232000</v>
      </c>
    </row>
    <row r="803" s="29" customFormat="1" ht="28" spans="2:5">
      <c r="B803" s="19" t="s">
        <v>1028</v>
      </c>
      <c r="C803" s="16" t="s">
        <v>183</v>
      </c>
      <c r="D803" s="23">
        <v>4</v>
      </c>
      <c r="E803" s="24">
        <v>232000</v>
      </c>
    </row>
    <row r="804" s="29" customFormat="1" ht="28" spans="2:5">
      <c r="B804" s="19" t="s">
        <v>1029</v>
      </c>
      <c r="C804" s="20" t="s">
        <v>804</v>
      </c>
      <c r="D804" s="21">
        <v>1</v>
      </c>
      <c r="E804" s="22">
        <v>750000</v>
      </c>
    </row>
    <row r="805" s="29" customFormat="1" ht="28" spans="2:5">
      <c r="B805" s="19" t="s">
        <v>1029</v>
      </c>
      <c r="C805" s="16" t="s">
        <v>183</v>
      </c>
      <c r="D805" s="23">
        <v>1</v>
      </c>
      <c r="E805" s="24">
        <v>750000</v>
      </c>
    </row>
    <row r="806" s="29" customFormat="1" ht="41" spans="2:5">
      <c r="B806" s="19" t="s">
        <v>454</v>
      </c>
      <c r="C806" s="20" t="s">
        <v>182</v>
      </c>
      <c r="D806" s="21">
        <v>1</v>
      </c>
      <c r="E806" s="22">
        <v>0</v>
      </c>
    </row>
    <row r="807" s="29" customFormat="1" ht="28" spans="2:5">
      <c r="B807" s="19" t="s">
        <v>454</v>
      </c>
      <c r="C807" s="16" t="s">
        <v>183</v>
      </c>
      <c r="D807" s="23">
        <v>1</v>
      </c>
      <c r="E807" s="24">
        <v>0</v>
      </c>
    </row>
    <row r="808" s="29" customFormat="1" ht="41" spans="2:5">
      <c r="B808" s="19" t="s">
        <v>1030</v>
      </c>
      <c r="C808" s="20" t="s">
        <v>182</v>
      </c>
      <c r="D808" s="21">
        <v>2</v>
      </c>
      <c r="E808" s="22">
        <v>0</v>
      </c>
    </row>
    <row r="809" s="29" customFormat="1" spans="2:5">
      <c r="B809" s="19" t="s">
        <v>1030</v>
      </c>
      <c r="C809" s="16" t="s">
        <v>183</v>
      </c>
      <c r="D809" s="23">
        <v>2</v>
      </c>
      <c r="E809" s="24">
        <v>0</v>
      </c>
    </row>
    <row r="810" s="29" customFormat="1" ht="41.75" spans="2:5">
      <c r="B810" s="20" t="s">
        <v>721</v>
      </c>
      <c r="C810" s="20" t="s">
        <v>182</v>
      </c>
      <c r="D810" s="21">
        <v>3</v>
      </c>
      <c r="E810" s="22">
        <v>0</v>
      </c>
    </row>
    <row r="811" s="29" customFormat="1" spans="2:5">
      <c r="B811" s="25"/>
      <c r="C811" s="25"/>
      <c r="D811" s="25"/>
      <c r="E811" s="25"/>
    </row>
    <row r="812" s="29" customFormat="1" ht="36" spans="2:5">
      <c r="B812" s="26" t="s">
        <v>189</v>
      </c>
      <c r="C812" s="26" t="s">
        <v>189</v>
      </c>
      <c r="D812" s="26" t="s">
        <v>189</v>
      </c>
      <c r="E812" s="26" t="s">
        <v>189</v>
      </c>
    </row>
    <row r="813" s="29" customFormat="1" spans="2:5">
      <c r="B813" s="26"/>
      <c r="C813" s="26"/>
      <c r="D813" s="26"/>
      <c r="E813" s="26"/>
    </row>
    <row r="814" s="29" customFormat="1" ht="36" spans="2:5">
      <c r="B814" s="26" t="s">
        <v>958</v>
      </c>
      <c r="C814" s="26" t="s">
        <v>958</v>
      </c>
      <c r="D814" s="26" t="s">
        <v>958</v>
      </c>
      <c r="E814" s="26" t="s">
        <v>958</v>
      </c>
    </row>
    <row r="815" s="29" customFormat="1" spans="2:5">
      <c r="B815" s="26" t="s">
        <v>652</v>
      </c>
      <c r="C815" s="26" t="s">
        <v>652</v>
      </c>
      <c r="D815" s="26" t="s">
        <v>652</v>
      </c>
      <c r="E815" s="26" t="s">
        <v>652</v>
      </c>
    </row>
    <row r="816" s="29" customFormat="1" ht="124" spans="2:5">
      <c r="B816" s="11" t="s">
        <v>173</v>
      </c>
      <c r="C816" s="11" t="s">
        <v>173</v>
      </c>
      <c r="D816" s="11" t="s">
        <v>173</v>
      </c>
      <c r="E816" s="11" t="s">
        <v>173</v>
      </c>
    </row>
    <row r="817" s="29" customFormat="1" ht="156" spans="2:5">
      <c r="B817" s="12" t="s">
        <v>174</v>
      </c>
      <c r="C817" s="12" t="s">
        <v>174</v>
      </c>
      <c r="D817" s="12" t="s">
        <v>174</v>
      </c>
      <c r="E817" s="12" t="s">
        <v>174</v>
      </c>
    </row>
    <row r="818" s="29" customFormat="1" ht="68" spans="2:5">
      <c r="B818" s="13" t="s">
        <v>951</v>
      </c>
      <c r="C818" s="13" t="s">
        <v>951</v>
      </c>
      <c r="D818" s="13" t="s">
        <v>951</v>
      </c>
      <c r="E818" s="13" t="s">
        <v>951</v>
      </c>
    </row>
    <row r="819" s="29" customFormat="1" ht="22" spans="2:5">
      <c r="B819" s="14" t="s">
        <v>176</v>
      </c>
      <c r="C819" s="14" t="s">
        <v>176</v>
      </c>
      <c r="D819" s="14" t="s">
        <v>176</v>
      </c>
      <c r="E819" s="14" t="s">
        <v>176</v>
      </c>
    </row>
    <row r="820" s="29" customFormat="1" spans="2:5">
      <c r="B820" s="15" t="s">
        <v>177</v>
      </c>
      <c r="C820" s="16" t="s">
        <v>178</v>
      </c>
      <c r="D820" s="17" t="s">
        <v>179</v>
      </c>
      <c r="E820" s="18" t="s">
        <v>180</v>
      </c>
    </row>
    <row r="821" s="29" customFormat="1" ht="28" spans="2:5">
      <c r="B821" s="19" t="s">
        <v>721</v>
      </c>
      <c r="C821" s="20" t="s">
        <v>804</v>
      </c>
      <c r="D821" s="21">
        <v>2</v>
      </c>
      <c r="E821" s="22">
        <v>45045</v>
      </c>
    </row>
    <row r="822" s="29" customFormat="1" ht="28" spans="2:5">
      <c r="B822" s="19" t="s">
        <v>721</v>
      </c>
      <c r="C822" s="16" t="s">
        <v>183</v>
      </c>
      <c r="D822" s="23">
        <v>5</v>
      </c>
      <c r="E822" s="24">
        <v>45045</v>
      </c>
    </row>
    <row r="823" s="29" customFormat="1" ht="41" spans="2:5">
      <c r="B823" s="19" t="s">
        <v>513</v>
      </c>
      <c r="C823" s="20" t="s">
        <v>182</v>
      </c>
      <c r="D823" s="21">
        <v>205</v>
      </c>
      <c r="E823" s="22">
        <v>108351.351351</v>
      </c>
    </row>
    <row r="824" s="29" customFormat="1" ht="28" spans="2:5">
      <c r="B824" s="19" t="s">
        <v>513</v>
      </c>
      <c r="C824" s="20" t="s">
        <v>804</v>
      </c>
      <c r="D824" s="21">
        <v>47</v>
      </c>
      <c r="E824" s="22">
        <v>0</v>
      </c>
    </row>
    <row r="825" s="29" customFormat="1" spans="2:5">
      <c r="B825" s="19" t="s">
        <v>513</v>
      </c>
      <c r="C825" s="16" t="s">
        <v>183</v>
      </c>
      <c r="D825" s="23">
        <v>252</v>
      </c>
      <c r="E825" s="24">
        <v>108351.351351</v>
      </c>
    </row>
    <row r="826" s="29" customFormat="1" ht="41" spans="2:5">
      <c r="B826" s="19" t="s">
        <v>514</v>
      </c>
      <c r="C826" s="20" t="s">
        <v>182</v>
      </c>
      <c r="D826" s="21">
        <v>87</v>
      </c>
      <c r="E826" s="22">
        <v>3682785.400669</v>
      </c>
    </row>
    <row r="827" s="29" customFormat="1" ht="28" spans="2:5">
      <c r="B827" s="19" t="s">
        <v>514</v>
      </c>
      <c r="C827" s="20" t="s">
        <v>804</v>
      </c>
      <c r="D827" s="21">
        <v>22</v>
      </c>
      <c r="E827" s="22">
        <v>719820.171166</v>
      </c>
    </row>
    <row r="828" s="29" customFormat="1" ht="28" spans="2:5">
      <c r="B828" s="19" t="s">
        <v>514</v>
      </c>
      <c r="C828" s="16" t="s">
        <v>183</v>
      </c>
      <c r="D828" s="23">
        <v>109</v>
      </c>
      <c r="E828" s="24">
        <v>4402605.571835</v>
      </c>
    </row>
    <row r="829" s="29" customFormat="1" ht="41" spans="2:5">
      <c r="B829" s="19" t="s">
        <v>1031</v>
      </c>
      <c r="C829" s="20" t="s">
        <v>182</v>
      </c>
      <c r="D829" s="21">
        <v>1</v>
      </c>
      <c r="E829" s="22">
        <v>200000</v>
      </c>
    </row>
    <row r="830" s="29" customFormat="1" spans="2:5">
      <c r="B830" s="19" t="s">
        <v>1031</v>
      </c>
      <c r="C830" s="16" t="s">
        <v>183</v>
      </c>
      <c r="D830" s="23">
        <v>1</v>
      </c>
      <c r="E830" s="24">
        <v>200000</v>
      </c>
    </row>
    <row r="831" s="29" customFormat="1" ht="41" spans="2:5">
      <c r="B831" s="19" t="s">
        <v>1032</v>
      </c>
      <c r="C831" s="20" t="s">
        <v>182</v>
      </c>
      <c r="D831" s="21">
        <v>1</v>
      </c>
      <c r="E831" s="22">
        <v>635000</v>
      </c>
    </row>
    <row r="832" s="29" customFormat="1" ht="28" spans="2:5">
      <c r="B832" s="19" t="s">
        <v>1032</v>
      </c>
      <c r="C832" s="16" t="s">
        <v>183</v>
      </c>
      <c r="D832" s="23">
        <v>1</v>
      </c>
      <c r="E832" s="24">
        <v>635000</v>
      </c>
    </row>
    <row r="833" s="29" customFormat="1" ht="41" spans="2:5">
      <c r="B833" s="19" t="s">
        <v>1033</v>
      </c>
      <c r="C833" s="20" t="s">
        <v>182</v>
      </c>
      <c r="D833" s="21">
        <v>1</v>
      </c>
      <c r="E833" s="22">
        <v>312753.919564</v>
      </c>
    </row>
    <row r="834" s="29" customFormat="1" ht="28.75" spans="2:5">
      <c r="B834" s="19" t="s">
        <v>1033</v>
      </c>
      <c r="C834" s="16" t="s">
        <v>183</v>
      </c>
      <c r="D834" s="23">
        <v>1</v>
      </c>
      <c r="E834" s="24">
        <v>312753.919564</v>
      </c>
    </row>
    <row r="835" s="29" customFormat="1" spans="2:5">
      <c r="B835" s="25"/>
      <c r="C835" s="25"/>
      <c r="D835" s="25"/>
      <c r="E835" s="25"/>
    </row>
    <row r="836" s="29" customFormat="1" ht="36" spans="2:5">
      <c r="B836" s="26" t="s">
        <v>189</v>
      </c>
      <c r="C836" s="26" t="s">
        <v>189</v>
      </c>
      <c r="D836" s="26" t="s">
        <v>189</v>
      </c>
      <c r="E836" s="26" t="s">
        <v>189</v>
      </c>
    </row>
    <row r="837" s="29" customFormat="1" spans="2:5">
      <c r="B837" s="26"/>
      <c r="C837" s="26"/>
      <c r="D837" s="26"/>
      <c r="E837" s="26"/>
    </row>
    <row r="838" s="29" customFormat="1" ht="36" spans="2:5">
      <c r="B838" s="26" t="s">
        <v>958</v>
      </c>
      <c r="C838" s="26" t="s">
        <v>958</v>
      </c>
      <c r="D838" s="26" t="s">
        <v>958</v>
      </c>
      <c r="E838" s="26" t="s">
        <v>958</v>
      </c>
    </row>
    <row r="839" s="29" customFormat="1" spans="2:5">
      <c r="B839" s="26" t="s">
        <v>659</v>
      </c>
      <c r="C839" s="26" t="s">
        <v>659</v>
      </c>
      <c r="D839" s="26" t="s">
        <v>659</v>
      </c>
      <c r="E839" s="26" t="s">
        <v>659</v>
      </c>
    </row>
    <row r="840" s="29" customFormat="1" ht="124" spans="2:5">
      <c r="B840" s="11" t="s">
        <v>173</v>
      </c>
      <c r="C840" s="11" t="s">
        <v>173</v>
      </c>
      <c r="D840" s="11" t="s">
        <v>173</v>
      </c>
      <c r="E840" s="11" t="s">
        <v>173</v>
      </c>
    </row>
    <row r="841" s="29" customFormat="1" ht="156" spans="2:5">
      <c r="B841" s="12" t="s">
        <v>174</v>
      </c>
      <c r="C841" s="12" t="s">
        <v>174</v>
      </c>
      <c r="D841" s="12" t="s">
        <v>174</v>
      </c>
      <c r="E841" s="12" t="s">
        <v>174</v>
      </c>
    </row>
    <row r="842" s="29" customFormat="1" ht="68" spans="2:5">
      <c r="B842" s="13" t="s">
        <v>951</v>
      </c>
      <c r="C842" s="13" t="s">
        <v>951</v>
      </c>
      <c r="D842" s="13" t="s">
        <v>951</v>
      </c>
      <c r="E842" s="13" t="s">
        <v>951</v>
      </c>
    </row>
    <row r="843" s="29" customFormat="1" ht="22" spans="2:5">
      <c r="B843" s="14" t="s">
        <v>176</v>
      </c>
      <c r="C843" s="14" t="s">
        <v>176</v>
      </c>
      <c r="D843" s="14" t="s">
        <v>176</v>
      </c>
      <c r="E843" s="14" t="s">
        <v>176</v>
      </c>
    </row>
    <row r="844" s="29" customFormat="1" spans="2:5">
      <c r="B844" s="15" t="s">
        <v>177</v>
      </c>
      <c r="C844" s="16" t="s">
        <v>178</v>
      </c>
      <c r="D844" s="17" t="s">
        <v>179</v>
      </c>
      <c r="E844" s="18" t="s">
        <v>180</v>
      </c>
    </row>
    <row r="845" s="29" customFormat="1" ht="41" spans="2:5">
      <c r="B845" s="19" t="s">
        <v>1034</v>
      </c>
      <c r="C845" s="20" t="s">
        <v>182</v>
      </c>
      <c r="D845" s="21">
        <v>1</v>
      </c>
      <c r="E845" s="22">
        <v>181044.515239</v>
      </c>
    </row>
    <row r="846" s="29" customFormat="1" ht="28" spans="2:5">
      <c r="B846" s="19" t="s">
        <v>1034</v>
      </c>
      <c r="C846" s="16" t="s">
        <v>183</v>
      </c>
      <c r="D846" s="23">
        <v>1</v>
      </c>
      <c r="E846" s="24">
        <v>181044.515239</v>
      </c>
    </row>
    <row r="847" s="29" customFormat="1" ht="28" spans="2:5">
      <c r="B847" s="19" t="s">
        <v>1035</v>
      </c>
      <c r="C847" s="20" t="s">
        <v>804</v>
      </c>
      <c r="D847" s="21">
        <v>4</v>
      </c>
      <c r="E847" s="22">
        <v>525000</v>
      </c>
    </row>
    <row r="848" s="29" customFormat="1" spans="2:5">
      <c r="B848" s="19" t="s">
        <v>1035</v>
      </c>
      <c r="C848" s="16" t="s">
        <v>183</v>
      </c>
      <c r="D848" s="23">
        <v>4</v>
      </c>
      <c r="E848" s="24">
        <v>525000</v>
      </c>
    </row>
    <row r="849" s="29" customFormat="1" ht="28" spans="2:5">
      <c r="B849" s="19" t="s">
        <v>1036</v>
      </c>
      <c r="C849" s="20" t="s">
        <v>804</v>
      </c>
      <c r="D849" s="21">
        <v>2</v>
      </c>
      <c r="E849" s="22">
        <v>100000</v>
      </c>
    </row>
    <row r="850" s="29" customFormat="1" spans="2:5">
      <c r="B850" s="19" t="s">
        <v>1036</v>
      </c>
      <c r="C850" s="16" t="s">
        <v>183</v>
      </c>
      <c r="D850" s="23">
        <v>2</v>
      </c>
      <c r="E850" s="24">
        <v>100000</v>
      </c>
    </row>
    <row r="851" s="29" customFormat="1" ht="28" spans="2:5">
      <c r="B851" s="19" t="s">
        <v>1037</v>
      </c>
      <c r="C851" s="20" t="s">
        <v>804</v>
      </c>
      <c r="D851" s="21">
        <v>1</v>
      </c>
      <c r="E851" s="22">
        <v>3125000</v>
      </c>
    </row>
    <row r="852" s="29" customFormat="1" spans="2:5">
      <c r="B852" s="19" t="s">
        <v>1037</v>
      </c>
      <c r="C852" s="16" t="s">
        <v>183</v>
      </c>
      <c r="D852" s="23">
        <v>1</v>
      </c>
      <c r="E852" s="24">
        <v>3125000</v>
      </c>
    </row>
    <row r="853" s="29" customFormat="1" ht="28" spans="2:5">
      <c r="B853" s="19" t="s">
        <v>1038</v>
      </c>
      <c r="C853" s="20" t="s">
        <v>804</v>
      </c>
      <c r="D853" s="21">
        <v>1</v>
      </c>
      <c r="E853" s="22">
        <v>2252252</v>
      </c>
    </row>
    <row r="854" s="29" customFormat="1" ht="28" spans="2:5">
      <c r="B854" s="19" t="s">
        <v>1038</v>
      </c>
      <c r="C854" s="16" t="s">
        <v>183</v>
      </c>
      <c r="D854" s="23">
        <v>1</v>
      </c>
      <c r="E854" s="24">
        <v>2252252</v>
      </c>
    </row>
    <row r="855" s="29" customFormat="1" ht="28" spans="2:5">
      <c r="B855" s="19" t="s">
        <v>1039</v>
      </c>
      <c r="C855" s="20" t="s">
        <v>804</v>
      </c>
      <c r="D855" s="21">
        <v>1</v>
      </c>
      <c r="E855" s="22">
        <v>140000</v>
      </c>
    </row>
    <row r="856" s="29" customFormat="1" spans="2:5">
      <c r="B856" s="19" t="s">
        <v>1039</v>
      </c>
      <c r="C856" s="16" t="s">
        <v>183</v>
      </c>
      <c r="D856" s="23">
        <v>1</v>
      </c>
      <c r="E856" s="24">
        <v>140000</v>
      </c>
    </row>
    <row r="857" s="29" customFormat="1" ht="28" spans="2:5">
      <c r="B857" s="19" t="s">
        <v>1040</v>
      </c>
      <c r="C857" s="20" t="s">
        <v>804</v>
      </c>
      <c r="D857" s="21">
        <v>2</v>
      </c>
      <c r="E857" s="22">
        <v>500000</v>
      </c>
    </row>
    <row r="858" s="29" customFormat="1" ht="28" spans="2:5">
      <c r="B858" s="19" t="s">
        <v>1040</v>
      </c>
      <c r="C858" s="16" t="s">
        <v>183</v>
      </c>
      <c r="D858" s="23">
        <v>2</v>
      </c>
      <c r="E858" s="24">
        <v>500000</v>
      </c>
    </row>
    <row r="859" s="29" customFormat="1" ht="28" spans="2:5">
      <c r="B859" s="19" t="s">
        <v>1041</v>
      </c>
      <c r="C859" s="20" t="s">
        <v>804</v>
      </c>
      <c r="D859" s="21">
        <v>2</v>
      </c>
      <c r="E859" s="22">
        <v>400000</v>
      </c>
    </row>
    <row r="860" s="29" customFormat="1" ht="28.75" spans="2:5">
      <c r="B860" s="19" t="s">
        <v>1041</v>
      </c>
      <c r="C860" s="16" t="s">
        <v>183</v>
      </c>
      <c r="D860" s="23">
        <v>2</v>
      </c>
      <c r="E860" s="24">
        <v>400000</v>
      </c>
    </row>
    <row r="861" s="29" customFormat="1" spans="2:5">
      <c r="B861" s="25"/>
      <c r="C861" s="25"/>
      <c r="D861" s="25"/>
      <c r="E861" s="25"/>
    </row>
    <row r="862" s="29" customFormat="1" ht="36" spans="2:5">
      <c r="B862" s="26" t="s">
        <v>189</v>
      </c>
      <c r="C862" s="26" t="s">
        <v>189</v>
      </c>
      <c r="D862" s="26" t="s">
        <v>189</v>
      </c>
      <c r="E862" s="26" t="s">
        <v>189</v>
      </c>
    </row>
    <row r="863" s="29" customFormat="1" spans="2:5">
      <c r="B863" s="26"/>
      <c r="C863" s="26"/>
      <c r="D863" s="26"/>
      <c r="E863" s="26"/>
    </row>
    <row r="864" s="29" customFormat="1" ht="36" spans="2:5">
      <c r="B864" s="26" t="s">
        <v>958</v>
      </c>
      <c r="C864" s="26" t="s">
        <v>958</v>
      </c>
      <c r="D864" s="26" t="s">
        <v>958</v>
      </c>
      <c r="E864" s="26" t="s">
        <v>958</v>
      </c>
    </row>
    <row r="865" s="29" customFormat="1" spans="2:5">
      <c r="B865" s="26" t="s">
        <v>662</v>
      </c>
      <c r="C865" s="26" t="s">
        <v>662</v>
      </c>
      <c r="D865" s="26" t="s">
        <v>662</v>
      </c>
      <c r="E865" s="26" t="s">
        <v>662</v>
      </c>
    </row>
    <row r="866" s="29" customFormat="1" ht="124" spans="2:5">
      <c r="B866" s="11" t="s">
        <v>173</v>
      </c>
      <c r="C866" s="11" t="s">
        <v>173</v>
      </c>
      <c r="D866" s="11" t="s">
        <v>173</v>
      </c>
      <c r="E866" s="11" t="s">
        <v>173</v>
      </c>
    </row>
    <row r="867" s="29" customFormat="1" ht="156" spans="2:5">
      <c r="B867" s="12" t="s">
        <v>174</v>
      </c>
      <c r="C867" s="12" t="s">
        <v>174</v>
      </c>
      <c r="D867" s="12" t="s">
        <v>174</v>
      </c>
      <c r="E867" s="12" t="s">
        <v>174</v>
      </c>
    </row>
    <row r="868" s="29" customFormat="1" ht="68" spans="2:5">
      <c r="B868" s="13" t="s">
        <v>951</v>
      </c>
      <c r="C868" s="13" t="s">
        <v>951</v>
      </c>
      <c r="D868" s="13" t="s">
        <v>951</v>
      </c>
      <c r="E868" s="13" t="s">
        <v>951</v>
      </c>
    </row>
    <row r="869" s="29" customFormat="1" ht="22" spans="2:5">
      <c r="B869" s="14" t="s">
        <v>176</v>
      </c>
      <c r="C869" s="14" t="s">
        <v>176</v>
      </c>
      <c r="D869" s="14" t="s">
        <v>176</v>
      </c>
      <c r="E869" s="14" t="s">
        <v>176</v>
      </c>
    </row>
    <row r="870" s="29" customFormat="1" spans="2:5">
      <c r="B870" s="15" t="s">
        <v>177</v>
      </c>
      <c r="C870" s="16" t="s">
        <v>178</v>
      </c>
      <c r="D870" s="17" t="s">
        <v>179</v>
      </c>
      <c r="E870" s="18" t="s">
        <v>180</v>
      </c>
    </row>
    <row r="871" s="29" customFormat="1" ht="41" spans="2:5">
      <c r="B871" s="19" t="s">
        <v>1042</v>
      </c>
      <c r="C871" s="20" t="s">
        <v>182</v>
      </c>
      <c r="D871" s="21">
        <v>2</v>
      </c>
      <c r="E871" s="22">
        <v>1320000</v>
      </c>
    </row>
    <row r="872" s="29" customFormat="1" spans="2:5">
      <c r="B872" s="19" t="s">
        <v>1042</v>
      </c>
      <c r="C872" s="16" t="s">
        <v>183</v>
      </c>
      <c r="D872" s="23">
        <v>2</v>
      </c>
      <c r="E872" s="24">
        <v>1320000</v>
      </c>
    </row>
    <row r="873" s="29" customFormat="1" ht="28" spans="2:5">
      <c r="B873" s="19" t="s">
        <v>887</v>
      </c>
      <c r="C873" s="20" t="s">
        <v>804</v>
      </c>
      <c r="D873" s="21">
        <v>2</v>
      </c>
      <c r="E873" s="22">
        <v>1942342.63964</v>
      </c>
    </row>
    <row r="874" s="29" customFormat="1" ht="28" spans="2:5">
      <c r="B874" s="19" t="s">
        <v>887</v>
      </c>
      <c r="C874" s="16" t="s">
        <v>183</v>
      </c>
      <c r="D874" s="23">
        <v>2</v>
      </c>
      <c r="E874" s="24">
        <v>1942342.63964</v>
      </c>
    </row>
    <row r="875" s="29" customFormat="1" ht="28" spans="2:5">
      <c r="B875" s="19" t="s">
        <v>616</v>
      </c>
      <c r="C875" s="20" t="s">
        <v>804</v>
      </c>
      <c r="D875" s="21">
        <v>2</v>
      </c>
      <c r="E875" s="22">
        <v>1399100</v>
      </c>
    </row>
    <row r="876" s="29" customFormat="1" ht="28" spans="2:5">
      <c r="B876" s="19" t="s">
        <v>616</v>
      </c>
      <c r="C876" s="16" t="s">
        <v>183</v>
      </c>
      <c r="D876" s="23">
        <v>2</v>
      </c>
      <c r="E876" s="24">
        <v>1399100</v>
      </c>
    </row>
    <row r="877" s="29" customFormat="1" ht="28" spans="2:5">
      <c r="B877" s="19" t="s">
        <v>1043</v>
      </c>
      <c r="C877" s="20" t="s">
        <v>804</v>
      </c>
      <c r="D877" s="21">
        <v>3</v>
      </c>
      <c r="E877" s="22">
        <v>4193694</v>
      </c>
    </row>
    <row r="878" s="29" customFormat="1" ht="28" spans="2:5">
      <c r="B878" s="19" t="s">
        <v>1043</v>
      </c>
      <c r="C878" s="16" t="s">
        <v>183</v>
      </c>
      <c r="D878" s="23">
        <v>3</v>
      </c>
      <c r="E878" s="24">
        <v>4193694</v>
      </c>
    </row>
    <row r="879" s="29" customFormat="1" ht="41" spans="2:5">
      <c r="B879" s="19" t="s">
        <v>382</v>
      </c>
      <c r="C879" s="20" t="s">
        <v>182</v>
      </c>
      <c r="D879" s="21">
        <v>1</v>
      </c>
      <c r="E879" s="22">
        <v>83783.783784</v>
      </c>
    </row>
    <row r="880" s="29" customFormat="1" ht="41" spans="2:5">
      <c r="B880" s="19" t="s">
        <v>382</v>
      </c>
      <c r="C880" s="16" t="s">
        <v>183</v>
      </c>
      <c r="D880" s="23">
        <v>1</v>
      </c>
      <c r="E880" s="24">
        <v>83783.783784</v>
      </c>
    </row>
    <row r="881" s="29" customFormat="1" ht="41" spans="2:5">
      <c r="B881" s="19" t="s">
        <v>316</v>
      </c>
      <c r="C881" s="20" t="s">
        <v>182</v>
      </c>
      <c r="D881" s="21">
        <v>8</v>
      </c>
      <c r="E881" s="22">
        <v>663063.063064</v>
      </c>
    </row>
    <row r="882" s="29" customFormat="1" ht="28" spans="2:5">
      <c r="B882" s="19" t="s">
        <v>316</v>
      </c>
      <c r="C882" s="20" t="s">
        <v>804</v>
      </c>
      <c r="D882" s="21">
        <v>7</v>
      </c>
      <c r="E882" s="22">
        <v>497296.864865</v>
      </c>
    </row>
    <row r="883" s="29" customFormat="1" ht="28" spans="2:5">
      <c r="B883" s="19" t="s">
        <v>316</v>
      </c>
      <c r="C883" s="16" t="s">
        <v>183</v>
      </c>
      <c r="D883" s="23">
        <v>15</v>
      </c>
      <c r="E883" s="24">
        <v>1160359.927929</v>
      </c>
    </row>
    <row r="884" s="29" customFormat="1" ht="41.75" spans="2:5">
      <c r="B884" s="20" t="s">
        <v>383</v>
      </c>
      <c r="C884" s="20" t="s">
        <v>182</v>
      </c>
      <c r="D884" s="21">
        <v>11</v>
      </c>
      <c r="E884" s="22">
        <v>349641.608153</v>
      </c>
    </row>
    <row r="885" s="29" customFormat="1" spans="2:5">
      <c r="B885" s="25"/>
      <c r="C885" s="25"/>
      <c r="D885" s="25"/>
      <c r="E885" s="25"/>
    </row>
    <row r="886" s="29" customFormat="1" ht="36" spans="2:5">
      <c r="B886" s="26" t="s">
        <v>189</v>
      </c>
      <c r="C886" s="26" t="s">
        <v>189</v>
      </c>
      <c r="D886" s="26" t="s">
        <v>189</v>
      </c>
      <c r="E886" s="26" t="s">
        <v>189</v>
      </c>
    </row>
    <row r="887" s="29" customFormat="1" spans="2:5">
      <c r="B887" s="26"/>
      <c r="C887" s="26"/>
      <c r="D887" s="26"/>
      <c r="E887" s="26"/>
    </row>
    <row r="888" s="29" customFormat="1" ht="36" spans="2:5">
      <c r="B888" s="26" t="s">
        <v>958</v>
      </c>
      <c r="C888" s="26" t="s">
        <v>958</v>
      </c>
      <c r="D888" s="26" t="s">
        <v>958</v>
      </c>
      <c r="E888" s="26" t="s">
        <v>958</v>
      </c>
    </row>
    <row r="889" s="29" customFormat="1" spans="2:5">
      <c r="B889" s="26" t="s">
        <v>758</v>
      </c>
      <c r="C889" s="26" t="s">
        <v>758</v>
      </c>
      <c r="D889" s="26" t="s">
        <v>758</v>
      </c>
      <c r="E889" s="26" t="s">
        <v>758</v>
      </c>
    </row>
    <row r="890" s="29" customFormat="1" ht="124" spans="2:5">
      <c r="B890" s="11" t="s">
        <v>173</v>
      </c>
      <c r="C890" s="11" t="s">
        <v>173</v>
      </c>
      <c r="D890" s="11" t="s">
        <v>173</v>
      </c>
      <c r="E890" s="11" t="s">
        <v>173</v>
      </c>
    </row>
    <row r="891" s="29" customFormat="1" ht="156" spans="2:5">
      <c r="B891" s="12" t="s">
        <v>174</v>
      </c>
      <c r="C891" s="12" t="s">
        <v>174</v>
      </c>
      <c r="D891" s="12" t="s">
        <v>174</v>
      </c>
      <c r="E891" s="12" t="s">
        <v>174</v>
      </c>
    </row>
    <row r="892" s="29" customFormat="1" ht="68" spans="2:5">
      <c r="B892" s="13" t="s">
        <v>951</v>
      </c>
      <c r="C892" s="13" t="s">
        <v>951</v>
      </c>
      <c r="D892" s="13" t="s">
        <v>951</v>
      </c>
      <c r="E892" s="13" t="s">
        <v>951</v>
      </c>
    </row>
    <row r="893" s="29" customFormat="1" ht="22" spans="2:5">
      <c r="B893" s="14" t="s">
        <v>176</v>
      </c>
      <c r="C893" s="14" t="s">
        <v>176</v>
      </c>
      <c r="D893" s="14" t="s">
        <v>176</v>
      </c>
      <c r="E893" s="14" t="s">
        <v>176</v>
      </c>
    </row>
    <row r="894" s="29" customFormat="1" spans="2:5">
      <c r="B894" s="15" t="s">
        <v>177</v>
      </c>
      <c r="C894" s="16" t="s">
        <v>178</v>
      </c>
      <c r="D894" s="17" t="s">
        <v>179</v>
      </c>
      <c r="E894" s="18" t="s">
        <v>180</v>
      </c>
    </row>
    <row r="895" s="29" customFormat="1" ht="28" spans="2:5">
      <c r="B895" s="19" t="s">
        <v>383</v>
      </c>
      <c r="C895" s="20" t="s">
        <v>804</v>
      </c>
      <c r="D895" s="21">
        <v>4</v>
      </c>
      <c r="E895" s="22">
        <v>126126.594596</v>
      </c>
    </row>
    <row r="896" s="29" customFormat="1" ht="28" spans="2:5">
      <c r="B896" s="19" t="s">
        <v>383</v>
      </c>
      <c r="C896" s="16" t="s">
        <v>183</v>
      </c>
      <c r="D896" s="23">
        <v>15</v>
      </c>
      <c r="E896" s="24">
        <v>475768.202749</v>
      </c>
    </row>
    <row r="897" s="29" customFormat="1" ht="41" spans="2:5">
      <c r="B897" s="19" t="s">
        <v>384</v>
      </c>
      <c r="C897" s="20" t="s">
        <v>182</v>
      </c>
      <c r="D897" s="21">
        <v>2</v>
      </c>
      <c r="E897" s="22">
        <v>165765.765766</v>
      </c>
    </row>
    <row r="898" s="29" customFormat="1" ht="28" spans="2:5">
      <c r="B898" s="19" t="s">
        <v>384</v>
      </c>
      <c r="C898" s="20" t="s">
        <v>804</v>
      </c>
      <c r="D898" s="21">
        <v>1</v>
      </c>
      <c r="E898" s="22">
        <v>82882.882883</v>
      </c>
    </row>
    <row r="899" s="29" customFormat="1" ht="28" spans="2:5">
      <c r="B899" s="19" t="s">
        <v>384</v>
      </c>
      <c r="C899" s="16" t="s">
        <v>183</v>
      </c>
      <c r="D899" s="23">
        <v>3</v>
      </c>
      <c r="E899" s="24">
        <v>248648.648649</v>
      </c>
    </row>
    <row r="900" s="29" customFormat="1" ht="41" spans="2:5">
      <c r="B900" s="19" t="s">
        <v>518</v>
      </c>
      <c r="C900" s="20" t="s">
        <v>182</v>
      </c>
      <c r="D900" s="21">
        <v>6</v>
      </c>
      <c r="E900" s="22">
        <v>189190.126127</v>
      </c>
    </row>
    <row r="901" s="29" customFormat="1" ht="28" spans="2:5">
      <c r="B901" s="19" t="s">
        <v>518</v>
      </c>
      <c r="C901" s="20" t="s">
        <v>804</v>
      </c>
      <c r="D901" s="21">
        <v>2</v>
      </c>
      <c r="E901" s="22">
        <v>63063.063064</v>
      </c>
    </row>
    <row r="902" s="29" customFormat="1" ht="28" spans="2:5">
      <c r="B902" s="19" t="s">
        <v>518</v>
      </c>
      <c r="C902" s="16" t="s">
        <v>183</v>
      </c>
      <c r="D902" s="23">
        <v>8</v>
      </c>
      <c r="E902" s="24">
        <v>252253.189191</v>
      </c>
    </row>
    <row r="903" s="29" customFormat="1" ht="28" spans="2:5">
      <c r="B903" s="19" t="s">
        <v>1044</v>
      </c>
      <c r="C903" s="20" t="s">
        <v>804</v>
      </c>
      <c r="D903" s="21">
        <v>1</v>
      </c>
      <c r="E903" s="22">
        <v>140000</v>
      </c>
    </row>
    <row r="904" s="29" customFormat="1" ht="28" spans="2:5">
      <c r="B904" s="19" t="s">
        <v>1044</v>
      </c>
      <c r="C904" s="16" t="s">
        <v>183</v>
      </c>
      <c r="D904" s="23">
        <v>1</v>
      </c>
      <c r="E904" s="24">
        <v>140000</v>
      </c>
    </row>
    <row r="905" s="29" customFormat="1" ht="28" spans="2:5">
      <c r="B905" s="19" t="s">
        <v>1045</v>
      </c>
      <c r="C905" s="20" t="s">
        <v>804</v>
      </c>
      <c r="D905" s="21">
        <v>1</v>
      </c>
      <c r="E905" s="22">
        <v>2000000</v>
      </c>
    </row>
    <row r="906" s="29" customFormat="1" spans="2:5">
      <c r="B906" s="19" t="s">
        <v>1045</v>
      </c>
      <c r="C906" s="16" t="s">
        <v>183</v>
      </c>
      <c r="D906" s="23">
        <v>1</v>
      </c>
      <c r="E906" s="24">
        <v>2000000</v>
      </c>
    </row>
    <row r="907" s="29" customFormat="1" ht="28" spans="2:5">
      <c r="B907" s="19" t="s">
        <v>1046</v>
      </c>
      <c r="C907" s="20" t="s">
        <v>804</v>
      </c>
      <c r="D907" s="21">
        <v>1</v>
      </c>
      <c r="E907" s="22">
        <v>650000</v>
      </c>
    </row>
    <row r="908" s="29" customFormat="1" ht="28.75" spans="2:5">
      <c r="B908" s="19" t="s">
        <v>1046</v>
      </c>
      <c r="C908" s="16" t="s">
        <v>183</v>
      </c>
      <c r="D908" s="23">
        <v>1</v>
      </c>
      <c r="E908" s="24">
        <v>650000</v>
      </c>
    </row>
    <row r="909" s="29" customFormat="1" spans="2:5">
      <c r="B909" s="25"/>
      <c r="C909" s="25"/>
      <c r="D909" s="25"/>
      <c r="E909" s="25"/>
    </row>
    <row r="910" s="29" customFormat="1" ht="36" spans="2:5">
      <c r="B910" s="26" t="s">
        <v>189</v>
      </c>
      <c r="C910" s="26" t="s">
        <v>189</v>
      </c>
      <c r="D910" s="26" t="s">
        <v>189</v>
      </c>
      <c r="E910" s="26" t="s">
        <v>189</v>
      </c>
    </row>
    <row r="911" s="29" customFormat="1" spans="2:5">
      <c r="B911" s="26"/>
      <c r="C911" s="26"/>
      <c r="D911" s="26"/>
      <c r="E911" s="26"/>
    </row>
    <row r="912" s="29" customFormat="1" ht="36" spans="2:5">
      <c r="B912" s="26" t="s">
        <v>958</v>
      </c>
      <c r="C912" s="26" t="s">
        <v>958</v>
      </c>
      <c r="D912" s="26" t="s">
        <v>958</v>
      </c>
      <c r="E912" s="26" t="s">
        <v>958</v>
      </c>
    </row>
    <row r="913" s="29" customFormat="1" spans="2:5">
      <c r="B913" s="26" t="s">
        <v>760</v>
      </c>
      <c r="C913" s="26" t="s">
        <v>760</v>
      </c>
      <c r="D913" s="26" t="s">
        <v>760</v>
      </c>
      <c r="E913" s="26" t="s">
        <v>760</v>
      </c>
    </row>
    <row r="914" s="29" customFormat="1" ht="124" spans="2:5">
      <c r="B914" s="11" t="s">
        <v>173</v>
      </c>
      <c r="C914" s="11" t="s">
        <v>173</v>
      </c>
      <c r="D914" s="11" t="s">
        <v>173</v>
      </c>
      <c r="E914" s="11" t="s">
        <v>173</v>
      </c>
    </row>
    <row r="915" s="29" customFormat="1" ht="156" spans="2:5">
      <c r="B915" s="12" t="s">
        <v>174</v>
      </c>
      <c r="C915" s="12" t="s">
        <v>174</v>
      </c>
      <c r="D915" s="12" t="s">
        <v>174</v>
      </c>
      <c r="E915" s="12" t="s">
        <v>174</v>
      </c>
    </row>
    <row r="916" s="29" customFormat="1" ht="68" spans="2:5">
      <c r="B916" s="13" t="s">
        <v>951</v>
      </c>
      <c r="C916" s="13" t="s">
        <v>951</v>
      </c>
      <c r="D916" s="13" t="s">
        <v>951</v>
      </c>
      <c r="E916" s="13" t="s">
        <v>951</v>
      </c>
    </row>
    <row r="917" s="29" customFormat="1" ht="22" spans="2:5">
      <c r="B917" s="14" t="s">
        <v>176</v>
      </c>
      <c r="C917" s="14" t="s">
        <v>176</v>
      </c>
      <c r="D917" s="14" t="s">
        <v>176</v>
      </c>
      <c r="E917" s="14" t="s">
        <v>176</v>
      </c>
    </row>
    <row r="918" s="29" customFormat="1" spans="2:5">
      <c r="B918" s="15" t="s">
        <v>177</v>
      </c>
      <c r="C918" s="16" t="s">
        <v>178</v>
      </c>
      <c r="D918" s="17" t="s">
        <v>179</v>
      </c>
      <c r="E918" s="18" t="s">
        <v>180</v>
      </c>
    </row>
    <row r="919" s="29" customFormat="1" ht="28" spans="2:5">
      <c r="B919" s="19" t="s">
        <v>1047</v>
      </c>
      <c r="C919" s="20" t="s">
        <v>804</v>
      </c>
      <c r="D919" s="21">
        <v>4</v>
      </c>
      <c r="E919" s="22">
        <v>550000</v>
      </c>
    </row>
    <row r="920" s="29" customFormat="1" ht="28" spans="2:5">
      <c r="B920" s="19" t="s">
        <v>1047</v>
      </c>
      <c r="C920" s="16" t="s">
        <v>183</v>
      </c>
      <c r="D920" s="23">
        <v>4</v>
      </c>
      <c r="E920" s="24">
        <v>550000</v>
      </c>
    </row>
    <row r="921" s="29" customFormat="1" ht="28" spans="2:5">
      <c r="B921" s="19" t="s">
        <v>1048</v>
      </c>
      <c r="C921" s="20" t="s">
        <v>804</v>
      </c>
      <c r="D921" s="21">
        <v>1</v>
      </c>
      <c r="E921" s="22">
        <v>300000</v>
      </c>
    </row>
    <row r="922" s="29" customFormat="1" ht="28" spans="2:5">
      <c r="B922" s="19" t="s">
        <v>1048</v>
      </c>
      <c r="C922" s="16" t="s">
        <v>183</v>
      </c>
      <c r="D922" s="23">
        <v>1</v>
      </c>
      <c r="E922" s="24">
        <v>300000</v>
      </c>
    </row>
    <row r="923" s="29" customFormat="1" ht="41" spans="2:5">
      <c r="B923" s="19" t="s">
        <v>1049</v>
      </c>
      <c r="C923" s="20" t="s">
        <v>182</v>
      </c>
      <c r="D923" s="21">
        <v>1</v>
      </c>
      <c r="E923" s="22">
        <v>290000</v>
      </c>
    </row>
    <row r="924" s="29" customFormat="1" ht="28" spans="2:5">
      <c r="B924" s="19" t="s">
        <v>1049</v>
      </c>
      <c r="C924" s="16" t="s">
        <v>183</v>
      </c>
      <c r="D924" s="23">
        <v>1</v>
      </c>
      <c r="E924" s="24">
        <v>290000</v>
      </c>
    </row>
    <row r="925" s="29" customFormat="1" ht="41" spans="2:5">
      <c r="B925" s="19" t="s">
        <v>733</v>
      </c>
      <c r="C925" s="20" t="s">
        <v>182</v>
      </c>
      <c r="D925" s="21">
        <v>18</v>
      </c>
      <c r="E925" s="22">
        <v>1105577.448117</v>
      </c>
    </row>
    <row r="926" s="29" customFormat="1" ht="28" spans="2:5">
      <c r="B926" s="19" t="s">
        <v>733</v>
      </c>
      <c r="C926" s="20" t="s">
        <v>804</v>
      </c>
      <c r="D926" s="21">
        <v>5</v>
      </c>
      <c r="E926" s="22">
        <v>0</v>
      </c>
    </row>
    <row r="927" s="29" customFormat="1" ht="28" spans="2:5">
      <c r="B927" s="19" t="s">
        <v>733</v>
      </c>
      <c r="C927" s="16" t="s">
        <v>183</v>
      </c>
      <c r="D927" s="23">
        <v>23</v>
      </c>
      <c r="E927" s="24">
        <v>1105577.448117</v>
      </c>
    </row>
    <row r="928" s="29" customFormat="1" ht="41" spans="2:5">
      <c r="B928" s="19" t="s">
        <v>318</v>
      </c>
      <c r="C928" s="20" t="s">
        <v>182</v>
      </c>
      <c r="D928" s="21">
        <v>6</v>
      </c>
      <c r="E928" s="22">
        <v>0</v>
      </c>
    </row>
    <row r="929" s="29" customFormat="1" ht="28" spans="2:5">
      <c r="B929" s="19" t="s">
        <v>318</v>
      </c>
      <c r="C929" s="16" t="s">
        <v>183</v>
      </c>
      <c r="D929" s="23">
        <v>6</v>
      </c>
      <c r="E929" s="24">
        <v>0</v>
      </c>
    </row>
    <row r="930" s="29" customFormat="1" ht="28" spans="2:5">
      <c r="B930" s="19" t="s">
        <v>457</v>
      </c>
      <c r="C930" s="20" t="s">
        <v>804</v>
      </c>
      <c r="D930" s="21">
        <v>1</v>
      </c>
      <c r="E930" s="22">
        <v>232432.288288</v>
      </c>
    </row>
    <row r="931" s="29" customFormat="1" spans="2:5">
      <c r="B931" s="19" t="s">
        <v>457</v>
      </c>
      <c r="C931" s="16" t="s">
        <v>183</v>
      </c>
      <c r="D931" s="23">
        <v>1</v>
      </c>
      <c r="E931" s="24">
        <v>232432.288288</v>
      </c>
    </row>
    <row r="932" s="29" customFormat="1" ht="41.75" spans="2:5">
      <c r="B932" s="20" t="s">
        <v>458</v>
      </c>
      <c r="C932" s="20" t="s">
        <v>182</v>
      </c>
      <c r="D932" s="21">
        <v>3</v>
      </c>
      <c r="E932" s="22">
        <v>0</v>
      </c>
    </row>
    <row r="933" s="29" customFormat="1" spans="2:5">
      <c r="B933" s="25"/>
      <c r="C933" s="25"/>
      <c r="D933" s="25"/>
      <c r="E933" s="25"/>
    </row>
    <row r="934" s="29" customFormat="1" ht="36" spans="2:5">
      <c r="B934" s="26" t="s">
        <v>189</v>
      </c>
      <c r="C934" s="26" t="s">
        <v>189</v>
      </c>
      <c r="D934" s="26" t="s">
        <v>189</v>
      </c>
      <c r="E934" s="26" t="s">
        <v>189</v>
      </c>
    </row>
    <row r="935" s="29" customFormat="1" spans="2:5">
      <c r="B935" s="26"/>
      <c r="C935" s="26"/>
      <c r="D935" s="26"/>
      <c r="E935" s="26"/>
    </row>
    <row r="936" s="29" customFormat="1" ht="36" spans="2:5">
      <c r="B936" s="26" t="s">
        <v>958</v>
      </c>
      <c r="C936" s="26" t="s">
        <v>958</v>
      </c>
      <c r="D936" s="26" t="s">
        <v>958</v>
      </c>
      <c r="E936" s="26" t="s">
        <v>958</v>
      </c>
    </row>
    <row r="937" s="29" customFormat="1" spans="2:5">
      <c r="B937" s="26" t="s">
        <v>767</v>
      </c>
      <c r="C937" s="26" t="s">
        <v>767</v>
      </c>
      <c r="D937" s="26" t="s">
        <v>767</v>
      </c>
      <c r="E937" s="26" t="s">
        <v>767</v>
      </c>
    </row>
    <row r="938" s="29" customFormat="1" ht="124" spans="2:5">
      <c r="B938" s="11" t="s">
        <v>173</v>
      </c>
      <c r="C938" s="11" t="s">
        <v>173</v>
      </c>
      <c r="D938" s="11" t="s">
        <v>173</v>
      </c>
      <c r="E938" s="11" t="s">
        <v>173</v>
      </c>
    </row>
    <row r="939" s="29" customFormat="1" ht="156" spans="2:5">
      <c r="B939" s="12" t="s">
        <v>174</v>
      </c>
      <c r="C939" s="12" t="s">
        <v>174</v>
      </c>
      <c r="D939" s="12" t="s">
        <v>174</v>
      </c>
      <c r="E939" s="12" t="s">
        <v>174</v>
      </c>
    </row>
    <row r="940" s="29" customFormat="1" ht="68" spans="2:5">
      <c r="B940" s="13" t="s">
        <v>951</v>
      </c>
      <c r="C940" s="13" t="s">
        <v>951</v>
      </c>
      <c r="D940" s="13" t="s">
        <v>951</v>
      </c>
      <c r="E940" s="13" t="s">
        <v>951</v>
      </c>
    </row>
    <row r="941" s="29" customFormat="1" ht="22" spans="2:5">
      <c r="B941" s="14" t="s">
        <v>176</v>
      </c>
      <c r="C941" s="14" t="s">
        <v>176</v>
      </c>
      <c r="D941" s="14" t="s">
        <v>176</v>
      </c>
      <c r="E941" s="14" t="s">
        <v>176</v>
      </c>
    </row>
    <row r="942" s="29" customFormat="1" spans="2:5">
      <c r="B942" s="15" t="s">
        <v>177</v>
      </c>
      <c r="C942" s="16" t="s">
        <v>178</v>
      </c>
      <c r="D942" s="17" t="s">
        <v>179</v>
      </c>
      <c r="E942" s="18" t="s">
        <v>180</v>
      </c>
    </row>
    <row r="943" s="29" customFormat="1" ht="28" spans="2:5">
      <c r="B943" s="19" t="s">
        <v>458</v>
      </c>
      <c r="C943" s="20" t="s">
        <v>804</v>
      </c>
      <c r="D943" s="21">
        <v>1</v>
      </c>
      <c r="E943" s="22">
        <v>0</v>
      </c>
    </row>
    <row r="944" s="29" customFormat="1" spans="2:5">
      <c r="B944" s="19" t="s">
        <v>458</v>
      </c>
      <c r="C944" s="16" t="s">
        <v>183</v>
      </c>
      <c r="D944" s="23">
        <v>4</v>
      </c>
      <c r="E944" s="24">
        <v>0</v>
      </c>
    </row>
    <row r="945" s="29" customFormat="1" ht="41" spans="2:5">
      <c r="B945" s="19" t="s">
        <v>459</v>
      </c>
      <c r="C945" s="20" t="s">
        <v>182</v>
      </c>
      <c r="D945" s="21">
        <v>23</v>
      </c>
      <c r="E945" s="22">
        <v>600000.495496</v>
      </c>
    </row>
    <row r="946" s="29" customFormat="1" ht="28" spans="2:5">
      <c r="B946" s="19" t="s">
        <v>459</v>
      </c>
      <c r="C946" s="20" t="s">
        <v>804</v>
      </c>
      <c r="D946" s="21">
        <v>10</v>
      </c>
      <c r="E946" s="22">
        <v>387387</v>
      </c>
    </row>
    <row r="947" s="29" customFormat="1" spans="2:5">
      <c r="B947" s="19" t="s">
        <v>459</v>
      </c>
      <c r="C947" s="16" t="s">
        <v>183</v>
      </c>
      <c r="D947" s="23">
        <v>33</v>
      </c>
      <c r="E947" s="24">
        <v>987387.495496</v>
      </c>
    </row>
    <row r="948" s="29" customFormat="1" ht="41" spans="2:5">
      <c r="B948" s="19" t="s">
        <v>319</v>
      </c>
      <c r="C948" s="20" t="s">
        <v>182</v>
      </c>
      <c r="D948" s="21">
        <v>4</v>
      </c>
      <c r="E948" s="22">
        <v>0</v>
      </c>
    </row>
    <row r="949" s="29" customFormat="1" ht="28" spans="2:5">
      <c r="B949" s="19" t="s">
        <v>319</v>
      </c>
      <c r="C949" s="20" t="s">
        <v>804</v>
      </c>
      <c r="D949" s="21">
        <v>4</v>
      </c>
      <c r="E949" s="22">
        <v>0</v>
      </c>
    </row>
    <row r="950" s="29" customFormat="1" spans="2:5">
      <c r="B950" s="19" t="s">
        <v>319</v>
      </c>
      <c r="C950" s="16" t="s">
        <v>183</v>
      </c>
      <c r="D950" s="23">
        <v>8</v>
      </c>
      <c r="E950" s="24">
        <v>0</v>
      </c>
    </row>
    <row r="951" s="29" customFormat="1" ht="41" spans="2:5">
      <c r="B951" s="19" t="s">
        <v>320</v>
      </c>
      <c r="C951" s="20" t="s">
        <v>182</v>
      </c>
      <c r="D951" s="21">
        <v>40</v>
      </c>
      <c r="E951" s="22">
        <v>0</v>
      </c>
    </row>
    <row r="952" s="29" customFormat="1" ht="28" spans="2:5">
      <c r="B952" s="19" t="s">
        <v>320</v>
      </c>
      <c r="C952" s="20" t="s">
        <v>804</v>
      </c>
      <c r="D952" s="21">
        <v>4</v>
      </c>
      <c r="E952" s="22">
        <v>0</v>
      </c>
    </row>
    <row r="953" s="29" customFormat="1" ht="28" spans="2:5">
      <c r="B953" s="19" t="s">
        <v>320</v>
      </c>
      <c r="C953" s="16" t="s">
        <v>183</v>
      </c>
      <c r="D953" s="23">
        <v>44</v>
      </c>
      <c r="E953" s="24">
        <v>0</v>
      </c>
    </row>
    <row r="954" s="29" customFormat="1" ht="41" spans="2:5">
      <c r="B954" s="19" t="s">
        <v>894</v>
      </c>
      <c r="C954" s="20" t="s">
        <v>182</v>
      </c>
      <c r="D954" s="21">
        <v>4</v>
      </c>
      <c r="E954" s="22">
        <v>174000</v>
      </c>
    </row>
    <row r="955" s="29" customFormat="1" ht="28" spans="2:5">
      <c r="B955" s="19" t="s">
        <v>894</v>
      </c>
      <c r="C955" s="20" t="s">
        <v>804</v>
      </c>
      <c r="D955" s="21">
        <v>6</v>
      </c>
      <c r="E955" s="22">
        <v>522000</v>
      </c>
    </row>
    <row r="956" s="29" customFormat="1" ht="28.75" spans="2:5">
      <c r="B956" s="19" t="s">
        <v>894</v>
      </c>
      <c r="C956" s="16" t="s">
        <v>183</v>
      </c>
      <c r="D956" s="23">
        <v>10</v>
      </c>
      <c r="E956" s="24">
        <v>696000</v>
      </c>
    </row>
    <row r="957" s="29" customFormat="1" spans="2:5">
      <c r="B957" s="25"/>
      <c r="C957" s="25"/>
      <c r="D957" s="25"/>
      <c r="E957" s="25"/>
    </row>
    <row r="958" s="29" customFormat="1" ht="36" spans="2:5">
      <c r="B958" s="26" t="s">
        <v>189</v>
      </c>
      <c r="C958" s="26" t="s">
        <v>189</v>
      </c>
      <c r="D958" s="26" t="s">
        <v>189</v>
      </c>
      <c r="E958" s="26" t="s">
        <v>189</v>
      </c>
    </row>
    <row r="959" s="29" customFormat="1" spans="2:5">
      <c r="B959" s="26"/>
      <c r="C959" s="26"/>
      <c r="D959" s="26"/>
      <c r="E959" s="26"/>
    </row>
    <row r="960" s="29" customFormat="1" ht="36" spans="2:5">
      <c r="B960" s="26" t="s">
        <v>958</v>
      </c>
      <c r="C960" s="26" t="s">
        <v>958</v>
      </c>
      <c r="D960" s="26" t="s">
        <v>958</v>
      </c>
      <c r="E960" s="26" t="s">
        <v>958</v>
      </c>
    </row>
    <row r="961" s="29" customFormat="1" spans="2:5">
      <c r="B961" s="26" t="s">
        <v>773</v>
      </c>
      <c r="C961" s="26" t="s">
        <v>773</v>
      </c>
      <c r="D961" s="26" t="s">
        <v>773</v>
      </c>
      <c r="E961" s="26" t="s">
        <v>773</v>
      </c>
    </row>
    <row r="962" s="29" customFormat="1" ht="124" spans="2:5">
      <c r="B962" s="11" t="s">
        <v>173</v>
      </c>
      <c r="C962" s="11" t="s">
        <v>173</v>
      </c>
      <c r="D962" s="11" t="s">
        <v>173</v>
      </c>
      <c r="E962" s="11" t="s">
        <v>173</v>
      </c>
    </row>
    <row r="963" s="29" customFormat="1" ht="156" spans="2:5">
      <c r="B963" s="12" t="s">
        <v>174</v>
      </c>
      <c r="C963" s="12" t="s">
        <v>174</v>
      </c>
      <c r="D963" s="12" t="s">
        <v>174</v>
      </c>
      <c r="E963" s="12" t="s">
        <v>174</v>
      </c>
    </row>
    <row r="964" s="29" customFormat="1" ht="68" spans="2:5">
      <c r="B964" s="13" t="s">
        <v>951</v>
      </c>
      <c r="C964" s="13" t="s">
        <v>951</v>
      </c>
      <c r="D964" s="13" t="s">
        <v>951</v>
      </c>
      <c r="E964" s="13" t="s">
        <v>951</v>
      </c>
    </row>
    <row r="965" s="29" customFormat="1" ht="22" spans="2:5">
      <c r="B965" s="14" t="s">
        <v>176</v>
      </c>
      <c r="C965" s="14" t="s">
        <v>176</v>
      </c>
      <c r="D965" s="14" t="s">
        <v>176</v>
      </c>
      <c r="E965" s="14" t="s">
        <v>176</v>
      </c>
    </row>
    <row r="966" s="29" customFormat="1" spans="2:5">
      <c r="B966" s="15" t="s">
        <v>177</v>
      </c>
      <c r="C966" s="16" t="s">
        <v>178</v>
      </c>
      <c r="D966" s="17" t="s">
        <v>179</v>
      </c>
      <c r="E966" s="18" t="s">
        <v>180</v>
      </c>
    </row>
    <row r="967" s="29" customFormat="1" ht="41" spans="2:5">
      <c r="B967" s="19" t="s">
        <v>321</v>
      </c>
      <c r="C967" s="20" t="s">
        <v>182</v>
      </c>
      <c r="D967" s="21">
        <v>8</v>
      </c>
      <c r="E967" s="22">
        <v>0</v>
      </c>
    </row>
    <row r="968" s="29" customFormat="1" ht="28" spans="2:5">
      <c r="B968" s="19" t="s">
        <v>321</v>
      </c>
      <c r="C968" s="20" t="s">
        <v>804</v>
      </c>
      <c r="D968" s="21">
        <v>4</v>
      </c>
      <c r="E968" s="22">
        <v>0</v>
      </c>
    </row>
    <row r="969" s="29" customFormat="1" ht="28" spans="2:5">
      <c r="B969" s="19" t="s">
        <v>321</v>
      </c>
      <c r="C969" s="16" t="s">
        <v>183</v>
      </c>
      <c r="D969" s="23">
        <v>12</v>
      </c>
      <c r="E969" s="24">
        <v>0</v>
      </c>
    </row>
    <row r="970" s="29" customFormat="1" ht="41" spans="2:5">
      <c r="B970" s="19" t="s">
        <v>322</v>
      </c>
      <c r="C970" s="20" t="s">
        <v>182</v>
      </c>
      <c r="D970" s="21">
        <v>51</v>
      </c>
      <c r="E970" s="22">
        <v>98198.198198</v>
      </c>
    </row>
    <row r="971" s="29" customFormat="1" ht="28" spans="2:5">
      <c r="B971" s="19" t="s">
        <v>322</v>
      </c>
      <c r="C971" s="16" t="s">
        <v>183</v>
      </c>
      <c r="D971" s="23">
        <v>51</v>
      </c>
      <c r="E971" s="24">
        <v>98198.198198</v>
      </c>
    </row>
    <row r="972" s="29" customFormat="1" ht="41" spans="2:5">
      <c r="B972" s="19" t="s">
        <v>323</v>
      </c>
      <c r="C972" s="20" t="s">
        <v>182</v>
      </c>
      <c r="D972" s="21">
        <v>20</v>
      </c>
      <c r="E972" s="22">
        <v>0</v>
      </c>
    </row>
    <row r="973" s="29" customFormat="1" ht="28" spans="2:5">
      <c r="B973" s="19" t="s">
        <v>323</v>
      </c>
      <c r="C973" s="20" t="s">
        <v>804</v>
      </c>
      <c r="D973" s="21">
        <v>5</v>
      </c>
      <c r="E973" s="22">
        <v>0</v>
      </c>
    </row>
    <row r="974" s="29" customFormat="1" ht="28" spans="2:5">
      <c r="B974" s="19" t="s">
        <v>323</v>
      </c>
      <c r="C974" s="16" t="s">
        <v>183</v>
      </c>
      <c r="D974" s="23">
        <v>25</v>
      </c>
      <c r="E974" s="24">
        <v>0</v>
      </c>
    </row>
    <row r="975" s="29" customFormat="1" ht="41" spans="2:5">
      <c r="B975" s="19" t="s">
        <v>325</v>
      </c>
      <c r="C975" s="20" t="s">
        <v>182</v>
      </c>
      <c r="D975" s="21">
        <v>18</v>
      </c>
      <c r="E975" s="22">
        <v>1589189.45946</v>
      </c>
    </row>
    <row r="976" s="29" customFormat="1" ht="28" spans="2:5">
      <c r="B976" s="19" t="s">
        <v>325</v>
      </c>
      <c r="C976" s="16" t="s">
        <v>183</v>
      </c>
      <c r="D976" s="23">
        <v>18</v>
      </c>
      <c r="E976" s="24">
        <v>1589189.45946</v>
      </c>
    </row>
    <row r="977" s="29" customFormat="1" ht="41" spans="2:5">
      <c r="B977" s="19" t="s">
        <v>895</v>
      </c>
      <c r="C977" s="20" t="s">
        <v>182</v>
      </c>
      <c r="D977" s="21">
        <v>20</v>
      </c>
      <c r="E977" s="22">
        <v>2429730.783785</v>
      </c>
    </row>
    <row r="978" s="29" customFormat="1" ht="28" spans="2:5">
      <c r="B978" s="19" t="s">
        <v>895</v>
      </c>
      <c r="C978" s="20" t="s">
        <v>804</v>
      </c>
      <c r="D978" s="21">
        <v>8</v>
      </c>
      <c r="E978" s="22">
        <v>1102522.522523</v>
      </c>
    </row>
    <row r="979" s="29" customFormat="1" ht="28.75" spans="2:5">
      <c r="B979" s="19" t="s">
        <v>895</v>
      </c>
      <c r="C979" s="16" t="s">
        <v>183</v>
      </c>
      <c r="D979" s="23">
        <v>28</v>
      </c>
      <c r="E979" s="24">
        <v>3532253.306308</v>
      </c>
    </row>
    <row r="980" s="29" customFormat="1" spans="2:5">
      <c r="B980" s="25"/>
      <c r="C980" s="25"/>
      <c r="D980" s="25"/>
      <c r="E980" s="25"/>
    </row>
    <row r="981" s="29" customFormat="1" ht="36" spans="2:5">
      <c r="B981" s="26" t="s">
        <v>189</v>
      </c>
      <c r="C981" s="26" t="s">
        <v>189</v>
      </c>
      <c r="D981" s="26" t="s">
        <v>189</v>
      </c>
      <c r="E981" s="26" t="s">
        <v>189</v>
      </c>
    </row>
    <row r="982" s="29" customFormat="1" spans="2:5">
      <c r="B982" s="26"/>
      <c r="C982" s="26"/>
      <c r="D982" s="26"/>
      <c r="E982" s="26"/>
    </row>
    <row r="983" s="29" customFormat="1" ht="36" spans="2:5">
      <c r="B983" s="26" t="s">
        <v>958</v>
      </c>
      <c r="C983" s="26" t="s">
        <v>958</v>
      </c>
      <c r="D983" s="26" t="s">
        <v>958</v>
      </c>
      <c r="E983" s="26" t="s">
        <v>958</v>
      </c>
    </row>
    <row r="984" s="29" customFormat="1" spans="2:5">
      <c r="B984" s="26" t="s">
        <v>780</v>
      </c>
      <c r="C984" s="26" t="s">
        <v>780</v>
      </c>
      <c r="D984" s="26" t="s">
        <v>780</v>
      </c>
      <c r="E984" s="26" t="s">
        <v>780</v>
      </c>
    </row>
    <row r="985" s="29" customFormat="1" ht="124" spans="2:5">
      <c r="B985" s="11" t="s">
        <v>173</v>
      </c>
      <c r="C985" s="11" t="s">
        <v>173</v>
      </c>
      <c r="D985" s="11" t="s">
        <v>173</v>
      </c>
      <c r="E985" s="11" t="s">
        <v>173</v>
      </c>
    </row>
    <row r="986" s="29" customFormat="1" ht="156" spans="2:5">
      <c r="B986" s="12" t="s">
        <v>174</v>
      </c>
      <c r="C986" s="12" t="s">
        <v>174</v>
      </c>
      <c r="D986" s="12" t="s">
        <v>174</v>
      </c>
      <c r="E986" s="12" t="s">
        <v>174</v>
      </c>
    </row>
    <row r="987" s="29" customFormat="1" ht="68" spans="2:5">
      <c r="B987" s="13" t="s">
        <v>951</v>
      </c>
      <c r="C987" s="13" t="s">
        <v>951</v>
      </c>
      <c r="D987" s="13" t="s">
        <v>951</v>
      </c>
      <c r="E987" s="13" t="s">
        <v>951</v>
      </c>
    </row>
    <row r="988" s="29" customFormat="1" ht="22" spans="2:5">
      <c r="B988" s="14" t="s">
        <v>176</v>
      </c>
      <c r="C988" s="14" t="s">
        <v>176</v>
      </c>
      <c r="D988" s="14" t="s">
        <v>176</v>
      </c>
      <c r="E988" s="14" t="s">
        <v>176</v>
      </c>
    </row>
    <row r="989" s="29" customFormat="1" spans="2:5">
      <c r="B989" s="15" t="s">
        <v>177</v>
      </c>
      <c r="C989" s="16" t="s">
        <v>178</v>
      </c>
      <c r="D989" s="17" t="s">
        <v>179</v>
      </c>
      <c r="E989" s="18" t="s">
        <v>180</v>
      </c>
    </row>
    <row r="990" s="29" customFormat="1" ht="41" spans="2:5">
      <c r="B990" s="19" t="s">
        <v>326</v>
      </c>
      <c r="C990" s="20" t="s">
        <v>182</v>
      </c>
      <c r="D990" s="21">
        <v>19</v>
      </c>
      <c r="E990" s="22">
        <v>2016603.567567</v>
      </c>
    </row>
    <row r="991" s="29" customFormat="1" ht="28" spans="2:5">
      <c r="B991" s="19" t="s">
        <v>326</v>
      </c>
      <c r="C991" s="20" t="s">
        <v>804</v>
      </c>
      <c r="D991" s="21">
        <v>39</v>
      </c>
      <c r="E991" s="22">
        <v>3870720.243243</v>
      </c>
    </row>
    <row r="992" s="29" customFormat="1" ht="28" spans="2:5">
      <c r="B992" s="19" t="s">
        <v>326</v>
      </c>
      <c r="C992" s="16" t="s">
        <v>183</v>
      </c>
      <c r="D992" s="23">
        <v>58</v>
      </c>
      <c r="E992" s="24">
        <v>5887323.81081</v>
      </c>
    </row>
    <row r="993" s="29" customFormat="1" ht="41" spans="2:5">
      <c r="B993" s="19" t="s">
        <v>734</v>
      </c>
      <c r="C993" s="20" t="s">
        <v>182</v>
      </c>
      <c r="D993" s="21">
        <v>2</v>
      </c>
      <c r="E993" s="22">
        <v>759279.279279</v>
      </c>
    </row>
    <row r="994" s="29" customFormat="1" ht="28" spans="2:5">
      <c r="B994" s="19" t="s">
        <v>734</v>
      </c>
      <c r="C994" s="16" t="s">
        <v>183</v>
      </c>
      <c r="D994" s="23">
        <v>2</v>
      </c>
      <c r="E994" s="24">
        <v>759279.279279</v>
      </c>
    </row>
    <row r="995" s="29" customFormat="1" ht="41" spans="2:5">
      <c r="B995" s="19" t="s">
        <v>460</v>
      </c>
      <c r="C995" s="20" t="s">
        <v>182</v>
      </c>
      <c r="D995" s="21">
        <v>2</v>
      </c>
      <c r="E995" s="22">
        <v>739099.099099</v>
      </c>
    </row>
    <row r="996" s="29" customFormat="1" ht="28" spans="2:5">
      <c r="B996" s="19" t="s">
        <v>460</v>
      </c>
      <c r="C996" s="20" t="s">
        <v>804</v>
      </c>
      <c r="D996" s="21">
        <v>2</v>
      </c>
      <c r="E996" s="22">
        <v>739099.099099</v>
      </c>
    </row>
    <row r="997" s="29" customFormat="1" ht="28" spans="2:5">
      <c r="B997" s="19" t="s">
        <v>460</v>
      </c>
      <c r="C997" s="16" t="s">
        <v>183</v>
      </c>
      <c r="D997" s="23">
        <v>4</v>
      </c>
      <c r="E997" s="24">
        <v>1478198.198198</v>
      </c>
    </row>
    <row r="998" s="29" customFormat="1" ht="41" spans="2:5">
      <c r="B998" s="19" t="s">
        <v>896</v>
      </c>
      <c r="C998" s="20" t="s">
        <v>182</v>
      </c>
      <c r="D998" s="21">
        <v>2</v>
      </c>
      <c r="E998" s="22">
        <v>874054</v>
      </c>
    </row>
    <row r="999" s="29" customFormat="1" ht="28" spans="2:5">
      <c r="B999" s="19" t="s">
        <v>896</v>
      </c>
      <c r="C999" s="16" t="s">
        <v>183</v>
      </c>
      <c r="D999" s="23">
        <v>2</v>
      </c>
      <c r="E999" s="24">
        <v>874054</v>
      </c>
    </row>
    <row r="1000" s="29" customFormat="1" ht="41" spans="2:5">
      <c r="B1000" s="19" t="s">
        <v>1050</v>
      </c>
      <c r="C1000" s="20" t="s">
        <v>182</v>
      </c>
      <c r="D1000" s="21">
        <v>2</v>
      </c>
      <c r="E1000" s="22">
        <v>945945.945946</v>
      </c>
    </row>
    <row r="1001" s="29" customFormat="1" ht="28.75" spans="2:5">
      <c r="B1001" s="19" t="s">
        <v>1050</v>
      </c>
      <c r="C1001" s="16" t="s">
        <v>183</v>
      </c>
      <c r="D1001" s="23">
        <v>2</v>
      </c>
      <c r="E1001" s="24">
        <v>945945.945946</v>
      </c>
    </row>
    <row r="1002" s="29" customFormat="1" spans="2:5">
      <c r="B1002" s="25"/>
      <c r="C1002" s="25"/>
      <c r="D1002" s="25"/>
      <c r="E1002" s="25"/>
    </row>
    <row r="1003" s="29" customFormat="1" ht="36" spans="2:5">
      <c r="B1003" s="26" t="s">
        <v>189</v>
      </c>
      <c r="C1003" s="26" t="s">
        <v>189</v>
      </c>
      <c r="D1003" s="26" t="s">
        <v>189</v>
      </c>
      <c r="E1003" s="26" t="s">
        <v>189</v>
      </c>
    </row>
    <row r="1004" s="29" customFormat="1" spans="2:5">
      <c r="B1004" s="26"/>
      <c r="C1004" s="26"/>
      <c r="D1004" s="26"/>
      <c r="E1004" s="26"/>
    </row>
    <row r="1005" s="29" customFormat="1" ht="36" spans="2:5">
      <c r="B1005" s="26" t="s">
        <v>958</v>
      </c>
      <c r="C1005" s="26" t="s">
        <v>958</v>
      </c>
      <c r="D1005" s="26" t="s">
        <v>958</v>
      </c>
      <c r="E1005" s="26" t="s">
        <v>958</v>
      </c>
    </row>
    <row r="1006" s="29" customFormat="1" spans="2:5">
      <c r="B1006" s="26" t="s">
        <v>787</v>
      </c>
      <c r="C1006" s="26" t="s">
        <v>787</v>
      </c>
      <c r="D1006" s="26" t="s">
        <v>787</v>
      </c>
      <c r="E1006" s="26" t="s">
        <v>787</v>
      </c>
    </row>
    <row r="1007" s="29" customFormat="1" ht="124" spans="2:5">
      <c r="B1007" s="11" t="s">
        <v>173</v>
      </c>
      <c r="C1007" s="11" t="s">
        <v>173</v>
      </c>
      <c r="D1007" s="11" t="s">
        <v>173</v>
      </c>
      <c r="E1007" s="11" t="s">
        <v>173</v>
      </c>
    </row>
    <row r="1008" s="29" customFormat="1" ht="156" spans="2:5">
      <c r="B1008" s="12" t="s">
        <v>174</v>
      </c>
      <c r="C1008" s="12" t="s">
        <v>174</v>
      </c>
      <c r="D1008" s="12" t="s">
        <v>174</v>
      </c>
      <c r="E1008" s="12" t="s">
        <v>174</v>
      </c>
    </row>
    <row r="1009" s="29" customFormat="1" ht="68" spans="2:5">
      <c r="B1009" s="13" t="s">
        <v>951</v>
      </c>
      <c r="C1009" s="13" t="s">
        <v>951</v>
      </c>
      <c r="D1009" s="13" t="s">
        <v>951</v>
      </c>
      <c r="E1009" s="13" t="s">
        <v>951</v>
      </c>
    </row>
    <row r="1010" s="29" customFormat="1" ht="22" spans="2:5">
      <c r="B1010" s="14" t="s">
        <v>176</v>
      </c>
      <c r="C1010" s="14" t="s">
        <v>176</v>
      </c>
      <c r="D1010" s="14" t="s">
        <v>176</v>
      </c>
      <c r="E1010" s="14" t="s">
        <v>176</v>
      </c>
    </row>
    <row r="1011" s="29" customFormat="1" spans="2:5">
      <c r="B1011" s="15" t="s">
        <v>177</v>
      </c>
      <c r="C1011" s="16" t="s">
        <v>178</v>
      </c>
      <c r="D1011" s="17" t="s">
        <v>179</v>
      </c>
      <c r="E1011" s="18" t="s">
        <v>180</v>
      </c>
    </row>
    <row r="1012" s="29" customFormat="1" ht="41" spans="2:5">
      <c r="B1012" s="19" t="s">
        <v>1051</v>
      </c>
      <c r="C1012" s="20" t="s">
        <v>182</v>
      </c>
      <c r="D1012" s="21">
        <v>2</v>
      </c>
      <c r="E1012" s="22">
        <v>940901</v>
      </c>
    </row>
    <row r="1013" s="29" customFormat="1" ht="28" spans="2:5">
      <c r="B1013" s="19" t="s">
        <v>1051</v>
      </c>
      <c r="C1013" s="16" t="s">
        <v>183</v>
      </c>
      <c r="D1013" s="23">
        <v>2</v>
      </c>
      <c r="E1013" s="24">
        <v>940901</v>
      </c>
    </row>
    <row r="1014" s="29" customFormat="1" ht="28" spans="2:5">
      <c r="B1014" s="19" t="s">
        <v>1052</v>
      </c>
      <c r="C1014" s="20" t="s">
        <v>804</v>
      </c>
      <c r="D1014" s="21">
        <v>2</v>
      </c>
      <c r="E1014" s="22">
        <v>901801.801802</v>
      </c>
    </row>
    <row r="1015" s="29" customFormat="1" ht="28" spans="2:5">
      <c r="B1015" s="19" t="s">
        <v>1052</v>
      </c>
      <c r="C1015" s="16" t="s">
        <v>183</v>
      </c>
      <c r="D1015" s="23">
        <v>2</v>
      </c>
      <c r="E1015" s="24">
        <v>901801.801802</v>
      </c>
    </row>
    <row r="1016" s="29" customFormat="1" ht="28" spans="2:5">
      <c r="B1016" s="19" t="s">
        <v>1053</v>
      </c>
      <c r="C1016" s="20" t="s">
        <v>804</v>
      </c>
      <c r="D1016" s="21">
        <v>2</v>
      </c>
      <c r="E1016" s="22">
        <v>990990.990991</v>
      </c>
    </row>
    <row r="1017" s="29" customFormat="1" ht="28" spans="2:5">
      <c r="B1017" s="19" t="s">
        <v>1053</v>
      </c>
      <c r="C1017" s="16" t="s">
        <v>183</v>
      </c>
      <c r="D1017" s="23">
        <v>2</v>
      </c>
      <c r="E1017" s="24">
        <v>990990.990991</v>
      </c>
    </row>
    <row r="1018" s="29" customFormat="1" ht="41" spans="2:5">
      <c r="B1018" s="19" t="s">
        <v>1054</v>
      </c>
      <c r="C1018" s="20" t="s">
        <v>182</v>
      </c>
      <c r="D1018" s="21">
        <v>2</v>
      </c>
      <c r="E1018" s="22">
        <v>993873.63964</v>
      </c>
    </row>
    <row r="1019" s="29" customFormat="1" ht="28" spans="2:5">
      <c r="B1019" s="19" t="s">
        <v>1054</v>
      </c>
      <c r="C1019" s="16" t="s">
        <v>183</v>
      </c>
      <c r="D1019" s="23">
        <v>2</v>
      </c>
      <c r="E1019" s="24">
        <v>993873.63964</v>
      </c>
    </row>
    <row r="1020" s="29" customFormat="1" ht="41" spans="2:5">
      <c r="B1020" s="19" t="s">
        <v>1055</v>
      </c>
      <c r="C1020" s="20" t="s">
        <v>182</v>
      </c>
      <c r="D1020" s="21">
        <v>1</v>
      </c>
      <c r="E1020" s="22">
        <v>641351.351351</v>
      </c>
    </row>
    <row r="1021" s="29" customFormat="1" ht="28" spans="2:5">
      <c r="B1021" s="19" t="s">
        <v>1055</v>
      </c>
      <c r="C1021" s="16" t="s">
        <v>183</v>
      </c>
      <c r="D1021" s="23">
        <v>1</v>
      </c>
      <c r="E1021" s="24">
        <v>641351.351351</v>
      </c>
    </row>
    <row r="1022" s="29" customFormat="1" ht="41" spans="2:5">
      <c r="B1022" s="19" t="s">
        <v>1056</v>
      </c>
      <c r="C1022" s="20" t="s">
        <v>182</v>
      </c>
      <c r="D1022" s="21">
        <v>1</v>
      </c>
      <c r="E1022" s="22">
        <v>641351.648649</v>
      </c>
    </row>
    <row r="1023" s="29" customFormat="1" ht="28" spans="2:5">
      <c r="B1023" s="19" t="s">
        <v>1056</v>
      </c>
      <c r="C1023" s="16" t="s">
        <v>183</v>
      </c>
      <c r="D1023" s="23">
        <v>1</v>
      </c>
      <c r="E1023" s="24">
        <v>641351.648649</v>
      </c>
    </row>
    <row r="1024" s="29" customFormat="1" ht="28" spans="2:5">
      <c r="B1024" s="19" t="s">
        <v>899</v>
      </c>
      <c r="C1024" s="20" t="s">
        <v>804</v>
      </c>
      <c r="D1024" s="21">
        <v>1</v>
      </c>
      <c r="E1024" s="22">
        <v>0</v>
      </c>
    </row>
    <row r="1025" s="29" customFormat="1" ht="28.75" spans="2:5">
      <c r="B1025" s="19" t="s">
        <v>899</v>
      </c>
      <c r="C1025" s="16" t="s">
        <v>183</v>
      </c>
      <c r="D1025" s="23">
        <v>1</v>
      </c>
      <c r="E1025" s="24">
        <v>0</v>
      </c>
    </row>
    <row r="1026" s="29" customFormat="1" spans="2:5">
      <c r="B1026" s="25"/>
      <c r="C1026" s="25"/>
      <c r="D1026" s="25"/>
      <c r="E1026" s="25"/>
    </row>
    <row r="1027" s="29" customFormat="1" ht="36" spans="2:5">
      <c r="B1027" s="26" t="s">
        <v>189</v>
      </c>
      <c r="C1027" s="26" t="s">
        <v>189</v>
      </c>
      <c r="D1027" s="26" t="s">
        <v>189</v>
      </c>
      <c r="E1027" s="26" t="s">
        <v>189</v>
      </c>
    </row>
    <row r="1028" s="29" customFormat="1" spans="2:5">
      <c r="B1028" s="26"/>
      <c r="C1028" s="26"/>
      <c r="D1028" s="26"/>
      <c r="E1028" s="26"/>
    </row>
    <row r="1029" s="29" customFormat="1" ht="36" spans="2:5">
      <c r="B1029" s="26" t="s">
        <v>958</v>
      </c>
      <c r="C1029" s="26" t="s">
        <v>958</v>
      </c>
      <c r="D1029" s="26" t="s">
        <v>958</v>
      </c>
      <c r="E1029" s="26" t="s">
        <v>958</v>
      </c>
    </row>
    <row r="1030" s="29" customFormat="1" spans="2:5">
      <c r="B1030" s="26" t="s">
        <v>794</v>
      </c>
      <c r="C1030" s="26" t="s">
        <v>794</v>
      </c>
      <c r="D1030" s="26" t="s">
        <v>794</v>
      </c>
      <c r="E1030" s="26" t="s">
        <v>794</v>
      </c>
    </row>
    <row r="1031" s="29" customFormat="1" ht="124" spans="2:5">
      <c r="B1031" s="11" t="s">
        <v>173</v>
      </c>
      <c r="C1031" s="11" t="s">
        <v>173</v>
      </c>
      <c r="D1031" s="11" t="s">
        <v>173</v>
      </c>
      <c r="E1031" s="11" t="s">
        <v>173</v>
      </c>
    </row>
    <row r="1032" s="29" customFormat="1" ht="156" spans="2:5">
      <c r="B1032" s="12" t="s">
        <v>174</v>
      </c>
      <c r="C1032" s="12" t="s">
        <v>174</v>
      </c>
      <c r="D1032" s="12" t="s">
        <v>174</v>
      </c>
      <c r="E1032" s="12" t="s">
        <v>174</v>
      </c>
    </row>
    <row r="1033" s="29" customFormat="1" ht="68" spans="2:5">
      <c r="B1033" s="13" t="s">
        <v>951</v>
      </c>
      <c r="C1033" s="13" t="s">
        <v>951</v>
      </c>
      <c r="D1033" s="13" t="s">
        <v>951</v>
      </c>
      <c r="E1033" s="13" t="s">
        <v>951</v>
      </c>
    </row>
    <row r="1034" s="29" customFormat="1" ht="22" spans="2:5">
      <c r="B1034" s="14" t="s">
        <v>176</v>
      </c>
      <c r="C1034" s="14" t="s">
        <v>176</v>
      </c>
      <c r="D1034" s="14" t="s">
        <v>176</v>
      </c>
      <c r="E1034" s="14" t="s">
        <v>176</v>
      </c>
    </row>
    <row r="1035" s="29" customFormat="1" spans="2:5">
      <c r="B1035" s="15" t="s">
        <v>177</v>
      </c>
      <c r="C1035" s="16" t="s">
        <v>178</v>
      </c>
      <c r="D1035" s="17" t="s">
        <v>179</v>
      </c>
      <c r="E1035" s="18" t="s">
        <v>180</v>
      </c>
    </row>
    <row r="1036" s="29" customFormat="1" ht="28" spans="2:5">
      <c r="B1036" s="19" t="s">
        <v>900</v>
      </c>
      <c r="C1036" s="20" t="s">
        <v>804</v>
      </c>
      <c r="D1036" s="21">
        <v>1</v>
      </c>
      <c r="E1036" s="22">
        <v>0</v>
      </c>
    </row>
    <row r="1037" s="29" customFormat="1" ht="28" spans="2:5">
      <c r="B1037" s="19" t="s">
        <v>900</v>
      </c>
      <c r="C1037" s="16" t="s">
        <v>183</v>
      </c>
      <c r="D1037" s="23">
        <v>1</v>
      </c>
      <c r="E1037" s="24">
        <v>0</v>
      </c>
    </row>
    <row r="1038" s="29" customFormat="1" ht="41" spans="2:5">
      <c r="B1038" s="19" t="s">
        <v>1057</v>
      </c>
      <c r="C1038" s="20" t="s">
        <v>182</v>
      </c>
      <c r="D1038" s="21">
        <v>2</v>
      </c>
      <c r="E1038" s="22">
        <v>1150269.783784</v>
      </c>
    </row>
    <row r="1039" s="29" customFormat="1" ht="28" spans="2:5">
      <c r="B1039" s="19" t="s">
        <v>1057</v>
      </c>
      <c r="C1039" s="16" t="s">
        <v>183</v>
      </c>
      <c r="D1039" s="23">
        <v>2</v>
      </c>
      <c r="E1039" s="24">
        <v>1150269.783784</v>
      </c>
    </row>
    <row r="1040" s="29" customFormat="1" ht="41" spans="2:5">
      <c r="B1040" s="19" t="s">
        <v>1058</v>
      </c>
      <c r="C1040" s="20" t="s">
        <v>182</v>
      </c>
      <c r="D1040" s="21">
        <v>2</v>
      </c>
      <c r="E1040" s="22">
        <v>1150270.27027</v>
      </c>
    </row>
    <row r="1041" s="29" customFormat="1" ht="28" spans="2:5">
      <c r="B1041" s="19" t="s">
        <v>1058</v>
      </c>
      <c r="C1041" s="16" t="s">
        <v>183</v>
      </c>
      <c r="D1041" s="23">
        <v>2</v>
      </c>
      <c r="E1041" s="24">
        <v>1150270.27027</v>
      </c>
    </row>
    <row r="1042" s="29" customFormat="1" ht="41" spans="2:5">
      <c r="B1042" s="19" t="s">
        <v>1059</v>
      </c>
      <c r="C1042" s="20" t="s">
        <v>182</v>
      </c>
      <c r="D1042" s="21">
        <v>1</v>
      </c>
      <c r="E1042" s="22">
        <v>636306.693694</v>
      </c>
    </row>
    <row r="1043" s="29" customFormat="1" ht="28" spans="2:5">
      <c r="B1043" s="19" t="s">
        <v>1059</v>
      </c>
      <c r="C1043" s="16" t="s">
        <v>183</v>
      </c>
      <c r="D1043" s="23">
        <v>1</v>
      </c>
      <c r="E1043" s="24">
        <v>636306.693694</v>
      </c>
    </row>
    <row r="1044" s="29" customFormat="1" ht="41" spans="2:5">
      <c r="B1044" s="19" t="s">
        <v>1060</v>
      </c>
      <c r="C1044" s="20" t="s">
        <v>182</v>
      </c>
      <c r="D1044" s="21">
        <v>1</v>
      </c>
      <c r="E1044" s="22">
        <v>636306.306306</v>
      </c>
    </row>
    <row r="1045" s="29" customFormat="1" ht="28" spans="2:5">
      <c r="B1045" s="19" t="s">
        <v>1060</v>
      </c>
      <c r="C1045" s="16" t="s">
        <v>183</v>
      </c>
      <c r="D1045" s="23">
        <v>1</v>
      </c>
      <c r="E1045" s="24">
        <v>636306.306306</v>
      </c>
    </row>
    <row r="1046" s="29" customFormat="1" ht="41" spans="2:5">
      <c r="B1046" s="19" t="s">
        <v>1061</v>
      </c>
      <c r="C1046" s="20" t="s">
        <v>182</v>
      </c>
      <c r="D1046" s="21">
        <v>1</v>
      </c>
      <c r="E1046" s="22">
        <v>565675.324324</v>
      </c>
    </row>
    <row r="1047" s="29" customFormat="1" ht="28" spans="2:5">
      <c r="B1047" s="19" t="s">
        <v>1061</v>
      </c>
      <c r="C1047" s="16" t="s">
        <v>183</v>
      </c>
      <c r="D1047" s="23">
        <v>1</v>
      </c>
      <c r="E1047" s="24">
        <v>565675.324324</v>
      </c>
    </row>
    <row r="1048" s="29" customFormat="1" ht="41" spans="2:5">
      <c r="B1048" s="19" t="s">
        <v>1062</v>
      </c>
      <c r="C1048" s="20" t="s">
        <v>182</v>
      </c>
      <c r="D1048" s="21">
        <v>1</v>
      </c>
      <c r="E1048" s="22">
        <v>565675.675676</v>
      </c>
    </row>
    <row r="1049" s="29" customFormat="1" ht="28.75" spans="2:5">
      <c r="B1049" s="19" t="s">
        <v>1062</v>
      </c>
      <c r="C1049" s="16" t="s">
        <v>183</v>
      </c>
      <c r="D1049" s="23">
        <v>1</v>
      </c>
      <c r="E1049" s="24">
        <v>565675.675676</v>
      </c>
    </row>
    <row r="1050" s="29" customFormat="1" spans="2:5">
      <c r="B1050" s="25"/>
      <c r="C1050" s="25"/>
      <c r="D1050" s="25"/>
      <c r="E1050" s="25"/>
    </row>
    <row r="1051" s="29" customFormat="1" ht="36" spans="2:5">
      <c r="B1051" s="26" t="s">
        <v>189</v>
      </c>
      <c r="C1051" s="26" t="s">
        <v>189</v>
      </c>
      <c r="D1051" s="26" t="s">
        <v>189</v>
      </c>
      <c r="E1051" s="26" t="s">
        <v>189</v>
      </c>
    </row>
    <row r="1052" s="29" customFormat="1" spans="2:5">
      <c r="B1052" s="26"/>
      <c r="C1052" s="26"/>
      <c r="D1052" s="26"/>
      <c r="E1052" s="26"/>
    </row>
    <row r="1053" s="29" customFormat="1" ht="36" spans="2:5">
      <c r="B1053" s="26" t="s">
        <v>958</v>
      </c>
      <c r="C1053" s="26" t="s">
        <v>958</v>
      </c>
      <c r="D1053" s="26" t="s">
        <v>958</v>
      </c>
      <c r="E1053" s="26" t="s">
        <v>958</v>
      </c>
    </row>
    <row r="1054" s="29" customFormat="1" spans="2:5">
      <c r="B1054" s="26" t="s">
        <v>797</v>
      </c>
      <c r="C1054" s="26" t="s">
        <v>797</v>
      </c>
      <c r="D1054" s="26" t="s">
        <v>797</v>
      </c>
      <c r="E1054" s="26" t="s">
        <v>797</v>
      </c>
    </row>
    <row r="1055" s="29" customFormat="1" ht="124" spans="2:5">
      <c r="B1055" s="11" t="s">
        <v>173</v>
      </c>
      <c r="C1055" s="11" t="s">
        <v>173</v>
      </c>
      <c r="D1055" s="11" t="s">
        <v>173</v>
      </c>
      <c r="E1055" s="11" t="s">
        <v>173</v>
      </c>
    </row>
    <row r="1056" s="29" customFormat="1" ht="156" spans="2:5">
      <c r="B1056" s="12" t="s">
        <v>174</v>
      </c>
      <c r="C1056" s="12" t="s">
        <v>174</v>
      </c>
      <c r="D1056" s="12" t="s">
        <v>174</v>
      </c>
      <c r="E1056" s="12" t="s">
        <v>174</v>
      </c>
    </row>
    <row r="1057" s="29" customFormat="1" ht="68" spans="2:5">
      <c r="B1057" s="13" t="s">
        <v>951</v>
      </c>
      <c r="C1057" s="13" t="s">
        <v>951</v>
      </c>
      <c r="D1057" s="13" t="s">
        <v>951</v>
      </c>
      <c r="E1057" s="13" t="s">
        <v>951</v>
      </c>
    </row>
    <row r="1058" s="29" customFormat="1" ht="22" spans="2:5">
      <c r="B1058" s="14" t="s">
        <v>176</v>
      </c>
      <c r="C1058" s="14" t="s">
        <v>176</v>
      </c>
      <c r="D1058" s="14" t="s">
        <v>176</v>
      </c>
      <c r="E1058" s="14" t="s">
        <v>176</v>
      </c>
    </row>
    <row r="1059" s="29" customFormat="1" spans="2:5">
      <c r="B1059" s="15" t="s">
        <v>177</v>
      </c>
      <c r="C1059" s="16" t="s">
        <v>178</v>
      </c>
      <c r="D1059" s="17" t="s">
        <v>179</v>
      </c>
      <c r="E1059" s="18" t="s">
        <v>180</v>
      </c>
    </row>
    <row r="1060" s="29" customFormat="1" ht="41" spans="2:5">
      <c r="B1060" s="19" t="s">
        <v>1063</v>
      </c>
      <c r="C1060" s="20" t="s">
        <v>182</v>
      </c>
      <c r="D1060" s="21">
        <v>2</v>
      </c>
      <c r="E1060" s="22">
        <v>1412613</v>
      </c>
    </row>
    <row r="1061" s="29" customFormat="1" ht="28" spans="2:5">
      <c r="B1061" s="19" t="s">
        <v>1063</v>
      </c>
      <c r="C1061" s="20" t="s">
        <v>804</v>
      </c>
      <c r="D1061" s="21">
        <v>2</v>
      </c>
      <c r="E1061" s="22">
        <v>1040540.540541</v>
      </c>
    </row>
    <row r="1062" s="29" customFormat="1" ht="28" spans="2:5">
      <c r="B1062" s="19" t="s">
        <v>1063</v>
      </c>
      <c r="C1062" s="16" t="s">
        <v>183</v>
      </c>
      <c r="D1062" s="23">
        <v>4</v>
      </c>
      <c r="E1062" s="24">
        <v>2453153.540541</v>
      </c>
    </row>
    <row r="1063" s="29" customFormat="1" ht="41" spans="2:5">
      <c r="B1063" s="19" t="s">
        <v>738</v>
      </c>
      <c r="C1063" s="20" t="s">
        <v>182</v>
      </c>
      <c r="D1063" s="21">
        <v>1</v>
      </c>
      <c r="E1063" s="22">
        <v>762432.432432</v>
      </c>
    </row>
    <row r="1064" s="29" customFormat="1" ht="28" spans="2:5">
      <c r="B1064" s="19" t="s">
        <v>738</v>
      </c>
      <c r="C1064" s="16" t="s">
        <v>183</v>
      </c>
      <c r="D1064" s="23">
        <v>1</v>
      </c>
      <c r="E1064" s="24">
        <v>762432.432432</v>
      </c>
    </row>
    <row r="1065" s="29" customFormat="1" ht="41" spans="2:5">
      <c r="B1065" s="19" t="s">
        <v>739</v>
      </c>
      <c r="C1065" s="20" t="s">
        <v>182</v>
      </c>
      <c r="D1065" s="21">
        <v>1</v>
      </c>
      <c r="E1065" s="22">
        <v>762432.432432</v>
      </c>
    </row>
    <row r="1066" s="29" customFormat="1" ht="28" spans="2:5">
      <c r="B1066" s="19" t="s">
        <v>739</v>
      </c>
      <c r="C1066" s="16" t="s">
        <v>183</v>
      </c>
      <c r="D1066" s="23">
        <v>1</v>
      </c>
      <c r="E1066" s="24">
        <v>762432.432432</v>
      </c>
    </row>
    <row r="1067" s="29" customFormat="1" ht="41" spans="2:5">
      <c r="B1067" s="19" t="s">
        <v>1064</v>
      </c>
      <c r="C1067" s="20" t="s">
        <v>182</v>
      </c>
      <c r="D1067" s="21">
        <v>1</v>
      </c>
      <c r="E1067" s="22">
        <v>506396.603604</v>
      </c>
    </row>
    <row r="1068" s="29" customFormat="1" ht="28" spans="2:5">
      <c r="B1068" s="19" t="s">
        <v>1064</v>
      </c>
      <c r="C1068" s="16" t="s">
        <v>183</v>
      </c>
      <c r="D1068" s="23">
        <v>1</v>
      </c>
      <c r="E1068" s="24">
        <v>506396.603604</v>
      </c>
    </row>
    <row r="1069" s="29" customFormat="1" ht="41" spans="2:5">
      <c r="B1069" s="19" t="s">
        <v>1065</v>
      </c>
      <c r="C1069" s="20" t="s">
        <v>182</v>
      </c>
      <c r="D1069" s="21">
        <v>1</v>
      </c>
      <c r="E1069" s="22">
        <v>506396.396396</v>
      </c>
    </row>
    <row r="1070" s="29" customFormat="1" ht="28" spans="2:5">
      <c r="B1070" s="19" t="s">
        <v>1065</v>
      </c>
      <c r="C1070" s="16" t="s">
        <v>183</v>
      </c>
      <c r="D1070" s="23">
        <v>1</v>
      </c>
      <c r="E1070" s="24">
        <v>506396.396396</v>
      </c>
    </row>
    <row r="1071" s="29" customFormat="1" ht="41" spans="2:5">
      <c r="B1071" s="19" t="s">
        <v>1066</v>
      </c>
      <c r="C1071" s="20" t="s">
        <v>182</v>
      </c>
      <c r="D1071" s="21">
        <v>1</v>
      </c>
      <c r="E1071" s="22">
        <v>455495.504505</v>
      </c>
    </row>
    <row r="1072" s="29" customFormat="1" ht="28.75" spans="2:5">
      <c r="B1072" s="19" t="s">
        <v>1066</v>
      </c>
      <c r="C1072" s="16" t="s">
        <v>183</v>
      </c>
      <c r="D1072" s="23">
        <v>1</v>
      </c>
      <c r="E1072" s="24">
        <v>455495.504505</v>
      </c>
    </row>
    <row r="1073" s="29" customFormat="1" spans="2:5">
      <c r="B1073" s="25"/>
      <c r="C1073" s="25"/>
      <c r="D1073" s="25"/>
      <c r="E1073" s="25"/>
    </row>
    <row r="1074" s="29" customFormat="1" ht="36" spans="2:5">
      <c r="B1074" s="26" t="s">
        <v>189</v>
      </c>
      <c r="C1074" s="26" t="s">
        <v>189</v>
      </c>
      <c r="D1074" s="26" t="s">
        <v>189</v>
      </c>
      <c r="E1074" s="26" t="s">
        <v>189</v>
      </c>
    </row>
    <row r="1075" s="29" customFormat="1" spans="2:5">
      <c r="B1075" s="26"/>
      <c r="C1075" s="26"/>
      <c r="D1075" s="26"/>
      <c r="E1075" s="26"/>
    </row>
    <row r="1076" s="29" customFormat="1" ht="36" spans="2:5">
      <c r="B1076" s="26" t="s">
        <v>958</v>
      </c>
      <c r="C1076" s="26" t="s">
        <v>958</v>
      </c>
      <c r="D1076" s="26" t="s">
        <v>958</v>
      </c>
      <c r="E1076" s="26" t="s">
        <v>958</v>
      </c>
    </row>
    <row r="1077" s="29" customFormat="1" spans="2:5">
      <c r="B1077" s="26" t="s">
        <v>928</v>
      </c>
      <c r="C1077" s="26" t="s">
        <v>928</v>
      </c>
      <c r="D1077" s="26" t="s">
        <v>928</v>
      </c>
      <c r="E1077" s="26" t="s">
        <v>928</v>
      </c>
    </row>
    <row r="1078" s="29" customFormat="1" ht="124" spans="2:5">
      <c r="B1078" s="11" t="s">
        <v>173</v>
      </c>
      <c r="C1078" s="11" t="s">
        <v>173</v>
      </c>
      <c r="D1078" s="11" t="s">
        <v>173</v>
      </c>
      <c r="E1078" s="11" t="s">
        <v>173</v>
      </c>
    </row>
    <row r="1079" s="29" customFormat="1" ht="156" spans="2:5">
      <c r="B1079" s="12" t="s">
        <v>174</v>
      </c>
      <c r="C1079" s="12" t="s">
        <v>174</v>
      </c>
      <c r="D1079" s="12" t="s">
        <v>174</v>
      </c>
      <c r="E1079" s="12" t="s">
        <v>174</v>
      </c>
    </row>
    <row r="1080" s="29" customFormat="1" ht="68" spans="2:5">
      <c r="B1080" s="13" t="s">
        <v>951</v>
      </c>
      <c r="C1080" s="13" t="s">
        <v>951</v>
      </c>
      <c r="D1080" s="13" t="s">
        <v>951</v>
      </c>
      <c r="E1080" s="13" t="s">
        <v>951</v>
      </c>
    </row>
    <row r="1081" s="29" customFormat="1" ht="22" spans="2:5">
      <c r="B1081" s="14" t="s">
        <v>176</v>
      </c>
      <c r="C1081" s="14" t="s">
        <v>176</v>
      </c>
      <c r="D1081" s="14" t="s">
        <v>176</v>
      </c>
      <c r="E1081" s="14" t="s">
        <v>176</v>
      </c>
    </row>
    <row r="1082" s="29" customFormat="1" spans="2:5">
      <c r="B1082" s="15" t="s">
        <v>177</v>
      </c>
      <c r="C1082" s="16" t="s">
        <v>178</v>
      </c>
      <c r="D1082" s="17" t="s">
        <v>179</v>
      </c>
      <c r="E1082" s="18" t="s">
        <v>180</v>
      </c>
    </row>
    <row r="1083" s="29" customFormat="1" ht="41" spans="2:5">
      <c r="B1083" s="19" t="s">
        <v>1067</v>
      </c>
      <c r="C1083" s="20" t="s">
        <v>182</v>
      </c>
      <c r="D1083" s="21">
        <v>1</v>
      </c>
      <c r="E1083" s="22">
        <v>455495.495495</v>
      </c>
    </row>
    <row r="1084" s="29" customFormat="1" ht="28" spans="2:5">
      <c r="B1084" s="19" t="s">
        <v>1067</v>
      </c>
      <c r="C1084" s="16" t="s">
        <v>183</v>
      </c>
      <c r="D1084" s="23">
        <v>1</v>
      </c>
      <c r="E1084" s="24">
        <v>455495.495495</v>
      </c>
    </row>
    <row r="1085" s="29" customFormat="1" ht="41" spans="2:5">
      <c r="B1085" s="19" t="s">
        <v>1068</v>
      </c>
      <c r="C1085" s="20" t="s">
        <v>182</v>
      </c>
      <c r="D1085" s="21">
        <v>1</v>
      </c>
      <c r="E1085" s="22">
        <v>544234.234234</v>
      </c>
    </row>
    <row r="1086" s="29" customFormat="1" ht="28" spans="2:5">
      <c r="B1086" s="19" t="s">
        <v>1068</v>
      </c>
      <c r="C1086" s="16" t="s">
        <v>183</v>
      </c>
      <c r="D1086" s="23">
        <v>1</v>
      </c>
      <c r="E1086" s="24">
        <v>544234.234234</v>
      </c>
    </row>
    <row r="1087" s="29" customFormat="1" ht="41" spans="2:5">
      <c r="B1087" s="19" t="s">
        <v>1069</v>
      </c>
      <c r="C1087" s="20" t="s">
        <v>182</v>
      </c>
      <c r="D1087" s="21">
        <v>1</v>
      </c>
      <c r="E1087" s="22">
        <v>544233.774775</v>
      </c>
    </row>
    <row r="1088" s="29" customFormat="1" ht="28" spans="2:5">
      <c r="B1088" s="19" t="s">
        <v>1069</v>
      </c>
      <c r="C1088" s="16" t="s">
        <v>183</v>
      </c>
      <c r="D1088" s="23">
        <v>1</v>
      </c>
      <c r="E1088" s="24">
        <v>544233.774775</v>
      </c>
    </row>
    <row r="1089" s="29" customFormat="1" ht="41" spans="2:5">
      <c r="B1089" s="19" t="s">
        <v>1070</v>
      </c>
      <c r="C1089" s="20" t="s">
        <v>182</v>
      </c>
      <c r="D1089" s="21">
        <v>1</v>
      </c>
      <c r="E1089" s="22">
        <v>491891.45045</v>
      </c>
    </row>
    <row r="1090" s="29" customFormat="1" ht="28" spans="2:5">
      <c r="B1090" s="19" t="s">
        <v>1070</v>
      </c>
      <c r="C1090" s="16" t="s">
        <v>183</v>
      </c>
      <c r="D1090" s="23">
        <v>1</v>
      </c>
      <c r="E1090" s="24">
        <v>491891.45045</v>
      </c>
    </row>
    <row r="1091" s="29" customFormat="1" ht="41" spans="2:5">
      <c r="B1091" s="19" t="s">
        <v>1071</v>
      </c>
      <c r="C1091" s="20" t="s">
        <v>182</v>
      </c>
      <c r="D1091" s="21">
        <v>1</v>
      </c>
      <c r="E1091" s="22">
        <v>520270.27027</v>
      </c>
    </row>
    <row r="1092" s="29" customFormat="1" ht="28" spans="2:5">
      <c r="B1092" s="19" t="s">
        <v>1071</v>
      </c>
      <c r="C1092" s="16" t="s">
        <v>183</v>
      </c>
      <c r="D1092" s="23">
        <v>1</v>
      </c>
      <c r="E1092" s="24">
        <v>520270.27027</v>
      </c>
    </row>
    <row r="1093" s="29" customFormat="1" ht="41" spans="2:5">
      <c r="B1093" s="19" t="s">
        <v>1072</v>
      </c>
      <c r="C1093" s="20" t="s">
        <v>182</v>
      </c>
      <c r="D1093" s="21">
        <v>1</v>
      </c>
      <c r="E1093" s="22">
        <v>580180.18018</v>
      </c>
    </row>
    <row r="1094" s="29" customFormat="1" ht="28.75" spans="2:5">
      <c r="B1094" s="19" t="s">
        <v>1072</v>
      </c>
      <c r="C1094" s="16" t="s">
        <v>183</v>
      </c>
      <c r="D1094" s="23">
        <v>1</v>
      </c>
      <c r="E1094" s="24">
        <v>580180.18018</v>
      </c>
    </row>
    <row r="1095" s="29" customFormat="1" spans="2:5">
      <c r="B1095" s="25"/>
      <c r="C1095" s="25"/>
      <c r="D1095" s="25"/>
      <c r="E1095" s="25"/>
    </row>
    <row r="1096" s="29" customFormat="1" ht="36" spans="2:5">
      <c r="B1096" s="26" t="s">
        <v>189</v>
      </c>
      <c r="C1096" s="26" t="s">
        <v>189</v>
      </c>
      <c r="D1096" s="26" t="s">
        <v>189</v>
      </c>
      <c r="E1096" s="26" t="s">
        <v>189</v>
      </c>
    </row>
    <row r="1097" s="29" customFormat="1" spans="2:5">
      <c r="B1097" s="26"/>
      <c r="C1097" s="26"/>
      <c r="D1097" s="26"/>
      <c r="E1097" s="26"/>
    </row>
    <row r="1098" s="29" customFormat="1" ht="36" spans="2:5">
      <c r="B1098" s="26" t="s">
        <v>958</v>
      </c>
      <c r="C1098" s="26" t="s">
        <v>958</v>
      </c>
      <c r="D1098" s="26" t="s">
        <v>958</v>
      </c>
      <c r="E1098" s="26" t="s">
        <v>958</v>
      </c>
    </row>
    <row r="1099" s="29" customFormat="1" spans="2:5">
      <c r="B1099" s="26" t="s">
        <v>935</v>
      </c>
      <c r="C1099" s="26" t="s">
        <v>935</v>
      </c>
      <c r="D1099" s="26" t="s">
        <v>935</v>
      </c>
      <c r="E1099" s="26" t="s">
        <v>935</v>
      </c>
    </row>
    <row r="1100" s="29" customFormat="1" ht="124" spans="2:5">
      <c r="B1100" s="11" t="s">
        <v>173</v>
      </c>
      <c r="C1100" s="11" t="s">
        <v>173</v>
      </c>
      <c r="D1100" s="11" t="s">
        <v>173</v>
      </c>
      <c r="E1100" s="11" t="s">
        <v>173</v>
      </c>
    </row>
    <row r="1101" s="29" customFormat="1" ht="156" spans="2:5">
      <c r="B1101" s="12" t="s">
        <v>174</v>
      </c>
      <c r="C1101" s="12" t="s">
        <v>174</v>
      </c>
      <c r="D1101" s="12" t="s">
        <v>174</v>
      </c>
      <c r="E1101" s="12" t="s">
        <v>174</v>
      </c>
    </row>
    <row r="1102" s="29" customFormat="1" ht="68" spans="2:5">
      <c r="B1102" s="13" t="s">
        <v>951</v>
      </c>
      <c r="C1102" s="13" t="s">
        <v>951</v>
      </c>
      <c r="D1102" s="13" t="s">
        <v>951</v>
      </c>
      <c r="E1102" s="13" t="s">
        <v>951</v>
      </c>
    </row>
    <row r="1103" s="29" customFormat="1" ht="22" spans="2:5">
      <c r="B1103" s="14" t="s">
        <v>176</v>
      </c>
      <c r="C1103" s="14" t="s">
        <v>176</v>
      </c>
      <c r="D1103" s="14" t="s">
        <v>176</v>
      </c>
      <c r="E1103" s="14" t="s">
        <v>176</v>
      </c>
    </row>
    <row r="1104" s="29" customFormat="1" spans="2:5">
      <c r="B1104" s="15" t="s">
        <v>177</v>
      </c>
      <c r="C1104" s="16" t="s">
        <v>178</v>
      </c>
      <c r="D1104" s="17" t="s">
        <v>179</v>
      </c>
      <c r="E1104" s="18" t="s">
        <v>180</v>
      </c>
    </row>
    <row r="1105" s="29" customFormat="1" ht="41" spans="2:5">
      <c r="B1105" s="19" t="s">
        <v>1073</v>
      </c>
      <c r="C1105" s="20" t="s">
        <v>182</v>
      </c>
      <c r="D1105" s="21">
        <v>1</v>
      </c>
      <c r="E1105" s="22">
        <v>580180.18018</v>
      </c>
    </row>
    <row r="1106" s="29" customFormat="1" ht="28" spans="2:5">
      <c r="B1106" s="19" t="s">
        <v>1073</v>
      </c>
      <c r="C1106" s="16" t="s">
        <v>183</v>
      </c>
      <c r="D1106" s="23">
        <v>1</v>
      </c>
      <c r="E1106" s="24">
        <v>580180.18018</v>
      </c>
    </row>
    <row r="1107" s="29" customFormat="1" ht="41" spans="2:5">
      <c r="B1107" s="19" t="s">
        <v>1074</v>
      </c>
      <c r="C1107" s="20" t="s">
        <v>182</v>
      </c>
      <c r="D1107" s="21">
        <v>3</v>
      </c>
      <c r="E1107" s="22">
        <v>0</v>
      </c>
    </row>
    <row r="1108" s="29" customFormat="1" ht="28" spans="2:5">
      <c r="B1108" s="19" t="s">
        <v>1074</v>
      </c>
      <c r="C1108" s="16" t="s">
        <v>183</v>
      </c>
      <c r="D1108" s="23">
        <v>3</v>
      </c>
      <c r="E1108" s="24">
        <v>0</v>
      </c>
    </row>
    <row r="1109" s="29" customFormat="1" ht="41" spans="2:5">
      <c r="B1109" s="19" t="s">
        <v>1075</v>
      </c>
      <c r="C1109" s="20" t="s">
        <v>182</v>
      </c>
      <c r="D1109" s="21">
        <v>4</v>
      </c>
      <c r="E1109" s="22">
        <v>0</v>
      </c>
    </row>
    <row r="1110" s="29" customFormat="1" ht="28" spans="2:5">
      <c r="B1110" s="19" t="s">
        <v>1075</v>
      </c>
      <c r="C1110" s="16" t="s">
        <v>183</v>
      </c>
      <c r="D1110" s="23">
        <v>4</v>
      </c>
      <c r="E1110" s="24">
        <v>0</v>
      </c>
    </row>
    <row r="1111" s="29" customFormat="1" ht="41" spans="2:5">
      <c r="B1111" s="19" t="s">
        <v>328</v>
      </c>
      <c r="C1111" s="20" t="s">
        <v>182</v>
      </c>
      <c r="D1111" s="21">
        <v>8</v>
      </c>
      <c r="E1111" s="22">
        <v>0</v>
      </c>
    </row>
    <row r="1112" s="29" customFormat="1" ht="28" spans="2:5">
      <c r="B1112" s="19" t="s">
        <v>328</v>
      </c>
      <c r="C1112" s="20" t="s">
        <v>804</v>
      </c>
      <c r="D1112" s="21">
        <v>8</v>
      </c>
      <c r="E1112" s="22">
        <v>584684.711712</v>
      </c>
    </row>
    <row r="1113" s="29" customFormat="1" ht="28" spans="2:5">
      <c r="B1113" s="19" t="s">
        <v>328</v>
      </c>
      <c r="C1113" s="16" t="s">
        <v>183</v>
      </c>
      <c r="D1113" s="23">
        <v>16</v>
      </c>
      <c r="E1113" s="24">
        <v>584684.711712</v>
      </c>
    </row>
    <row r="1114" s="29" customFormat="1" ht="41" spans="2:5">
      <c r="B1114" s="19" t="s">
        <v>329</v>
      </c>
      <c r="C1114" s="20" t="s">
        <v>182</v>
      </c>
      <c r="D1114" s="21">
        <v>10</v>
      </c>
      <c r="E1114" s="22">
        <v>673874</v>
      </c>
    </row>
    <row r="1115" s="29" customFormat="1" ht="28" spans="2:5">
      <c r="B1115" s="19" t="s">
        <v>329</v>
      </c>
      <c r="C1115" s="20" t="s">
        <v>804</v>
      </c>
      <c r="D1115" s="21">
        <v>4</v>
      </c>
      <c r="E1115" s="22">
        <v>572792.792793</v>
      </c>
    </row>
    <row r="1116" s="29" customFormat="1" ht="28" spans="2:5">
      <c r="B1116" s="19" t="s">
        <v>329</v>
      </c>
      <c r="C1116" s="16" t="s">
        <v>183</v>
      </c>
      <c r="D1116" s="23">
        <v>14</v>
      </c>
      <c r="E1116" s="24">
        <v>1246666.792793</v>
      </c>
    </row>
    <row r="1117" s="29" customFormat="1" ht="41.75" spans="2:5">
      <c r="B1117" s="20" t="s">
        <v>464</v>
      </c>
      <c r="C1117" s="20" t="s">
        <v>182</v>
      </c>
      <c r="D1117" s="21">
        <v>16</v>
      </c>
      <c r="E1117" s="22">
        <v>0</v>
      </c>
    </row>
    <row r="1118" s="29" customFormat="1" spans="2:5">
      <c r="B1118" s="25"/>
      <c r="C1118" s="25"/>
      <c r="D1118" s="25"/>
      <c r="E1118" s="25"/>
    </row>
    <row r="1119" s="29" customFormat="1" ht="36" spans="2:5">
      <c r="B1119" s="26" t="s">
        <v>189</v>
      </c>
      <c r="C1119" s="26" t="s">
        <v>189</v>
      </c>
      <c r="D1119" s="26" t="s">
        <v>189</v>
      </c>
      <c r="E1119" s="26" t="s">
        <v>189</v>
      </c>
    </row>
    <row r="1120" s="29" customFormat="1" spans="2:5">
      <c r="B1120" s="26"/>
      <c r="C1120" s="26"/>
      <c r="D1120" s="26"/>
      <c r="E1120" s="26"/>
    </row>
    <row r="1121" s="29" customFormat="1" ht="36" spans="2:5">
      <c r="B1121" s="26" t="s">
        <v>958</v>
      </c>
      <c r="C1121" s="26" t="s">
        <v>958</v>
      </c>
      <c r="D1121" s="26" t="s">
        <v>958</v>
      </c>
      <c r="E1121" s="26" t="s">
        <v>958</v>
      </c>
    </row>
    <row r="1122" s="29" customFormat="1" spans="2:5">
      <c r="B1122" s="26" t="s">
        <v>942</v>
      </c>
      <c r="C1122" s="26" t="s">
        <v>942</v>
      </c>
      <c r="D1122" s="26" t="s">
        <v>942</v>
      </c>
      <c r="E1122" s="26" t="s">
        <v>942</v>
      </c>
    </row>
    <row r="1123" s="29" customFormat="1" ht="124" spans="2:5">
      <c r="B1123" s="11" t="s">
        <v>173</v>
      </c>
      <c r="C1123" s="11" t="s">
        <v>173</v>
      </c>
      <c r="D1123" s="11" t="s">
        <v>173</v>
      </c>
      <c r="E1123" s="11" t="s">
        <v>173</v>
      </c>
    </row>
    <row r="1124" s="29" customFormat="1" ht="156" spans="2:5">
      <c r="B1124" s="12" t="s">
        <v>174</v>
      </c>
      <c r="C1124" s="12" t="s">
        <v>174</v>
      </c>
      <c r="D1124" s="12" t="s">
        <v>174</v>
      </c>
      <c r="E1124" s="12" t="s">
        <v>174</v>
      </c>
    </row>
    <row r="1125" s="29" customFormat="1" ht="68" spans="2:5">
      <c r="B1125" s="13" t="s">
        <v>951</v>
      </c>
      <c r="C1125" s="13" t="s">
        <v>951</v>
      </c>
      <c r="D1125" s="13" t="s">
        <v>951</v>
      </c>
      <c r="E1125" s="13" t="s">
        <v>951</v>
      </c>
    </row>
    <row r="1126" s="29" customFormat="1" ht="22" spans="2:5">
      <c r="B1126" s="14" t="s">
        <v>176</v>
      </c>
      <c r="C1126" s="14" t="s">
        <v>176</v>
      </c>
      <c r="D1126" s="14" t="s">
        <v>176</v>
      </c>
      <c r="E1126" s="14" t="s">
        <v>176</v>
      </c>
    </row>
    <row r="1127" s="29" customFormat="1" spans="2:5">
      <c r="B1127" s="15" t="s">
        <v>177</v>
      </c>
      <c r="C1127" s="16" t="s">
        <v>178</v>
      </c>
      <c r="D1127" s="17" t="s">
        <v>179</v>
      </c>
      <c r="E1127" s="18" t="s">
        <v>180</v>
      </c>
    </row>
    <row r="1128" s="29" customFormat="1" ht="28" spans="2:5">
      <c r="B1128" s="19" t="s">
        <v>464</v>
      </c>
      <c r="C1128" s="20" t="s">
        <v>804</v>
      </c>
      <c r="D1128" s="21">
        <v>4</v>
      </c>
      <c r="E1128" s="22">
        <v>0</v>
      </c>
    </row>
    <row r="1129" s="29" customFormat="1" ht="28" spans="2:5">
      <c r="B1129" s="19" t="s">
        <v>464</v>
      </c>
      <c r="C1129" s="16" t="s">
        <v>183</v>
      </c>
      <c r="D1129" s="23">
        <v>20</v>
      </c>
      <c r="E1129" s="24">
        <v>0</v>
      </c>
    </row>
    <row r="1130" s="29" customFormat="1" ht="28" spans="2:5">
      <c r="B1130" s="19" t="s">
        <v>1076</v>
      </c>
      <c r="C1130" s="20" t="s">
        <v>804</v>
      </c>
      <c r="D1130" s="21">
        <v>8</v>
      </c>
      <c r="E1130" s="22">
        <v>564731.531532</v>
      </c>
    </row>
    <row r="1131" s="29" customFormat="1" ht="28" spans="2:5">
      <c r="B1131" s="19" t="s">
        <v>1076</v>
      </c>
      <c r="C1131" s="16" t="s">
        <v>183</v>
      </c>
      <c r="D1131" s="23">
        <v>8</v>
      </c>
      <c r="E1131" s="24">
        <v>564731.531532</v>
      </c>
    </row>
    <row r="1132" s="29" customFormat="1" ht="41" spans="2:5">
      <c r="B1132" s="19" t="s">
        <v>522</v>
      </c>
      <c r="C1132" s="20" t="s">
        <v>182</v>
      </c>
      <c r="D1132" s="21">
        <v>1</v>
      </c>
      <c r="E1132" s="22">
        <v>189189.189189</v>
      </c>
    </row>
    <row r="1133" s="29" customFormat="1" spans="2:5">
      <c r="B1133" s="19" t="s">
        <v>522</v>
      </c>
      <c r="C1133" s="16" t="s">
        <v>183</v>
      </c>
      <c r="D1133" s="23">
        <v>1</v>
      </c>
      <c r="E1133" s="24">
        <v>189189.189189</v>
      </c>
    </row>
    <row r="1134" s="29" customFormat="1" ht="41" spans="2:5">
      <c r="B1134" s="19" t="s">
        <v>334</v>
      </c>
      <c r="C1134" s="20" t="s">
        <v>182</v>
      </c>
      <c r="D1134" s="21">
        <v>8</v>
      </c>
      <c r="E1134" s="22">
        <v>1845044.711712</v>
      </c>
    </row>
    <row r="1135" s="29" customFormat="1" ht="28" spans="2:5">
      <c r="B1135" s="19" t="s">
        <v>334</v>
      </c>
      <c r="C1135" s="16" t="s">
        <v>183</v>
      </c>
      <c r="D1135" s="23">
        <v>8</v>
      </c>
      <c r="E1135" s="24">
        <v>1845044.711712</v>
      </c>
    </row>
    <row r="1136" s="29" customFormat="1" ht="41" spans="2:5">
      <c r="B1136" s="19" t="s">
        <v>1077</v>
      </c>
      <c r="C1136" s="20" t="s">
        <v>182</v>
      </c>
      <c r="D1136" s="21">
        <v>1</v>
      </c>
      <c r="E1136" s="22">
        <v>347000</v>
      </c>
    </row>
    <row r="1137" s="29" customFormat="1" ht="28" spans="2:5">
      <c r="B1137" s="19" t="s">
        <v>1077</v>
      </c>
      <c r="C1137" s="16" t="s">
        <v>183</v>
      </c>
      <c r="D1137" s="23">
        <v>1</v>
      </c>
      <c r="E1137" s="24">
        <v>347000</v>
      </c>
    </row>
    <row r="1138" s="29" customFormat="1" ht="41" spans="2:5">
      <c r="B1138" s="19" t="s">
        <v>1078</v>
      </c>
      <c r="C1138" s="20" t="s">
        <v>182</v>
      </c>
      <c r="D1138" s="21">
        <v>1</v>
      </c>
      <c r="E1138" s="22">
        <v>1161000</v>
      </c>
    </row>
    <row r="1139" s="29" customFormat="1" ht="28" spans="2:5">
      <c r="B1139" s="19" t="s">
        <v>1078</v>
      </c>
      <c r="C1139" s="16" t="s">
        <v>183</v>
      </c>
      <c r="D1139" s="23">
        <v>1</v>
      </c>
      <c r="E1139" s="24">
        <v>1161000</v>
      </c>
    </row>
    <row r="1140" s="29" customFormat="1" ht="41" spans="2:5">
      <c r="B1140" s="19" t="s">
        <v>1079</v>
      </c>
      <c r="C1140" s="20" t="s">
        <v>182</v>
      </c>
      <c r="D1140" s="21">
        <v>1</v>
      </c>
      <c r="E1140" s="22">
        <v>1140000</v>
      </c>
    </row>
    <row r="1141" s="29" customFormat="1" ht="28.75" spans="2:5">
      <c r="B1141" s="19" t="s">
        <v>1079</v>
      </c>
      <c r="C1141" s="16" t="s">
        <v>183</v>
      </c>
      <c r="D1141" s="23">
        <v>1</v>
      </c>
      <c r="E1141" s="24">
        <v>1140000</v>
      </c>
    </row>
    <row r="1142" s="29" customFormat="1" spans="2:5">
      <c r="B1142" s="25"/>
      <c r="C1142" s="25"/>
      <c r="D1142" s="25"/>
      <c r="E1142" s="25"/>
    </row>
    <row r="1143" s="29" customFormat="1" ht="36" spans="2:5">
      <c r="B1143" s="26" t="s">
        <v>189</v>
      </c>
      <c r="C1143" s="26" t="s">
        <v>189</v>
      </c>
      <c r="D1143" s="26" t="s">
        <v>189</v>
      </c>
      <c r="E1143" s="26" t="s">
        <v>189</v>
      </c>
    </row>
    <row r="1144" s="29" customFormat="1" spans="2:5">
      <c r="B1144" s="26"/>
      <c r="C1144" s="26"/>
      <c r="D1144" s="26"/>
      <c r="E1144" s="26"/>
    </row>
    <row r="1145" s="29" customFormat="1" ht="36" spans="2:5">
      <c r="B1145" s="26" t="s">
        <v>958</v>
      </c>
      <c r="C1145" s="26" t="s">
        <v>958</v>
      </c>
      <c r="D1145" s="26" t="s">
        <v>958</v>
      </c>
      <c r="E1145" s="26" t="s">
        <v>958</v>
      </c>
    </row>
    <row r="1146" s="29" customFormat="1" spans="2:5">
      <c r="B1146" s="26" t="s">
        <v>949</v>
      </c>
      <c r="C1146" s="26" t="s">
        <v>949</v>
      </c>
      <c r="D1146" s="26" t="s">
        <v>949</v>
      </c>
      <c r="E1146" s="26" t="s">
        <v>949</v>
      </c>
    </row>
    <row r="1147" s="29" customFormat="1" ht="124" spans="2:5">
      <c r="B1147" s="11" t="s">
        <v>173</v>
      </c>
      <c r="C1147" s="11" t="s">
        <v>173</v>
      </c>
      <c r="D1147" s="11" t="s">
        <v>173</v>
      </c>
      <c r="E1147" s="11" t="s">
        <v>173</v>
      </c>
    </row>
    <row r="1148" s="29" customFormat="1" ht="156" spans="2:5">
      <c r="B1148" s="12" t="s">
        <v>174</v>
      </c>
      <c r="C1148" s="12" t="s">
        <v>174</v>
      </c>
      <c r="D1148" s="12" t="s">
        <v>174</v>
      </c>
      <c r="E1148" s="12" t="s">
        <v>174</v>
      </c>
    </row>
    <row r="1149" s="29" customFormat="1" ht="68" spans="2:5">
      <c r="B1149" s="13" t="s">
        <v>951</v>
      </c>
      <c r="C1149" s="13" t="s">
        <v>951</v>
      </c>
      <c r="D1149" s="13" t="s">
        <v>951</v>
      </c>
      <c r="E1149" s="13" t="s">
        <v>951</v>
      </c>
    </row>
    <row r="1150" s="29" customFormat="1" ht="22" spans="2:5">
      <c r="B1150" s="14" t="s">
        <v>176</v>
      </c>
      <c r="C1150" s="14" t="s">
        <v>176</v>
      </c>
      <c r="D1150" s="14" t="s">
        <v>176</v>
      </c>
      <c r="E1150" s="14" t="s">
        <v>176</v>
      </c>
    </row>
    <row r="1151" s="29" customFormat="1" spans="2:5">
      <c r="B1151" s="15" t="s">
        <v>177</v>
      </c>
      <c r="C1151" s="16" t="s">
        <v>178</v>
      </c>
      <c r="D1151" s="17" t="s">
        <v>179</v>
      </c>
      <c r="E1151" s="18" t="s">
        <v>180</v>
      </c>
    </row>
    <row r="1152" s="29" customFormat="1" ht="41" spans="2:5">
      <c r="B1152" s="19" t="s">
        <v>1080</v>
      </c>
      <c r="C1152" s="20" t="s">
        <v>182</v>
      </c>
      <c r="D1152" s="21">
        <v>8</v>
      </c>
      <c r="E1152" s="22">
        <v>1728000</v>
      </c>
    </row>
    <row r="1153" s="29" customFormat="1" ht="28" spans="2:5">
      <c r="B1153" s="19" t="s">
        <v>1080</v>
      </c>
      <c r="C1153" s="16" t="s">
        <v>183</v>
      </c>
      <c r="D1153" s="23">
        <v>8</v>
      </c>
      <c r="E1153" s="24">
        <v>1728000</v>
      </c>
    </row>
    <row r="1154" s="29" customFormat="1" ht="28" spans="2:5">
      <c r="B1154" s="19" t="s">
        <v>1081</v>
      </c>
      <c r="C1154" s="20" t="s">
        <v>804</v>
      </c>
      <c r="D1154" s="21">
        <v>1</v>
      </c>
      <c r="E1154" s="22">
        <v>101000</v>
      </c>
    </row>
    <row r="1155" s="29" customFormat="1" spans="2:5">
      <c r="B1155" s="19" t="s">
        <v>1081</v>
      </c>
      <c r="C1155" s="16" t="s">
        <v>183</v>
      </c>
      <c r="D1155" s="23">
        <v>1</v>
      </c>
      <c r="E1155" s="24">
        <v>101000</v>
      </c>
    </row>
    <row r="1156" s="29" customFormat="1" ht="41" spans="2:5">
      <c r="B1156" s="19" t="s">
        <v>1082</v>
      </c>
      <c r="C1156" s="20" t="s">
        <v>182</v>
      </c>
      <c r="D1156" s="21">
        <v>7</v>
      </c>
      <c r="E1156" s="22">
        <v>150000</v>
      </c>
    </row>
    <row r="1157" s="29" customFormat="1" spans="2:5">
      <c r="B1157" s="19" t="s">
        <v>1082</v>
      </c>
      <c r="C1157" s="16" t="s">
        <v>183</v>
      </c>
      <c r="D1157" s="23">
        <v>7</v>
      </c>
      <c r="E1157" s="24">
        <v>150000</v>
      </c>
    </row>
    <row r="1158" s="29" customFormat="1" ht="41" spans="2:5">
      <c r="B1158" s="19" t="s">
        <v>628</v>
      </c>
      <c r="C1158" s="20" t="s">
        <v>182</v>
      </c>
      <c r="D1158" s="21">
        <v>4</v>
      </c>
      <c r="E1158" s="22">
        <v>25226.027027</v>
      </c>
    </row>
    <row r="1159" s="29" customFormat="1" ht="28" spans="2:5">
      <c r="B1159" s="19" t="s">
        <v>628</v>
      </c>
      <c r="C1159" s="20" t="s">
        <v>804</v>
      </c>
      <c r="D1159" s="21">
        <v>2</v>
      </c>
      <c r="E1159" s="22">
        <v>12612.612613</v>
      </c>
    </row>
    <row r="1160" s="29" customFormat="1" spans="2:5">
      <c r="B1160" s="19" t="s">
        <v>628</v>
      </c>
      <c r="C1160" s="16" t="s">
        <v>183</v>
      </c>
      <c r="D1160" s="23">
        <v>6</v>
      </c>
      <c r="E1160" s="24">
        <v>37838.63964</v>
      </c>
    </row>
    <row r="1161" s="29" customFormat="1" ht="28" spans="2:5">
      <c r="B1161" s="19" t="s">
        <v>1083</v>
      </c>
      <c r="C1161" s="20" t="s">
        <v>804</v>
      </c>
      <c r="D1161" s="21">
        <v>2</v>
      </c>
      <c r="E1161" s="22">
        <v>220000</v>
      </c>
    </row>
    <row r="1162" s="29" customFormat="1" ht="28" spans="2:5">
      <c r="B1162" s="19" t="s">
        <v>1083</v>
      </c>
      <c r="C1162" s="16" t="s">
        <v>183</v>
      </c>
      <c r="D1162" s="23">
        <v>2</v>
      </c>
      <c r="E1162" s="24">
        <v>220000</v>
      </c>
    </row>
    <row r="1163" s="29" customFormat="1" ht="41" spans="2:5">
      <c r="B1163" s="19" t="s">
        <v>336</v>
      </c>
      <c r="C1163" s="20" t="s">
        <v>182</v>
      </c>
      <c r="D1163" s="21">
        <v>2</v>
      </c>
      <c r="E1163" s="22">
        <v>0</v>
      </c>
    </row>
    <row r="1164" s="29" customFormat="1" ht="17.55" spans="2:5">
      <c r="B1164" s="19" t="s">
        <v>336</v>
      </c>
      <c r="C1164" s="16" t="s">
        <v>183</v>
      </c>
      <c r="D1164" s="23">
        <v>2</v>
      </c>
      <c r="E1164" s="24">
        <v>0</v>
      </c>
    </row>
    <row r="1165" s="29" customFormat="1" spans="2:5">
      <c r="B1165" s="25"/>
      <c r="C1165" s="25"/>
      <c r="D1165" s="25"/>
      <c r="E1165" s="25"/>
    </row>
    <row r="1166" s="29" customFormat="1" ht="36" spans="2:5">
      <c r="B1166" s="26" t="s">
        <v>189</v>
      </c>
      <c r="C1166" s="26" t="s">
        <v>189</v>
      </c>
      <c r="D1166" s="26" t="s">
        <v>189</v>
      </c>
      <c r="E1166" s="26" t="s">
        <v>189</v>
      </c>
    </row>
    <row r="1167" s="29" customFormat="1" spans="2:5">
      <c r="B1167" s="26"/>
      <c r="C1167" s="26"/>
      <c r="D1167" s="26"/>
      <c r="E1167" s="26"/>
    </row>
    <row r="1168" s="29" customFormat="1" ht="36" spans="2:5">
      <c r="B1168" s="26" t="s">
        <v>958</v>
      </c>
      <c r="C1168" s="26" t="s">
        <v>958</v>
      </c>
      <c r="D1168" s="26" t="s">
        <v>958</v>
      </c>
      <c r="E1168" s="26" t="s">
        <v>958</v>
      </c>
    </row>
    <row r="1169" s="29" customFormat="1" spans="2:5">
      <c r="B1169" s="26" t="s">
        <v>950</v>
      </c>
      <c r="C1169" s="26" t="s">
        <v>950</v>
      </c>
      <c r="D1169" s="26" t="s">
        <v>950</v>
      </c>
      <c r="E1169" s="26" t="s">
        <v>950</v>
      </c>
    </row>
    <row r="1170" s="29" customFormat="1" ht="124" spans="2:5">
      <c r="B1170" s="11" t="s">
        <v>173</v>
      </c>
      <c r="C1170" s="11" t="s">
        <v>173</v>
      </c>
      <c r="D1170" s="11" t="s">
        <v>173</v>
      </c>
      <c r="E1170" s="11" t="s">
        <v>173</v>
      </c>
    </row>
    <row r="1171" s="29" customFormat="1" ht="156" spans="2:5">
      <c r="B1171" s="12" t="s">
        <v>174</v>
      </c>
      <c r="C1171" s="12" t="s">
        <v>174</v>
      </c>
      <c r="D1171" s="12" t="s">
        <v>174</v>
      </c>
      <c r="E1171" s="12" t="s">
        <v>174</v>
      </c>
    </row>
    <row r="1172" s="29" customFormat="1" ht="68" spans="2:5">
      <c r="B1172" s="13" t="s">
        <v>951</v>
      </c>
      <c r="C1172" s="13" t="s">
        <v>951</v>
      </c>
      <c r="D1172" s="13" t="s">
        <v>951</v>
      </c>
      <c r="E1172" s="13" t="s">
        <v>951</v>
      </c>
    </row>
    <row r="1173" s="29" customFormat="1" ht="22" spans="2:5">
      <c r="B1173" s="14" t="s">
        <v>176</v>
      </c>
      <c r="C1173" s="14" t="s">
        <v>176</v>
      </c>
      <c r="D1173" s="14" t="s">
        <v>176</v>
      </c>
      <c r="E1173" s="14" t="s">
        <v>176</v>
      </c>
    </row>
    <row r="1174" s="29" customFormat="1" spans="2:5">
      <c r="B1174" s="15" t="s">
        <v>177</v>
      </c>
      <c r="C1174" s="16" t="s">
        <v>178</v>
      </c>
      <c r="D1174" s="17" t="s">
        <v>179</v>
      </c>
      <c r="E1174" s="18" t="s">
        <v>180</v>
      </c>
    </row>
    <row r="1175" s="29" customFormat="1" ht="41" spans="2:5">
      <c r="B1175" s="19" t="s">
        <v>1084</v>
      </c>
      <c r="C1175" s="20" t="s">
        <v>182</v>
      </c>
      <c r="D1175" s="21">
        <v>1</v>
      </c>
      <c r="E1175" s="22">
        <v>820000</v>
      </c>
    </row>
    <row r="1176" s="29" customFormat="1" spans="2:5">
      <c r="B1176" s="19" t="s">
        <v>1084</v>
      </c>
      <c r="C1176" s="16" t="s">
        <v>183</v>
      </c>
      <c r="D1176" s="23">
        <v>1</v>
      </c>
      <c r="E1176" s="24">
        <v>820000</v>
      </c>
    </row>
    <row r="1177" s="29" customFormat="1" ht="41" spans="2:5">
      <c r="B1177" s="19" t="s">
        <v>470</v>
      </c>
      <c r="C1177" s="20" t="s">
        <v>182</v>
      </c>
      <c r="D1177" s="21">
        <v>46</v>
      </c>
      <c r="E1177" s="22">
        <v>177402.155419</v>
      </c>
    </row>
    <row r="1178" s="29" customFormat="1" ht="28" spans="2:5">
      <c r="B1178" s="19" t="s">
        <v>470</v>
      </c>
      <c r="C1178" s="20" t="s">
        <v>804</v>
      </c>
      <c r="D1178" s="21">
        <v>4</v>
      </c>
      <c r="E1178" s="22">
        <v>322523</v>
      </c>
    </row>
    <row r="1179" s="29" customFormat="1" ht="28" spans="2:5">
      <c r="B1179" s="19" t="s">
        <v>470</v>
      </c>
      <c r="C1179" s="16" t="s">
        <v>183</v>
      </c>
      <c r="D1179" s="23">
        <v>50</v>
      </c>
      <c r="E1179" s="24">
        <v>499925.155419</v>
      </c>
    </row>
    <row r="1180" s="29" customFormat="1" ht="28" spans="2:5">
      <c r="B1180" s="19" t="s">
        <v>1085</v>
      </c>
      <c r="C1180" s="20" t="s">
        <v>804</v>
      </c>
      <c r="D1180" s="21">
        <v>1</v>
      </c>
      <c r="E1180" s="22">
        <v>2300000</v>
      </c>
    </row>
    <row r="1181" s="29" customFormat="1" spans="2:5">
      <c r="B1181" s="19" t="s">
        <v>1085</v>
      </c>
      <c r="C1181" s="16" t="s">
        <v>183</v>
      </c>
      <c r="D1181" s="23">
        <v>1</v>
      </c>
      <c r="E1181" s="24">
        <v>2300000</v>
      </c>
    </row>
    <row r="1182" s="29" customFormat="1" ht="28" spans="2:5">
      <c r="B1182" s="19" t="s">
        <v>1086</v>
      </c>
      <c r="C1182" s="20" t="s">
        <v>804</v>
      </c>
      <c r="D1182" s="21">
        <v>1</v>
      </c>
      <c r="E1182" s="22">
        <v>810000</v>
      </c>
    </row>
    <row r="1183" s="29" customFormat="1" ht="28" spans="2:5">
      <c r="B1183" s="19" t="s">
        <v>1086</v>
      </c>
      <c r="C1183" s="16" t="s">
        <v>183</v>
      </c>
      <c r="D1183" s="23">
        <v>1</v>
      </c>
      <c r="E1183" s="24">
        <v>810000</v>
      </c>
    </row>
    <row r="1184" s="29" customFormat="1" ht="28" spans="2:5">
      <c r="B1184" s="19" t="s">
        <v>1087</v>
      </c>
      <c r="C1184" s="20" t="s">
        <v>804</v>
      </c>
      <c r="D1184" s="21">
        <v>2</v>
      </c>
      <c r="E1184" s="22">
        <v>0</v>
      </c>
    </row>
    <row r="1185" s="29" customFormat="1" ht="28" spans="2:5">
      <c r="B1185" s="19" t="s">
        <v>1087</v>
      </c>
      <c r="C1185" s="16" t="s">
        <v>183</v>
      </c>
      <c r="D1185" s="23">
        <v>2</v>
      </c>
      <c r="E1185" s="24">
        <v>0</v>
      </c>
    </row>
    <row r="1186" s="29" customFormat="1" ht="41" spans="2:5">
      <c r="B1186" s="19" t="s">
        <v>1088</v>
      </c>
      <c r="C1186" s="20" t="s">
        <v>182</v>
      </c>
      <c r="D1186" s="21">
        <v>1</v>
      </c>
      <c r="E1186" s="22">
        <v>775000</v>
      </c>
    </row>
    <row r="1187" s="29" customFormat="1" ht="28" spans="2:5">
      <c r="B1187" s="19" t="s">
        <v>1088</v>
      </c>
      <c r="C1187" s="16" t="s">
        <v>183</v>
      </c>
      <c r="D1187" s="23">
        <v>1</v>
      </c>
      <c r="E1187" s="24">
        <v>775000</v>
      </c>
    </row>
    <row r="1188" s="29" customFormat="1" ht="41" spans="2:5">
      <c r="B1188" s="19" t="s">
        <v>1089</v>
      </c>
      <c r="C1188" s="20" t="s">
        <v>182</v>
      </c>
      <c r="D1188" s="21">
        <v>2</v>
      </c>
      <c r="E1188" s="22">
        <v>420000</v>
      </c>
    </row>
    <row r="1189" s="29" customFormat="1" ht="28.75" spans="2:5">
      <c r="B1189" s="19" t="s">
        <v>1089</v>
      </c>
      <c r="C1189" s="16" t="s">
        <v>183</v>
      </c>
      <c r="D1189" s="23">
        <v>2</v>
      </c>
      <c r="E1189" s="24">
        <v>420000</v>
      </c>
    </row>
    <row r="1190" s="29" customFormat="1" spans="2:5">
      <c r="B1190" s="25"/>
      <c r="C1190" s="25"/>
      <c r="D1190" s="25"/>
      <c r="E1190" s="25"/>
    </row>
    <row r="1191" s="29" customFormat="1" ht="36" spans="2:5">
      <c r="B1191" s="26" t="s">
        <v>189</v>
      </c>
      <c r="C1191" s="26" t="s">
        <v>189</v>
      </c>
      <c r="D1191" s="26" t="s">
        <v>189</v>
      </c>
      <c r="E1191" s="26" t="s">
        <v>189</v>
      </c>
    </row>
    <row r="1192" s="29" customFormat="1" spans="2:5">
      <c r="B1192" s="26"/>
      <c r="C1192" s="26"/>
      <c r="D1192" s="26"/>
      <c r="E1192" s="26"/>
    </row>
    <row r="1193" s="29" customFormat="1" ht="36" spans="2:5">
      <c r="B1193" s="26" t="s">
        <v>958</v>
      </c>
      <c r="C1193" s="26" t="s">
        <v>958</v>
      </c>
      <c r="D1193" s="26" t="s">
        <v>958</v>
      </c>
      <c r="E1193" s="26" t="s">
        <v>958</v>
      </c>
    </row>
    <row r="1194" s="29" customFormat="1" spans="2:5">
      <c r="B1194" s="26" t="s">
        <v>1090</v>
      </c>
      <c r="C1194" s="26" t="s">
        <v>1090</v>
      </c>
      <c r="D1194" s="26" t="s">
        <v>1090</v>
      </c>
      <c r="E1194" s="26" t="s">
        <v>1090</v>
      </c>
    </row>
    <row r="1195" s="29" customFormat="1" ht="124" spans="2:5">
      <c r="B1195" s="11" t="s">
        <v>173</v>
      </c>
      <c r="C1195" s="11" t="s">
        <v>173</v>
      </c>
      <c r="D1195" s="11" t="s">
        <v>173</v>
      </c>
      <c r="E1195" s="11" t="s">
        <v>173</v>
      </c>
    </row>
    <row r="1196" s="29" customFormat="1" ht="156" spans="2:5">
      <c r="B1196" s="12" t="s">
        <v>174</v>
      </c>
      <c r="C1196" s="12" t="s">
        <v>174</v>
      </c>
      <c r="D1196" s="12" t="s">
        <v>174</v>
      </c>
      <c r="E1196" s="12" t="s">
        <v>174</v>
      </c>
    </row>
    <row r="1197" s="29" customFormat="1" ht="68" spans="2:5">
      <c r="B1197" s="13" t="s">
        <v>951</v>
      </c>
      <c r="C1197" s="13" t="s">
        <v>951</v>
      </c>
      <c r="D1197" s="13" t="s">
        <v>951</v>
      </c>
      <c r="E1197" s="13" t="s">
        <v>951</v>
      </c>
    </row>
    <row r="1198" s="29" customFormat="1" ht="22" spans="2:5">
      <c r="B1198" s="14" t="s">
        <v>176</v>
      </c>
      <c r="C1198" s="14" t="s">
        <v>176</v>
      </c>
      <c r="D1198" s="14" t="s">
        <v>176</v>
      </c>
      <c r="E1198" s="14" t="s">
        <v>176</v>
      </c>
    </row>
    <row r="1199" s="29" customFormat="1" spans="2:5">
      <c r="B1199" s="15" t="s">
        <v>177</v>
      </c>
      <c r="C1199" s="16" t="s">
        <v>178</v>
      </c>
      <c r="D1199" s="17" t="s">
        <v>179</v>
      </c>
      <c r="E1199" s="18" t="s">
        <v>180</v>
      </c>
    </row>
    <row r="1200" s="29" customFormat="1" ht="41" spans="2:5">
      <c r="B1200" s="19" t="s">
        <v>1091</v>
      </c>
      <c r="C1200" s="20" t="s">
        <v>182</v>
      </c>
      <c r="D1200" s="21">
        <v>1</v>
      </c>
      <c r="E1200" s="22">
        <v>181833.674165</v>
      </c>
    </row>
    <row r="1201" s="29" customFormat="1" ht="28" spans="2:5">
      <c r="B1201" s="19" t="s">
        <v>1091</v>
      </c>
      <c r="C1201" s="16" t="s">
        <v>183</v>
      </c>
      <c r="D1201" s="23">
        <v>1</v>
      </c>
      <c r="E1201" s="24">
        <v>181833.674165</v>
      </c>
    </row>
    <row r="1202" s="29" customFormat="1" ht="28" spans="2:5">
      <c r="B1202" s="19" t="s">
        <v>1092</v>
      </c>
      <c r="C1202" s="20" t="s">
        <v>804</v>
      </c>
      <c r="D1202" s="21">
        <v>1</v>
      </c>
      <c r="E1202" s="22">
        <v>269000</v>
      </c>
    </row>
    <row r="1203" s="29" customFormat="1" ht="28" spans="2:5">
      <c r="B1203" s="19" t="s">
        <v>1092</v>
      </c>
      <c r="C1203" s="16" t="s">
        <v>183</v>
      </c>
      <c r="D1203" s="23">
        <v>1</v>
      </c>
      <c r="E1203" s="24">
        <v>269000</v>
      </c>
    </row>
    <row r="1204" s="29" customFormat="1" ht="28" spans="2:5">
      <c r="B1204" s="19" t="s">
        <v>1093</v>
      </c>
      <c r="C1204" s="20" t="s">
        <v>804</v>
      </c>
      <c r="D1204" s="21">
        <v>1</v>
      </c>
      <c r="E1204" s="22">
        <v>205000</v>
      </c>
    </row>
    <row r="1205" s="29" customFormat="1" spans="2:5">
      <c r="B1205" s="19" t="s">
        <v>1093</v>
      </c>
      <c r="C1205" s="16" t="s">
        <v>183</v>
      </c>
      <c r="D1205" s="23">
        <v>1</v>
      </c>
      <c r="E1205" s="24">
        <v>205000</v>
      </c>
    </row>
    <row r="1206" s="29" customFormat="1" ht="41" spans="2:5">
      <c r="B1206" s="19" t="s">
        <v>1094</v>
      </c>
      <c r="C1206" s="20" t="s">
        <v>182</v>
      </c>
      <c r="D1206" s="21">
        <v>1</v>
      </c>
      <c r="E1206" s="22">
        <v>386000</v>
      </c>
    </row>
    <row r="1207" s="29" customFormat="1" spans="2:5">
      <c r="B1207" s="19" t="s">
        <v>1094</v>
      </c>
      <c r="C1207" s="16" t="s">
        <v>183</v>
      </c>
      <c r="D1207" s="23">
        <v>1</v>
      </c>
      <c r="E1207" s="24">
        <v>386000</v>
      </c>
    </row>
    <row r="1208" s="29" customFormat="1" ht="28" spans="2:5">
      <c r="B1208" s="19" t="s">
        <v>1095</v>
      </c>
      <c r="C1208" s="20" t="s">
        <v>804</v>
      </c>
      <c r="D1208" s="21">
        <v>1</v>
      </c>
      <c r="E1208" s="22">
        <v>450000</v>
      </c>
    </row>
    <row r="1209" s="29" customFormat="1" spans="2:5">
      <c r="B1209" s="19" t="s">
        <v>1095</v>
      </c>
      <c r="C1209" s="16" t="s">
        <v>183</v>
      </c>
      <c r="D1209" s="23">
        <v>1</v>
      </c>
      <c r="E1209" s="24">
        <v>450000</v>
      </c>
    </row>
    <row r="1210" s="29" customFormat="1" ht="41" spans="2:5">
      <c r="B1210" s="19" t="s">
        <v>751</v>
      </c>
      <c r="C1210" s="20" t="s">
        <v>182</v>
      </c>
      <c r="D1210" s="21">
        <v>15</v>
      </c>
      <c r="E1210" s="22">
        <v>148018.018018</v>
      </c>
    </row>
    <row r="1211" s="29" customFormat="1" ht="28" spans="2:5">
      <c r="B1211" s="19" t="s">
        <v>751</v>
      </c>
      <c r="C1211" s="20" t="s">
        <v>804</v>
      </c>
      <c r="D1211" s="21">
        <v>3</v>
      </c>
      <c r="E1211" s="22">
        <v>30000</v>
      </c>
    </row>
    <row r="1212" s="29" customFormat="1" spans="2:5">
      <c r="B1212" s="19" t="s">
        <v>751</v>
      </c>
      <c r="C1212" s="16" t="s">
        <v>183</v>
      </c>
      <c r="D1212" s="23">
        <v>18</v>
      </c>
      <c r="E1212" s="24">
        <v>178018.018018</v>
      </c>
    </row>
    <row r="1213" s="29" customFormat="1" ht="41.75" spans="2:5">
      <c r="B1213" s="20" t="s">
        <v>752</v>
      </c>
      <c r="C1213" s="20" t="s">
        <v>182</v>
      </c>
      <c r="D1213" s="21">
        <v>7</v>
      </c>
      <c r="E1213" s="22">
        <v>69009.009009</v>
      </c>
    </row>
    <row r="1214" s="29" customFormat="1" spans="2:5">
      <c r="B1214" s="25"/>
      <c r="C1214" s="25"/>
      <c r="D1214" s="25"/>
      <c r="E1214" s="25"/>
    </row>
    <row r="1215" s="29" customFormat="1" ht="36" spans="2:5">
      <c r="B1215" s="26" t="s">
        <v>189</v>
      </c>
      <c r="C1215" s="26" t="s">
        <v>189</v>
      </c>
      <c r="D1215" s="26" t="s">
        <v>189</v>
      </c>
      <c r="E1215" s="26" t="s">
        <v>189</v>
      </c>
    </row>
    <row r="1216" s="29" customFormat="1" spans="2:5">
      <c r="B1216" s="26"/>
      <c r="C1216" s="26"/>
      <c r="D1216" s="26"/>
      <c r="E1216" s="26"/>
    </row>
    <row r="1217" s="29" customFormat="1" ht="36" spans="2:5">
      <c r="B1217" s="26" t="s">
        <v>958</v>
      </c>
      <c r="C1217" s="26" t="s">
        <v>958</v>
      </c>
      <c r="D1217" s="26" t="s">
        <v>958</v>
      </c>
      <c r="E1217" s="26" t="s">
        <v>958</v>
      </c>
    </row>
    <row r="1218" s="29" customFormat="1" spans="2:5">
      <c r="B1218" s="26" t="s">
        <v>1096</v>
      </c>
      <c r="C1218" s="26" t="s">
        <v>1096</v>
      </c>
      <c r="D1218" s="26" t="s">
        <v>1096</v>
      </c>
      <c r="E1218" s="26" t="s">
        <v>1096</v>
      </c>
    </row>
    <row r="1219" s="29" customFormat="1" ht="124" spans="2:5">
      <c r="B1219" s="11" t="s">
        <v>173</v>
      </c>
      <c r="C1219" s="11" t="s">
        <v>173</v>
      </c>
      <c r="D1219" s="11" t="s">
        <v>173</v>
      </c>
      <c r="E1219" s="11" t="s">
        <v>173</v>
      </c>
    </row>
    <row r="1220" s="29" customFormat="1" ht="156" spans="2:5">
      <c r="B1220" s="12" t="s">
        <v>174</v>
      </c>
      <c r="C1220" s="12" t="s">
        <v>174</v>
      </c>
      <c r="D1220" s="12" t="s">
        <v>174</v>
      </c>
      <c r="E1220" s="12" t="s">
        <v>174</v>
      </c>
    </row>
    <row r="1221" s="29" customFormat="1" ht="68" spans="2:5">
      <c r="B1221" s="13" t="s">
        <v>951</v>
      </c>
      <c r="C1221" s="13" t="s">
        <v>951</v>
      </c>
      <c r="D1221" s="13" t="s">
        <v>951</v>
      </c>
      <c r="E1221" s="13" t="s">
        <v>951</v>
      </c>
    </row>
    <row r="1222" s="29" customFormat="1" ht="22" spans="2:5">
      <c r="B1222" s="14" t="s">
        <v>176</v>
      </c>
      <c r="C1222" s="14" t="s">
        <v>176</v>
      </c>
      <c r="D1222" s="14" t="s">
        <v>176</v>
      </c>
      <c r="E1222" s="14" t="s">
        <v>176</v>
      </c>
    </row>
    <row r="1223" s="29" customFormat="1" spans="2:5">
      <c r="B1223" s="15" t="s">
        <v>177</v>
      </c>
      <c r="C1223" s="16" t="s">
        <v>178</v>
      </c>
      <c r="D1223" s="17" t="s">
        <v>179</v>
      </c>
      <c r="E1223" s="18" t="s">
        <v>180</v>
      </c>
    </row>
    <row r="1224" s="29" customFormat="1" ht="28" spans="2:5">
      <c r="B1224" s="19" t="s">
        <v>752</v>
      </c>
      <c r="C1224" s="20" t="s">
        <v>804</v>
      </c>
      <c r="D1224" s="21">
        <v>2</v>
      </c>
      <c r="E1224" s="22">
        <v>20000</v>
      </c>
    </row>
    <row r="1225" s="29" customFormat="1" spans="2:5">
      <c r="B1225" s="19" t="s">
        <v>752</v>
      </c>
      <c r="C1225" s="16" t="s">
        <v>183</v>
      </c>
      <c r="D1225" s="23">
        <v>9</v>
      </c>
      <c r="E1225" s="24">
        <v>89009.009009</v>
      </c>
    </row>
    <row r="1226" s="29" customFormat="1" ht="41" spans="2:5">
      <c r="B1226" s="19" t="s">
        <v>753</v>
      </c>
      <c r="C1226" s="20" t="s">
        <v>182</v>
      </c>
      <c r="D1226" s="21">
        <v>8</v>
      </c>
      <c r="E1226" s="22">
        <v>79009.009009</v>
      </c>
    </row>
    <row r="1227" s="29" customFormat="1" ht="28" spans="2:5">
      <c r="B1227" s="19" t="s">
        <v>753</v>
      </c>
      <c r="C1227" s="20" t="s">
        <v>804</v>
      </c>
      <c r="D1227" s="21">
        <v>1</v>
      </c>
      <c r="E1227" s="22">
        <v>10000</v>
      </c>
    </row>
    <row r="1228" s="29" customFormat="1" spans="2:5">
      <c r="B1228" s="19" t="s">
        <v>753</v>
      </c>
      <c r="C1228" s="16" t="s">
        <v>183</v>
      </c>
      <c r="D1228" s="23">
        <v>9</v>
      </c>
      <c r="E1228" s="24">
        <v>89009.009009</v>
      </c>
    </row>
    <row r="1229" s="29" customFormat="1" ht="41" spans="2:5">
      <c r="B1229" s="19" t="s">
        <v>1097</v>
      </c>
      <c r="C1229" s="20" t="s">
        <v>182</v>
      </c>
      <c r="D1229" s="21">
        <v>1</v>
      </c>
      <c r="E1229" s="22">
        <v>1222500</v>
      </c>
    </row>
    <row r="1230" s="29" customFormat="1" ht="28" spans="2:5">
      <c r="B1230" s="19" t="s">
        <v>1097</v>
      </c>
      <c r="C1230" s="16" t="s">
        <v>183</v>
      </c>
      <c r="D1230" s="23">
        <v>1</v>
      </c>
      <c r="E1230" s="24">
        <v>1222500</v>
      </c>
    </row>
    <row r="1231" s="29" customFormat="1" ht="28" spans="2:5">
      <c r="B1231" s="19" t="s">
        <v>1098</v>
      </c>
      <c r="C1231" s="20" t="s">
        <v>804</v>
      </c>
      <c r="D1231" s="21">
        <v>1</v>
      </c>
      <c r="E1231" s="22">
        <v>60000</v>
      </c>
    </row>
    <row r="1232" s="29" customFormat="1" spans="2:5">
      <c r="B1232" s="19" t="s">
        <v>1098</v>
      </c>
      <c r="C1232" s="16" t="s">
        <v>183</v>
      </c>
      <c r="D1232" s="23">
        <v>1</v>
      </c>
      <c r="E1232" s="24">
        <v>60000</v>
      </c>
    </row>
    <row r="1233" s="29" customFormat="1" ht="41" spans="2:5">
      <c r="B1233" s="19" t="s">
        <v>1099</v>
      </c>
      <c r="C1233" s="20" t="s">
        <v>182</v>
      </c>
      <c r="D1233" s="21">
        <v>1</v>
      </c>
      <c r="E1233" s="22">
        <v>560000</v>
      </c>
    </row>
    <row r="1234" s="29" customFormat="1" ht="28" spans="2:5">
      <c r="B1234" s="19" t="s">
        <v>1099</v>
      </c>
      <c r="C1234" s="16" t="s">
        <v>183</v>
      </c>
      <c r="D1234" s="23">
        <v>1</v>
      </c>
      <c r="E1234" s="24">
        <v>560000</v>
      </c>
    </row>
    <row r="1235" s="29" customFormat="1" ht="41" spans="2:5">
      <c r="B1235" s="19" t="s">
        <v>631</v>
      </c>
      <c r="C1235" s="20" t="s">
        <v>182</v>
      </c>
      <c r="D1235" s="21">
        <v>1</v>
      </c>
      <c r="E1235" s="22">
        <v>0</v>
      </c>
    </row>
    <row r="1236" s="29" customFormat="1" ht="28" spans="2:5">
      <c r="B1236" s="19" t="s">
        <v>631</v>
      </c>
      <c r="C1236" s="16" t="s">
        <v>183</v>
      </c>
      <c r="D1236" s="23">
        <v>1</v>
      </c>
      <c r="E1236" s="24">
        <v>0</v>
      </c>
    </row>
    <row r="1237" s="29" customFormat="1" ht="41.75" spans="2:5">
      <c r="B1237" s="20" t="s">
        <v>472</v>
      </c>
      <c r="C1237" s="20" t="s">
        <v>182</v>
      </c>
      <c r="D1237" s="21">
        <v>3</v>
      </c>
      <c r="E1237" s="22">
        <v>0</v>
      </c>
    </row>
    <row r="1238" s="29" customFormat="1" spans="2:5">
      <c r="B1238" s="25"/>
      <c r="C1238" s="25"/>
      <c r="D1238" s="25"/>
      <c r="E1238" s="25"/>
    </row>
    <row r="1239" s="29" customFormat="1" ht="36" spans="2:5">
      <c r="B1239" s="26" t="s">
        <v>189</v>
      </c>
      <c r="C1239" s="26" t="s">
        <v>189</v>
      </c>
      <c r="D1239" s="26" t="s">
        <v>189</v>
      </c>
      <c r="E1239" s="26" t="s">
        <v>189</v>
      </c>
    </row>
    <row r="1240" s="29" customFormat="1" spans="2:5">
      <c r="B1240" s="26"/>
      <c r="C1240" s="26"/>
      <c r="D1240" s="26"/>
      <c r="E1240" s="26"/>
    </row>
    <row r="1241" s="29" customFormat="1" ht="36" spans="2:5">
      <c r="B1241" s="26" t="s">
        <v>958</v>
      </c>
      <c r="C1241" s="26" t="s">
        <v>958</v>
      </c>
      <c r="D1241" s="26" t="s">
        <v>958</v>
      </c>
      <c r="E1241" s="26" t="s">
        <v>958</v>
      </c>
    </row>
    <row r="1242" s="29" customFormat="1" spans="2:5">
      <c r="B1242" s="26" t="s">
        <v>1100</v>
      </c>
      <c r="C1242" s="26" t="s">
        <v>1100</v>
      </c>
      <c r="D1242" s="26" t="s">
        <v>1100</v>
      </c>
      <c r="E1242" s="26" t="s">
        <v>1100</v>
      </c>
    </row>
    <row r="1243" s="29" customFormat="1" ht="124" spans="2:5">
      <c r="B1243" s="11" t="s">
        <v>173</v>
      </c>
      <c r="C1243" s="11" t="s">
        <v>173</v>
      </c>
      <c r="D1243" s="11" t="s">
        <v>173</v>
      </c>
      <c r="E1243" s="11" t="s">
        <v>173</v>
      </c>
    </row>
    <row r="1244" s="29" customFormat="1" ht="156" spans="2:5">
      <c r="B1244" s="12" t="s">
        <v>174</v>
      </c>
      <c r="C1244" s="12" t="s">
        <v>174</v>
      </c>
      <c r="D1244" s="12" t="s">
        <v>174</v>
      </c>
      <c r="E1244" s="12" t="s">
        <v>174</v>
      </c>
    </row>
    <row r="1245" s="29" customFormat="1" ht="68" spans="2:5">
      <c r="B1245" s="13" t="s">
        <v>951</v>
      </c>
      <c r="C1245" s="13" t="s">
        <v>951</v>
      </c>
      <c r="D1245" s="13" t="s">
        <v>951</v>
      </c>
      <c r="E1245" s="13" t="s">
        <v>951</v>
      </c>
    </row>
    <row r="1246" s="29" customFormat="1" ht="22" spans="2:5">
      <c r="B1246" s="14" t="s">
        <v>176</v>
      </c>
      <c r="C1246" s="14" t="s">
        <v>176</v>
      </c>
      <c r="D1246" s="14" t="s">
        <v>176</v>
      </c>
      <c r="E1246" s="14" t="s">
        <v>176</v>
      </c>
    </row>
    <row r="1247" s="29" customFormat="1" spans="2:5">
      <c r="B1247" s="15" t="s">
        <v>177</v>
      </c>
      <c r="C1247" s="16" t="s">
        <v>178</v>
      </c>
      <c r="D1247" s="17" t="s">
        <v>179</v>
      </c>
      <c r="E1247" s="18" t="s">
        <v>180</v>
      </c>
    </row>
    <row r="1248" s="29" customFormat="1" ht="28" spans="2:5">
      <c r="B1248" s="19" t="s">
        <v>472</v>
      </c>
      <c r="C1248" s="20" t="s">
        <v>804</v>
      </c>
      <c r="D1248" s="21">
        <v>1</v>
      </c>
      <c r="E1248" s="22">
        <v>0</v>
      </c>
    </row>
    <row r="1249" s="29" customFormat="1" ht="28" spans="2:5">
      <c r="B1249" s="19" t="s">
        <v>472</v>
      </c>
      <c r="C1249" s="16" t="s">
        <v>183</v>
      </c>
      <c r="D1249" s="23">
        <v>4</v>
      </c>
      <c r="E1249" s="24">
        <v>0</v>
      </c>
    </row>
    <row r="1250" s="29" customFormat="1" ht="41" spans="2:5">
      <c r="B1250" s="19" t="s">
        <v>916</v>
      </c>
      <c r="C1250" s="20" t="s">
        <v>182</v>
      </c>
      <c r="D1250" s="21">
        <v>26</v>
      </c>
      <c r="E1250" s="22">
        <v>2287540.63964</v>
      </c>
    </row>
    <row r="1251" s="29" customFormat="1" ht="28" spans="2:5">
      <c r="B1251" s="19" t="s">
        <v>916</v>
      </c>
      <c r="C1251" s="20" t="s">
        <v>804</v>
      </c>
      <c r="D1251" s="21">
        <v>26</v>
      </c>
      <c r="E1251" s="22">
        <v>2287540.540541</v>
      </c>
    </row>
    <row r="1252" s="29" customFormat="1" ht="28" spans="2:5">
      <c r="B1252" s="19" t="s">
        <v>916</v>
      </c>
      <c r="C1252" s="16" t="s">
        <v>183</v>
      </c>
      <c r="D1252" s="23">
        <v>52</v>
      </c>
      <c r="E1252" s="24">
        <v>4575081.180181</v>
      </c>
    </row>
    <row r="1253" s="29" customFormat="1" ht="41" spans="2:5">
      <c r="B1253" s="19" t="s">
        <v>1101</v>
      </c>
      <c r="C1253" s="20" t="s">
        <v>182</v>
      </c>
      <c r="D1253" s="21">
        <v>3</v>
      </c>
      <c r="E1253" s="22">
        <v>279000</v>
      </c>
    </row>
    <row r="1254" s="29" customFormat="1" ht="28" spans="2:5">
      <c r="B1254" s="19" t="s">
        <v>1101</v>
      </c>
      <c r="C1254" s="20" t="s">
        <v>804</v>
      </c>
      <c r="D1254" s="21">
        <v>2</v>
      </c>
      <c r="E1254" s="22">
        <v>186000</v>
      </c>
    </row>
    <row r="1255" s="29" customFormat="1" ht="28" spans="2:5">
      <c r="B1255" s="19" t="s">
        <v>1101</v>
      </c>
      <c r="C1255" s="16" t="s">
        <v>183</v>
      </c>
      <c r="D1255" s="23">
        <v>5</v>
      </c>
      <c r="E1255" s="24">
        <v>465000</v>
      </c>
    </row>
    <row r="1256" s="29" customFormat="1" ht="41" spans="2:5">
      <c r="B1256" s="19" t="s">
        <v>917</v>
      </c>
      <c r="C1256" s="20" t="s">
        <v>182</v>
      </c>
      <c r="D1256" s="21">
        <v>5</v>
      </c>
      <c r="E1256" s="22">
        <v>725000</v>
      </c>
    </row>
    <row r="1257" s="29" customFormat="1" ht="28" spans="2:5">
      <c r="B1257" s="19" t="s">
        <v>917</v>
      </c>
      <c r="C1257" s="20" t="s">
        <v>804</v>
      </c>
      <c r="D1257" s="21">
        <v>1</v>
      </c>
      <c r="E1257" s="22">
        <v>0</v>
      </c>
    </row>
    <row r="1258" s="29" customFormat="1" ht="28" spans="2:5">
      <c r="B1258" s="19" t="s">
        <v>917</v>
      </c>
      <c r="C1258" s="16" t="s">
        <v>183</v>
      </c>
      <c r="D1258" s="23">
        <v>6</v>
      </c>
      <c r="E1258" s="24">
        <v>725000</v>
      </c>
    </row>
    <row r="1259" s="29" customFormat="1" ht="41" spans="2:5">
      <c r="B1259" s="19" t="s">
        <v>1102</v>
      </c>
      <c r="C1259" s="20" t="s">
        <v>182</v>
      </c>
      <c r="D1259" s="21">
        <v>16</v>
      </c>
      <c r="E1259" s="22">
        <v>0</v>
      </c>
    </row>
    <row r="1260" s="29" customFormat="1" ht="28" spans="2:5">
      <c r="B1260" s="19" t="s">
        <v>1102</v>
      </c>
      <c r="C1260" s="20" t="s">
        <v>804</v>
      </c>
      <c r="D1260" s="21">
        <v>4</v>
      </c>
      <c r="E1260" s="22">
        <v>0</v>
      </c>
    </row>
    <row r="1261" s="29" customFormat="1" ht="28.75" spans="2:5">
      <c r="B1261" s="19" t="s">
        <v>1102</v>
      </c>
      <c r="C1261" s="16" t="s">
        <v>183</v>
      </c>
      <c r="D1261" s="23">
        <v>20</v>
      </c>
      <c r="E1261" s="24">
        <v>0</v>
      </c>
    </row>
    <row r="1262" s="29" customFormat="1" spans="2:5">
      <c r="B1262" s="25"/>
      <c r="C1262" s="25"/>
      <c r="D1262" s="25"/>
      <c r="E1262" s="25"/>
    </row>
    <row r="1263" s="29" customFormat="1" ht="36" spans="2:5">
      <c r="B1263" s="26" t="s">
        <v>189</v>
      </c>
      <c r="C1263" s="26" t="s">
        <v>189</v>
      </c>
      <c r="D1263" s="26" t="s">
        <v>189</v>
      </c>
      <c r="E1263" s="26" t="s">
        <v>189</v>
      </c>
    </row>
    <row r="1264" s="29" customFormat="1" spans="2:5">
      <c r="B1264" s="26"/>
      <c r="C1264" s="26"/>
      <c r="D1264" s="26"/>
      <c r="E1264" s="26"/>
    </row>
    <row r="1265" s="29" customFormat="1" ht="36" spans="2:5">
      <c r="B1265" s="26" t="s">
        <v>958</v>
      </c>
      <c r="C1265" s="26" t="s">
        <v>958</v>
      </c>
      <c r="D1265" s="26" t="s">
        <v>958</v>
      </c>
      <c r="E1265" s="26" t="s">
        <v>958</v>
      </c>
    </row>
    <row r="1266" s="29" customFormat="1" spans="2:5">
      <c r="B1266" s="26" t="s">
        <v>1103</v>
      </c>
      <c r="C1266" s="26" t="s">
        <v>1103</v>
      </c>
      <c r="D1266" s="26" t="s">
        <v>1103</v>
      </c>
      <c r="E1266" s="26" t="s">
        <v>1103</v>
      </c>
    </row>
    <row r="1267" s="29" customFormat="1" ht="124" spans="2:5">
      <c r="B1267" s="11" t="s">
        <v>173</v>
      </c>
      <c r="C1267" s="11" t="s">
        <v>173</v>
      </c>
      <c r="D1267" s="11" t="s">
        <v>173</v>
      </c>
      <c r="E1267" s="11" t="s">
        <v>173</v>
      </c>
    </row>
    <row r="1268" s="29" customFormat="1" ht="156" spans="2:5">
      <c r="B1268" s="12" t="s">
        <v>174</v>
      </c>
      <c r="C1268" s="12" t="s">
        <v>174</v>
      </c>
      <c r="D1268" s="12" t="s">
        <v>174</v>
      </c>
      <c r="E1268" s="12" t="s">
        <v>174</v>
      </c>
    </row>
    <row r="1269" s="29" customFormat="1" ht="68" spans="2:5">
      <c r="B1269" s="13" t="s">
        <v>951</v>
      </c>
      <c r="C1269" s="13" t="s">
        <v>951</v>
      </c>
      <c r="D1269" s="13" t="s">
        <v>951</v>
      </c>
      <c r="E1269" s="13" t="s">
        <v>951</v>
      </c>
    </row>
    <row r="1270" s="29" customFormat="1" ht="22" spans="2:5">
      <c r="B1270" s="14" t="s">
        <v>176</v>
      </c>
      <c r="C1270" s="14" t="s">
        <v>176</v>
      </c>
      <c r="D1270" s="14" t="s">
        <v>176</v>
      </c>
      <c r="E1270" s="14" t="s">
        <v>176</v>
      </c>
    </row>
    <row r="1271" s="29" customFormat="1" spans="2:5">
      <c r="B1271" s="15" t="s">
        <v>177</v>
      </c>
      <c r="C1271" s="16" t="s">
        <v>178</v>
      </c>
      <c r="D1271" s="17" t="s">
        <v>179</v>
      </c>
      <c r="E1271" s="18" t="s">
        <v>180</v>
      </c>
    </row>
    <row r="1272" s="29" customFormat="1" ht="41" spans="2:5">
      <c r="B1272" s="19" t="s">
        <v>918</v>
      </c>
      <c r="C1272" s="20" t="s">
        <v>182</v>
      </c>
      <c r="D1272" s="21">
        <v>3</v>
      </c>
      <c r="E1272" s="22">
        <v>0</v>
      </c>
    </row>
    <row r="1273" s="29" customFormat="1" ht="28" spans="2:5">
      <c r="B1273" s="19" t="s">
        <v>918</v>
      </c>
      <c r="C1273" s="20" t="s">
        <v>804</v>
      </c>
      <c r="D1273" s="21">
        <v>3</v>
      </c>
      <c r="E1273" s="22">
        <v>0</v>
      </c>
    </row>
    <row r="1274" s="29" customFormat="1" ht="28" spans="2:5">
      <c r="B1274" s="19" t="s">
        <v>918</v>
      </c>
      <c r="C1274" s="16" t="s">
        <v>183</v>
      </c>
      <c r="D1274" s="23">
        <v>6</v>
      </c>
      <c r="E1274" s="24">
        <v>0</v>
      </c>
    </row>
    <row r="1275" s="29" customFormat="1" ht="41" spans="2:5">
      <c r="B1275" s="19" t="s">
        <v>919</v>
      </c>
      <c r="C1275" s="20" t="s">
        <v>182</v>
      </c>
      <c r="D1275" s="21">
        <v>56</v>
      </c>
      <c r="E1275" s="22">
        <v>0</v>
      </c>
    </row>
    <row r="1276" s="29" customFormat="1" ht="28" spans="2:5">
      <c r="B1276" s="19" t="s">
        <v>919</v>
      </c>
      <c r="C1276" s="16" t="s">
        <v>183</v>
      </c>
      <c r="D1276" s="23">
        <v>56</v>
      </c>
      <c r="E1276" s="24">
        <v>0</v>
      </c>
    </row>
    <row r="1277" s="29" customFormat="1" ht="41" spans="2:5">
      <c r="B1277" s="19" t="s">
        <v>757</v>
      </c>
      <c r="C1277" s="20" t="s">
        <v>182</v>
      </c>
      <c r="D1277" s="21">
        <v>5</v>
      </c>
      <c r="E1277" s="22">
        <v>409910.315315</v>
      </c>
    </row>
    <row r="1278" s="29" customFormat="1" ht="28" spans="2:5">
      <c r="B1278" s="19" t="s">
        <v>757</v>
      </c>
      <c r="C1278" s="20" t="s">
        <v>804</v>
      </c>
      <c r="D1278" s="21">
        <v>2</v>
      </c>
      <c r="E1278" s="22">
        <v>163964.414414</v>
      </c>
    </row>
    <row r="1279" s="29" customFormat="1" ht="28" spans="2:5">
      <c r="B1279" s="19" t="s">
        <v>757</v>
      </c>
      <c r="C1279" s="16" t="s">
        <v>183</v>
      </c>
      <c r="D1279" s="23">
        <v>7</v>
      </c>
      <c r="E1279" s="24">
        <v>573874.729729</v>
      </c>
    </row>
    <row r="1280" s="29" customFormat="1" ht="41" spans="2:5">
      <c r="B1280" s="19" t="s">
        <v>632</v>
      </c>
      <c r="C1280" s="20" t="s">
        <v>182</v>
      </c>
      <c r="D1280" s="21">
        <v>28</v>
      </c>
      <c r="E1280" s="22">
        <v>0</v>
      </c>
    </row>
    <row r="1281" s="29" customFormat="1" ht="28" spans="2:5">
      <c r="B1281" s="19" t="s">
        <v>632</v>
      </c>
      <c r="C1281" s="20" t="s">
        <v>804</v>
      </c>
      <c r="D1281" s="21">
        <v>3</v>
      </c>
      <c r="E1281" s="22">
        <v>0</v>
      </c>
    </row>
    <row r="1282" s="29" customFormat="1" ht="28" spans="2:5">
      <c r="B1282" s="19" t="s">
        <v>632</v>
      </c>
      <c r="C1282" s="16" t="s">
        <v>183</v>
      </c>
      <c r="D1282" s="23">
        <v>31</v>
      </c>
      <c r="E1282" s="24">
        <v>0</v>
      </c>
    </row>
    <row r="1283" s="29" customFormat="1" ht="41" spans="2:5">
      <c r="B1283" s="19" t="s">
        <v>1104</v>
      </c>
      <c r="C1283" s="20" t="s">
        <v>182</v>
      </c>
      <c r="D1283" s="21">
        <v>22</v>
      </c>
      <c r="E1283" s="22">
        <v>756000</v>
      </c>
    </row>
    <row r="1284" s="29" customFormat="1" ht="28.75" spans="2:5">
      <c r="B1284" s="19" t="s">
        <v>1104</v>
      </c>
      <c r="C1284" s="16" t="s">
        <v>183</v>
      </c>
      <c r="D1284" s="23">
        <v>22</v>
      </c>
      <c r="E1284" s="24">
        <v>756000</v>
      </c>
    </row>
    <row r="1285" s="29" customFormat="1" spans="2:5">
      <c r="B1285" s="25"/>
      <c r="C1285" s="25"/>
      <c r="D1285" s="25"/>
      <c r="E1285" s="25"/>
    </row>
    <row r="1286" s="29" customFormat="1" ht="36" spans="2:5">
      <c r="B1286" s="26" t="s">
        <v>189</v>
      </c>
      <c r="C1286" s="26" t="s">
        <v>189</v>
      </c>
      <c r="D1286" s="26" t="s">
        <v>189</v>
      </c>
      <c r="E1286" s="26" t="s">
        <v>189</v>
      </c>
    </row>
    <row r="1287" s="29" customFormat="1" spans="2:5">
      <c r="B1287" s="26"/>
      <c r="C1287" s="26"/>
      <c r="D1287" s="26"/>
      <c r="E1287" s="26"/>
    </row>
    <row r="1288" s="29" customFormat="1" ht="36" spans="2:5">
      <c r="B1288" s="26" t="s">
        <v>958</v>
      </c>
      <c r="C1288" s="26" t="s">
        <v>958</v>
      </c>
      <c r="D1288" s="26" t="s">
        <v>958</v>
      </c>
      <c r="E1288" s="26" t="s">
        <v>958</v>
      </c>
    </row>
    <row r="1289" s="29" customFormat="1" spans="2:5">
      <c r="B1289" s="26" t="s">
        <v>1105</v>
      </c>
      <c r="C1289" s="26" t="s">
        <v>1105</v>
      </c>
      <c r="D1289" s="26" t="s">
        <v>1105</v>
      </c>
      <c r="E1289" s="26" t="s">
        <v>1105</v>
      </c>
    </row>
    <row r="1290" s="29" customFormat="1" ht="124" spans="2:5">
      <c r="B1290" s="11" t="s">
        <v>173</v>
      </c>
      <c r="C1290" s="11" t="s">
        <v>173</v>
      </c>
      <c r="D1290" s="11" t="s">
        <v>173</v>
      </c>
      <c r="E1290" s="11" t="s">
        <v>173</v>
      </c>
    </row>
    <row r="1291" s="29" customFormat="1" ht="156" spans="2:5">
      <c r="B1291" s="12" t="s">
        <v>174</v>
      </c>
      <c r="C1291" s="12" t="s">
        <v>174</v>
      </c>
      <c r="D1291" s="12" t="s">
        <v>174</v>
      </c>
      <c r="E1291" s="12" t="s">
        <v>174</v>
      </c>
    </row>
    <row r="1292" s="29" customFormat="1" ht="68" spans="2:5">
      <c r="B1292" s="13" t="s">
        <v>951</v>
      </c>
      <c r="C1292" s="13" t="s">
        <v>951</v>
      </c>
      <c r="D1292" s="13" t="s">
        <v>951</v>
      </c>
      <c r="E1292" s="13" t="s">
        <v>951</v>
      </c>
    </row>
    <row r="1293" s="29" customFormat="1" ht="22" spans="2:5">
      <c r="B1293" s="14" t="s">
        <v>176</v>
      </c>
      <c r="C1293" s="14" t="s">
        <v>176</v>
      </c>
      <c r="D1293" s="14" t="s">
        <v>176</v>
      </c>
      <c r="E1293" s="14" t="s">
        <v>176</v>
      </c>
    </row>
    <row r="1294" s="29" customFormat="1" spans="2:5">
      <c r="B1294" s="15" t="s">
        <v>177</v>
      </c>
      <c r="C1294" s="16" t="s">
        <v>178</v>
      </c>
      <c r="D1294" s="17" t="s">
        <v>179</v>
      </c>
      <c r="E1294" s="18" t="s">
        <v>180</v>
      </c>
    </row>
    <row r="1295" s="29" customFormat="1" ht="41" spans="2:5">
      <c r="B1295" s="19" t="s">
        <v>920</v>
      </c>
      <c r="C1295" s="20" t="s">
        <v>182</v>
      </c>
      <c r="D1295" s="21">
        <v>12</v>
      </c>
      <c r="E1295" s="22">
        <v>982000</v>
      </c>
    </row>
    <row r="1296" s="29" customFormat="1" ht="28" spans="2:5">
      <c r="B1296" s="19" t="s">
        <v>920</v>
      </c>
      <c r="C1296" s="20" t="s">
        <v>804</v>
      </c>
      <c r="D1296" s="21">
        <v>1</v>
      </c>
      <c r="E1296" s="22">
        <v>0</v>
      </c>
    </row>
    <row r="1297" s="29" customFormat="1" ht="28" spans="2:5">
      <c r="B1297" s="19" t="s">
        <v>920</v>
      </c>
      <c r="C1297" s="16" t="s">
        <v>183</v>
      </c>
      <c r="D1297" s="23">
        <v>13</v>
      </c>
      <c r="E1297" s="24">
        <v>982000</v>
      </c>
    </row>
    <row r="1298" s="29" customFormat="1" ht="41" spans="2:5">
      <c r="B1298" s="19" t="s">
        <v>633</v>
      </c>
      <c r="C1298" s="20" t="s">
        <v>182</v>
      </c>
      <c r="D1298" s="21">
        <v>11</v>
      </c>
      <c r="E1298" s="22">
        <v>1048648.432433</v>
      </c>
    </row>
    <row r="1299" s="29" customFormat="1" ht="28" spans="2:5">
      <c r="B1299" s="19" t="s">
        <v>633</v>
      </c>
      <c r="C1299" s="16" t="s">
        <v>183</v>
      </c>
      <c r="D1299" s="23">
        <v>11</v>
      </c>
      <c r="E1299" s="24">
        <v>1048648.432433</v>
      </c>
    </row>
    <row r="1300" s="29" customFormat="1" ht="41" spans="2:5">
      <c r="B1300" s="19" t="s">
        <v>634</v>
      </c>
      <c r="C1300" s="20" t="s">
        <v>182</v>
      </c>
      <c r="D1300" s="21">
        <v>37</v>
      </c>
      <c r="E1300" s="22">
        <v>0</v>
      </c>
    </row>
    <row r="1301" s="29" customFormat="1" ht="28" spans="2:5">
      <c r="B1301" s="19" t="s">
        <v>634</v>
      </c>
      <c r="C1301" s="20" t="s">
        <v>804</v>
      </c>
      <c r="D1301" s="21">
        <v>6</v>
      </c>
      <c r="E1301" s="22">
        <v>0</v>
      </c>
    </row>
    <row r="1302" s="29" customFormat="1" ht="28" spans="2:5">
      <c r="B1302" s="19" t="s">
        <v>634</v>
      </c>
      <c r="C1302" s="16" t="s">
        <v>183</v>
      </c>
      <c r="D1302" s="23">
        <v>43</v>
      </c>
      <c r="E1302" s="24">
        <v>0</v>
      </c>
    </row>
    <row r="1303" s="29" customFormat="1" ht="41" spans="2:5">
      <c r="B1303" s="19" t="s">
        <v>921</v>
      </c>
      <c r="C1303" s="20" t="s">
        <v>182</v>
      </c>
      <c r="D1303" s="21">
        <v>37</v>
      </c>
      <c r="E1303" s="22">
        <v>3266540.540541</v>
      </c>
    </row>
    <row r="1304" s="29" customFormat="1" ht="28" spans="2:5">
      <c r="B1304" s="19" t="s">
        <v>921</v>
      </c>
      <c r="C1304" s="20" t="s">
        <v>804</v>
      </c>
      <c r="D1304" s="21">
        <v>13</v>
      </c>
      <c r="E1304" s="22">
        <v>1130540.540541</v>
      </c>
    </row>
    <row r="1305" s="29" customFormat="1" ht="28" spans="2:5">
      <c r="B1305" s="19" t="s">
        <v>921</v>
      </c>
      <c r="C1305" s="16" t="s">
        <v>183</v>
      </c>
      <c r="D1305" s="23">
        <v>50</v>
      </c>
      <c r="E1305" s="24">
        <v>4397081.081082</v>
      </c>
    </row>
    <row r="1306" s="29" customFormat="1" ht="41.75" spans="2:5">
      <c r="B1306" s="20" t="s">
        <v>635</v>
      </c>
      <c r="C1306" s="20" t="s">
        <v>182</v>
      </c>
      <c r="D1306" s="21">
        <v>52</v>
      </c>
      <c r="E1306" s="22">
        <v>5668468.63063</v>
      </c>
    </row>
    <row r="1307" s="29" customFormat="1" spans="2:5">
      <c r="B1307" s="25"/>
      <c r="C1307" s="25"/>
      <c r="D1307" s="25"/>
      <c r="E1307" s="25"/>
    </row>
    <row r="1308" s="29" customFormat="1" ht="36" spans="2:5">
      <c r="B1308" s="26" t="s">
        <v>189</v>
      </c>
      <c r="C1308" s="26" t="s">
        <v>189</v>
      </c>
      <c r="D1308" s="26" t="s">
        <v>189</v>
      </c>
      <c r="E1308" s="26" t="s">
        <v>189</v>
      </c>
    </row>
    <row r="1309" s="29" customFormat="1" spans="2:5">
      <c r="B1309" s="26"/>
      <c r="C1309" s="26"/>
      <c r="D1309" s="26"/>
      <c r="E1309" s="26"/>
    </row>
    <row r="1310" s="29" customFormat="1" ht="36" spans="2:5">
      <c r="B1310" s="26" t="s">
        <v>958</v>
      </c>
      <c r="C1310" s="26" t="s">
        <v>958</v>
      </c>
      <c r="D1310" s="26" t="s">
        <v>958</v>
      </c>
      <c r="E1310" s="26" t="s">
        <v>958</v>
      </c>
    </row>
    <row r="1311" s="29" customFormat="1" spans="2:5">
      <c r="B1311" s="26" t="s">
        <v>1106</v>
      </c>
      <c r="C1311" s="26" t="s">
        <v>1106</v>
      </c>
      <c r="D1311" s="26" t="s">
        <v>1106</v>
      </c>
      <c r="E1311" s="26" t="s">
        <v>1106</v>
      </c>
    </row>
    <row r="1312" s="29" customFormat="1" ht="124" spans="2:5">
      <c r="B1312" s="11" t="s">
        <v>173</v>
      </c>
      <c r="C1312" s="11" t="s">
        <v>173</v>
      </c>
      <c r="D1312" s="11" t="s">
        <v>173</v>
      </c>
      <c r="E1312" s="11" t="s">
        <v>173</v>
      </c>
    </row>
    <row r="1313" s="29" customFormat="1" ht="156" spans="2:5">
      <c r="B1313" s="12" t="s">
        <v>174</v>
      </c>
      <c r="C1313" s="12" t="s">
        <v>174</v>
      </c>
      <c r="D1313" s="12" t="s">
        <v>174</v>
      </c>
      <c r="E1313" s="12" t="s">
        <v>174</v>
      </c>
    </row>
    <row r="1314" s="29" customFormat="1" ht="68" spans="2:5">
      <c r="B1314" s="13" t="s">
        <v>951</v>
      </c>
      <c r="C1314" s="13" t="s">
        <v>951</v>
      </c>
      <c r="D1314" s="13" t="s">
        <v>951</v>
      </c>
      <c r="E1314" s="13" t="s">
        <v>951</v>
      </c>
    </row>
    <row r="1315" s="29" customFormat="1" ht="22" spans="2:5">
      <c r="B1315" s="14" t="s">
        <v>176</v>
      </c>
      <c r="C1315" s="14" t="s">
        <v>176</v>
      </c>
      <c r="D1315" s="14" t="s">
        <v>176</v>
      </c>
      <c r="E1315" s="14" t="s">
        <v>176</v>
      </c>
    </row>
    <row r="1316" s="29" customFormat="1" spans="2:5">
      <c r="B1316" s="15" t="s">
        <v>177</v>
      </c>
      <c r="C1316" s="16" t="s">
        <v>178</v>
      </c>
      <c r="D1316" s="17" t="s">
        <v>179</v>
      </c>
      <c r="E1316" s="18" t="s">
        <v>180</v>
      </c>
    </row>
    <row r="1317" s="29" customFormat="1" ht="28" spans="2:5">
      <c r="B1317" s="19" t="s">
        <v>635</v>
      </c>
      <c r="C1317" s="20" t="s">
        <v>804</v>
      </c>
      <c r="D1317" s="21">
        <v>25</v>
      </c>
      <c r="E1317" s="22">
        <v>2725225.225225</v>
      </c>
    </row>
    <row r="1318" s="29" customFormat="1" ht="28" spans="2:5">
      <c r="B1318" s="19" t="s">
        <v>635</v>
      </c>
      <c r="C1318" s="16" t="s">
        <v>183</v>
      </c>
      <c r="D1318" s="23">
        <v>77</v>
      </c>
      <c r="E1318" s="24">
        <v>8393693.855855</v>
      </c>
    </row>
    <row r="1319" s="29" customFormat="1" ht="41" spans="2:5">
      <c r="B1319" s="19" t="s">
        <v>636</v>
      </c>
      <c r="C1319" s="20" t="s">
        <v>182</v>
      </c>
      <c r="D1319" s="21">
        <v>41</v>
      </c>
      <c r="E1319" s="22">
        <v>4176789.772721</v>
      </c>
    </row>
    <row r="1320" s="29" customFormat="1" ht="28" spans="2:5">
      <c r="B1320" s="19" t="s">
        <v>636</v>
      </c>
      <c r="C1320" s="20" t="s">
        <v>804</v>
      </c>
      <c r="D1320" s="21">
        <v>4</v>
      </c>
      <c r="E1320" s="22">
        <v>515315.315315</v>
      </c>
    </row>
    <row r="1321" s="29" customFormat="1" ht="28" spans="2:5">
      <c r="B1321" s="19" t="s">
        <v>636</v>
      </c>
      <c r="C1321" s="16" t="s">
        <v>183</v>
      </c>
      <c r="D1321" s="23">
        <v>45</v>
      </c>
      <c r="E1321" s="24">
        <v>4692105.088036</v>
      </c>
    </row>
    <row r="1322" s="29" customFormat="1" ht="41" spans="2:5">
      <c r="B1322" s="19" t="s">
        <v>389</v>
      </c>
      <c r="C1322" s="20" t="s">
        <v>182</v>
      </c>
      <c r="D1322" s="21">
        <v>14</v>
      </c>
      <c r="E1322" s="22">
        <v>0</v>
      </c>
    </row>
    <row r="1323" s="29" customFormat="1" ht="28" spans="2:5">
      <c r="B1323" s="19" t="s">
        <v>389</v>
      </c>
      <c r="C1323" s="20" t="s">
        <v>804</v>
      </c>
      <c r="D1323" s="21">
        <v>2</v>
      </c>
      <c r="E1323" s="22">
        <v>0</v>
      </c>
    </row>
    <row r="1324" s="29" customFormat="1" ht="28" spans="2:5">
      <c r="B1324" s="19" t="s">
        <v>389</v>
      </c>
      <c r="C1324" s="16" t="s">
        <v>183</v>
      </c>
      <c r="D1324" s="23">
        <v>16</v>
      </c>
      <c r="E1324" s="24">
        <v>0</v>
      </c>
    </row>
    <row r="1325" s="29" customFormat="1" ht="41" spans="2:5">
      <c r="B1325" s="19" t="s">
        <v>1107</v>
      </c>
      <c r="C1325" s="20" t="s">
        <v>182</v>
      </c>
      <c r="D1325" s="21">
        <v>2</v>
      </c>
      <c r="E1325" s="22">
        <v>292000</v>
      </c>
    </row>
    <row r="1326" s="29" customFormat="1" ht="28" spans="2:5">
      <c r="B1326" s="19" t="s">
        <v>1107</v>
      </c>
      <c r="C1326" s="16" t="s">
        <v>183</v>
      </c>
      <c r="D1326" s="23">
        <v>2</v>
      </c>
      <c r="E1326" s="24">
        <v>292000</v>
      </c>
    </row>
    <row r="1327" s="29" customFormat="1" ht="28" spans="2:5">
      <c r="B1327" s="19" t="s">
        <v>1108</v>
      </c>
      <c r="C1327" s="20" t="s">
        <v>804</v>
      </c>
      <c r="D1327" s="21">
        <v>2</v>
      </c>
      <c r="E1327" s="22">
        <v>80000</v>
      </c>
    </row>
    <row r="1328" s="29" customFormat="1" spans="2:5">
      <c r="B1328" s="19" t="s">
        <v>1108</v>
      </c>
      <c r="C1328" s="16" t="s">
        <v>183</v>
      </c>
      <c r="D1328" s="23">
        <v>2</v>
      </c>
      <c r="E1328" s="24">
        <v>80000</v>
      </c>
    </row>
    <row r="1329" s="29" customFormat="1" ht="41" spans="2:5">
      <c r="B1329" s="19" t="s">
        <v>637</v>
      </c>
      <c r="C1329" s="20" t="s">
        <v>182</v>
      </c>
      <c r="D1329" s="21">
        <v>4</v>
      </c>
      <c r="E1329" s="22">
        <v>198198.198198</v>
      </c>
    </row>
    <row r="1330" s="29" customFormat="1" ht="17.55" spans="2:5">
      <c r="B1330" s="19" t="s">
        <v>637</v>
      </c>
      <c r="C1330" s="16" t="s">
        <v>183</v>
      </c>
      <c r="D1330" s="23">
        <v>4</v>
      </c>
      <c r="E1330" s="24">
        <v>198198.198198</v>
      </c>
    </row>
    <row r="1331" s="29" customFormat="1" spans="2:5">
      <c r="B1331" s="25"/>
      <c r="C1331" s="25"/>
      <c r="D1331" s="25"/>
      <c r="E1331" s="25"/>
    </row>
    <row r="1332" s="29" customFormat="1" ht="36" spans="2:5">
      <c r="B1332" s="26" t="s">
        <v>189</v>
      </c>
      <c r="C1332" s="26" t="s">
        <v>189</v>
      </c>
      <c r="D1332" s="26" t="s">
        <v>189</v>
      </c>
      <c r="E1332" s="26" t="s">
        <v>189</v>
      </c>
    </row>
    <row r="1333" s="29" customFormat="1" spans="2:5">
      <c r="B1333" s="26"/>
      <c r="C1333" s="26"/>
      <c r="D1333" s="26"/>
      <c r="E1333" s="26"/>
    </row>
    <row r="1334" s="29" customFormat="1" ht="36" spans="2:5">
      <c r="B1334" s="26" t="s">
        <v>958</v>
      </c>
      <c r="C1334" s="26" t="s">
        <v>958</v>
      </c>
      <c r="D1334" s="26" t="s">
        <v>958</v>
      </c>
      <c r="E1334" s="26" t="s">
        <v>958</v>
      </c>
    </row>
    <row r="1335" s="29" customFormat="1" spans="2:5">
      <c r="B1335" s="26" t="s">
        <v>1109</v>
      </c>
      <c r="C1335" s="26" t="s">
        <v>1109</v>
      </c>
      <c r="D1335" s="26" t="s">
        <v>1109</v>
      </c>
      <c r="E1335" s="26" t="s">
        <v>1109</v>
      </c>
    </row>
    <row r="1336" s="29" customFormat="1" ht="124" spans="2:5">
      <c r="B1336" s="11" t="s">
        <v>173</v>
      </c>
      <c r="C1336" s="11" t="s">
        <v>173</v>
      </c>
      <c r="D1336" s="11" t="s">
        <v>173</v>
      </c>
      <c r="E1336" s="11" t="s">
        <v>173</v>
      </c>
    </row>
    <row r="1337" s="29" customFormat="1" ht="156" spans="2:5">
      <c r="B1337" s="12" t="s">
        <v>174</v>
      </c>
      <c r="C1337" s="12" t="s">
        <v>174</v>
      </c>
      <c r="D1337" s="12" t="s">
        <v>174</v>
      </c>
      <c r="E1337" s="12" t="s">
        <v>174</v>
      </c>
    </row>
    <row r="1338" s="29" customFormat="1" ht="68" spans="2:5">
      <c r="B1338" s="13" t="s">
        <v>951</v>
      </c>
      <c r="C1338" s="13" t="s">
        <v>951</v>
      </c>
      <c r="D1338" s="13" t="s">
        <v>951</v>
      </c>
      <c r="E1338" s="13" t="s">
        <v>951</v>
      </c>
    </row>
    <row r="1339" s="29" customFormat="1" ht="22" spans="2:5">
      <c r="B1339" s="14" t="s">
        <v>176</v>
      </c>
      <c r="C1339" s="14" t="s">
        <v>176</v>
      </c>
      <c r="D1339" s="14" t="s">
        <v>176</v>
      </c>
      <c r="E1339" s="14" t="s">
        <v>176</v>
      </c>
    </row>
    <row r="1340" s="29" customFormat="1" spans="2:5">
      <c r="B1340" s="15" t="s">
        <v>177</v>
      </c>
      <c r="C1340" s="16" t="s">
        <v>178</v>
      </c>
      <c r="D1340" s="17" t="s">
        <v>179</v>
      </c>
      <c r="E1340" s="18" t="s">
        <v>180</v>
      </c>
    </row>
    <row r="1341" s="29" customFormat="1" ht="28" spans="2:5">
      <c r="B1341" s="19" t="s">
        <v>1110</v>
      </c>
      <c r="C1341" s="20" t="s">
        <v>804</v>
      </c>
      <c r="D1341" s="21">
        <v>1</v>
      </c>
      <c r="E1341" s="22">
        <v>300000</v>
      </c>
    </row>
    <row r="1342" s="29" customFormat="1" ht="28" spans="2:5">
      <c r="B1342" s="19" t="s">
        <v>1110</v>
      </c>
      <c r="C1342" s="16" t="s">
        <v>183</v>
      </c>
      <c r="D1342" s="23">
        <v>1</v>
      </c>
      <c r="E1342" s="24">
        <v>300000</v>
      </c>
    </row>
    <row r="1343" s="29" customFormat="1" ht="41" spans="2:5">
      <c r="B1343" s="19" t="s">
        <v>1111</v>
      </c>
      <c r="C1343" s="20" t="s">
        <v>182</v>
      </c>
      <c r="D1343" s="21">
        <v>1</v>
      </c>
      <c r="E1343" s="22">
        <v>0</v>
      </c>
    </row>
    <row r="1344" s="29" customFormat="1" ht="28" spans="2:5">
      <c r="B1344" s="19" t="s">
        <v>1111</v>
      </c>
      <c r="C1344" s="16" t="s">
        <v>183</v>
      </c>
      <c r="D1344" s="23">
        <v>1</v>
      </c>
      <c r="E1344" s="24">
        <v>0</v>
      </c>
    </row>
    <row r="1345" s="29" customFormat="1" ht="28" spans="2:5">
      <c r="B1345" s="19" t="s">
        <v>1112</v>
      </c>
      <c r="C1345" s="20" t="s">
        <v>804</v>
      </c>
      <c r="D1345" s="21">
        <v>1</v>
      </c>
      <c r="E1345" s="22">
        <v>1224000</v>
      </c>
    </row>
    <row r="1346" s="29" customFormat="1" ht="28" spans="2:5">
      <c r="B1346" s="19" t="s">
        <v>1112</v>
      </c>
      <c r="C1346" s="16" t="s">
        <v>183</v>
      </c>
      <c r="D1346" s="23">
        <v>1</v>
      </c>
      <c r="E1346" s="24">
        <v>1224000</v>
      </c>
    </row>
    <row r="1347" s="29" customFormat="1" ht="28" spans="2:5">
      <c r="B1347" s="19" t="s">
        <v>1113</v>
      </c>
      <c r="C1347" s="20" t="s">
        <v>804</v>
      </c>
      <c r="D1347" s="21">
        <v>1</v>
      </c>
      <c r="E1347" s="22">
        <v>950000</v>
      </c>
    </row>
    <row r="1348" s="29" customFormat="1" ht="28" spans="2:5">
      <c r="B1348" s="19" t="s">
        <v>1113</v>
      </c>
      <c r="C1348" s="16" t="s">
        <v>183</v>
      </c>
      <c r="D1348" s="23">
        <v>1</v>
      </c>
      <c r="E1348" s="24">
        <v>950000</v>
      </c>
    </row>
    <row r="1349" s="29" customFormat="1" ht="28" spans="2:5">
      <c r="B1349" s="19" t="s">
        <v>1114</v>
      </c>
      <c r="C1349" s="20" t="s">
        <v>804</v>
      </c>
      <c r="D1349" s="21">
        <v>1</v>
      </c>
      <c r="E1349" s="22">
        <v>1800000</v>
      </c>
    </row>
    <row r="1350" s="29" customFormat="1" ht="28" spans="2:5">
      <c r="B1350" s="19" t="s">
        <v>1114</v>
      </c>
      <c r="C1350" s="16" t="s">
        <v>183</v>
      </c>
      <c r="D1350" s="23">
        <v>1</v>
      </c>
      <c r="E1350" s="24">
        <v>1800000</v>
      </c>
    </row>
    <row r="1351" s="29" customFormat="1" ht="28" spans="2:5">
      <c r="B1351" s="19" t="s">
        <v>1115</v>
      </c>
      <c r="C1351" s="20" t="s">
        <v>804</v>
      </c>
      <c r="D1351" s="21">
        <v>2</v>
      </c>
      <c r="E1351" s="22">
        <v>1356000</v>
      </c>
    </row>
    <row r="1352" s="29" customFormat="1" ht="28" spans="2:5">
      <c r="B1352" s="19" t="s">
        <v>1115</v>
      </c>
      <c r="C1352" s="16" t="s">
        <v>183</v>
      </c>
      <c r="D1352" s="23">
        <v>2</v>
      </c>
      <c r="E1352" s="24">
        <v>1356000</v>
      </c>
    </row>
    <row r="1353" s="29" customFormat="1" ht="41" spans="2:5">
      <c r="B1353" s="19" t="s">
        <v>1116</v>
      </c>
      <c r="C1353" s="20" t="s">
        <v>182</v>
      </c>
      <c r="D1353" s="21">
        <v>2</v>
      </c>
      <c r="E1353" s="22">
        <v>1350000</v>
      </c>
    </row>
    <row r="1354" s="29" customFormat="1" ht="28.75" spans="2:5">
      <c r="B1354" s="19" t="s">
        <v>1116</v>
      </c>
      <c r="C1354" s="16" t="s">
        <v>183</v>
      </c>
      <c r="D1354" s="23">
        <v>2</v>
      </c>
      <c r="E1354" s="24">
        <v>1350000</v>
      </c>
    </row>
    <row r="1355" s="29" customFormat="1" spans="2:5">
      <c r="B1355" s="25"/>
      <c r="C1355" s="25"/>
      <c r="D1355" s="25"/>
      <c r="E1355" s="25"/>
    </row>
    <row r="1356" s="29" customFormat="1" ht="36" spans="2:5">
      <c r="B1356" s="26" t="s">
        <v>189</v>
      </c>
      <c r="C1356" s="26" t="s">
        <v>189</v>
      </c>
      <c r="D1356" s="26" t="s">
        <v>189</v>
      </c>
      <c r="E1356" s="26" t="s">
        <v>189</v>
      </c>
    </row>
    <row r="1357" s="29" customFormat="1" spans="2:5">
      <c r="B1357" s="26"/>
      <c r="C1357" s="26"/>
      <c r="D1357" s="26"/>
      <c r="E1357" s="26"/>
    </row>
    <row r="1358" s="29" customFormat="1" ht="36" spans="2:5">
      <c r="B1358" s="26" t="s">
        <v>958</v>
      </c>
      <c r="C1358" s="26" t="s">
        <v>958</v>
      </c>
      <c r="D1358" s="26" t="s">
        <v>958</v>
      </c>
      <c r="E1358" s="26" t="s">
        <v>958</v>
      </c>
    </row>
    <row r="1359" s="29" customFormat="1" spans="2:5">
      <c r="B1359" s="26" t="s">
        <v>1117</v>
      </c>
      <c r="C1359" s="26" t="s">
        <v>1117</v>
      </c>
      <c r="D1359" s="26" t="s">
        <v>1117</v>
      </c>
      <c r="E1359" s="26" t="s">
        <v>1117</v>
      </c>
    </row>
    <row r="1360" s="29" customFormat="1" ht="124" spans="2:5">
      <c r="B1360" s="11" t="s">
        <v>173</v>
      </c>
      <c r="C1360" s="11" t="s">
        <v>173</v>
      </c>
      <c r="D1360" s="11" t="s">
        <v>173</v>
      </c>
      <c r="E1360" s="11" t="s">
        <v>173</v>
      </c>
    </row>
    <row r="1361" s="29" customFormat="1" ht="156" spans="2:5">
      <c r="B1361" s="12" t="s">
        <v>174</v>
      </c>
      <c r="C1361" s="12" t="s">
        <v>174</v>
      </c>
      <c r="D1361" s="12" t="s">
        <v>174</v>
      </c>
      <c r="E1361" s="12" t="s">
        <v>174</v>
      </c>
    </row>
    <row r="1362" s="29" customFormat="1" ht="68" spans="2:5">
      <c r="B1362" s="13" t="s">
        <v>951</v>
      </c>
      <c r="C1362" s="13" t="s">
        <v>951</v>
      </c>
      <c r="D1362" s="13" t="s">
        <v>951</v>
      </c>
      <c r="E1362" s="13" t="s">
        <v>951</v>
      </c>
    </row>
    <row r="1363" s="29" customFormat="1" ht="22" spans="2:5">
      <c r="B1363" s="14" t="s">
        <v>176</v>
      </c>
      <c r="C1363" s="14" t="s">
        <v>176</v>
      </c>
      <c r="D1363" s="14" t="s">
        <v>176</v>
      </c>
      <c r="E1363" s="14" t="s">
        <v>176</v>
      </c>
    </row>
    <row r="1364" s="29" customFormat="1" spans="2:5">
      <c r="B1364" s="15" t="s">
        <v>177</v>
      </c>
      <c r="C1364" s="16" t="s">
        <v>178</v>
      </c>
      <c r="D1364" s="17" t="s">
        <v>179</v>
      </c>
      <c r="E1364" s="18" t="s">
        <v>180</v>
      </c>
    </row>
    <row r="1365" s="29" customFormat="1" ht="41" spans="2:5">
      <c r="B1365" s="19" t="s">
        <v>1118</v>
      </c>
      <c r="C1365" s="20" t="s">
        <v>182</v>
      </c>
      <c r="D1365" s="21">
        <v>4</v>
      </c>
      <c r="E1365" s="22">
        <v>1110000</v>
      </c>
    </row>
    <row r="1366" s="29" customFormat="1" ht="28" spans="2:5">
      <c r="B1366" s="19" t="s">
        <v>1118</v>
      </c>
      <c r="C1366" s="16" t="s">
        <v>183</v>
      </c>
      <c r="D1366" s="23">
        <v>4</v>
      </c>
      <c r="E1366" s="24">
        <v>1110000</v>
      </c>
    </row>
    <row r="1367" s="29" customFormat="1" ht="41" spans="2:5">
      <c r="B1367" s="19" t="s">
        <v>1119</v>
      </c>
      <c r="C1367" s="20" t="s">
        <v>182</v>
      </c>
      <c r="D1367" s="21">
        <v>1</v>
      </c>
      <c r="E1367" s="22">
        <v>1033333.333333</v>
      </c>
    </row>
    <row r="1368" s="29" customFormat="1" ht="28" spans="2:5">
      <c r="B1368" s="19" t="s">
        <v>1119</v>
      </c>
      <c r="C1368" s="16" t="s">
        <v>183</v>
      </c>
      <c r="D1368" s="23">
        <v>1</v>
      </c>
      <c r="E1368" s="24">
        <v>1033333.333333</v>
      </c>
    </row>
    <row r="1369" s="29" customFormat="1" ht="41" spans="2:5">
      <c r="B1369" s="19" t="s">
        <v>1120</v>
      </c>
      <c r="C1369" s="20" t="s">
        <v>182</v>
      </c>
      <c r="D1369" s="21">
        <v>1</v>
      </c>
      <c r="E1369" s="22">
        <v>56209.323865</v>
      </c>
    </row>
    <row r="1370" s="29" customFormat="1" ht="28" spans="2:5">
      <c r="B1370" s="19" t="s">
        <v>1120</v>
      </c>
      <c r="C1370" s="16" t="s">
        <v>183</v>
      </c>
      <c r="D1370" s="23">
        <v>1</v>
      </c>
      <c r="E1370" s="24">
        <v>56209.323865</v>
      </c>
    </row>
    <row r="1371" s="29" customFormat="1" ht="41" spans="2:5">
      <c r="B1371" s="19" t="s">
        <v>646</v>
      </c>
      <c r="C1371" s="20" t="s">
        <v>182</v>
      </c>
      <c r="D1371" s="21">
        <v>2</v>
      </c>
      <c r="E1371" s="22">
        <v>0</v>
      </c>
    </row>
    <row r="1372" s="29" customFormat="1" ht="28" spans="2:5">
      <c r="B1372" s="19" t="s">
        <v>646</v>
      </c>
      <c r="C1372" s="16" t="s">
        <v>183</v>
      </c>
      <c r="D1372" s="23">
        <v>2</v>
      </c>
      <c r="E1372" s="24">
        <v>0</v>
      </c>
    </row>
    <row r="1373" s="29" customFormat="1" ht="41" spans="2:5">
      <c r="B1373" s="19" t="s">
        <v>769</v>
      </c>
      <c r="C1373" s="20" t="s">
        <v>182</v>
      </c>
      <c r="D1373" s="21">
        <v>1</v>
      </c>
      <c r="E1373" s="22">
        <v>0</v>
      </c>
    </row>
    <row r="1374" s="29" customFormat="1" ht="28" spans="2:5">
      <c r="B1374" s="19" t="s">
        <v>769</v>
      </c>
      <c r="C1374" s="16" t="s">
        <v>183</v>
      </c>
      <c r="D1374" s="23">
        <v>1</v>
      </c>
      <c r="E1374" s="24">
        <v>0</v>
      </c>
    </row>
    <row r="1375" s="29" customFormat="1" ht="41" spans="2:5">
      <c r="B1375" s="19" t="s">
        <v>931</v>
      </c>
      <c r="C1375" s="20" t="s">
        <v>182</v>
      </c>
      <c r="D1375" s="21">
        <v>5</v>
      </c>
      <c r="E1375" s="22">
        <v>0</v>
      </c>
    </row>
    <row r="1376" s="29" customFormat="1" ht="28.75" spans="2:5">
      <c r="B1376" s="19" t="s">
        <v>931</v>
      </c>
      <c r="C1376" s="16" t="s">
        <v>183</v>
      </c>
      <c r="D1376" s="23">
        <v>5</v>
      </c>
      <c r="E1376" s="24">
        <v>0</v>
      </c>
    </row>
    <row r="1377" s="29" customFormat="1" spans="2:5">
      <c r="B1377" s="25"/>
      <c r="C1377" s="25"/>
      <c r="D1377" s="25"/>
      <c r="E1377" s="25"/>
    </row>
    <row r="1378" s="29" customFormat="1" ht="36" spans="2:5">
      <c r="B1378" s="26" t="s">
        <v>189</v>
      </c>
      <c r="C1378" s="26" t="s">
        <v>189</v>
      </c>
      <c r="D1378" s="26" t="s">
        <v>189</v>
      </c>
      <c r="E1378" s="26" t="s">
        <v>189</v>
      </c>
    </row>
    <row r="1379" s="29" customFormat="1" spans="2:5">
      <c r="B1379" s="26"/>
      <c r="C1379" s="26"/>
      <c r="D1379" s="26"/>
      <c r="E1379" s="26"/>
    </row>
    <row r="1380" s="29" customFormat="1" ht="36" spans="2:5">
      <c r="B1380" s="26" t="s">
        <v>958</v>
      </c>
      <c r="C1380" s="26" t="s">
        <v>958</v>
      </c>
      <c r="D1380" s="26" t="s">
        <v>958</v>
      </c>
      <c r="E1380" s="26" t="s">
        <v>958</v>
      </c>
    </row>
    <row r="1381" s="29" customFormat="1" spans="2:5">
      <c r="B1381" s="26" t="s">
        <v>1121</v>
      </c>
      <c r="C1381" s="26" t="s">
        <v>1121</v>
      </c>
      <c r="D1381" s="26" t="s">
        <v>1121</v>
      </c>
      <c r="E1381" s="26" t="s">
        <v>1121</v>
      </c>
    </row>
    <row r="1382" s="29" customFormat="1" ht="124" spans="2:5">
      <c r="B1382" s="11" t="s">
        <v>173</v>
      </c>
      <c r="C1382" s="11" t="s">
        <v>173</v>
      </c>
      <c r="D1382" s="11" t="s">
        <v>173</v>
      </c>
      <c r="E1382" s="11" t="s">
        <v>173</v>
      </c>
    </row>
    <row r="1383" s="29" customFormat="1" ht="156" spans="2:5">
      <c r="B1383" s="12" t="s">
        <v>174</v>
      </c>
      <c r="C1383" s="12" t="s">
        <v>174</v>
      </c>
      <c r="D1383" s="12" t="s">
        <v>174</v>
      </c>
      <c r="E1383" s="12" t="s">
        <v>174</v>
      </c>
    </row>
    <row r="1384" s="29" customFormat="1" ht="68" spans="2:5">
      <c r="B1384" s="13" t="s">
        <v>951</v>
      </c>
      <c r="C1384" s="13" t="s">
        <v>951</v>
      </c>
      <c r="D1384" s="13" t="s">
        <v>951</v>
      </c>
      <c r="E1384" s="13" t="s">
        <v>951</v>
      </c>
    </row>
    <row r="1385" s="29" customFormat="1" ht="22" spans="2:5">
      <c r="B1385" s="14" t="s">
        <v>176</v>
      </c>
      <c r="C1385" s="14" t="s">
        <v>176</v>
      </c>
      <c r="D1385" s="14" t="s">
        <v>176</v>
      </c>
      <c r="E1385" s="14" t="s">
        <v>176</v>
      </c>
    </row>
    <row r="1386" s="29" customFormat="1" spans="2:5">
      <c r="B1386" s="15" t="s">
        <v>177</v>
      </c>
      <c r="C1386" s="16" t="s">
        <v>178</v>
      </c>
      <c r="D1386" s="17" t="s">
        <v>179</v>
      </c>
      <c r="E1386" s="18" t="s">
        <v>180</v>
      </c>
    </row>
    <row r="1387" s="29" customFormat="1" ht="41" spans="2:5">
      <c r="B1387" s="19" t="s">
        <v>1122</v>
      </c>
      <c r="C1387" s="20" t="s">
        <v>182</v>
      </c>
      <c r="D1387" s="21">
        <v>1</v>
      </c>
      <c r="E1387" s="22">
        <v>337000</v>
      </c>
    </row>
    <row r="1388" s="29" customFormat="1" ht="28" spans="2:5">
      <c r="B1388" s="19" t="s">
        <v>1122</v>
      </c>
      <c r="C1388" s="16" t="s">
        <v>183</v>
      </c>
      <c r="D1388" s="23">
        <v>1</v>
      </c>
      <c r="E1388" s="24">
        <v>337000</v>
      </c>
    </row>
    <row r="1389" s="29" customFormat="1" ht="28" spans="2:5">
      <c r="B1389" s="19" t="s">
        <v>1123</v>
      </c>
      <c r="C1389" s="20" t="s">
        <v>804</v>
      </c>
      <c r="D1389" s="21">
        <v>2</v>
      </c>
      <c r="E1389" s="22">
        <v>610000</v>
      </c>
    </row>
    <row r="1390" s="29" customFormat="1" ht="28" spans="2:5">
      <c r="B1390" s="19" t="s">
        <v>1123</v>
      </c>
      <c r="C1390" s="16" t="s">
        <v>183</v>
      </c>
      <c r="D1390" s="23">
        <v>2</v>
      </c>
      <c r="E1390" s="24">
        <v>610000</v>
      </c>
    </row>
    <row r="1391" s="29" customFormat="1" ht="41" spans="2:5">
      <c r="B1391" s="19" t="s">
        <v>1124</v>
      </c>
      <c r="C1391" s="20" t="s">
        <v>182</v>
      </c>
      <c r="D1391" s="21">
        <v>4</v>
      </c>
      <c r="E1391" s="22">
        <v>174000</v>
      </c>
    </row>
    <row r="1392" s="29" customFormat="1" ht="28" spans="2:5">
      <c r="B1392" s="19" t="s">
        <v>1124</v>
      </c>
      <c r="C1392" s="16" t="s">
        <v>183</v>
      </c>
      <c r="D1392" s="23">
        <v>4</v>
      </c>
      <c r="E1392" s="24">
        <v>174000</v>
      </c>
    </row>
    <row r="1393" s="29" customFormat="1" ht="41" spans="2:5">
      <c r="B1393" s="19" t="s">
        <v>1125</v>
      </c>
      <c r="C1393" s="20" t="s">
        <v>182</v>
      </c>
      <c r="D1393" s="21">
        <v>2</v>
      </c>
      <c r="E1393" s="22">
        <v>3900000</v>
      </c>
    </row>
    <row r="1394" s="29" customFormat="1" ht="28" spans="2:5">
      <c r="B1394" s="19" t="s">
        <v>1125</v>
      </c>
      <c r="C1394" s="16" t="s">
        <v>183</v>
      </c>
      <c r="D1394" s="23">
        <v>2</v>
      </c>
      <c r="E1394" s="24">
        <v>3900000</v>
      </c>
    </row>
    <row r="1395" s="29" customFormat="1" ht="41" spans="2:5">
      <c r="B1395" s="19" t="s">
        <v>1126</v>
      </c>
      <c r="C1395" s="20" t="s">
        <v>182</v>
      </c>
      <c r="D1395" s="21">
        <v>1</v>
      </c>
      <c r="E1395" s="22">
        <v>111800</v>
      </c>
    </row>
    <row r="1396" s="29" customFormat="1" ht="28" spans="2:5">
      <c r="B1396" s="19" t="s">
        <v>1126</v>
      </c>
      <c r="C1396" s="16" t="s">
        <v>183</v>
      </c>
      <c r="D1396" s="23">
        <v>1</v>
      </c>
      <c r="E1396" s="24">
        <v>111800</v>
      </c>
    </row>
    <row r="1397" s="29" customFormat="1" ht="28" spans="2:5">
      <c r="B1397" s="19" t="s">
        <v>1127</v>
      </c>
      <c r="C1397" s="20" t="s">
        <v>804</v>
      </c>
      <c r="D1397" s="21">
        <v>1</v>
      </c>
      <c r="E1397" s="22">
        <v>144144.144144</v>
      </c>
    </row>
    <row r="1398" s="29" customFormat="1" ht="28" spans="2:5">
      <c r="B1398" s="19" t="s">
        <v>1127</v>
      </c>
      <c r="C1398" s="16" t="s">
        <v>183</v>
      </c>
      <c r="D1398" s="23">
        <v>1</v>
      </c>
      <c r="E1398" s="24">
        <v>144144.144144</v>
      </c>
    </row>
    <row r="1399" s="29" customFormat="1" ht="28" spans="2:5">
      <c r="B1399" s="19" t="s">
        <v>1128</v>
      </c>
      <c r="C1399" s="20" t="s">
        <v>804</v>
      </c>
      <c r="D1399" s="21">
        <v>1</v>
      </c>
      <c r="E1399" s="22">
        <v>104504.504505</v>
      </c>
    </row>
    <row r="1400" s="29" customFormat="1" ht="28.75" spans="2:5">
      <c r="B1400" s="19" t="s">
        <v>1128</v>
      </c>
      <c r="C1400" s="16" t="s">
        <v>183</v>
      </c>
      <c r="D1400" s="23">
        <v>1</v>
      </c>
      <c r="E1400" s="24">
        <v>104504.504505</v>
      </c>
    </row>
    <row r="1401" s="29" customFormat="1" spans="2:5">
      <c r="B1401" s="25"/>
      <c r="C1401" s="25"/>
      <c r="D1401" s="25"/>
      <c r="E1401" s="25"/>
    </row>
    <row r="1402" s="29" customFormat="1" ht="36" spans="2:5">
      <c r="B1402" s="26" t="s">
        <v>189</v>
      </c>
      <c r="C1402" s="26" t="s">
        <v>189</v>
      </c>
      <c r="D1402" s="26" t="s">
        <v>189</v>
      </c>
      <c r="E1402" s="26" t="s">
        <v>189</v>
      </c>
    </row>
    <row r="1403" s="29" customFormat="1" spans="2:5">
      <c r="B1403" s="26"/>
      <c r="C1403" s="26"/>
      <c r="D1403" s="26"/>
      <c r="E1403" s="26"/>
    </row>
    <row r="1404" s="29" customFormat="1" ht="36" spans="2:5">
      <c r="B1404" s="26" t="s">
        <v>958</v>
      </c>
      <c r="C1404" s="26" t="s">
        <v>958</v>
      </c>
      <c r="D1404" s="26" t="s">
        <v>958</v>
      </c>
      <c r="E1404" s="26" t="s">
        <v>958</v>
      </c>
    </row>
    <row r="1405" s="29" customFormat="1" spans="2:5">
      <c r="B1405" s="26" t="s">
        <v>1129</v>
      </c>
      <c r="C1405" s="26" t="s">
        <v>1129</v>
      </c>
      <c r="D1405" s="26" t="s">
        <v>1129</v>
      </c>
      <c r="E1405" s="26" t="s">
        <v>1129</v>
      </c>
    </row>
    <row r="1406" s="29" customFormat="1" ht="124" spans="2:5">
      <c r="B1406" s="11" t="s">
        <v>173</v>
      </c>
      <c r="C1406" s="11" t="s">
        <v>173</v>
      </c>
      <c r="D1406" s="11" t="s">
        <v>173</v>
      </c>
      <c r="E1406" s="11" t="s">
        <v>173</v>
      </c>
    </row>
    <row r="1407" s="29" customFormat="1" ht="156" spans="2:5">
      <c r="B1407" s="12" t="s">
        <v>174</v>
      </c>
      <c r="C1407" s="12" t="s">
        <v>174</v>
      </c>
      <c r="D1407" s="12" t="s">
        <v>174</v>
      </c>
      <c r="E1407" s="12" t="s">
        <v>174</v>
      </c>
    </row>
    <row r="1408" s="29" customFormat="1" ht="68" spans="2:5">
      <c r="B1408" s="13" t="s">
        <v>951</v>
      </c>
      <c r="C1408" s="13" t="s">
        <v>951</v>
      </c>
      <c r="D1408" s="13" t="s">
        <v>951</v>
      </c>
      <c r="E1408" s="13" t="s">
        <v>951</v>
      </c>
    </row>
    <row r="1409" s="29" customFormat="1" ht="22" spans="2:5">
      <c r="B1409" s="14" t="s">
        <v>176</v>
      </c>
      <c r="C1409" s="14" t="s">
        <v>176</v>
      </c>
      <c r="D1409" s="14" t="s">
        <v>176</v>
      </c>
      <c r="E1409" s="14" t="s">
        <v>176</v>
      </c>
    </row>
    <row r="1410" s="29" customFormat="1" spans="2:5">
      <c r="B1410" s="15" t="s">
        <v>177</v>
      </c>
      <c r="C1410" s="16" t="s">
        <v>178</v>
      </c>
      <c r="D1410" s="17" t="s">
        <v>179</v>
      </c>
      <c r="E1410" s="18" t="s">
        <v>180</v>
      </c>
    </row>
    <row r="1411" s="29" customFormat="1" ht="41" spans="2:5">
      <c r="B1411" s="19" t="s">
        <v>1130</v>
      </c>
      <c r="C1411" s="20" t="s">
        <v>182</v>
      </c>
      <c r="D1411" s="21">
        <v>1</v>
      </c>
      <c r="E1411" s="22">
        <v>131649.635036</v>
      </c>
    </row>
    <row r="1412" s="29" customFormat="1" ht="28" spans="2:5">
      <c r="B1412" s="19" t="s">
        <v>1130</v>
      </c>
      <c r="C1412" s="16" t="s">
        <v>183</v>
      </c>
      <c r="D1412" s="23">
        <v>1</v>
      </c>
      <c r="E1412" s="24">
        <v>131649.635036</v>
      </c>
    </row>
    <row r="1413" s="29" customFormat="1" ht="41" spans="2:5">
      <c r="B1413" s="19" t="s">
        <v>1131</v>
      </c>
      <c r="C1413" s="20" t="s">
        <v>182</v>
      </c>
      <c r="D1413" s="21">
        <v>1</v>
      </c>
      <c r="E1413" s="22">
        <v>332000</v>
      </c>
    </row>
    <row r="1414" s="29" customFormat="1" ht="28" spans="2:5">
      <c r="B1414" s="19" t="s">
        <v>1131</v>
      </c>
      <c r="C1414" s="16" t="s">
        <v>183</v>
      </c>
      <c r="D1414" s="23">
        <v>1</v>
      </c>
      <c r="E1414" s="24">
        <v>332000</v>
      </c>
    </row>
    <row r="1415" s="29" customFormat="1" ht="41" spans="2:5">
      <c r="B1415" s="19" t="s">
        <v>1132</v>
      </c>
      <c r="C1415" s="20" t="s">
        <v>182</v>
      </c>
      <c r="D1415" s="21">
        <v>1</v>
      </c>
      <c r="E1415" s="22">
        <v>256756.756757</v>
      </c>
    </row>
    <row r="1416" s="29" customFormat="1" ht="28" spans="2:5">
      <c r="B1416" s="19" t="s">
        <v>1132</v>
      </c>
      <c r="C1416" s="16" t="s">
        <v>183</v>
      </c>
      <c r="D1416" s="23">
        <v>1</v>
      </c>
      <c r="E1416" s="24">
        <v>256756.756757</v>
      </c>
    </row>
    <row r="1417" s="29" customFormat="1" ht="28" spans="2:5">
      <c r="B1417" s="19" t="s">
        <v>1133</v>
      </c>
      <c r="C1417" s="20" t="s">
        <v>804</v>
      </c>
      <c r="D1417" s="21">
        <v>1</v>
      </c>
      <c r="E1417" s="22">
        <v>276000</v>
      </c>
    </row>
    <row r="1418" s="29" customFormat="1" ht="28" spans="2:5">
      <c r="B1418" s="19" t="s">
        <v>1133</v>
      </c>
      <c r="C1418" s="16" t="s">
        <v>183</v>
      </c>
      <c r="D1418" s="23">
        <v>1</v>
      </c>
      <c r="E1418" s="24">
        <v>276000</v>
      </c>
    </row>
    <row r="1419" s="29" customFormat="1" ht="28" spans="2:5">
      <c r="B1419" s="19" t="s">
        <v>1134</v>
      </c>
      <c r="C1419" s="20" t="s">
        <v>804</v>
      </c>
      <c r="D1419" s="21">
        <v>1</v>
      </c>
      <c r="E1419" s="22">
        <v>450000</v>
      </c>
    </row>
    <row r="1420" s="29" customFormat="1" spans="2:5">
      <c r="B1420" s="19" t="s">
        <v>1134</v>
      </c>
      <c r="C1420" s="16" t="s">
        <v>183</v>
      </c>
      <c r="D1420" s="23">
        <v>1</v>
      </c>
      <c r="E1420" s="24">
        <v>450000</v>
      </c>
    </row>
    <row r="1421" s="29" customFormat="1" ht="28" spans="2:5">
      <c r="B1421" s="19" t="s">
        <v>1135</v>
      </c>
      <c r="C1421" s="20" t="s">
        <v>804</v>
      </c>
      <c r="D1421" s="21">
        <v>1</v>
      </c>
      <c r="E1421" s="22">
        <v>254000</v>
      </c>
    </row>
    <row r="1422" s="29" customFormat="1" ht="28" spans="2:5">
      <c r="B1422" s="19" t="s">
        <v>1135</v>
      </c>
      <c r="C1422" s="16" t="s">
        <v>183</v>
      </c>
      <c r="D1422" s="23">
        <v>1</v>
      </c>
      <c r="E1422" s="24">
        <v>254000</v>
      </c>
    </row>
    <row r="1423" s="29" customFormat="1" ht="41" spans="2:5">
      <c r="B1423" s="19" t="s">
        <v>1136</v>
      </c>
      <c r="C1423" s="20" t="s">
        <v>182</v>
      </c>
      <c r="D1423" s="21">
        <v>1</v>
      </c>
      <c r="E1423" s="22">
        <v>1350000</v>
      </c>
    </row>
    <row r="1424" s="29" customFormat="1" ht="28.75" spans="2:5">
      <c r="B1424" s="19" t="s">
        <v>1136</v>
      </c>
      <c r="C1424" s="16" t="s">
        <v>183</v>
      </c>
      <c r="D1424" s="23">
        <v>1</v>
      </c>
      <c r="E1424" s="24">
        <v>1350000</v>
      </c>
    </row>
    <row r="1425" s="29" customFormat="1" spans="2:5">
      <c r="B1425" s="25"/>
      <c r="C1425" s="25"/>
      <c r="D1425" s="25"/>
      <c r="E1425" s="25"/>
    </row>
    <row r="1426" s="29" customFormat="1" ht="36" spans="2:5">
      <c r="B1426" s="26" t="s">
        <v>189</v>
      </c>
      <c r="C1426" s="26" t="s">
        <v>189</v>
      </c>
      <c r="D1426" s="26" t="s">
        <v>189</v>
      </c>
      <c r="E1426" s="26" t="s">
        <v>189</v>
      </c>
    </row>
    <row r="1427" s="29" customFormat="1" spans="2:5">
      <c r="B1427" s="26"/>
      <c r="C1427" s="26"/>
      <c r="D1427" s="26"/>
      <c r="E1427" s="26"/>
    </row>
    <row r="1428" s="29" customFormat="1" ht="36" spans="2:5">
      <c r="B1428" s="26" t="s">
        <v>958</v>
      </c>
      <c r="C1428" s="26" t="s">
        <v>958</v>
      </c>
      <c r="D1428" s="26" t="s">
        <v>958</v>
      </c>
      <c r="E1428" s="26" t="s">
        <v>958</v>
      </c>
    </row>
    <row r="1429" s="29" customFormat="1" spans="2:5">
      <c r="B1429" s="26" t="s">
        <v>1137</v>
      </c>
      <c r="C1429" s="26" t="s">
        <v>1137</v>
      </c>
      <c r="D1429" s="26" t="s">
        <v>1137</v>
      </c>
      <c r="E1429" s="26" t="s">
        <v>1137</v>
      </c>
    </row>
    <row r="1430" s="29" customFormat="1" ht="124" spans="2:5">
      <c r="B1430" s="11" t="s">
        <v>173</v>
      </c>
      <c r="C1430" s="11" t="s">
        <v>173</v>
      </c>
      <c r="D1430" s="11" t="s">
        <v>173</v>
      </c>
      <c r="E1430" s="11" t="s">
        <v>173</v>
      </c>
    </row>
    <row r="1431" s="29" customFormat="1" ht="156" spans="2:5">
      <c r="B1431" s="12" t="s">
        <v>174</v>
      </c>
      <c r="C1431" s="12" t="s">
        <v>174</v>
      </c>
      <c r="D1431" s="12" t="s">
        <v>174</v>
      </c>
      <c r="E1431" s="12" t="s">
        <v>174</v>
      </c>
    </row>
    <row r="1432" s="29" customFormat="1" ht="68" spans="2:5">
      <c r="B1432" s="13" t="s">
        <v>951</v>
      </c>
      <c r="C1432" s="13" t="s">
        <v>951</v>
      </c>
      <c r="D1432" s="13" t="s">
        <v>951</v>
      </c>
      <c r="E1432" s="13" t="s">
        <v>951</v>
      </c>
    </row>
    <row r="1433" s="29" customFormat="1" ht="22" spans="2:5">
      <c r="B1433" s="14" t="s">
        <v>176</v>
      </c>
      <c r="C1433" s="14" t="s">
        <v>176</v>
      </c>
      <c r="D1433" s="14" t="s">
        <v>176</v>
      </c>
      <c r="E1433" s="14" t="s">
        <v>176</v>
      </c>
    </row>
    <row r="1434" s="29" customFormat="1" spans="2:5">
      <c r="B1434" s="15" t="s">
        <v>177</v>
      </c>
      <c r="C1434" s="16" t="s">
        <v>178</v>
      </c>
      <c r="D1434" s="17" t="s">
        <v>179</v>
      </c>
      <c r="E1434" s="18" t="s">
        <v>180</v>
      </c>
    </row>
    <row r="1435" s="29" customFormat="1" ht="41" spans="2:5">
      <c r="B1435" s="19" t="s">
        <v>1138</v>
      </c>
      <c r="C1435" s="20" t="s">
        <v>182</v>
      </c>
      <c r="D1435" s="21">
        <v>1</v>
      </c>
      <c r="E1435" s="22">
        <v>735000</v>
      </c>
    </row>
    <row r="1436" s="29" customFormat="1" ht="28" spans="2:5">
      <c r="B1436" s="19" t="s">
        <v>1138</v>
      </c>
      <c r="C1436" s="16" t="s">
        <v>183</v>
      </c>
      <c r="D1436" s="23">
        <v>1</v>
      </c>
      <c r="E1436" s="24">
        <v>735000</v>
      </c>
    </row>
    <row r="1437" s="29" customFormat="1" ht="41" spans="2:5">
      <c r="B1437" s="19" t="s">
        <v>1139</v>
      </c>
      <c r="C1437" s="20" t="s">
        <v>182</v>
      </c>
      <c r="D1437" s="21">
        <v>2</v>
      </c>
      <c r="E1437" s="22">
        <v>2400000</v>
      </c>
    </row>
    <row r="1438" s="29" customFormat="1" ht="28" spans="2:5">
      <c r="B1438" s="19" t="s">
        <v>1139</v>
      </c>
      <c r="C1438" s="16" t="s">
        <v>183</v>
      </c>
      <c r="D1438" s="23">
        <v>2</v>
      </c>
      <c r="E1438" s="24">
        <v>2400000</v>
      </c>
    </row>
    <row r="1439" s="29" customFormat="1" ht="41" spans="2:5">
      <c r="B1439" s="19" t="s">
        <v>1140</v>
      </c>
      <c r="C1439" s="20" t="s">
        <v>182</v>
      </c>
      <c r="D1439" s="21">
        <v>1</v>
      </c>
      <c r="E1439" s="22">
        <v>142000</v>
      </c>
    </row>
    <row r="1440" s="29" customFormat="1" spans="2:5">
      <c r="B1440" s="19" t="s">
        <v>1140</v>
      </c>
      <c r="C1440" s="16" t="s">
        <v>183</v>
      </c>
      <c r="D1440" s="23">
        <v>1</v>
      </c>
      <c r="E1440" s="24">
        <v>142000</v>
      </c>
    </row>
    <row r="1441" s="29" customFormat="1" ht="28" spans="2:5">
      <c r="B1441" s="19" t="s">
        <v>946</v>
      </c>
      <c r="C1441" s="20" t="s">
        <v>804</v>
      </c>
      <c r="D1441" s="21">
        <v>2</v>
      </c>
      <c r="E1441" s="22">
        <v>366441.441442</v>
      </c>
    </row>
    <row r="1442" s="29" customFormat="1" ht="28" spans="2:5">
      <c r="B1442" s="19" t="s">
        <v>946</v>
      </c>
      <c r="C1442" s="16" t="s">
        <v>183</v>
      </c>
      <c r="D1442" s="23">
        <v>2</v>
      </c>
      <c r="E1442" s="24">
        <v>366441.441442</v>
      </c>
    </row>
    <row r="1443" s="29" customFormat="1" ht="28" spans="2:5">
      <c r="B1443" s="19" t="s">
        <v>1141</v>
      </c>
      <c r="C1443" s="20" t="s">
        <v>804</v>
      </c>
      <c r="D1443" s="21">
        <v>1</v>
      </c>
      <c r="E1443" s="22">
        <v>600000</v>
      </c>
    </row>
    <row r="1444" s="29" customFormat="1" ht="28" spans="2:5">
      <c r="B1444" s="19" t="s">
        <v>1141</v>
      </c>
      <c r="C1444" s="16" t="s">
        <v>183</v>
      </c>
      <c r="D1444" s="23">
        <v>1</v>
      </c>
      <c r="E1444" s="24">
        <v>600000</v>
      </c>
    </row>
    <row r="1445" s="29" customFormat="1" ht="28" spans="2:5">
      <c r="B1445" s="19" t="s">
        <v>1142</v>
      </c>
      <c r="C1445" s="20" t="s">
        <v>804</v>
      </c>
      <c r="D1445" s="21">
        <v>1</v>
      </c>
      <c r="E1445" s="22">
        <v>500000</v>
      </c>
    </row>
    <row r="1446" s="29" customFormat="1" ht="28" spans="2:5">
      <c r="B1446" s="19" t="s">
        <v>1142</v>
      </c>
      <c r="C1446" s="16" t="s">
        <v>183</v>
      </c>
      <c r="D1446" s="23">
        <v>1</v>
      </c>
      <c r="E1446" s="24">
        <v>500000</v>
      </c>
    </row>
    <row r="1447" s="29" customFormat="1" ht="41" spans="2:5">
      <c r="B1447" s="19" t="s">
        <v>1143</v>
      </c>
      <c r="C1447" s="20" t="s">
        <v>182</v>
      </c>
      <c r="D1447" s="21">
        <v>1</v>
      </c>
      <c r="E1447" s="22">
        <v>673000</v>
      </c>
    </row>
    <row r="1448" s="29" customFormat="1" ht="17.55" spans="2:5">
      <c r="B1448" s="19" t="s">
        <v>1143</v>
      </c>
      <c r="C1448" s="16" t="s">
        <v>183</v>
      </c>
      <c r="D1448" s="23">
        <v>1</v>
      </c>
      <c r="E1448" s="24">
        <v>673000</v>
      </c>
    </row>
    <row r="1449" s="29" customFormat="1" spans="2:5">
      <c r="B1449" s="25"/>
      <c r="C1449" s="25"/>
      <c r="D1449" s="25"/>
      <c r="E1449" s="25"/>
    </row>
    <row r="1450" s="29" customFormat="1" ht="36" spans="2:5">
      <c r="B1450" s="26" t="s">
        <v>189</v>
      </c>
      <c r="C1450" s="26" t="s">
        <v>189</v>
      </c>
      <c r="D1450" s="26" t="s">
        <v>189</v>
      </c>
      <c r="E1450" s="26" t="s">
        <v>189</v>
      </c>
    </row>
    <row r="1451" s="29" customFormat="1" spans="2:5">
      <c r="B1451" s="26"/>
      <c r="C1451" s="26"/>
      <c r="D1451" s="26"/>
      <c r="E1451" s="26"/>
    </row>
    <row r="1452" s="29" customFormat="1" ht="36" spans="2:5">
      <c r="B1452" s="26" t="s">
        <v>958</v>
      </c>
      <c r="C1452" s="26" t="s">
        <v>958</v>
      </c>
      <c r="D1452" s="26" t="s">
        <v>958</v>
      </c>
      <c r="E1452" s="26" t="s">
        <v>958</v>
      </c>
    </row>
    <row r="1453" s="29" customFormat="1" spans="2:5">
      <c r="B1453" s="26" t="s">
        <v>1144</v>
      </c>
      <c r="C1453" s="26" t="s">
        <v>1144</v>
      </c>
      <c r="D1453" s="26" t="s">
        <v>1144</v>
      </c>
      <c r="E1453" s="26" t="s">
        <v>1144</v>
      </c>
    </row>
    <row r="1454" s="29" customFormat="1" ht="124" spans="2:5">
      <c r="B1454" s="11" t="s">
        <v>173</v>
      </c>
      <c r="C1454" s="11" t="s">
        <v>173</v>
      </c>
      <c r="D1454" s="11" t="s">
        <v>173</v>
      </c>
      <c r="E1454" s="11" t="s">
        <v>173</v>
      </c>
    </row>
    <row r="1455" s="29" customFormat="1" ht="156" spans="2:5">
      <c r="B1455" s="12" t="s">
        <v>174</v>
      </c>
      <c r="C1455" s="12" t="s">
        <v>174</v>
      </c>
      <c r="D1455" s="12" t="s">
        <v>174</v>
      </c>
      <c r="E1455" s="12" t="s">
        <v>174</v>
      </c>
    </row>
    <row r="1456" s="29" customFormat="1" ht="68" spans="2:5">
      <c r="B1456" s="13" t="s">
        <v>951</v>
      </c>
      <c r="C1456" s="13" t="s">
        <v>951</v>
      </c>
      <c r="D1456" s="13" t="s">
        <v>951</v>
      </c>
      <c r="E1456" s="13" t="s">
        <v>951</v>
      </c>
    </row>
    <row r="1457" s="29" customFormat="1" ht="22" spans="2:5">
      <c r="B1457" s="14" t="s">
        <v>176</v>
      </c>
      <c r="C1457" s="14" t="s">
        <v>176</v>
      </c>
      <c r="D1457" s="14" t="s">
        <v>176</v>
      </c>
      <c r="E1457" s="14" t="s">
        <v>176</v>
      </c>
    </row>
    <row r="1458" s="29" customFormat="1" spans="2:5">
      <c r="B1458" s="15" t="s">
        <v>177</v>
      </c>
      <c r="C1458" s="16" t="s">
        <v>178</v>
      </c>
      <c r="D1458" s="17" t="s">
        <v>179</v>
      </c>
      <c r="E1458" s="18" t="s">
        <v>180</v>
      </c>
    </row>
    <row r="1459" s="29" customFormat="1" ht="41" spans="2:5">
      <c r="B1459" s="19" t="s">
        <v>1145</v>
      </c>
      <c r="C1459" s="20" t="s">
        <v>182</v>
      </c>
      <c r="D1459" s="21">
        <v>1</v>
      </c>
      <c r="E1459" s="22">
        <v>240000</v>
      </c>
    </row>
    <row r="1460" s="29" customFormat="1" ht="28" spans="2:5">
      <c r="B1460" s="19" t="s">
        <v>1145</v>
      </c>
      <c r="C1460" s="16" t="s">
        <v>183</v>
      </c>
      <c r="D1460" s="23">
        <v>1</v>
      </c>
      <c r="E1460" s="24">
        <v>240000</v>
      </c>
    </row>
    <row r="1461" s="29" customFormat="1" ht="41" spans="2:5">
      <c r="B1461" s="19" t="s">
        <v>1146</v>
      </c>
      <c r="C1461" s="20" t="s">
        <v>182</v>
      </c>
      <c r="D1461" s="21">
        <v>1</v>
      </c>
      <c r="E1461" s="22">
        <v>1300000</v>
      </c>
    </row>
    <row r="1462" s="29" customFormat="1" ht="28" spans="2:5">
      <c r="B1462" s="19" t="s">
        <v>1146</v>
      </c>
      <c r="C1462" s="16" t="s">
        <v>183</v>
      </c>
      <c r="D1462" s="23">
        <v>1</v>
      </c>
      <c r="E1462" s="24">
        <v>1300000</v>
      </c>
    </row>
    <row r="1463" s="29" customFormat="1" ht="41" spans="2:5">
      <c r="B1463" s="19" t="s">
        <v>1147</v>
      </c>
      <c r="C1463" s="20" t="s">
        <v>182</v>
      </c>
      <c r="D1463" s="21">
        <v>1</v>
      </c>
      <c r="E1463" s="22">
        <v>388000</v>
      </c>
    </row>
    <row r="1464" s="29" customFormat="1" ht="28" spans="2:5">
      <c r="B1464" s="19" t="s">
        <v>1147</v>
      </c>
      <c r="C1464" s="16" t="s">
        <v>183</v>
      </c>
      <c r="D1464" s="23">
        <v>1</v>
      </c>
      <c r="E1464" s="24">
        <v>388000</v>
      </c>
    </row>
    <row r="1465" s="29" customFormat="1" ht="28" spans="2:5">
      <c r="B1465" s="19" t="s">
        <v>1148</v>
      </c>
      <c r="C1465" s="20" t="s">
        <v>804</v>
      </c>
      <c r="D1465" s="21">
        <v>2</v>
      </c>
      <c r="E1465" s="22">
        <v>566000</v>
      </c>
    </row>
    <row r="1466" s="29" customFormat="1" ht="28" spans="2:5">
      <c r="B1466" s="19" t="s">
        <v>1148</v>
      </c>
      <c r="C1466" s="16" t="s">
        <v>183</v>
      </c>
      <c r="D1466" s="23">
        <v>2</v>
      </c>
      <c r="E1466" s="24">
        <v>566000</v>
      </c>
    </row>
    <row r="1467" s="29" customFormat="1" ht="41" spans="2:5">
      <c r="B1467" s="19" t="s">
        <v>1149</v>
      </c>
      <c r="C1467" s="20" t="s">
        <v>182</v>
      </c>
      <c r="D1467" s="21">
        <v>2</v>
      </c>
      <c r="E1467" s="22">
        <v>400034.083163</v>
      </c>
    </row>
    <row r="1468" s="29" customFormat="1" ht="28" spans="2:5">
      <c r="B1468" s="19" t="s">
        <v>1149</v>
      </c>
      <c r="C1468" s="16" t="s">
        <v>183</v>
      </c>
      <c r="D1468" s="23">
        <v>2</v>
      </c>
      <c r="E1468" s="24">
        <v>400034.083163</v>
      </c>
    </row>
    <row r="1469" s="29" customFormat="1" ht="28" spans="2:5">
      <c r="B1469" s="19" t="s">
        <v>1150</v>
      </c>
      <c r="C1469" s="20" t="s">
        <v>804</v>
      </c>
      <c r="D1469" s="21">
        <v>2</v>
      </c>
      <c r="E1469" s="22">
        <v>600000</v>
      </c>
    </row>
    <row r="1470" s="29" customFormat="1" ht="28" spans="2:5">
      <c r="B1470" s="19" t="s">
        <v>1150</v>
      </c>
      <c r="C1470" s="16" t="s">
        <v>183</v>
      </c>
      <c r="D1470" s="23">
        <v>2</v>
      </c>
      <c r="E1470" s="24">
        <v>600000</v>
      </c>
    </row>
    <row r="1471" s="29" customFormat="1" ht="41" spans="2:5">
      <c r="B1471" s="19" t="s">
        <v>1151</v>
      </c>
      <c r="C1471" s="20" t="s">
        <v>182</v>
      </c>
      <c r="D1471" s="21">
        <v>1</v>
      </c>
      <c r="E1471" s="22">
        <v>0</v>
      </c>
    </row>
    <row r="1472" s="29" customFormat="1" ht="28.75" spans="2:5">
      <c r="B1472" s="19" t="s">
        <v>1151</v>
      </c>
      <c r="C1472" s="16" t="s">
        <v>183</v>
      </c>
      <c r="D1472" s="23">
        <v>1</v>
      </c>
      <c r="E1472" s="24">
        <v>0</v>
      </c>
    </row>
    <row r="1473" s="29" customFormat="1" spans="2:5">
      <c r="B1473" s="25"/>
      <c r="C1473" s="25"/>
      <c r="D1473" s="25"/>
      <c r="E1473" s="25"/>
    </row>
    <row r="1474" s="29" customFormat="1" ht="36" spans="2:5">
      <c r="B1474" s="26" t="s">
        <v>189</v>
      </c>
      <c r="C1474" s="26" t="s">
        <v>189</v>
      </c>
      <c r="D1474" s="26" t="s">
        <v>189</v>
      </c>
      <c r="E1474" s="26" t="s">
        <v>189</v>
      </c>
    </row>
    <row r="1475" s="29" customFormat="1" spans="2:5">
      <c r="B1475" s="26"/>
      <c r="C1475" s="26"/>
      <c r="D1475" s="26"/>
      <c r="E1475" s="26"/>
    </row>
    <row r="1476" s="29" customFormat="1" ht="36" spans="2:5">
      <c r="B1476" s="26" t="s">
        <v>958</v>
      </c>
      <c r="C1476" s="26" t="s">
        <v>958</v>
      </c>
      <c r="D1476" s="26" t="s">
        <v>958</v>
      </c>
      <c r="E1476" s="26" t="s">
        <v>958</v>
      </c>
    </row>
    <row r="1477" s="29" customFormat="1" spans="2:5">
      <c r="B1477" s="26" t="s">
        <v>1152</v>
      </c>
      <c r="C1477" s="26" t="s">
        <v>1152</v>
      </c>
      <c r="D1477" s="26" t="s">
        <v>1152</v>
      </c>
      <c r="E1477" s="26" t="s">
        <v>1152</v>
      </c>
    </row>
    <row r="1478" s="29" customFormat="1" ht="124" spans="2:5">
      <c r="B1478" s="11" t="s">
        <v>173</v>
      </c>
      <c r="C1478" s="11" t="s">
        <v>173</v>
      </c>
      <c r="D1478" s="11" t="s">
        <v>173</v>
      </c>
      <c r="E1478" s="11" t="s">
        <v>173</v>
      </c>
    </row>
    <row r="1479" s="29" customFormat="1" ht="156" spans="2:5">
      <c r="B1479" s="12" t="s">
        <v>174</v>
      </c>
      <c r="C1479" s="12" t="s">
        <v>174</v>
      </c>
      <c r="D1479" s="12" t="s">
        <v>174</v>
      </c>
      <c r="E1479" s="12" t="s">
        <v>174</v>
      </c>
    </row>
    <row r="1480" s="29" customFormat="1" ht="68" spans="2:5">
      <c r="B1480" s="13" t="s">
        <v>951</v>
      </c>
      <c r="C1480" s="13" t="s">
        <v>951</v>
      </c>
      <c r="D1480" s="13" t="s">
        <v>951</v>
      </c>
      <c r="E1480" s="13" t="s">
        <v>951</v>
      </c>
    </row>
    <row r="1481" s="29" customFormat="1" ht="22" spans="2:5">
      <c r="B1481" s="14" t="s">
        <v>176</v>
      </c>
      <c r="C1481" s="14" t="s">
        <v>176</v>
      </c>
      <c r="D1481" s="14" t="s">
        <v>176</v>
      </c>
      <c r="E1481" s="14" t="s">
        <v>176</v>
      </c>
    </row>
    <row r="1482" s="29" customFormat="1" spans="2:5">
      <c r="B1482" s="15" t="s">
        <v>177</v>
      </c>
      <c r="C1482" s="16" t="s">
        <v>178</v>
      </c>
      <c r="D1482" s="17" t="s">
        <v>179</v>
      </c>
      <c r="E1482" s="18" t="s">
        <v>180</v>
      </c>
    </row>
    <row r="1483" s="29" customFormat="1" ht="28" spans="2:5">
      <c r="B1483" s="19" t="s">
        <v>1153</v>
      </c>
      <c r="C1483" s="20" t="s">
        <v>804</v>
      </c>
      <c r="D1483" s="21">
        <v>1</v>
      </c>
      <c r="E1483" s="22">
        <v>10500000</v>
      </c>
    </row>
    <row r="1484" s="29" customFormat="1" ht="28" spans="2:5">
      <c r="B1484" s="19" t="s">
        <v>1153</v>
      </c>
      <c r="C1484" s="16" t="s">
        <v>183</v>
      </c>
      <c r="D1484" s="23">
        <v>1</v>
      </c>
      <c r="E1484" s="24">
        <v>10500000</v>
      </c>
    </row>
    <row r="1485" s="29" customFormat="1" ht="17.55" spans="2:5">
      <c r="B1485" s="28" t="s">
        <v>341</v>
      </c>
      <c r="C1485" s="28" t="s">
        <v>341</v>
      </c>
      <c r="D1485" s="23">
        <v>3493</v>
      </c>
      <c r="E1485" s="24">
        <v>251345918.856833</v>
      </c>
    </row>
    <row r="1486" s="29" customFormat="1" spans="2:5">
      <c r="B1486" s="25"/>
      <c r="C1486" s="25"/>
      <c r="D1486" s="25"/>
      <c r="E1486" s="25"/>
    </row>
    <row r="1487" s="29" customFormat="1" ht="36" spans="2:5">
      <c r="B1487" s="26" t="s">
        <v>189</v>
      </c>
      <c r="C1487" s="26" t="s">
        <v>189</v>
      </c>
      <c r="D1487" s="26" t="s">
        <v>189</v>
      </c>
      <c r="E1487" s="26" t="s">
        <v>189</v>
      </c>
    </row>
    <row r="1488" s="29" customFormat="1" spans="2:5">
      <c r="B1488" s="26"/>
      <c r="C1488" s="26"/>
      <c r="D1488" s="26"/>
      <c r="E1488" s="26"/>
    </row>
    <row r="1489" s="29" customFormat="1" ht="36" spans="2:5">
      <c r="B1489" s="26" t="s">
        <v>958</v>
      </c>
      <c r="C1489" s="26" t="s">
        <v>958</v>
      </c>
      <c r="D1489" s="26" t="s">
        <v>958</v>
      </c>
      <c r="E1489" s="26" t="s">
        <v>958</v>
      </c>
    </row>
    <row r="1490" s="29" customFormat="1" spans="2:5">
      <c r="B1490" s="26" t="s">
        <v>1154</v>
      </c>
      <c r="C1490" s="26" t="s">
        <v>1154</v>
      </c>
      <c r="D1490" s="26" t="s">
        <v>1154</v>
      </c>
      <c r="E1490" s="26" t="s">
        <v>1154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72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/>
      <c r="G1" s="30"/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/>
      <c r="G2" s="30"/>
    </row>
    <row r="3" s="29" customFormat="1" ht="68" spans="1:7">
      <c r="A3" s="30" t="s">
        <v>172</v>
      </c>
      <c r="B3" s="13" t="s">
        <v>1155</v>
      </c>
      <c r="C3" s="13" t="s">
        <v>1155</v>
      </c>
      <c r="D3" s="13" t="s">
        <v>1155</v>
      </c>
      <c r="E3" s="13" t="s">
        <v>1155</v>
      </c>
      <c r="F3" s="30"/>
      <c r="G3" s="30"/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/>
      <c r="G4" s="30"/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/>
      <c r="G5" s="30"/>
    </row>
    <row r="6" s="29" customFormat="1" ht="28" spans="1:7">
      <c r="A6" s="30" t="s">
        <v>172</v>
      </c>
      <c r="B6" s="19" t="s">
        <v>1156</v>
      </c>
      <c r="C6" s="20" t="s">
        <v>804</v>
      </c>
      <c r="D6" s="21">
        <v>2</v>
      </c>
      <c r="E6" s="22">
        <v>540540.333333</v>
      </c>
      <c r="F6" s="30"/>
      <c r="G6" s="30"/>
    </row>
    <row r="7" s="29" customFormat="1" spans="1:7">
      <c r="A7" s="30" t="s">
        <v>172</v>
      </c>
      <c r="B7" s="19" t="s">
        <v>1156</v>
      </c>
      <c r="C7" s="16" t="s">
        <v>183</v>
      </c>
      <c r="D7" s="23">
        <v>2</v>
      </c>
      <c r="E7" s="24">
        <v>540540.333333</v>
      </c>
      <c r="F7" s="30"/>
      <c r="G7" s="30"/>
    </row>
    <row r="8" s="29" customFormat="1" ht="28" spans="1:7">
      <c r="A8" s="30" t="s">
        <v>172</v>
      </c>
      <c r="B8" s="19" t="s">
        <v>1157</v>
      </c>
      <c r="C8" s="20" t="s">
        <v>804</v>
      </c>
      <c r="D8" s="21">
        <v>2</v>
      </c>
      <c r="E8" s="22">
        <v>666666.666667</v>
      </c>
      <c r="F8" s="30"/>
      <c r="G8" s="30"/>
    </row>
    <row r="9" s="29" customFormat="1" spans="1:7">
      <c r="A9" s="30" t="s">
        <v>172</v>
      </c>
      <c r="B9" s="19" t="s">
        <v>1157</v>
      </c>
      <c r="C9" s="16" t="s">
        <v>183</v>
      </c>
      <c r="D9" s="23">
        <v>2</v>
      </c>
      <c r="E9" s="24">
        <v>666666.666667</v>
      </c>
      <c r="F9" s="30"/>
      <c r="G9" s="30"/>
    </row>
    <row r="10" s="29" customFormat="1" ht="41" spans="1:7">
      <c r="A10" s="30" t="s">
        <v>172</v>
      </c>
      <c r="B10" s="19" t="s">
        <v>1158</v>
      </c>
      <c r="C10" s="20" t="s">
        <v>182</v>
      </c>
      <c r="D10" s="21">
        <v>1</v>
      </c>
      <c r="E10" s="22">
        <v>516000</v>
      </c>
      <c r="F10" s="30"/>
      <c r="G10" s="30"/>
    </row>
    <row r="11" s="29" customFormat="1" ht="28" spans="1:7">
      <c r="A11" s="30" t="s">
        <v>172</v>
      </c>
      <c r="B11" s="19" t="s">
        <v>1158</v>
      </c>
      <c r="C11" s="16" t="s">
        <v>183</v>
      </c>
      <c r="D11" s="23">
        <v>1</v>
      </c>
      <c r="E11" s="24">
        <v>516000</v>
      </c>
      <c r="F11" s="30"/>
      <c r="G11" s="30"/>
    </row>
    <row r="12" s="29" customFormat="1" ht="41" spans="1:7">
      <c r="A12" s="30" t="s">
        <v>172</v>
      </c>
      <c r="B12" s="19" t="s">
        <v>1159</v>
      </c>
      <c r="C12" s="20" t="s">
        <v>182</v>
      </c>
      <c r="D12" s="21">
        <v>1</v>
      </c>
      <c r="E12" s="22">
        <v>1171171.648649</v>
      </c>
      <c r="F12" s="30"/>
      <c r="G12" s="30"/>
    </row>
    <row r="13" s="29" customFormat="1" ht="28" spans="1:7">
      <c r="A13" s="30" t="s">
        <v>172</v>
      </c>
      <c r="B13" s="19" t="s">
        <v>1159</v>
      </c>
      <c r="C13" s="16" t="s">
        <v>183</v>
      </c>
      <c r="D13" s="23">
        <v>1</v>
      </c>
      <c r="E13" s="24">
        <v>1171171.648649</v>
      </c>
      <c r="F13" s="30"/>
      <c r="G13" s="30"/>
    </row>
    <row r="14" s="29" customFormat="1" ht="41" spans="1:7">
      <c r="A14" s="30" t="s">
        <v>172</v>
      </c>
      <c r="B14" s="19" t="s">
        <v>1160</v>
      </c>
      <c r="C14" s="20" t="s">
        <v>182</v>
      </c>
      <c r="D14" s="21">
        <v>3</v>
      </c>
      <c r="E14" s="22">
        <v>322000</v>
      </c>
      <c r="F14" s="30"/>
      <c r="G14" s="30"/>
    </row>
    <row r="15" s="29" customFormat="1" ht="28" spans="1:7">
      <c r="A15" s="30" t="s">
        <v>172</v>
      </c>
      <c r="B15" s="19" t="s">
        <v>1160</v>
      </c>
      <c r="C15" s="16" t="s">
        <v>183</v>
      </c>
      <c r="D15" s="23">
        <v>3</v>
      </c>
      <c r="E15" s="24">
        <v>322000</v>
      </c>
      <c r="F15" s="30"/>
      <c r="G15" s="30"/>
    </row>
    <row r="16" s="29" customFormat="1" ht="28" spans="1:7">
      <c r="A16" s="30" t="s">
        <v>172</v>
      </c>
      <c r="B16" s="19" t="s">
        <v>1161</v>
      </c>
      <c r="C16" s="20" t="s">
        <v>804</v>
      </c>
      <c r="D16" s="21">
        <v>2</v>
      </c>
      <c r="E16" s="22">
        <v>400000</v>
      </c>
      <c r="F16" s="30"/>
      <c r="G16" s="30"/>
    </row>
    <row r="17" s="29" customFormat="1" ht="28" spans="1:7">
      <c r="A17" s="30" t="s">
        <v>172</v>
      </c>
      <c r="B17" s="19" t="s">
        <v>1161</v>
      </c>
      <c r="C17" s="16" t="s">
        <v>183</v>
      </c>
      <c r="D17" s="23">
        <v>2</v>
      </c>
      <c r="E17" s="24">
        <v>400000</v>
      </c>
      <c r="F17" s="30"/>
      <c r="G17" s="30"/>
    </row>
    <row r="18" s="29" customFormat="1" ht="28" spans="1:7">
      <c r="A18" s="30" t="s">
        <v>172</v>
      </c>
      <c r="B18" s="19" t="s">
        <v>1162</v>
      </c>
      <c r="C18" s="20" t="s">
        <v>804</v>
      </c>
      <c r="D18" s="21">
        <v>1</v>
      </c>
      <c r="E18" s="22">
        <v>1160000</v>
      </c>
      <c r="F18" s="30"/>
      <c r="G18" s="30"/>
    </row>
    <row r="19" s="29" customFormat="1" ht="17.55" spans="1:7">
      <c r="A19" s="30" t="s">
        <v>172</v>
      </c>
      <c r="B19" s="19" t="s">
        <v>1162</v>
      </c>
      <c r="C19" s="16" t="s">
        <v>183</v>
      </c>
      <c r="D19" s="23">
        <v>1</v>
      </c>
      <c r="E19" s="24">
        <v>1160000</v>
      </c>
      <c r="F19" s="30"/>
      <c r="G19" s="30"/>
    </row>
    <row r="20" s="29" customFormat="1" spans="1:7">
      <c r="A20" s="30" t="s">
        <v>172</v>
      </c>
      <c r="B20" s="25"/>
      <c r="C20" s="25"/>
      <c r="D20" s="25"/>
      <c r="E20" s="25"/>
      <c r="F20" s="30"/>
      <c r="G20" s="30"/>
    </row>
    <row r="21" s="29" customFormat="1" ht="36" spans="1:7">
      <c r="A21" s="30" t="s">
        <v>172</v>
      </c>
      <c r="B21" s="26" t="s">
        <v>189</v>
      </c>
      <c r="C21" s="26" t="s">
        <v>189</v>
      </c>
      <c r="D21" s="26" t="s">
        <v>189</v>
      </c>
      <c r="E21" s="26" t="s">
        <v>189</v>
      </c>
      <c r="F21" s="30"/>
      <c r="G21" s="30"/>
    </row>
    <row r="22" s="29" customFormat="1" spans="1:7">
      <c r="A22" s="30" t="s">
        <v>172</v>
      </c>
      <c r="B22" s="26"/>
      <c r="C22" s="26"/>
      <c r="D22" s="26"/>
      <c r="E22" s="26"/>
      <c r="F22" s="30"/>
      <c r="G22" s="30"/>
    </row>
    <row r="23" s="29" customFormat="1" ht="36" spans="1:7">
      <c r="A23" s="30" t="s">
        <v>172</v>
      </c>
      <c r="B23" s="26" t="s">
        <v>958</v>
      </c>
      <c r="C23" s="26" t="s">
        <v>958</v>
      </c>
      <c r="D23" s="26" t="s">
        <v>958</v>
      </c>
      <c r="E23" s="26" t="s">
        <v>958</v>
      </c>
      <c r="F23" s="30"/>
      <c r="G23" s="30"/>
    </row>
    <row r="24" s="29" customFormat="1" spans="1:7">
      <c r="A24" s="30" t="s">
        <v>172</v>
      </c>
      <c r="B24" s="26" t="s">
        <v>191</v>
      </c>
      <c r="C24" s="26" t="s">
        <v>191</v>
      </c>
      <c r="D24" s="26" t="s">
        <v>191</v>
      </c>
      <c r="E24" s="26" t="s">
        <v>191</v>
      </c>
      <c r="F24" s="30"/>
      <c r="G24" s="30"/>
    </row>
    <row r="25" s="29" customFormat="1" ht="124" spans="1:7">
      <c r="A25" s="30" t="s">
        <v>172</v>
      </c>
      <c r="B25" s="11" t="s">
        <v>173</v>
      </c>
      <c r="C25" s="11" t="s">
        <v>173</v>
      </c>
      <c r="D25" s="11" t="s">
        <v>173</v>
      </c>
      <c r="E25" s="11" t="s">
        <v>173</v>
      </c>
      <c r="F25" s="30"/>
      <c r="G25" s="30"/>
    </row>
    <row r="26" s="29" customFormat="1" ht="156" spans="1:7">
      <c r="A26" s="30" t="s">
        <v>172</v>
      </c>
      <c r="B26" s="12" t="s">
        <v>174</v>
      </c>
      <c r="C26" s="12" t="s">
        <v>174</v>
      </c>
      <c r="D26" s="12" t="s">
        <v>174</v>
      </c>
      <c r="E26" s="12" t="s">
        <v>174</v>
      </c>
      <c r="F26" s="30"/>
      <c r="G26" s="30"/>
    </row>
    <row r="27" s="29" customFormat="1" ht="68" spans="1:7">
      <c r="A27" s="30" t="s">
        <v>172</v>
      </c>
      <c r="B27" s="13" t="s">
        <v>1155</v>
      </c>
      <c r="C27" s="13" t="s">
        <v>1155</v>
      </c>
      <c r="D27" s="13" t="s">
        <v>1155</v>
      </c>
      <c r="E27" s="13" t="s">
        <v>1155</v>
      </c>
      <c r="F27" s="30"/>
      <c r="G27" s="30"/>
    </row>
    <row r="28" s="29" customFormat="1" ht="22" spans="1:7">
      <c r="A28" s="30" t="s">
        <v>172</v>
      </c>
      <c r="B28" s="14" t="s">
        <v>176</v>
      </c>
      <c r="C28" s="14" t="s">
        <v>176</v>
      </c>
      <c r="D28" s="14" t="s">
        <v>176</v>
      </c>
      <c r="E28" s="14" t="s">
        <v>176</v>
      </c>
      <c r="F28" s="30"/>
      <c r="G28" s="30"/>
    </row>
    <row r="29" s="29" customFormat="1" spans="1:7">
      <c r="A29" s="30" t="s">
        <v>172</v>
      </c>
      <c r="B29" s="15" t="s">
        <v>177</v>
      </c>
      <c r="C29" s="16" t="s">
        <v>178</v>
      </c>
      <c r="D29" s="17" t="s">
        <v>179</v>
      </c>
      <c r="E29" s="18" t="s">
        <v>180</v>
      </c>
      <c r="F29" s="30"/>
      <c r="G29" s="30"/>
    </row>
    <row r="30" s="29" customFormat="1" ht="41" spans="1:7">
      <c r="A30" s="30" t="s">
        <v>172</v>
      </c>
      <c r="B30" s="19" t="s">
        <v>1163</v>
      </c>
      <c r="C30" s="20" t="s">
        <v>182</v>
      </c>
      <c r="D30" s="21">
        <v>6</v>
      </c>
      <c r="E30" s="22">
        <v>270000</v>
      </c>
      <c r="F30" s="30"/>
      <c r="G30" s="30"/>
    </row>
    <row r="31" s="29" customFormat="1" spans="1:7">
      <c r="A31" s="30" t="s">
        <v>172</v>
      </c>
      <c r="B31" s="19" t="s">
        <v>1163</v>
      </c>
      <c r="C31" s="16" t="s">
        <v>183</v>
      </c>
      <c r="D31" s="23">
        <v>6</v>
      </c>
      <c r="E31" s="24">
        <v>270000</v>
      </c>
      <c r="F31" s="30"/>
      <c r="G31" s="30"/>
    </row>
    <row r="32" s="29" customFormat="1" ht="41" spans="1:7">
      <c r="A32" s="30" t="s">
        <v>172</v>
      </c>
      <c r="B32" s="19" t="s">
        <v>1164</v>
      </c>
      <c r="C32" s="20" t="s">
        <v>182</v>
      </c>
      <c r="D32" s="21">
        <v>2</v>
      </c>
      <c r="E32" s="22">
        <v>4054054.054054</v>
      </c>
      <c r="F32" s="30"/>
      <c r="G32" s="30"/>
    </row>
    <row r="33" s="29" customFormat="1" ht="28" spans="1:7">
      <c r="A33" s="30" t="s">
        <v>172</v>
      </c>
      <c r="B33" s="19" t="s">
        <v>1164</v>
      </c>
      <c r="C33" s="16" t="s">
        <v>183</v>
      </c>
      <c r="D33" s="23">
        <v>2</v>
      </c>
      <c r="E33" s="24">
        <v>4054054.054054</v>
      </c>
      <c r="F33" s="30"/>
      <c r="G33" s="30"/>
    </row>
    <row r="34" s="29" customFormat="1" ht="41" spans="1:7">
      <c r="A34" s="30" t="s">
        <v>172</v>
      </c>
      <c r="B34" s="19" t="s">
        <v>1165</v>
      </c>
      <c r="C34" s="20" t="s">
        <v>182</v>
      </c>
      <c r="D34" s="21">
        <v>2</v>
      </c>
      <c r="E34" s="22">
        <v>2702702.702703</v>
      </c>
      <c r="F34" s="30"/>
      <c r="G34" s="30"/>
    </row>
    <row r="35" s="29" customFormat="1" spans="1:7">
      <c r="A35" s="30" t="s">
        <v>172</v>
      </c>
      <c r="B35" s="19" t="s">
        <v>1165</v>
      </c>
      <c r="C35" s="16" t="s">
        <v>183</v>
      </c>
      <c r="D35" s="23">
        <v>2</v>
      </c>
      <c r="E35" s="24">
        <v>2702702.702703</v>
      </c>
      <c r="F35" s="30"/>
      <c r="G35" s="30"/>
    </row>
    <row r="36" s="29" customFormat="1" ht="28" spans="1:7">
      <c r="A36" s="30" t="s">
        <v>172</v>
      </c>
      <c r="B36" s="19" t="s">
        <v>1166</v>
      </c>
      <c r="C36" s="20" t="s">
        <v>804</v>
      </c>
      <c r="D36" s="21">
        <v>2</v>
      </c>
      <c r="E36" s="22">
        <v>1160000</v>
      </c>
      <c r="F36" s="30"/>
      <c r="G36" s="30"/>
    </row>
    <row r="37" s="29" customFormat="1" spans="1:7">
      <c r="A37" s="30" t="s">
        <v>172</v>
      </c>
      <c r="B37" s="19" t="s">
        <v>1166</v>
      </c>
      <c r="C37" s="16" t="s">
        <v>183</v>
      </c>
      <c r="D37" s="23">
        <v>2</v>
      </c>
      <c r="E37" s="24">
        <v>1160000</v>
      </c>
      <c r="F37" s="30"/>
      <c r="G37" s="30"/>
    </row>
    <row r="38" s="29" customFormat="1" ht="28" spans="1:7">
      <c r="A38" s="30" t="s">
        <v>172</v>
      </c>
      <c r="B38" s="19" t="s">
        <v>1167</v>
      </c>
      <c r="C38" s="20" t="s">
        <v>804</v>
      </c>
      <c r="D38" s="21">
        <v>2</v>
      </c>
      <c r="E38" s="22">
        <v>1334000</v>
      </c>
      <c r="F38" s="30"/>
      <c r="G38" s="30"/>
    </row>
    <row r="39" s="29" customFormat="1" spans="1:7">
      <c r="A39" s="30" t="s">
        <v>172</v>
      </c>
      <c r="B39" s="19" t="s">
        <v>1167</v>
      </c>
      <c r="C39" s="16" t="s">
        <v>183</v>
      </c>
      <c r="D39" s="23">
        <v>2</v>
      </c>
      <c r="E39" s="24">
        <v>1334000</v>
      </c>
      <c r="F39" s="30"/>
      <c r="G39" s="30"/>
    </row>
    <row r="40" s="29" customFormat="1" ht="41" spans="1:7">
      <c r="A40" s="30" t="s">
        <v>172</v>
      </c>
      <c r="B40" s="19" t="s">
        <v>1168</v>
      </c>
      <c r="C40" s="20" t="s">
        <v>182</v>
      </c>
      <c r="D40" s="21">
        <v>2</v>
      </c>
      <c r="E40" s="22">
        <v>500000</v>
      </c>
      <c r="F40" s="30"/>
      <c r="G40" s="30"/>
    </row>
    <row r="41" s="29" customFormat="1" ht="28" spans="1:7">
      <c r="A41" s="30" t="s">
        <v>172</v>
      </c>
      <c r="B41" s="19" t="s">
        <v>1168</v>
      </c>
      <c r="C41" s="16" t="s">
        <v>183</v>
      </c>
      <c r="D41" s="23">
        <v>2</v>
      </c>
      <c r="E41" s="24">
        <v>500000</v>
      </c>
      <c r="F41" s="30"/>
      <c r="G41" s="30"/>
    </row>
    <row r="42" s="29" customFormat="1" ht="28" spans="1:7">
      <c r="A42" s="30" t="s">
        <v>172</v>
      </c>
      <c r="B42" s="19" t="s">
        <v>1169</v>
      </c>
      <c r="C42" s="20" t="s">
        <v>804</v>
      </c>
      <c r="D42" s="21">
        <v>2</v>
      </c>
      <c r="E42" s="22">
        <v>2175000</v>
      </c>
      <c r="F42" s="30"/>
      <c r="G42" s="30"/>
    </row>
    <row r="43" s="29" customFormat="1" ht="17.55" spans="1:7">
      <c r="A43" s="30" t="s">
        <v>172</v>
      </c>
      <c r="B43" s="19" t="s">
        <v>1169</v>
      </c>
      <c r="C43" s="16" t="s">
        <v>183</v>
      </c>
      <c r="D43" s="23">
        <v>2</v>
      </c>
      <c r="E43" s="24">
        <v>2175000</v>
      </c>
      <c r="F43" s="30"/>
      <c r="G43" s="30"/>
    </row>
    <row r="44" s="29" customFormat="1" spans="1:7">
      <c r="A44" s="30" t="s">
        <v>172</v>
      </c>
      <c r="B44" s="25"/>
      <c r="C44" s="25"/>
      <c r="D44" s="25"/>
      <c r="E44" s="25"/>
      <c r="F44" s="30"/>
      <c r="G44" s="30"/>
    </row>
    <row r="45" s="29" customFormat="1" ht="36" spans="1:7">
      <c r="A45" s="30" t="s">
        <v>172</v>
      </c>
      <c r="B45" s="26" t="s">
        <v>189</v>
      </c>
      <c r="C45" s="26" t="s">
        <v>189</v>
      </c>
      <c r="D45" s="26" t="s">
        <v>189</v>
      </c>
      <c r="E45" s="26" t="s">
        <v>189</v>
      </c>
      <c r="F45" s="30"/>
      <c r="G45" s="30"/>
    </row>
    <row r="46" s="29" customFormat="1" spans="1:7">
      <c r="A46" s="30" t="s">
        <v>172</v>
      </c>
      <c r="B46" s="26"/>
      <c r="C46" s="26"/>
      <c r="D46" s="26"/>
      <c r="E46" s="26"/>
      <c r="F46" s="30"/>
      <c r="G46" s="30"/>
    </row>
    <row r="47" s="29" customFormat="1" ht="36" spans="1:7">
      <c r="A47" s="30" t="s">
        <v>172</v>
      </c>
      <c r="B47" s="26" t="s">
        <v>958</v>
      </c>
      <c r="C47" s="26" t="s">
        <v>958</v>
      </c>
      <c r="D47" s="26" t="s">
        <v>958</v>
      </c>
      <c r="E47" s="26" t="s">
        <v>958</v>
      </c>
      <c r="F47" s="30"/>
      <c r="G47" s="30"/>
    </row>
    <row r="48" s="29" customFormat="1" spans="1:7">
      <c r="A48" s="30" t="s">
        <v>172</v>
      </c>
      <c r="B48" s="26" t="s">
        <v>198</v>
      </c>
      <c r="C48" s="26" t="s">
        <v>198</v>
      </c>
      <c r="D48" s="26" t="s">
        <v>198</v>
      </c>
      <c r="E48" s="26" t="s">
        <v>198</v>
      </c>
      <c r="F48" s="30"/>
      <c r="G48" s="30"/>
    </row>
    <row r="49" s="29" customFormat="1" ht="124" spans="1:7">
      <c r="A49" s="30" t="s">
        <v>172</v>
      </c>
      <c r="B49" s="11" t="s">
        <v>173</v>
      </c>
      <c r="C49" s="11" t="s">
        <v>173</v>
      </c>
      <c r="D49" s="11" t="s">
        <v>173</v>
      </c>
      <c r="E49" s="11" t="s">
        <v>173</v>
      </c>
      <c r="F49" s="30"/>
      <c r="G49" s="30"/>
    </row>
    <row r="50" s="29" customFormat="1" ht="156" spans="1:7">
      <c r="A50" s="30" t="s">
        <v>172</v>
      </c>
      <c r="B50" s="12" t="s">
        <v>174</v>
      </c>
      <c r="C50" s="12" t="s">
        <v>174</v>
      </c>
      <c r="D50" s="12" t="s">
        <v>174</v>
      </c>
      <c r="E50" s="12" t="s">
        <v>174</v>
      </c>
      <c r="F50" s="30"/>
      <c r="G50" s="30"/>
    </row>
    <row r="51" s="29" customFormat="1" ht="68" spans="1:7">
      <c r="B51" s="13" t="s">
        <v>1155</v>
      </c>
      <c r="C51" s="13" t="s">
        <v>1155</v>
      </c>
      <c r="D51" s="13" t="s">
        <v>1155</v>
      </c>
      <c r="E51" s="13" t="s">
        <v>1155</v>
      </c>
      <c r="F51" s="30"/>
      <c r="G51" s="30"/>
    </row>
    <row r="52" s="29" customFormat="1" ht="22" spans="1:7">
      <c r="B52" s="14" t="s">
        <v>176</v>
      </c>
      <c r="C52" s="14" t="s">
        <v>176</v>
      </c>
      <c r="D52" s="14" t="s">
        <v>176</v>
      </c>
      <c r="E52" s="14" t="s">
        <v>176</v>
      </c>
      <c r="F52" s="30"/>
      <c r="G52" s="30"/>
    </row>
    <row r="53" s="29" customFormat="1" spans="1:7">
      <c r="B53" s="15" t="s">
        <v>177</v>
      </c>
      <c r="C53" s="16" t="s">
        <v>178</v>
      </c>
      <c r="D53" s="17" t="s">
        <v>179</v>
      </c>
      <c r="E53" s="18" t="s">
        <v>180</v>
      </c>
      <c r="F53" s="30"/>
      <c r="G53" s="30"/>
    </row>
    <row r="54" s="29" customFormat="1" ht="41" spans="1:7">
      <c r="B54" s="19" t="s">
        <v>1170</v>
      </c>
      <c r="C54" s="20" t="s">
        <v>182</v>
      </c>
      <c r="D54" s="21">
        <v>1</v>
      </c>
      <c r="E54" s="22">
        <v>1267000</v>
      </c>
      <c r="F54" s="30"/>
      <c r="G54" s="30"/>
    </row>
    <row r="55" s="29" customFormat="1" ht="28" spans="1:7">
      <c r="B55" s="19" t="s">
        <v>1170</v>
      </c>
      <c r="C55" s="16" t="s">
        <v>183</v>
      </c>
      <c r="D55" s="23">
        <v>1</v>
      </c>
      <c r="E55" s="24">
        <v>1267000</v>
      </c>
      <c r="F55" s="30"/>
      <c r="G55" s="30"/>
    </row>
    <row r="56" s="29" customFormat="1" ht="41" spans="1:7">
      <c r="B56" s="19" t="s">
        <v>1171</v>
      </c>
      <c r="C56" s="20" t="s">
        <v>182</v>
      </c>
      <c r="D56" s="21">
        <v>1</v>
      </c>
      <c r="E56" s="22">
        <v>300000</v>
      </c>
      <c r="F56" s="30"/>
      <c r="G56" s="30"/>
    </row>
    <row r="57" s="29" customFormat="1" ht="28" spans="1:7">
      <c r="B57" s="19" t="s">
        <v>1171</v>
      </c>
      <c r="C57" s="16" t="s">
        <v>183</v>
      </c>
      <c r="D57" s="23">
        <v>1</v>
      </c>
      <c r="E57" s="24">
        <v>300000</v>
      </c>
      <c r="F57" s="30"/>
      <c r="G57" s="30"/>
    </row>
    <row r="58" s="29" customFormat="1" ht="28" spans="1:7">
      <c r="B58" s="19" t="s">
        <v>1172</v>
      </c>
      <c r="C58" s="20" t="s">
        <v>804</v>
      </c>
      <c r="D58" s="21">
        <v>1</v>
      </c>
      <c r="E58" s="22">
        <v>392793</v>
      </c>
      <c r="F58" s="30"/>
      <c r="G58" s="30"/>
    </row>
    <row r="59" s="29" customFormat="1" ht="28" spans="1:7">
      <c r="B59" s="19" t="s">
        <v>1172</v>
      </c>
      <c r="C59" s="16" t="s">
        <v>183</v>
      </c>
      <c r="D59" s="23">
        <v>1</v>
      </c>
      <c r="E59" s="24">
        <v>392793</v>
      </c>
      <c r="F59" s="30"/>
      <c r="G59" s="30"/>
    </row>
    <row r="60" s="29" customFormat="1" ht="41" spans="1:7">
      <c r="B60" s="19" t="s">
        <v>1173</v>
      </c>
      <c r="C60" s="20" t="s">
        <v>182</v>
      </c>
      <c r="D60" s="21">
        <v>1</v>
      </c>
      <c r="E60" s="22">
        <v>410810.810811</v>
      </c>
      <c r="F60" s="30"/>
      <c r="G60" s="30"/>
    </row>
    <row r="61" s="29" customFormat="1" spans="1:7">
      <c r="B61" s="19" t="s">
        <v>1173</v>
      </c>
      <c r="C61" s="16" t="s">
        <v>183</v>
      </c>
      <c r="D61" s="23">
        <v>1</v>
      </c>
      <c r="E61" s="24">
        <v>410810.810811</v>
      </c>
      <c r="F61" s="30"/>
      <c r="G61" s="30"/>
    </row>
    <row r="62" s="29" customFormat="1" ht="28" spans="1:7">
      <c r="B62" s="19" t="s">
        <v>1174</v>
      </c>
      <c r="C62" s="20" t="s">
        <v>804</v>
      </c>
      <c r="D62" s="21">
        <v>1</v>
      </c>
      <c r="E62" s="22">
        <v>517117.117117</v>
      </c>
      <c r="F62" s="30"/>
      <c r="G62" s="30"/>
    </row>
    <row r="63" s="29" customFormat="1" spans="1:7">
      <c r="B63" s="19" t="s">
        <v>1174</v>
      </c>
      <c r="C63" s="16" t="s">
        <v>183</v>
      </c>
      <c r="D63" s="23">
        <v>1</v>
      </c>
      <c r="E63" s="24">
        <v>517117.117117</v>
      </c>
      <c r="F63" s="30"/>
      <c r="G63" s="30"/>
    </row>
    <row r="64" s="29" customFormat="1" ht="41" spans="1:7">
      <c r="B64" s="19" t="s">
        <v>1175</v>
      </c>
      <c r="C64" s="20" t="s">
        <v>182</v>
      </c>
      <c r="D64" s="21">
        <v>1</v>
      </c>
      <c r="E64" s="22">
        <v>463063.063063</v>
      </c>
      <c r="F64" s="30"/>
      <c r="G64" s="30"/>
    </row>
    <row r="65" s="29" customFormat="1" spans="2:7">
      <c r="B65" s="19" t="s">
        <v>1175</v>
      </c>
      <c r="C65" s="16" t="s">
        <v>183</v>
      </c>
      <c r="D65" s="23">
        <v>1</v>
      </c>
      <c r="E65" s="24">
        <v>463063.063063</v>
      </c>
      <c r="F65" s="30"/>
      <c r="G65" s="30"/>
    </row>
    <row r="66" s="29" customFormat="1" ht="41" spans="2:7">
      <c r="B66" s="19" t="s">
        <v>1176</v>
      </c>
      <c r="C66" s="20" t="s">
        <v>182</v>
      </c>
      <c r="D66" s="21">
        <v>1</v>
      </c>
      <c r="E66" s="22">
        <v>417117.117117</v>
      </c>
      <c r="F66" s="30"/>
      <c r="G66" s="30"/>
    </row>
    <row r="67" s="29" customFormat="1" ht="17.55" spans="2:7">
      <c r="B67" s="19" t="s">
        <v>1176</v>
      </c>
      <c r="C67" s="16" t="s">
        <v>183</v>
      </c>
      <c r="D67" s="23">
        <v>1</v>
      </c>
      <c r="E67" s="24">
        <v>417117.117117</v>
      </c>
      <c r="F67" s="30"/>
      <c r="G67" s="30"/>
    </row>
    <row r="68" s="29" customFormat="1" spans="2:7">
      <c r="B68" s="25"/>
      <c r="C68" s="25"/>
      <c r="D68" s="25"/>
      <c r="E68" s="25"/>
      <c r="F68" s="30"/>
      <c r="G68" s="30"/>
    </row>
    <row r="69" s="29" customFormat="1" ht="36" spans="2:7">
      <c r="B69" s="26" t="s">
        <v>189</v>
      </c>
      <c r="C69" s="26" t="s">
        <v>189</v>
      </c>
      <c r="D69" s="26" t="s">
        <v>189</v>
      </c>
      <c r="E69" s="26" t="s">
        <v>189</v>
      </c>
      <c r="F69" s="30"/>
      <c r="G69" s="30"/>
    </row>
    <row r="70" s="29" customFormat="1" spans="2:7">
      <c r="B70" s="26"/>
      <c r="C70" s="26"/>
      <c r="D70" s="26"/>
      <c r="E70" s="26"/>
      <c r="F70" s="30"/>
      <c r="G70" s="30"/>
    </row>
    <row r="71" s="29" customFormat="1" ht="36" spans="2:7">
      <c r="B71" s="26" t="s">
        <v>958</v>
      </c>
      <c r="C71" s="26" t="s">
        <v>958</v>
      </c>
      <c r="D71" s="26" t="s">
        <v>958</v>
      </c>
      <c r="E71" s="26" t="s">
        <v>958</v>
      </c>
      <c r="F71" s="30"/>
      <c r="G71" s="30"/>
    </row>
    <row r="72" s="29" customFormat="1" spans="2:7">
      <c r="B72" s="26" t="s">
        <v>205</v>
      </c>
      <c r="C72" s="26" t="s">
        <v>205</v>
      </c>
      <c r="D72" s="26" t="s">
        <v>205</v>
      </c>
      <c r="E72" s="26" t="s">
        <v>205</v>
      </c>
      <c r="F72" s="30"/>
      <c r="G72" s="30"/>
    </row>
    <row r="73" s="29" customFormat="1" ht="124" spans="2:7">
      <c r="B73" s="11" t="s">
        <v>173</v>
      </c>
      <c r="C73" s="11" t="s">
        <v>173</v>
      </c>
      <c r="D73" s="11" t="s">
        <v>173</v>
      </c>
      <c r="E73" s="11" t="s">
        <v>173</v>
      </c>
      <c r="F73" s="30"/>
      <c r="G73" s="30"/>
    </row>
    <row r="74" s="29" customFormat="1" ht="156" spans="2:7">
      <c r="B74" s="12" t="s">
        <v>174</v>
      </c>
      <c r="C74" s="12" t="s">
        <v>174</v>
      </c>
      <c r="D74" s="12" t="s">
        <v>174</v>
      </c>
      <c r="E74" s="12" t="s">
        <v>174</v>
      </c>
      <c r="F74" s="30"/>
      <c r="G74" s="30"/>
    </row>
    <row r="75" s="29" customFormat="1" ht="68" spans="2:7">
      <c r="B75" s="13" t="s">
        <v>1155</v>
      </c>
      <c r="C75" s="13" t="s">
        <v>1155</v>
      </c>
      <c r="D75" s="13" t="s">
        <v>1155</v>
      </c>
      <c r="E75" s="13" t="s">
        <v>1155</v>
      </c>
      <c r="F75" s="30"/>
      <c r="G75" s="30"/>
    </row>
    <row r="76" s="29" customFormat="1" ht="22" spans="2:7">
      <c r="B76" s="14" t="s">
        <v>176</v>
      </c>
      <c r="C76" s="14" t="s">
        <v>176</v>
      </c>
      <c r="D76" s="14" t="s">
        <v>176</v>
      </c>
      <c r="E76" s="14" t="s">
        <v>176</v>
      </c>
      <c r="F76" s="30"/>
      <c r="G76" s="30"/>
    </row>
    <row r="77" s="29" customFormat="1" spans="2:7">
      <c r="B77" s="15" t="s">
        <v>177</v>
      </c>
      <c r="C77" s="16" t="s">
        <v>178</v>
      </c>
      <c r="D77" s="17" t="s">
        <v>179</v>
      </c>
      <c r="E77" s="18" t="s">
        <v>180</v>
      </c>
    </row>
    <row r="78" s="29" customFormat="1" ht="41" spans="2:7">
      <c r="B78" s="19" t="s">
        <v>1177</v>
      </c>
      <c r="C78" s="20" t="s">
        <v>182</v>
      </c>
      <c r="D78" s="21">
        <v>1</v>
      </c>
      <c r="E78" s="22">
        <v>529729.72973</v>
      </c>
    </row>
    <row r="79" s="29" customFormat="1" spans="2:7">
      <c r="B79" s="19" t="s">
        <v>1177</v>
      </c>
      <c r="C79" s="16" t="s">
        <v>183</v>
      </c>
      <c r="D79" s="23">
        <v>1</v>
      </c>
      <c r="E79" s="24">
        <v>529729.72973</v>
      </c>
    </row>
    <row r="80" s="29" customFormat="1" ht="41" spans="2:7">
      <c r="B80" s="19" t="s">
        <v>1178</v>
      </c>
      <c r="C80" s="20" t="s">
        <v>182</v>
      </c>
      <c r="D80" s="21">
        <v>1</v>
      </c>
      <c r="E80" s="22">
        <v>399099.099099</v>
      </c>
    </row>
    <row r="81" s="29" customFormat="1" spans="2:5">
      <c r="B81" s="19" t="s">
        <v>1178</v>
      </c>
      <c r="C81" s="16" t="s">
        <v>183</v>
      </c>
      <c r="D81" s="23">
        <v>1</v>
      </c>
      <c r="E81" s="24">
        <v>399099.099099</v>
      </c>
    </row>
    <row r="82" s="29" customFormat="1" ht="28" spans="2:5">
      <c r="B82" s="19" t="s">
        <v>1179</v>
      </c>
      <c r="C82" s="20" t="s">
        <v>804</v>
      </c>
      <c r="D82" s="21">
        <v>3</v>
      </c>
      <c r="E82" s="22">
        <v>1532432.315315</v>
      </c>
    </row>
    <row r="83" s="29" customFormat="1" spans="2:5">
      <c r="B83" s="19" t="s">
        <v>1179</v>
      </c>
      <c r="C83" s="16" t="s">
        <v>183</v>
      </c>
      <c r="D83" s="23">
        <v>3</v>
      </c>
      <c r="E83" s="24">
        <v>1532432.315315</v>
      </c>
    </row>
    <row r="84" s="29" customFormat="1" ht="41" spans="2:5">
      <c r="B84" s="19" t="s">
        <v>1180</v>
      </c>
      <c r="C84" s="20" t="s">
        <v>182</v>
      </c>
      <c r="D84" s="21">
        <v>1</v>
      </c>
      <c r="E84" s="22">
        <v>405405.405405</v>
      </c>
    </row>
    <row r="85" s="29" customFormat="1" spans="2:5">
      <c r="B85" s="19" t="s">
        <v>1180</v>
      </c>
      <c r="C85" s="16" t="s">
        <v>183</v>
      </c>
      <c r="D85" s="23">
        <v>1</v>
      </c>
      <c r="E85" s="24">
        <v>405405.405405</v>
      </c>
    </row>
    <row r="86" s="29" customFormat="1" ht="41" spans="2:5">
      <c r="B86" s="19" t="s">
        <v>1181</v>
      </c>
      <c r="C86" s="20" t="s">
        <v>182</v>
      </c>
      <c r="D86" s="21">
        <v>1</v>
      </c>
      <c r="E86" s="22">
        <v>474774.774775</v>
      </c>
    </row>
    <row r="87" s="29" customFormat="1" spans="2:5">
      <c r="B87" s="19" t="s">
        <v>1181</v>
      </c>
      <c r="C87" s="16" t="s">
        <v>183</v>
      </c>
      <c r="D87" s="23">
        <v>1</v>
      </c>
      <c r="E87" s="24">
        <v>474774.774775</v>
      </c>
    </row>
    <row r="88" s="29" customFormat="1" ht="41" spans="2:5">
      <c r="B88" s="19" t="s">
        <v>1182</v>
      </c>
      <c r="C88" s="20" t="s">
        <v>182</v>
      </c>
      <c r="D88" s="21">
        <v>1</v>
      </c>
      <c r="E88" s="22">
        <v>481081.081081</v>
      </c>
    </row>
    <row r="89" s="29" customFormat="1" spans="2:5">
      <c r="B89" s="19" t="s">
        <v>1182</v>
      </c>
      <c r="C89" s="16" t="s">
        <v>183</v>
      </c>
      <c r="D89" s="23">
        <v>1</v>
      </c>
      <c r="E89" s="24">
        <v>481081.081081</v>
      </c>
    </row>
    <row r="90" s="29" customFormat="1" ht="41" spans="2:5">
      <c r="B90" s="19" t="s">
        <v>1183</v>
      </c>
      <c r="C90" s="20" t="s">
        <v>182</v>
      </c>
      <c r="D90" s="21">
        <v>1</v>
      </c>
      <c r="E90" s="22">
        <v>490090</v>
      </c>
    </row>
    <row r="91" s="29" customFormat="1" ht="17.55" spans="2:5">
      <c r="B91" s="19" t="s">
        <v>1183</v>
      </c>
      <c r="C91" s="16" t="s">
        <v>183</v>
      </c>
      <c r="D91" s="23">
        <v>1</v>
      </c>
      <c r="E91" s="24">
        <v>490090</v>
      </c>
    </row>
    <row r="92" s="29" customFormat="1" spans="2:5">
      <c r="B92" s="25"/>
      <c r="C92" s="25"/>
      <c r="D92" s="25"/>
      <c r="E92" s="25"/>
    </row>
    <row r="93" s="29" customFormat="1" ht="36" spans="2:5">
      <c r="B93" s="26" t="s">
        <v>189</v>
      </c>
      <c r="C93" s="26" t="s">
        <v>189</v>
      </c>
      <c r="D93" s="26" t="s">
        <v>189</v>
      </c>
      <c r="E93" s="26" t="s">
        <v>189</v>
      </c>
    </row>
    <row r="94" s="29" customFormat="1" spans="2:5">
      <c r="B94" s="26"/>
      <c r="C94" s="26"/>
      <c r="D94" s="26"/>
      <c r="E94" s="26"/>
    </row>
    <row r="95" s="29" customFormat="1" ht="36" spans="2:5">
      <c r="B95" s="26" t="s">
        <v>958</v>
      </c>
      <c r="C95" s="26" t="s">
        <v>958</v>
      </c>
      <c r="D95" s="26" t="s">
        <v>958</v>
      </c>
      <c r="E95" s="26" t="s">
        <v>958</v>
      </c>
    </row>
    <row r="96" s="29" customFormat="1" spans="2:5">
      <c r="B96" s="26" t="s">
        <v>212</v>
      </c>
      <c r="C96" s="26" t="s">
        <v>212</v>
      </c>
      <c r="D96" s="26" t="s">
        <v>212</v>
      </c>
      <c r="E96" s="26" t="s">
        <v>212</v>
      </c>
    </row>
    <row r="97" s="29" customFormat="1" ht="124" spans="2:5">
      <c r="B97" s="11" t="s">
        <v>173</v>
      </c>
      <c r="C97" s="11" t="s">
        <v>173</v>
      </c>
      <c r="D97" s="11" t="s">
        <v>173</v>
      </c>
      <c r="E97" s="11" t="s">
        <v>173</v>
      </c>
    </row>
    <row r="98" s="29" customFormat="1" ht="156" spans="2:5">
      <c r="B98" s="12" t="s">
        <v>174</v>
      </c>
      <c r="C98" s="12" t="s">
        <v>174</v>
      </c>
      <c r="D98" s="12" t="s">
        <v>174</v>
      </c>
      <c r="E98" s="12" t="s">
        <v>174</v>
      </c>
    </row>
    <row r="99" s="29" customFormat="1" ht="68" spans="2:5">
      <c r="B99" s="13" t="s">
        <v>1155</v>
      </c>
      <c r="C99" s="13" t="s">
        <v>1155</v>
      </c>
      <c r="D99" s="13" t="s">
        <v>1155</v>
      </c>
      <c r="E99" s="13" t="s">
        <v>1155</v>
      </c>
    </row>
    <row r="100" s="29" customFormat="1" ht="22" spans="2:5">
      <c r="B100" s="14" t="s">
        <v>176</v>
      </c>
      <c r="C100" s="14" t="s">
        <v>176</v>
      </c>
      <c r="D100" s="14" t="s">
        <v>176</v>
      </c>
      <c r="E100" s="14" t="s">
        <v>176</v>
      </c>
    </row>
    <row r="101" s="29" customFormat="1" spans="2:5">
      <c r="B101" s="15" t="s">
        <v>177</v>
      </c>
      <c r="C101" s="16" t="s">
        <v>178</v>
      </c>
      <c r="D101" s="17" t="s">
        <v>179</v>
      </c>
      <c r="E101" s="18" t="s">
        <v>180</v>
      </c>
    </row>
    <row r="102" s="29" customFormat="1" ht="41" spans="2:5">
      <c r="B102" s="19" t="s">
        <v>1184</v>
      </c>
      <c r="C102" s="20" t="s">
        <v>182</v>
      </c>
      <c r="D102" s="21">
        <v>1</v>
      </c>
      <c r="E102" s="22">
        <v>876000</v>
      </c>
    </row>
    <row r="103" s="29" customFormat="1" ht="41" spans="2:5">
      <c r="B103" s="19" t="s">
        <v>1184</v>
      </c>
      <c r="C103" s="16" t="s">
        <v>183</v>
      </c>
      <c r="D103" s="23">
        <v>1</v>
      </c>
      <c r="E103" s="24">
        <v>876000</v>
      </c>
    </row>
    <row r="104" s="29" customFormat="1" ht="41" spans="2:5">
      <c r="B104" s="19" t="s">
        <v>1185</v>
      </c>
      <c r="C104" s="20" t="s">
        <v>182</v>
      </c>
      <c r="D104" s="21">
        <v>2</v>
      </c>
      <c r="E104" s="22">
        <v>900000</v>
      </c>
    </row>
    <row r="105" s="29" customFormat="1" ht="28" spans="2:5">
      <c r="B105" s="19" t="s">
        <v>1185</v>
      </c>
      <c r="C105" s="16" t="s">
        <v>183</v>
      </c>
      <c r="D105" s="23">
        <v>2</v>
      </c>
      <c r="E105" s="24">
        <v>900000</v>
      </c>
    </row>
    <row r="106" s="29" customFormat="1" ht="28" spans="2:5">
      <c r="B106" s="19" t="s">
        <v>1186</v>
      </c>
      <c r="C106" s="20" t="s">
        <v>804</v>
      </c>
      <c r="D106" s="21">
        <v>1</v>
      </c>
      <c r="E106" s="22">
        <v>3500000</v>
      </c>
    </row>
    <row r="107" s="29" customFormat="1" spans="2:5">
      <c r="B107" s="19" t="s">
        <v>1186</v>
      </c>
      <c r="C107" s="16" t="s">
        <v>183</v>
      </c>
      <c r="D107" s="23">
        <v>1</v>
      </c>
      <c r="E107" s="24">
        <v>3500000</v>
      </c>
    </row>
    <row r="108" s="29" customFormat="1" ht="41" spans="2:5">
      <c r="B108" s="19" t="s">
        <v>1187</v>
      </c>
      <c r="C108" s="20" t="s">
        <v>182</v>
      </c>
      <c r="D108" s="21">
        <v>2</v>
      </c>
      <c r="E108" s="22">
        <v>260000</v>
      </c>
    </row>
    <row r="109" s="29" customFormat="1" ht="28" spans="2:5">
      <c r="B109" s="19" t="s">
        <v>1187</v>
      </c>
      <c r="C109" s="16" t="s">
        <v>183</v>
      </c>
      <c r="D109" s="23">
        <v>2</v>
      </c>
      <c r="E109" s="24">
        <v>260000</v>
      </c>
    </row>
    <row r="110" s="29" customFormat="1" ht="28" spans="2:5">
      <c r="B110" s="19" t="s">
        <v>1188</v>
      </c>
      <c r="C110" s="20" t="s">
        <v>804</v>
      </c>
      <c r="D110" s="21">
        <v>1</v>
      </c>
      <c r="E110" s="22">
        <v>250000</v>
      </c>
    </row>
    <row r="111" s="29" customFormat="1" spans="2:5">
      <c r="B111" s="19" t="s">
        <v>1188</v>
      </c>
      <c r="C111" s="16" t="s">
        <v>183</v>
      </c>
      <c r="D111" s="23">
        <v>1</v>
      </c>
      <c r="E111" s="24">
        <v>250000</v>
      </c>
    </row>
    <row r="112" s="29" customFormat="1" ht="28" spans="2:5">
      <c r="B112" s="19" t="s">
        <v>1189</v>
      </c>
      <c r="C112" s="20" t="s">
        <v>804</v>
      </c>
      <c r="D112" s="21">
        <v>2</v>
      </c>
      <c r="E112" s="22">
        <v>321621.621622</v>
      </c>
    </row>
    <row r="113" s="29" customFormat="1" spans="2:5">
      <c r="B113" s="19" t="s">
        <v>1189</v>
      </c>
      <c r="C113" s="16" t="s">
        <v>183</v>
      </c>
      <c r="D113" s="23">
        <v>2</v>
      </c>
      <c r="E113" s="24">
        <v>321621.621622</v>
      </c>
    </row>
    <row r="114" s="29" customFormat="1" ht="41" spans="2:5">
      <c r="B114" s="19" t="s">
        <v>485</v>
      </c>
      <c r="C114" s="20" t="s">
        <v>182</v>
      </c>
      <c r="D114" s="21">
        <v>1</v>
      </c>
      <c r="E114" s="22">
        <v>177927.927928</v>
      </c>
    </row>
    <row r="115" s="29" customFormat="1" ht="17.55" spans="2:5">
      <c r="B115" s="19" t="s">
        <v>485</v>
      </c>
      <c r="C115" s="16" t="s">
        <v>183</v>
      </c>
      <c r="D115" s="23">
        <v>1</v>
      </c>
      <c r="E115" s="24">
        <v>177927.927928</v>
      </c>
    </row>
    <row r="116" s="29" customFormat="1" spans="2:5">
      <c r="B116" s="25"/>
      <c r="C116" s="25"/>
      <c r="D116" s="25"/>
      <c r="E116" s="25"/>
    </row>
    <row r="117" s="29" customFormat="1" ht="36" spans="2:5">
      <c r="B117" s="26" t="s">
        <v>189</v>
      </c>
      <c r="C117" s="26" t="s">
        <v>189</v>
      </c>
      <c r="D117" s="26" t="s">
        <v>189</v>
      </c>
      <c r="E117" s="26" t="s">
        <v>189</v>
      </c>
    </row>
    <row r="118" s="29" customFormat="1" spans="2:5">
      <c r="B118" s="26"/>
      <c r="C118" s="26"/>
      <c r="D118" s="26"/>
      <c r="E118" s="26"/>
    </row>
    <row r="119" s="29" customFormat="1" ht="36" spans="2:5">
      <c r="B119" s="26" t="s">
        <v>958</v>
      </c>
      <c r="C119" s="26" t="s">
        <v>958</v>
      </c>
      <c r="D119" s="26" t="s">
        <v>958</v>
      </c>
      <c r="E119" s="26" t="s">
        <v>958</v>
      </c>
    </row>
    <row r="120" s="29" customFormat="1" spans="2:5">
      <c r="B120" s="26" t="s">
        <v>219</v>
      </c>
      <c r="C120" s="26" t="s">
        <v>219</v>
      </c>
      <c r="D120" s="26" t="s">
        <v>219</v>
      </c>
      <c r="E120" s="26" t="s">
        <v>219</v>
      </c>
    </row>
    <row r="121" s="29" customFormat="1" ht="124" spans="2:5">
      <c r="B121" s="11" t="s">
        <v>173</v>
      </c>
      <c r="C121" s="11" t="s">
        <v>173</v>
      </c>
      <c r="D121" s="11" t="s">
        <v>173</v>
      </c>
      <c r="E121" s="11" t="s">
        <v>173</v>
      </c>
    </row>
    <row r="122" s="29" customFormat="1" ht="156" spans="2:5">
      <c r="B122" s="12" t="s">
        <v>174</v>
      </c>
      <c r="C122" s="12" t="s">
        <v>174</v>
      </c>
      <c r="D122" s="12" t="s">
        <v>174</v>
      </c>
      <c r="E122" s="12" t="s">
        <v>174</v>
      </c>
    </row>
    <row r="123" s="29" customFormat="1" ht="68" spans="2:5">
      <c r="B123" s="13" t="s">
        <v>1155</v>
      </c>
      <c r="C123" s="13" t="s">
        <v>1155</v>
      </c>
      <c r="D123" s="13" t="s">
        <v>1155</v>
      </c>
      <c r="E123" s="13" t="s">
        <v>1155</v>
      </c>
    </row>
    <row r="124" s="29" customFormat="1" ht="22" spans="2:5">
      <c r="B124" s="14" t="s">
        <v>176</v>
      </c>
      <c r="C124" s="14" t="s">
        <v>176</v>
      </c>
      <c r="D124" s="14" t="s">
        <v>176</v>
      </c>
      <c r="E124" s="14" t="s">
        <v>176</v>
      </c>
    </row>
    <row r="125" s="29" customFormat="1" spans="2:5">
      <c r="B125" s="15" t="s">
        <v>177</v>
      </c>
      <c r="C125" s="16" t="s">
        <v>178</v>
      </c>
      <c r="D125" s="17" t="s">
        <v>179</v>
      </c>
      <c r="E125" s="18" t="s">
        <v>180</v>
      </c>
    </row>
    <row r="126" s="29" customFormat="1" ht="41" spans="2:5">
      <c r="B126" s="19" t="s">
        <v>344</v>
      </c>
      <c r="C126" s="20" t="s">
        <v>182</v>
      </c>
      <c r="D126" s="21">
        <v>2</v>
      </c>
      <c r="E126" s="22">
        <v>181981.981982</v>
      </c>
    </row>
    <row r="127" s="29" customFormat="1" ht="28" spans="2:5">
      <c r="B127" s="19" t="s">
        <v>344</v>
      </c>
      <c r="C127" s="20" t="s">
        <v>804</v>
      </c>
      <c r="D127" s="21">
        <v>4</v>
      </c>
      <c r="E127" s="22">
        <v>363963.828829</v>
      </c>
    </row>
    <row r="128" s="29" customFormat="1" spans="2:5">
      <c r="B128" s="19" t="s">
        <v>344</v>
      </c>
      <c r="C128" s="16" t="s">
        <v>183</v>
      </c>
      <c r="D128" s="23">
        <v>6</v>
      </c>
      <c r="E128" s="24">
        <v>545945.810811</v>
      </c>
    </row>
    <row r="129" s="29" customFormat="1" ht="41" spans="2:5">
      <c r="B129" s="19" t="s">
        <v>394</v>
      </c>
      <c r="C129" s="20" t="s">
        <v>182</v>
      </c>
      <c r="D129" s="21">
        <v>2</v>
      </c>
      <c r="E129" s="22">
        <v>134684.684685</v>
      </c>
    </row>
    <row r="130" s="29" customFormat="1" ht="28" spans="2:5">
      <c r="B130" s="19" t="s">
        <v>394</v>
      </c>
      <c r="C130" s="20" t="s">
        <v>804</v>
      </c>
      <c r="D130" s="21">
        <v>7</v>
      </c>
      <c r="E130" s="22">
        <v>942792.891893</v>
      </c>
    </row>
    <row r="131" s="29" customFormat="1" spans="2:5">
      <c r="B131" s="19" t="s">
        <v>394</v>
      </c>
      <c r="C131" s="16" t="s">
        <v>183</v>
      </c>
      <c r="D131" s="23">
        <v>9</v>
      </c>
      <c r="E131" s="24">
        <v>1077477.576578</v>
      </c>
    </row>
    <row r="132" s="29" customFormat="1" ht="41" spans="2:5">
      <c r="B132" s="19" t="s">
        <v>184</v>
      </c>
      <c r="C132" s="20" t="s">
        <v>182</v>
      </c>
      <c r="D132" s="21">
        <v>6</v>
      </c>
      <c r="E132" s="22">
        <v>5580580</v>
      </c>
    </row>
    <row r="133" s="29" customFormat="1" ht="28" spans="2:5">
      <c r="B133" s="19" t="s">
        <v>184</v>
      </c>
      <c r="C133" s="16" t="s">
        <v>183</v>
      </c>
      <c r="D133" s="23">
        <v>6</v>
      </c>
      <c r="E133" s="24">
        <v>5580580</v>
      </c>
    </row>
    <row r="134" s="29" customFormat="1" ht="41" spans="2:5">
      <c r="B134" s="19" t="s">
        <v>575</v>
      </c>
      <c r="C134" s="20" t="s">
        <v>182</v>
      </c>
      <c r="D134" s="21">
        <v>3</v>
      </c>
      <c r="E134" s="22">
        <v>2132337.297297</v>
      </c>
    </row>
    <row r="135" s="29" customFormat="1" ht="28" spans="2:5">
      <c r="B135" s="19" t="s">
        <v>575</v>
      </c>
      <c r="C135" s="16" t="s">
        <v>183</v>
      </c>
      <c r="D135" s="23">
        <v>3</v>
      </c>
      <c r="E135" s="24">
        <v>2132337.297297</v>
      </c>
    </row>
    <row r="136" s="29" customFormat="1" ht="41" spans="2:5">
      <c r="B136" s="19" t="s">
        <v>346</v>
      </c>
      <c r="C136" s="20" t="s">
        <v>182</v>
      </c>
      <c r="D136" s="21">
        <v>8</v>
      </c>
      <c r="E136" s="22">
        <v>5219937.234234</v>
      </c>
    </row>
    <row r="137" s="29" customFormat="1" ht="28" spans="2:5">
      <c r="B137" s="19" t="s">
        <v>346</v>
      </c>
      <c r="C137" s="20" t="s">
        <v>804</v>
      </c>
      <c r="D137" s="21">
        <v>1</v>
      </c>
      <c r="E137" s="22">
        <v>834234</v>
      </c>
    </row>
    <row r="138" s="29" customFormat="1" ht="28.75" spans="2:5">
      <c r="B138" s="19" t="s">
        <v>346</v>
      </c>
      <c r="C138" s="16" t="s">
        <v>183</v>
      </c>
      <c r="D138" s="23">
        <v>9</v>
      </c>
      <c r="E138" s="24">
        <v>6054171.234234</v>
      </c>
    </row>
    <row r="139" s="29" customFormat="1" spans="2:5">
      <c r="B139" s="25"/>
      <c r="C139" s="25"/>
      <c r="D139" s="25"/>
      <c r="E139" s="25"/>
    </row>
    <row r="140" s="29" customFormat="1" ht="36" spans="2:5">
      <c r="B140" s="26" t="s">
        <v>189</v>
      </c>
      <c r="C140" s="26" t="s">
        <v>189</v>
      </c>
      <c r="D140" s="26" t="s">
        <v>189</v>
      </c>
      <c r="E140" s="26" t="s">
        <v>189</v>
      </c>
    </row>
    <row r="141" s="29" customFormat="1" spans="2:5">
      <c r="B141" s="26"/>
      <c r="C141" s="26"/>
      <c r="D141" s="26"/>
      <c r="E141" s="26"/>
    </row>
    <row r="142" s="29" customFormat="1" ht="36" spans="2:5">
      <c r="B142" s="26" t="s">
        <v>958</v>
      </c>
      <c r="C142" s="26" t="s">
        <v>958</v>
      </c>
      <c r="D142" s="26" t="s">
        <v>958</v>
      </c>
      <c r="E142" s="26" t="s">
        <v>958</v>
      </c>
    </row>
    <row r="143" s="29" customFormat="1" spans="2:5">
      <c r="B143" s="26" t="s">
        <v>226</v>
      </c>
      <c r="C143" s="26" t="s">
        <v>226</v>
      </c>
      <c r="D143" s="26" t="s">
        <v>226</v>
      </c>
      <c r="E143" s="26" t="s">
        <v>226</v>
      </c>
    </row>
    <row r="144" s="29" customFormat="1" ht="124" spans="2:5">
      <c r="B144" s="11" t="s">
        <v>173</v>
      </c>
      <c r="C144" s="11" t="s">
        <v>173</v>
      </c>
      <c r="D144" s="11" t="s">
        <v>173</v>
      </c>
      <c r="E144" s="11" t="s">
        <v>173</v>
      </c>
    </row>
    <row r="145" s="29" customFormat="1" ht="156" spans="2:5">
      <c r="B145" s="12" t="s">
        <v>174</v>
      </c>
      <c r="C145" s="12" t="s">
        <v>174</v>
      </c>
      <c r="D145" s="12" t="s">
        <v>174</v>
      </c>
      <c r="E145" s="12" t="s">
        <v>174</v>
      </c>
    </row>
    <row r="146" s="29" customFormat="1" ht="68" spans="2:5">
      <c r="B146" s="13" t="s">
        <v>1155</v>
      </c>
      <c r="C146" s="13" t="s">
        <v>1155</v>
      </c>
      <c r="D146" s="13" t="s">
        <v>1155</v>
      </c>
      <c r="E146" s="13" t="s">
        <v>1155</v>
      </c>
    </row>
    <row r="147" s="29" customFormat="1" ht="22" spans="2:5">
      <c r="B147" s="14" t="s">
        <v>176</v>
      </c>
      <c r="C147" s="14" t="s">
        <v>176</v>
      </c>
      <c r="D147" s="14" t="s">
        <v>176</v>
      </c>
      <c r="E147" s="14" t="s">
        <v>176</v>
      </c>
    </row>
    <row r="148" s="29" customFormat="1" spans="2:5">
      <c r="B148" s="15" t="s">
        <v>177</v>
      </c>
      <c r="C148" s="16" t="s">
        <v>178</v>
      </c>
      <c r="D148" s="17" t="s">
        <v>179</v>
      </c>
      <c r="E148" s="18" t="s">
        <v>180</v>
      </c>
    </row>
    <row r="149" s="29" customFormat="1" ht="41" spans="2:5">
      <c r="B149" s="19" t="s">
        <v>185</v>
      </c>
      <c r="C149" s="20" t="s">
        <v>182</v>
      </c>
      <c r="D149" s="21">
        <v>1</v>
      </c>
      <c r="E149" s="22">
        <v>977477.477477</v>
      </c>
    </row>
    <row r="150" s="29" customFormat="1" ht="28" spans="2:5">
      <c r="B150" s="19" t="s">
        <v>185</v>
      </c>
      <c r="C150" s="16" t="s">
        <v>183</v>
      </c>
      <c r="D150" s="23">
        <v>1</v>
      </c>
      <c r="E150" s="24">
        <v>977477.477477</v>
      </c>
    </row>
    <row r="151" s="29" customFormat="1" ht="41" spans="2:5">
      <c r="B151" s="19" t="s">
        <v>1190</v>
      </c>
      <c r="C151" s="20" t="s">
        <v>1191</v>
      </c>
      <c r="D151" s="21">
        <v>2</v>
      </c>
      <c r="E151" s="22">
        <v>1410120</v>
      </c>
    </row>
    <row r="152" s="29" customFormat="1" ht="28" spans="2:5">
      <c r="B152" s="19" t="s">
        <v>1190</v>
      </c>
      <c r="C152" s="16" t="s">
        <v>183</v>
      </c>
      <c r="D152" s="23">
        <v>2</v>
      </c>
      <c r="E152" s="24">
        <v>1410120</v>
      </c>
    </row>
    <row r="153" s="29" customFormat="1" ht="41" spans="2:5">
      <c r="B153" s="19" t="s">
        <v>1192</v>
      </c>
      <c r="C153" s="20" t="s">
        <v>1191</v>
      </c>
      <c r="D153" s="21">
        <v>2</v>
      </c>
      <c r="E153" s="22">
        <v>1410120</v>
      </c>
    </row>
    <row r="154" s="29" customFormat="1" ht="28" spans="2:5">
      <c r="B154" s="19" t="s">
        <v>1192</v>
      </c>
      <c r="C154" s="16" t="s">
        <v>183</v>
      </c>
      <c r="D154" s="23">
        <v>2</v>
      </c>
      <c r="E154" s="24">
        <v>1410120</v>
      </c>
    </row>
    <row r="155" s="29" customFormat="1" ht="28" spans="2:5">
      <c r="B155" s="19" t="s">
        <v>398</v>
      </c>
      <c r="C155" s="20" t="s">
        <v>804</v>
      </c>
      <c r="D155" s="21">
        <v>1</v>
      </c>
      <c r="E155" s="22">
        <v>1415766</v>
      </c>
    </row>
    <row r="156" s="29" customFormat="1" ht="28" spans="2:5">
      <c r="B156" s="19" t="s">
        <v>398</v>
      </c>
      <c r="C156" s="16" t="s">
        <v>183</v>
      </c>
      <c r="D156" s="23">
        <v>1</v>
      </c>
      <c r="E156" s="24">
        <v>1415766</v>
      </c>
    </row>
    <row r="157" s="29" customFormat="1" ht="41" spans="2:5">
      <c r="B157" s="19" t="s">
        <v>1193</v>
      </c>
      <c r="C157" s="20" t="s">
        <v>182</v>
      </c>
      <c r="D157" s="21">
        <v>2</v>
      </c>
      <c r="E157" s="22">
        <v>4464000</v>
      </c>
    </row>
    <row r="158" s="29" customFormat="1" ht="28" spans="2:5">
      <c r="B158" s="19" t="s">
        <v>1193</v>
      </c>
      <c r="C158" s="16" t="s">
        <v>183</v>
      </c>
      <c r="D158" s="23">
        <v>2</v>
      </c>
      <c r="E158" s="24">
        <v>4464000</v>
      </c>
    </row>
    <row r="159" s="29" customFormat="1" ht="28" spans="2:5">
      <c r="B159" s="19" t="s">
        <v>1194</v>
      </c>
      <c r="C159" s="20" t="s">
        <v>804</v>
      </c>
      <c r="D159" s="21">
        <v>1</v>
      </c>
      <c r="E159" s="22">
        <v>309009.009009</v>
      </c>
    </row>
    <row r="160" s="29" customFormat="1" ht="28" spans="2:5">
      <c r="B160" s="19" t="s">
        <v>1194</v>
      </c>
      <c r="C160" s="16" t="s">
        <v>183</v>
      </c>
      <c r="D160" s="23">
        <v>1</v>
      </c>
      <c r="E160" s="24">
        <v>309009.009009</v>
      </c>
    </row>
    <row r="161" s="29" customFormat="1" ht="41" spans="2:5">
      <c r="B161" s="19" t="s">
        <v>487</v>
      </c>
      <c r="C161" s="20" t="s">
        <v>182</v>
      </c>
      <c r="D161" s="21">
        <v>7</v>
      </c>
      <c r="E161" s="22">
        <v>1659224.324324</v>
      </c>
    </row>
    <row r="162" s="29" customFormat="1" ht="28.75" spans="2:5">
      <c r="B162" s="19" t="s">
        <v>487</v>
      </c>
      <c r="C162" s="16" t="s">
        <v>183</v>
      </c>
      <c r="D162" s="23">
        <v>7</v>
      </c>
      <c r="E162" s="24">
        <v>1659224.324324</v>
      </c>
    </row>
    <row r="163" s="29" customFormat="1" spans="2:5">
      <c r="B163" s="25"/>
      <c r="C163" s="25"/>
      <c r="D163" s="25"/>
      <c r="E163" s="25"/>
    </row>
    <row r="164" s="29" customFormat="1" ht="36" spans="2:5">
      <c r="B164" s="26" t="s">
        <v>189</v>
      </c>
      <c r="C164" s="26" t="s">
        <v>189</v>
      </c>
      <c r="D164" s="26" t="s">
        <v>189</v>
      </c>
      <c r="E164" s="26" t="s">
        <v>189</v>
      </c>
    </row>
    <row r="165" s="29" customFormat="1" spans="2:5">
      <c r="B165" s="26"/>
      <c r="C165" s="26"/>
      <c r="D165" s="26"/>
      <c r="E165" s="26"/>
    </row>
    <row r="166" s="29" customFormat="1" ht="36" spans="2:5">
      <c r="B166" s="26" t="s">
        <v>958</v>
      </c>
      <c r="C166" s="26" t="s">
        <v>958</v>
      </c>
      <c r="D166" s="26" t="s">
        <v>958</v>
      </c>
      <c r="E166" s="26" t="s">
        <v>958</v>
      </c>
    </row>
    <row r="167" s="29" customFormat="1" spans="2:5">
      <c r="B167" s="26" t="s">
        <v>233</v>
      </c>
      <c r="C167" s="26" t="s">
        <v>233</v>
      </c>
      <c r="D167" s="26" t="s">
        <v>233</v>
      </c>
      <c r="E167" s="26" t="s">
        <v>233</v>
      </c>
    </row>
    <row r="168" s="29" customFormat="1" ht="124" spans="2:5">
      <c r="B168" s="11" t="s">
        <v>173</v>
      </c>
      <c r="C168" s="11" t="s">
        <v>173</v>
      </c>
      <c r="D168" s="11" t="s">
        <v>173</v>
      </c>
      <c r="E168" s="11" t="s">
        <v>173</v>
      </c>
    </row>
    <row r="169" s="29" customFormat="1" ht="156" spans="2:5">
      <c r="B169" s="12" t="s">
        <v>174</v>
      </c>
      <c r="C169" s="12" t="s">
        <v>174</v>
      </c>
      <c r="D169" s="12" t="s">
        <v>174</v>
      </c>
      <c r="E169" s="12" t="s">
        <v>174</v>
      </c>
    </row>
    <row r="170" s="29" customFormat="1" ht="68" spans="2:5">
      <c r="B170" s="13" t="s">
        <v>1155</v>
      </c>
      <c r="C170" s="13" t="s">
        <v>1155</v>
      </c>
      <c r="D170" s="13" t="s">
        <v>1155</v>
      </c>
      <c r="E170" s="13" t="s">
        <v>1155</v>
      </c>
    </row>
    <row r="171" s="29" customFormat="1" ht="22" spans="2:5">
      <c r="B171" s="14" t="s">
        <v>176</v>
      </c>
      <c r="C171" s="14" t="s">
        <v>176</v>
      </c>
      <c r="D171" s="14" t="s">
        <v>176</v>
      </c>
      <c r="E171" s="14" t="s">
        <v>176</v>
      </c>
    </row>
    <row r="172" s="29" customFormat="1" spans="2:5">
      <c r="B172" s="15" t="s">
        <v>177</v>
      </c>
      <c r="C172" s="16" t="s">
        <v>178</v>
      </c>
      <c r="D172" s="17" t="s">
        <v>179</v>
      </c>
      <c r="E172" s="18" t="s">
        <v>180</v>
      </c>
    </row>
    <row r="173" s="29" customFormat="1" ht="28" spans="2:5">
      <c r="B173" s="19" t="s">
        <v>1195</v>
      </c>
      <c r="C173" s="20" t="s">
        <v>804</v>
      </c>
      <c r="D173" s="21">
        <v>2</v>
      </c>
      <c r="E173" s="22">
        <v>643243.621622</v>
      </c>
    </row>
    <row r="174" s="29" customFormat="1" ht="28" spans="2:5">
      <c r="B174" s="19" t="s">
        <v>1195</v>
      </c>
      <c r="C174" s="16" t="s">
        <v>183</v>
      </c>
      <c r="D174" s="23">
        <v>2</v>
      </c>
      <c r="E174" s="24">
        <v>643243.621622</v>
      </c>
    </row>
    <row r="175" s="29" customFormat="1" ht="41" spans="2:5">
      <c r="B175" s="19" t="s">
        <v>960</v>
      </c>
      <c r="C175" s="20" t="s">
        <v>182</v>
      </c>
      <c r="D175" s="21">
        <v>1</v>
      </c>
      <c r="E175" s="22">
        <v>348648.648649</v>
      </c>
    </row>
    <row r="176" s="29" customFormat="1" ht="28" spans="2:5">
      <c r="B176" s="19" t="s">
        <v>960</v>
      </c>
      <c r="C176" s="20" t="s">
        <v>804</v>
      </c>
      <c r="D176" s="21">
        <v>1</v>
      </c>
      <c r="E176" s="22">
        <v>348648.648649</v>
      </c>
    </row>
    <row r="177" s="29" customFormat="1" ht="28" spans="2:5">
      <c r="B177" s="19" t="s">
        <v>960</v>
      </c>
      <c r="C177" s="16" t="s">
        <v>183</v>
      </c>
      <c r="D177" s="23">
        <v>2</v>
      </c>
      <c r="E177" s="24">
        <v>697297.297298</v>
      </c>
    </row>
    <row r="178" s="29" customFormat="1" ht="41" spans="2:5">
      <c r="B178" s="19" t="s">
        <v>402</v>
      </c>
      <c r="C178" s="20" t="s">
        <v>182</v>
      </c>
      <c r="D178" s="21">
        <v>1</v>
      </c>
      <c r="E178" s="22">
        <v>0</v>
      </c>
    </row>
    <row r="179" s="29" customFormat="1" spans="2:5">
      <c r="B179" s="19" t="s">
        <v>402</v>
      </c>
      <c r="C179" s="16" t="s">
        <v>183</v>
      </c>
      <c r="D179" s="23">
        <v>1</v>
      </c>
      <c r="E179" s="24">
        <v>0</v>
      </c>
    </row>
    <row r="180" s="29" customFormat="1" ht="41" spans="2:5">
      <c r="B180" s="19" t="s">
        <v>403</v>
      </c>
      <c r="C180" s="20" t="s">
        <v>182</v>
      </c>
      <c r="D180" s="21">
        <v>1</v>
      </c>
      <c r="E180" s="22">
        <v>0</v>
      </c>
    </row>
    <row r="181" s="29" customFormat="1" ht="28" spans="2:5">
      <c r="B181" s="19" t="s">
        <v>403</v>
      </c>
      <c r="C181" s="20" t="s">
        <v>804</v>
      </c>
      <c r="D181" s="21">
        <v>1</v>
      </c>
      <c r="E181" s="22">
        <v>153603.603604</v>
      </c>
    </row>
    <row r="182" s="29" customFormat="1" spans="2:5">
      <c r="B182" s="19" t="s">
        <v>403</v>
      </c>
      <c r="C182" s="16" t="s">
        <v>183</v>
      </c>
      <c r="D182" s="23">
        <v>2</v>
      </c>
      <c r="E182" s="24">
        <v>153603.603604</v>
      </c>
    </row>
    <row r="183" s="29" customFormat="1" ht="41" spans="2:5">
      <c r="B183" s="19" t="s">
        <v>405</v>
      </c>
      <c r="C183" s="20" t="s">
        <v>182</v>
      </c>
      <c r="D183" s="21">
        <v>2</v>
      </c>
      <c r="E183" s="22">
        <v>0</v>
      </c>
    </row>
    <row r="184" s="29" customFormat="1" spans="2:5">
      <c r="B184" s="19" t="s">
        <v>405</v>
      </c>
      <c r="C184" s="16" t="s">
        <v>183</v>
      </c>
      <c r="D184" s="23">
        <v>2</v>
      </c>
      <c r="E184" s="24">
        <v>0</v>
      </c>
    </row>
    <row r="185" s="29" customFormat="1" ht="41.75" spans="2:5">
      <c r="B185" s="20" t="s">
        <v>187</v>
      </c>
      <c r="C185" s="20" t="s">
        <v>182</v>
      </c>
      <c r="D185" s="21">
        <v>20</v>
      </c>
      <c r="E185" s="22">
        <v>1170000</v>
      </c>
    </row>
    <row r="186" s="29" customFormat="1" spans="2:5">
      <c r="B186" s="25"/>
      <c r="C186" s="25"/>
      <c r="D186" s="25"/>
      <c r="E186" s="25"/>
    </row>
    <row r="187" s="29" customFormat="1" ht="36" spans="2:5">
      <c r="B187" s="26" t="s">
        <v>189</v>
      </c>
      <c r="C187" s="26" t="s">
        <v>189</v>
      </c>
      <c r="D187" s="26" t="s">
        <v>189</v>
      </c>
      <c r="E187" s="26" t="s">
        <v>189</v>
      </c>
    </row>
    <row r="188" s="29" customFormat="1" spans="2:5">
      <c r="B188" s="26"/>
      <c r="C188" s="26"/>
      <c r="D188" s="26"/>
      <c r="E188" s="26"/>
    </row>
    <row r="189" s="29" customFormat="1" ht="36" spans="2:5">
      <c r="B189" s="26" t="s">
        <v>958</v>
      </c>
      <c r="C189" s="26" t="s">
        <v>958</v>
      </c>
      <c r="D189" s="26" t="s">
        <v>958</v>
      </c>
      <c r="E189" s="26" t="s">
        <v>958</v>
      </c>
    </row>
    <row r="190" s="29" customFormat="1" spans="2:5">
      <c r="B190" s="26" t="s">
        <v>240</v>
      </c>
      <c r="C190" s="26" t="s">
        <v>240</v>
      </c>
      <c r="D190" s="26" t="s">
        <v>240</v>
      </c>
      <c r="E190" s="26" t="s">
        <v>240</v>
      </c>
    </row>
    <row r="191" s="29" customFormat="1" ht="124" spans="2:5">
      <c r="B191" s="11" t="s">
        <v>173</v>
      </c>
      <c r="C191" s="11" t="s">
        <v>173</v>
      </c>
      <c r="D191" s="11" t="s">
        <v>173</v>
      </c>
      <c r="E191" s="11" t="s">
        <v>173</v>
      </c>
    </row>
    <row r="192" s="29" customFormat="1" ht="156" spans="2:5">
      <c r="B192" s="12" t="s">
        <v>174</v>
      </c>
      <c r="C192" s="12" t="s">
        <v>174</v>
      </c>
      <c r="D192" s="12" t="s">
        <v>174</v>
      </c>
      <c r="E192" s="12" t="s">
        <v>174</v>
      </c>
    </row>
    <row r="193" s="29" customFormat="1" ht="68" spans="2:5">
      <c r="B193" s="13" t="s">
        <v>1155</v>
      </c>
      <c r="C193" s="13" t="s">
        <v>1155</v>
      </c>
      <c r="D193" s="13" t="s">
        <v>1155</v>
      </c>
      <c r="E193" s="13" t="s">
        <v>1155</v>
      </c>
    </row>
    <row r="194" s="29" customFormat="1" ht="22" spans="2:5">
      <c r="B194" s="14" t="s">
        <v>176</v>
      </c>
      <c r="C194" s="14" t="s">
        <v>176</v>
      </c>
      <c r="D194" s="14" t="s">
        <v>176</v>
      </c>
      <c r="E194" s="14" t="s">
        <v>176</v>
      </c>
    </row>
    <row r="195" s="29" customFormat="1" spans="2:5">
      <c r="B195" s="15" t="s">
        <v>177</v>
      </c>
      <c r="C195" s="16" t="s">
        <v>178</v>
      </c>
      <c r="D195" s="17" t="s">
        <v>179</v>
      </c>
      <c r="E195" s="18" t="s">
        <v>180</v>
      </c>
    </row>
    <row r="196" s="29" customFormat="1" ht="28" spans="2:5">
      <c r="B196" s="19" t="s">
        <v>187</v>
      </c>
      <c r="C196" s="20" t="s">
        <v>804</v>
      </c>
      <c r="D196" s="21">
        <v>3</v>
      </c>
      <c r="E196" s="22">
        <v>270270.09009</v>
      </c>
    </row>
    <row r="197" s="29" customFormat="1" spans="2:5">
      <c r="B197" s="19" t="s">
        <v>187</v>
      </c>
      <c r="C197" s="16" t="s">
        <v>183</v>
      </c>
      <c r="D197" s="23">
        <v>23</v>
      </c>
      <c r="E197" s="24">
        <v>1440270.09009</v>
      </c>
    </row>
    <row r="198" s="29" customFormat="1" ht="41" spans="2:5">
      <c r="B198" s="19" t="s">
        <v>406</v>
      </c>
      <c r="C198" s="20" t="s">
        <v>182</v>
      </c>
      <c r="D198" s="21">
        <v>15</v>
      </c>
      <c r="E198" s="22">
        <v>2008500</v>
      </c>
    </row>
    <row r="199" s="29" customFormat="1" ht="28" spans="2:5">
      <c r="B199" s="19" t="s">
        <v>406</v>
      </c>
      <c r="C199" s="20" t="s">
        <v>804</v>
      </c>
      <c r="D199" s="21">
        <v>3</v>
      </c>
      <c r="E199" s="22">
        <v>618918.918918</v>
      </c>
    </row>
    <row r="200" s="29" customFormat="1" spans="2:5">
      <c r="B200" s="19" t="s">
        <v>406</v>
      </c>
      <c r="C200" s="16" t="s">
        <v>183</v>
      </c>
      <c r="D200" s="23">
        <v>18</v>
      </c>
      <c r="E200" s="24">
        <v>2627418.918918</v>
      </c>
    </row>
    <row r="201" s="29" customFormat="1" ht="41" spans="2:5">
      <c r="B201" s="19" t="s">
        <v>351</v>
      </c>
      <c r="C201" s="20" t="s">
        <v>182</v>
      </c>
      <c r="D201" s="21">
        <v>2</v>
      </c>
      <c r="E201" s="22">
        <v>277477.765766</v>
      </c>
    </row>
    <row r="202" s="29" customFormat="1" ht="28" spans="2:5">
      <c r="B202" s="19" t="s">
        <v>351</v>
      </c>
      <c r="C202" s="20" t="s">
        <v>804</v>
      </c>
      <c r="D202" s="21">
        <v>3</v>
      </c>
      <c r="E202" s="22">
        <v>416216.297297</v>
      </c>
    </row>
    <row r="203" s="29" customFormat="1" spans="2:5">
      <c r="B203" s="19" t="s">
        <v>351</v>
      </c>
      <c r="C203" s="16" t="s">
        <v>183</v>
      </c>
      <c r="D203" s="23">
        <v>5</v>
      </c>
      <c r="E203" s="24">
        <v>693694.063063</v>
      </c>
    </row>
    <row r="204" s="29" customFormat="1" ht="41" spans="2:5">
      <c r="B204" s="19" t="s">
        <v>188</v>
      </c>
      <c r="C204" s="20" t="s">
        <v>182</v>
      </c>
      <c r="D204" s="21">
        <v>1</v>
      </c>
      <c r="E204" s="22">
        <v>86486.324324</v>
      </c>
    </row>
    <row r="205" s="29" customFormat="1" ht="28" spans="2:5">
      <c r="B205" s="19" t="s">
        <v>188</v>
      </c>
      <c r="C205" s="16" t="s">
        <v>183</v>
      </c>
      <c r="D205" s="23">
        <v>1</v>
      </c>
      <c r="E205" s="24">
        <v>86486.324324</v>
      </c>
    </row>
    <row r="206" s="29" customFormat="1" ht="41" spans="2:5">
      <c r="B206" s="19" t="s">
        <v>1196</v>
      </c>
      <c r="C206" s="20" t="s">
        <v>182</v>
      </c>
      <c r="D206" s="21">
        <v>2</v>
      </c>
      <c r="E206" s="22">
        <v>182703</v>
      </c>
    </row>
    <row r="207" s="29" customFormat="1" ht="28" spans="2:5">
      <c r="B207" s="19" t="s">
        <v>1196</v>
      </c>
      <c r="C207" s="16" t="s">
        <v>183</v>
      </c>
      <c r="D207" s="23">
        <v>2</v>
      </c>
      <c r="E207" s="24">
        <v>182703</v>
      </c>
    </row>
    <row r="208" s="29" customFormat="1" ht="41" spans="2:5">
      <c r="B208" s="19" t="s">
        <v>407</v>
      </c>
      <c r="C208" s="20" t="s">
        <v>182</v>
      </c>
      <c r="D208" s="21">
        <v>2</v>
      </c>
      <c r="E208" s="22">
        <v>158558</v>
      </c>
    </row>
    <row r="209" s="29" customFormat="1" ht="28.75" spans="2:5">
      <c r="B209" s="19" t="s">
        <v>407</v>
      </c>
      <c r="C209" s="16" t="s">
        <v>183</v>
      </c>
      <c r="D209" s="23">
        <v>2</v>
      </c>
      <c r="E209" s="24">
        <v>158558</v>
      </c>
    </row>
    <row r="210" s="29" customFormat="1" spans="2:5">
      <c r="B210" s="25"/>
      <c r="C210" s="25"/>
      <c r="D210" s="25"/>
      <c r="E210" s="25"/>
    </row>
    <row r="211" s="29" customFormat="1" ht="36" spans="2:5">
      <c r="B211" s="26" t="s">
        <v>189</v>
      </c>
      <c r="C211" s="26" t="s">
        <v>189</v>
      </c>
      <c r="D211" s="26" t="s">
        <v>189</v>
      </c>
      <c r="E211" s="26" t="s">
        <v>189</v>
      </c>
    </row>
    <row r="212" s="29" customFormat="1" spans="2:5">
      <c r="B212" s="26"/>
      <c r="C212" s="26"/>
      <c r="D212" s="26"/>
      <c r="E212" s="26"/>
    </row>
    <row r="213" s="29" customFormat="1" ht="36" spans="2:5">
      <c r="B213" s="26" t="s">
        <v>958</v>
      </c>
      <c r="C213" s="26" t="s">
        <v>958</v>
      </c>
      <c r="D213" s="26" t="s">
        <v>958</v>
      </c>
      <c r="E213" s="26" t="s">
        <v>958</v>
      </c>
    </row>
    <row r="214" s="29" customFormat="1" spans="2:5">
      <c r="B214" s="26" t="s">
        <v>247</v>
      </c>
      <c r="C214" s="26" t="s">
        <v>247</v>
      </c>
      <c r="D214" s="26" t="s">
        <v>247</v>
      </c>
      <c r="E214" s="26" t="s">
        <v>247</v>
      </c>
    </row>
    <row r="215" s="29" customFormat="1" ht="124" spans="2:5">
      <c r="B215" s="11" t="s">
        <v>173</v>
      </c>
      <c r="C215" s="11" t="s">
        <v>173</v>
      </c>
      <c r="D215" s="11" t="s">
        <v>173</v>
      </c>
      <c r="E215" s="11" t="s">
        <v>173</v>
      </c>
    </row>
    <row r="216" s="29" customFormat="1" ht="156" spans="2:5">
      <c r="B216" s="12" t="s">
        <v>174</v>
      </c>
      <c r="C216" s="12" t="s">
        <v>174</v>
      </c>
      <c r="D216" s="12" t="s">
        <v>174</v>
      </c>
      <c r="E216" s="12" t="s">
        <v>174</v>
      </c>
    </row>
    <row r="217" s="29" customFormat="1" ht="68" spans="2:5">
      <c r="B217" s="13" t="s">
        <v>1155</v>
      </c>
      <c r="C217" s="13" t="s">
        <v>1155</v>
      </c>
      <c r="D217" s="13" t="s">
        <v>1155</v>
      </c>
      <c r="E217" s="13" t="s">
        <v>1155</v>
      </c>
    </row>
    <row r="218" s="29" customFormat="1" ht="22" spans="2:5">
      <c r="B218" s="14" t="s">
        <v>176</v>
      </c>
      <c r="C218" s="14" t="s">
        <v>176</v>
      </c>
      <c r="D218" s="14" t="s">
        <v>176</v>
      </c>
      <c r="E218" s="14" t="s">
        <v>176</v>
      </c>
    </row>
    <row r="219" s="29" customFormat="1" spans="2:5">
      <c r="B219" s="15" t="s">
        <v>177</v>
      </c>
      <c r="C219" s="16" t="s">
        <v>178</v>
      </c>
      <c r="D219" s="17" t="s">
        <v>179</v>
      </c>
      <c r="E219" s="18" t="s">
        <v>180</v>
      </c>
    </row>
    <row r="220" s="29" customFormat="1" ht="28" spans="2:5">
      <c r="B220" s="19" t="s">
        <v>192</v>
      </c>
      <c r="C220" s="20" t="s">
        <v>804</v>
      </c>
      <c r="D220" s="21">
        <v>2</v>
      </c>
      <c r="E220" s="22">
        <v>64865</v>
      </c>
    </row>
    <row r="221" s="29" customFormat="1" ht="28" spans="2:5">
      <c r="B221" s="19" t="s">
        <v>192</v>
      </c>
      <c r="C221" s="16" t="s">
        <v>183</v>
      </c>
      <c r="D221" s="23">
        <v>2</v>
      </c>
      <c r="E221" s="24">
        <v>64865</v>
      </c>
    </row>
    <row r="222" s="29" customFormat="1" ht="41" spans="2:5">
      <c r="B222" s="19" t="s">
        <v>1197</v>
      </c>
      <c r="C222" s="20" t="s">
        <v>182</v>
      </c>
      <c r="D222" s="21">
        <v>3</v>
      </c>
      <c r="E222" s="22">
        <v>88918.918919</v>
      </c>
    </row>
    <row r="223" s="29" customFormat="1" ht="28" spans="2:5">
      <c r="B223" s="19" t="s">
        <v>1197</v>
      </c>
      <c r="C223" s="16" t="s">
        <v>183</v>
      </c>
      <c r="D223" s="23">
        <v>3</v>
      </c>
      <c r="E223" s="24">
        <v>88918.918919</v>
      </c>
    </row>
    <row r="224" s="29" customFormat="1" ht="41" spans="2:5">
      <c r="B224" s="19" t="s">
        <v>408</v>
      </c>
      <c r="C224" s="20" t="s">
        <v>182</v>
      </c>
      <c r="D224" s="21">
        <v>6</v>
      </c>
      <c r="E224" s="22">
        <v>41441.216216</v>
      </c>
    </row>
    <row r="225" s="29" customFormat="1" ht="28" spans="2:5">
      <c r="B225" s="19" t="s">
        <v>408</v>
      </c>
      <c r="C225" s="20" t="s">
        <v>804</v>
      </c>
      <c r="D225" s="21">
        <v>8</v>
      </c>
      <c r="E225" s="22">
        <v>59459.657656</v>
      </c>
    </row>
    <row r="226" s="29" customFormat="1" ht="28" spans="2:5">
      <c r="B226" s="19" t="s">
        <v>408</v>
      </c>
      <c r="C226" s="16" t="s">
        <v>183</v>
      </c>
      <c r="D226" s="23">
        <v>14</v>
      </c>
      <c r="E226" s="24">
        <v>100900.873872</v>
      </c>
    </row>
    <row r="227" s="29" customFormat="1" ht="41" spans="2:5">
      <c r="B227" s="19" t="s">
        <v>1198</v>
      </c>
      <c r="C227" s="20" t="s">
        <v>182</v>
      </c>
      <c r="D227" s="21">
        <v>3</v>
      </c>
      <c r="E227" s="22">
        <v>12612.612613</v>
      </c>
    </row>
    <row r="228" s="29" customFormat="1" ht="28" spans="2:5">
      <c r="B228" s="19" t="s">
        <v>1198</v>
      </c>
      <c r="C228" s="16" t="s">
        <v>183</v>
      </c>
      <c r="D228" s="23">
        <v>3</v>
      </c>
      <c r="E228" s="24">
        <v>12612.612613</v>
      </c>
    </row>
    <row r="229" s="29" customFormat="1" ht="41" spans="2:5">
      <c r="B229" s="19" t="s">
        <v>409</v>
      </c>
      <c r="C229" s="20" t="s">
        <v>182</v>
      </c>
      <c r="D229" s="21">
        <v>3</v>
      </c>
      <c r="E229" s="22">
        <v>17657.981982</v>
      </c>
    </row>
    <row r="230" s="29" customFormat="1" ht="28" spans="2:5">
      <c r="B230" s="19" t="s">
        <v>409</v>
      </c>
      <c r="C230" s="16" t="s">
        <v>183</v>
      </c>
      <c r="D230" s="23">
        <v>3</v>
      </c>
      <c r="E230" s="24">
        <v>17657.981982</v>
      </c>
    </row>
    <row r="231" s="29" customFormat="1" ht="28" spans="2:5">
      <c r="B231" s="19" t="s">
        <v>1199</v>
      </c>
      <c r="C231" s="20" t="s">
        <v>804</v>
      </c>
      <c r="D231" s="21">
        <v>1</v>
      </c>
      <c r="E231" s="22">
        <v>25000</v>
      </c>
    </row>
    <row r="232" s="29" customFormat="1" ht="28.75" spans="2:5">
      <c r="B232" s="19" t="s">
        <v>1199</v>
      </c>
      <c r="C232" s="16" t="s">
        <v>183</v>
      </c>
      <c r="D232" s="23">
        <v>1</v>
      </c>
      <c r="E232" s="24">
        <v>25000</v>
      </c>
    </row>
    <row r="233" s="29" customFormat="1" spans="2:5">
      <c r="B233" s="25"/>
      <c r="C233" s="25"/>
      <c r="D233" s="25"/>
      <c r="E233" s="25"/>
    </row>
    <row r="234" s="29" customFormat="1" ht="36" spans="2:5">
      <c r="B234" s="26" t="s">
        <v>189</v>
      </c>
      <c r="C234" s="26" t="s">
        <v>189</v>
      </c>
      <c r="D234" s="26" t="s">
        <v>189</v>
      </c>
      <c r="E234" s="26" t="s">
        <v>189</v>
      </c>
    </row>
    <row r="235" s="29" customFormat="1" spans="2:5">
      <c r="B235" s="26"/>
      <c r="C235" s="26"/>
      <c r="D235" s="26"/>
      <c r="E235" s="26"/>
    </row>
    <row r="236" s="29" customFormat="1" ht="36" spans="2:5">
      <c r="B236" s="26" t="s">
        <v>958</v>
      </c>
      <c r="C236" s="26" t="s">
        <v>958</v>
      </c>
      <c r="D236" s="26" t="s">
        <v>958</v>
      </c>
      <c r="E236" s="26" t="s">
        <v>958</v>
      </c>
    </row>
    <row r="237" s="29" customFormat="1" spans="2:5">
      <c r="B237" s="26" t="s">
        <v>254</v>
      </c>
      <c r="C237" s="26" t="s">
        <v>254</v>
      </c>
      <c r="D237" s="26" t="s">
        <v>254</v>
      </c>
      <c r="E237" s="26" t="s">
        <v>254</v>
      </c>
    </row>
    <row r="238" s="29" customFormat="1" ht="124" spans="2:5">
      <c r="B238" s="11" t="s">
        <v>173</v>
      </c>
      <c r="C238" s="11" t="s">
        <v>173</v>
      </c>
      <c r="D238" s="11" t="s">
        <v>173</v>
      </c>
      <c r="E238" s="11" t="s">
        <v>173</v>
      </c>
    </row>
    <row r="239" s="29" customFormat="1" ht="156" spans="2:5">
      <c r="B239" s="12" t="s">
        <v>174</v>
      </c>
      <c r="C239" s="12" t="s">
        <v>174</v>
      </c>
      <c r="D239" s="12" t="s">
        <v>174</v>
      </c>
      <c r="E239" s="12" t="s">
        <v>174</v>
      </c>
    </row>
    <row r="240" s="29" customFormat="1" ht="68" spans="2:5">
      <c r="B240" s="13" t="s">
        <v>1155</v>
      </c>
      <c r="C240" s="13" t="s">
        <v>1155</v>
      </c>
      <c r="D240" s="13" t="s">
        <v>1155</v>
      </c>
      <c r="E240" s="13" t="s">
        <v>1155</v>
      </c>
    </row>
    <row r="241" s="29" customFormat="1" ht="22" spans="2:5">
      <c r="B241" s="14" t="s">
        <v>176</v>
      </c>
      <c r="C241" s="14" t="s">
        <v>176</v>
      </c>
      <c r="D241" s="14" t="s">
        <v>176</v>
      </c>
      <c r="E241" s="14" t="s">
        <v>176</v>
      </c>
    </row>
    <row r="242" s="29" customFormat="1" spans="2:5">
      <c r="B242" s="15" t="s">
        <v>177</v>
      </c>
      <c r="C242" s="16" t="s">
        <v>178</v>
      </c>
      <c r="D242" s="17" t="s">
        <v>179</v>
      </c>
      <c r="E242" s="18" t="s">
        <v>180</v>
      </c>
    </row>
    <row r="243" s="29" customFormat="1" ht="41" spans="2:5">
      <c r="B243" s="19" t="s">
        <v>353</v>
      </c>
      <c r="C243" s="20" t="s">
        <v>182</v>
      </c>
      <c r="D243" s="21">
        <v>1</v>
      </c>
      <c r="E243" s="22">
        <v>16216.216216</v>
      </c>
    </row>
    <row r="244" s="29" customFormat="1" ht="28" spans="2:5">
      <c r="B244" s="19" t="s">
        <v>353</v>
      </c>
      <c r="C244" s="16" t="s">
        <v>183</v>
      </c>
      <c r="D244" s="23">
        <v>1</v>
      </c>
      <c r="E244" s="24">
        <v>16216.216216</v>
      </c>
    </row>
    <row r="245" s="29" customFormat="1" ht="41" spans="2:5">
      <c r="B245" s="19" t="s">
        <v>354</v>
      </c>
      <c r="C245" s="20" t="s">
        <v>182</v>
      </c>
      <c r="D245" s="21">
        <v>6</v>
      </c>
      <c r="E245" s="22">
        <v>17883.153153</v>
      </c>
    </row>
    <row r="246" s="29" customFormat="1" ht="28" spans="2:5">
      <c r="B246" s="19" t="s">
        <v>354</v>
      </c>
      <c r="C246" s="16" t="s">
        <v>183</v>
      </c>
      <c r="D246" s="23">
        <v>6</v>
      </c>
      <c r="E246" s="24">
        <v>17883.153153</v>
      </c>
    </row>
    <row r="247" s="29" customFormat="1" ht="41" spans="2:5">
      <c r="B247" s="19" t="s">
        <v>1200</v>
      </c>
      <c r="C247" s="20" t="s">
        <v>182</v>
      </c>
      <c r="D247" s="21">
        <v>1</v>
      </c>
      <c r="E247" s="22">
        <v>22522.279279</v>
      </c>
    </row>
    <row r="248" s="29" customFormat="1" ht="28" spans="2:5">
      <c r="B248" s="19" t="s">
        <v>1200</v>
      </c>
      <c r="C248" s="16" t="s">
        <v>183</v>
      </c>
      <c r="D248" s="23">
        <v>1</v>
      </c>
      <c r="E248" s="24">
        <v>22522.279279</v>
      </c>
    </row>
    <row r="249" s="29" customFormat="1" ht="41" spans="2:5">
      <c r="B249" s="19" t="s">
        <v>194</v>
      </c>
      <c r="C249" s="20" t="s">
        <v>182</v>
      </c>
      <c r="D249" s="21">
        <v>58</v>
      </c>
      <c r="E249" s="22">
        <v>962263.171172</v>
      </c>
    </row>
    <row r="250" s="29" customFormat="1" ht="28" spans="2:5">
      <c r="B250" s="19" t="s">
        <v>194</v>
      </c>
      <c r="C250" s="20" t="s">
        <v>804</v>
      </c>
      <c r="D250" s="21">
        <v>18</v>
      </c>
      <c r="E250" s="22">
        <v>0</v>
      </c>
    </row>
    <row r="251" s="29" customFormat="1" spans="2:5">
      <c r="B251" s="19" t="s">
        <v>194</v>
      </c>
      <c r="C251" s="16" t="s">
        <v>183</v>
      </c>
      <c r="D251" s="23">
        <v>76</v>
      </c>
      <c r="E251" s="24">
        <v>962263.171172</v>
      </c>
    </row>
    <row r="252" s="29" customFormat="1" ht="41" spans="2:5">
      <c r="B252" s="19" t="s">
        <v>195</v>
      </c>
      <c r="C252" s="20" t="s">
        <v>182</v>
      </c>
      <c r="D252" s="21">
        <v>27</v>
      </c>
      <c r="E252" s="22">
        <v>132600</v>
      </c>
    </row>
    <row r="253" s="29" customFormat="1" ht="28" spans="2:5">
      <c r="B253" s="19" t="s">
        <v>195</v>
      </c>
      <c r="C253" s="20" t="s">
        <v>804</v>
      </c>
      <c r="D253" s="21">
        <v>3</v>
      </c>
      <c r="E253" s="22">
        <v>0</v>
      </c>
    </row>
    <row r="254" s="29" customFormat="1" spans="2:5">
      <c r="B254" s="19" t="s">
        <v>195</v>
      </c>
      <c r="C254" s="16" t="s">
        <v>183</v>
      </c>
      <c r="D254" s="23">
        <v>30</v>
      </c>
      <c r="E254" s="24">
        <v>132600</v>
      </c>
    </row>
    <row r="255" s="29" customFormat="1" ht="41.75" spans="2:5">
      <c r="B255" s="20" t="s">
        <v>196</v>
      </c>
      <c r="C255" s="20" t="s">
        <v>182</v>
      </c>
      <c r="D255" s="21">
        <v>11</v>
      </c>
      <c r="E255" s="22">
        <v>0</v>
      </c>
    </row>
    <row r="256" s="29" customFormat="1" spans="2:5">
      <c r="B256" s="25"/>
      <c r="C256" s="25"/>
      <c r="D256" s="25"/>
      <c r="E256" s="25"/>
    </row>
    <row r="257" s="29" customFormat="1" ht="36" spans="2:5">
      <c r="B257" s="26" t="s">
        <v>189</v>
      </c>
      <c r="C257" s="26" t="s">
        <v>189</v>
      </c>
      <c r="D257" s="26" t="s">
        <v>189</v>
      </c>
      <c r="E257" s="26" t="s">
        <v>189</v>
      </c>
    </row>
    <row r="258" s="29" customFormat="1" spans="2:5">
      <c r="B258" s="26"/>
      <c r="C258" s="26"/>
      <c r="D258" s="26"/>
      <c r="E258" s="26"/>
    </row>
    <row r="259" s="29" customFormat="1" ht="36" spans="2:5">
      <c r="B259" s="26" t="s">
        <v>958</v>
      </c>
      <c r="C259" s="26" t="s">
        <v>958</v>
      </c>
      <c r="D259" s="26" t="s">
        <v>958</v>
      </c>
      <c r="E259" s="26" t="s">
        <v>958</v>
      </c>
    </row>
    <row r="260" s="29" customFormat="1" spans="2:5">
      <c r="B260" s="26" t="s">
        <v>261</v>
      </c>
      <c r="C260" s="26" t="s">
        <v>261</v>
      </c>
      <c r="D260" s="26" t="s">
        <v>261</v>
      </c>
      <c r="E260" s="26" t="s">
        <v>261</v>
      </c>
    </row>
    <row r="261" s="29" customFormat="1" ht="124" spans="2:5">
      <c r="B261" s="11" t="s">
        <v>173</v>
      </c>
      <c r="C261" s="11" t="s">
        <v>173</v>
      </c>
      <c r="D261" s="11" t="s">
        <v>173</v>
      </c>
      <c r="E261" s="11" t="s">
        <v>173</v>
      </c>
    </row>
    <row r="262" s="29" customFormat="1" ht="156" spans="2:5">
      <c r="B262" s="12" t="s">
        <v>174</v>
      </c>
      <c r="C262" s="12" t="s">
        <v>174</v>
      </c>
      <c r="D262" s="12" t="s">
        <v>174</v>
      </c>
      <c r="E262" s="12" t="s">
        <v>174</v>
      </c>
    </row>
    <row r="263" s="29" customFormat="1" ht="68" spans="2:5">
      <c r="B263" s="13" t="s">
        <v>1155</v>
      </c>
      <c r="C263" s="13" t="s">
        <v>1155</v>
      </c>
      <c r="D263" s="13" t="s">
        <v>1155</v>
      </c>
      <c r="E263" s="13" t="s">
        <v>1155</v>
      </c>
    </row>
    <row r="264" s="29" customFormat="1" ht="22" spans="2:5">
      <c r="B264" s="14" t="s">
        <v>176</v>
      </c>
      <c r="C264" s="14" t="s">
        <v>176</v>
      </c>
      <c r="D264" s="14" t="s">
        <v>176</v>
      </c>
      <c r="E264" s="14" t="s">
        <v>176</v>
      </c>
    </row>
    <row r="265" s="29" customFormat="1" spans="2:5">
      <c r="B265" s="15" t="s">
        <v>177</v>
      </c>
      <c r="C265" s="16" t="s">
        <v>178</v>
      </c>
      <c r="D265" s="17" t="s">
        <v>179</v>
      </c>
      <c r="E265" s="18" t="s">
        <v>180</v>
      </c>
    </row>
    <row r="266" s="29" customFormat="1" ht="28" spans="2:5">
      <c r="B266" s="19" t="s">
        <v>196</v>
      </c>
      <c r="C266" s="20" t="s">
        <v>804</v>
      </c>
      <c r="D266" s="21">
        <v>8</v>
      </c>
      <c r="E266" s="22">
        <v>0</v>
      </c>
    </row>
    <row r="267" s="29" customFormat="1" spans="2:5">
      <c r="B267" s="19" t="s">
        <v>196</v>
      </c>
      <c r="C267" s="16" t="s">
        <v>183</v>
      </c>
      <c r="D267" s="23">
        <v>19</v>
      </c>
      <c r="E267" s="24">
        <v>0</v>
      </c>
    </row>
    <row r="268" s="29" customFormat="1" ht="41" spans="2:5">
      <c r="B268" s="19" t="s">
        <v>197</v>
      </c>
      <c r="C268" s="20" t="s">
        <v>182</v>
      </c>
      <c r="D268" s="21">
        <v>20</v>
      </c>
      <c r="E268" s="22">
        <v>161525</v>
      </c>
    </row>
    <row r="269" s="29" customFormat="1" ht="28" spans="2:5">
      <c r="B269" s="19" t="s">
        <v>197</v>
      </c>
      <c r="C269" s="20" t="s">
        <v>804</v>
      </c>
      <c r="D269" s="21">
        <v>4</v>
      </c>
      <c r="E269" s="22">
        <v>58108.54955</v>
      </c>
    </row>
    <row r="270" s="29" customFormat="1" spans="2:5">
      <c r="B270" s="19" t="s">
        <v>197</v>
      </c>
      <c r="C270" s="16" t="s">
        <v>183</v>
      </c>
      <c r="D270" s="23">
        <v>24</v>
      </c>
      <c r="E270" s="24">
        <v>219633.54955</v>
      </c>
    </row>
    <row r="271" s="29" customFormat="1" ht="41" spans="2:5">
      <c r="B271" s="19" t="s">
        <v>410</v>
      </c>
      <c r="C271" s="20" t="s">
        <v>182</v>
      </c>
      <c r="D271" s="21">
        <v>10</v>
      </c>
      <c r="E271" s="22">
        <v>617500</v>
      </c>
    </row>
    <row r="272" s="29" customFormat="1" ht="28" spans="2:5">
      <c r="B272" s="19" t="s">
        <v>410</v>
      </c>
      <c r="C272" s="20" t="s">
        <v>804</v>
      </c>
      <c r="D272" s="21">
        <v>2</v>
      </c>
      <c r="E272" s="22">
        <v>0</v>
      </c>
    </row>
    <row r="273" s="29" customFormat="1" spans="2:5">
      <c r="B273" s="19" t="s">
        <v>410</v>
      </c>
      <c r="C273" s="16" t="s">
        <v>183</v>
      </c>
      <c r="D273" s="23">
        <v>12</v>
      </c>
      <c r="E273" s="24">
        <v>617500</v>
      </c>
    </row>
    <row r="274" s="29" customFormat="1" ht="41" spans="2:5">
      <c r="B274" s="19" t="s">
        <v>199</v>
      </c>
      <c r="C274" s="20" t="s">
        <v>182</v>
      </c>
      <c r="D274" s="21">
        <v>71</v>
      </c>
      <c r="E274" s="22">
        <v>524655.405406</v>
      </c>
    </row>
    <row r="275" s="29" customFormat="1" ht="28" spans="2:5">
      <c r="B275" s="19" t="s">
        <v>199</v>
      </c>
      <c r="C275" s="20" t="s">
        <v>804</v>
      </c>
      <c r="D275" s="21">
        <v>22</v>
      </c>
      <c r="E275" s="22">
        <v>0</v>
      </c>
    </row>
    <row r="276" s="29" customFormat="1" spans="2:5">
      <c r="B276" s="19" t="s">
        <v>199</v>
      </c>
      <c r="C276" s="16" t="s">
        <v>183</v>
      </c>
      <c r="D276" s="23">
        <v>93</v>
      </c>
      <c r="E276" s="24">
        <v>524655.405406</v>
      </c>
    </row>
    <row r="277" s="29" customFormat="1" ht="41" spans="2:5">
      <c r="B277" s="19" t="s">
        <v>200</v>
      </c>
      <c r="C277" s="20" t="s">
        <v>182</v>
      </c>
      <c r="D277" s="21">
        <v>52</v>
      </c>
      <c r="E277" s="22">
        <v>1300000</v>
      </c>
    </row>
    <row r="278" s="29" customFormat="1" ht="28" spans="2:5">
      <c r="B278" s="19" t="s">
        <v>200</v>
      </c>
      <c r="C278" s="20" t="s">
        <v>804</v>
      </c>
      <c r="D278" s="21">
        <v>5</v>
      </c>
      <c r="E278" s="22">
        <v>0</v>
      </c>
    </row>
    <row r="279" s="29" customFormat="1" ht="17.55" spans="2:5">
      <c r="B279" s="19" t="s">
        <v>200</v>
      </c>
      <c r="C279" s="16" t="s">
        <v>183</v>
      </c>
      <c r="D279" s="23">
        <v>57</v>
      </c>
      <c r="E279" s="24">
        <v>1300000</v>
      </c>
    </row>
    <row r="280" s="29" customFormat="1" spans="2:5">
      <c r="B280" s="25"/>
      <c r="C280" s="25"/>
      <c r="D280" s="25"/>
      <c r="E280" s="25"/>
    </row>
    <row r="281" s="29" customFormat="1" ht="36" spans="2:5">
      <c r="B281" s="26" t="s">
        <v>189</v>
      </c>
      <c r="C281" s="26" t="s">
        <v>189</v>
      </c>
      <c r="D281" s="26" t="s">
        <v>189</v>
      </c>
      <c r="E281" s="26" t="s">
        <v>189</v>
      </c>
    </row>
    <row r="282" s="29" customFormat="1" spans="2:5">
      <c r="B282" s="26"/>
      <c r="C282" s="26"/>
      <c r="D282" s="26"/>
      <c r="E282" s="26"/>
    </row>
    <row r="283" s="29" customFormat="1" ht="36" spans="2:5">
      <c r="B283" s="26" t="s">
        <v>958</v>
      </c>
      <c r="C283" s="26" t="s">
        <v>958</v>
      </c>
      <c r="D283" s="26" t="s">
        <v>958</v>
      </c>
      <c r="E283" s="26" t="s">
        <v>958</v>
      </c>
    </row>
    <row r="284" s="29" customFormat="1" spans="2:5">
      <c r="B284" s="26" t="s">
        <v>268</v>
      </c>
      <c r="C284" s="26" t="s">
        <v>268</v>
      </c>
      <c r="D284" s="26" t="s">
        <v>268</v>
      </c>
      <c r="E284" s="26" t="s">
        <v>268</v>
      </c>
    </row>
    <row r="285" s="29" customFormat="1" ht="124" spans="2:5">
      <c r="B285" s="11" t="s">
        <v>173</v>
      </c>
      <c r="C285" s="11" t="s">
        <v>173</v>
      </c>
      <c r="D285" s="11" t="s">
        <v>173</v>
      </c>
      <c r="E285" s="11" t="s">
        <v>173</v>
      </c>
    </row>
    <row r="286" s="29" customFormat="1" ht="156" spans="2:5">
      <c r="B286" s="12" t="s">
        <v>174</v>
      </c>
      <c r="C286" s="12" t="s">
        <v>174</v>
      </c>
      <c r="D286" s="12" t="s">
        <v>174</v>
      </c>
      <c r="E286" s="12" t="s">
        <v>174</v>
      </c>
    </row>
    <row r="287" s="29" customFormat="1" ht="68" spans="2:5">
      <c r="B287" s="13" t="s">
        <v>1155</v>
      </c>
      <c r="C287" s="13" t="s">
        <v>1155</v>
      </c>
      <c r="D287" s="13" t="s">
        <v>1155</v>
      </c>
      <c r="E287" s="13" t="s">
        <v>1155</v>
      </c>
    </row>
    <row r="288" s="29" customFormat="1" ht="22" spans="2:5">
      <c r="B288" s="14" t="s">
        <v>176</v>
      </c>
      <c r="C288" s="14" t="s">
        <v>176</v>
      </c>
      <c r="D288" s="14" t="s">
        <v>176</v>
      </c>
      <c r="E288" s="14" t="s">
        <v>176</v>
      </c>
    </row>
    <row r="289" s="29" customFormat="1" spans="2:5">
      <c r="B289" s="15" t="s">
        <v>177</v>
      </c>
      <c r="C289" s="16" t="s">
        <v>178</v>
      </c>
      <c r="D289" s="17" t="s">
        <v>179</v>
      </c>
      <c r="E289" s="18" t="s">
        <v>180</v>
      </c>
    </row>
    <row r="290" s="29" customFormat="1" ht="41" spans="2:5">
      <c r="B290" s="19" t="s">
        <v>579</v>
      </c>
      <c r="C290" s="20" t="s">
        <v>182</v>
      </c>
      <c r="D290" s="21">
        <v>1</v>
      </c>
      <c r="E290" s="22">
        <v>0</v>
      </c>
    </row>
    <row r="291" s="29" customFormat="1" spans="2:5">
      <c r="B291" s="19" t="s">
        <v>579</v>
      </c>
      <c r="C291" s="16" t="s">
        <v>183</v>
      </c>
      <c r="D291" s="23">
        <v>1</v>
      </c>
      <c r="E291" s="24">
        <v>0</v>
      </c>
    </row>
    <row r="292" s="29" customFormat="1" ht="28" spans="2:5">
      <c r="B292" s="19" t="s">
        <v>1201</v>
      </c>
      <c r="C292" s="20" t="s">
        <v>804</v>
      </c>
      <c r="D292" s="21">
        <v>4</v>
      </c>
      <c r="E292" s="22">
        <v>400000</v>
      </c>
    </row>
    <row r="293" s="29" customFormat="1" ht="28" spans="2:5">
      <c r="B293" s="19" t="s">
        <v>1201</v>
      </c>
      <c r="C293" s="16" t="s">
        <v>183</v>
      </c>
      <c r="D293" s="23">
        <v>4</v>
      </c>
      <c r="E293" s="24">
        <v>400000</v>
      </c>
    </row>
    <row r="294" s="29" customFormat="1" ht="41" spans="2:5">
      <c r="B294" s="19" t="s">
        <v>411</v>
      </c>
      <c r="C294" s="20" t="s">
        <v>182</v>
      </c>
      <c r="D294" s="21">
        <v>16</v>
      </c>
      <c r="E294" s="22">
        <v>250692.072072</v>
      </c>
    </row>
    <row r="295" s="29" customFormat="1" ht="28" spans="2:5">
      <c r="B295" s="19" t="s">
        <v>411</v>
      </c>
      <c r="C295" s="20" t="s">
        <v>804</v>
      </c>
      <c r="D295" s="21">
        <v>16</v>
      </c>
      <c r="E295" s="22">
        <v>468468.468468</v>
      </c>
    </row>
    <row r="296" s="29" customFormat="1" ht="28" spans="2:5">
      <c r="B296" s="19" t="s">
        <v>411</v>
      </c>
      <c r="C296" s="16" t="s">
        <v>183</v>
      </c>
      <c r="D296" s="23">
        <v>32</v>
      </c>
      <c r="E296" s="24">
        <v>719160.54054</v>
      </c>
    </row>
    <row r="297" s="29" customFormat="1" ht="28" spans="2:5">
      <c r="B297" s="19" t="s">
        <v>357</v>
      </c>
      <c r="C297" s="20" t="s">
        <v>804</v>
      </c>
      <c r="D297" s="21">
        <v>12</v>
      </c>
      <c r="E297" s="22">
        <v>1531531.153153</v>
      </c>
    </row>
    <row r="298" s="29" customFormat="1" ht="28" spans="2:5">
      <c r="B298" s="19" t="s">
        <v>357</v>
      </c>
      <c r="C298" s="16" t="s">
        <v>183</v>
      </c>
      <c r="D298" s="23">
        <v>12</v>
      </c>
      <c r="E298" s="24">
        <v>1531531.153153</v>
      </c>
    </row>
    <row r="299" s="29" customFormat="1" ht="28" spans="2:5">
      <c r="B299" s="19" t="s">
        <v>412</v>
      </c>
      <c r="C299" s="20" t="s">
        <v>804</v>
      </c>
      <c r="D299" s="21">
        <v>24</v>
      </c>
      <c r="E299" s="22">
        <v>604008.639725</v>
      </c>
    </row>
    <row r="300" s="29" customFormat="1" ht="28" spans="2:5">
      <c r="B300" s="19" t="s">
        <v>412</v>
      </c>
      <c r="C300" s="16" t="s">
        <v>183</v>
      </c>
      <c r="D300" s="23">
        <v>24</v>
      </c>
      <c r="E300" s="24">
        <v>604008.639725</v>
      </c>
    </row>
    <row r="301" s="29" customFormat="1" ht="41" spans="2:5">
      <c r="B301" s="19" t="s">
        <v>413</v>
      </c>
      <c r="C301" s="20" t="s">
        <v>182</v>
      </c>
      <c r="D301" s="21">
        <v>8</v>
      </c>
      <c r="E301" s="22">
        <v>860080</v>
      </c>
    </row>
    <row r="302" s="29" customFormat="1" ht="28" spans="2:5">
      <c r="B302" s="19" t="s">
        <v>413</v>
      </c>
      <c r="C302" s="20" t="s">
        <v>804</v>
      </c>
      <c r="D302" s="21">
        <v>12</v>
      </c>
      <c r="E302" s="22">
        <v>1603603.603605</v>
      </c>
    </row>
    <row r="303" s="29" customFormat="1" ht="28.75" spans="2:5">
      <c r="B303" s="19" t="s">
        <v>413</v>
      </c>
      <c r="C303" s="16" t="s">
        <v>183</v>
      </c>
      <c r="D303" s="23">
        <v>20</v>
      </c>
      <c r="E303" s="24">
        <v>2463683.603605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958</v>
      </c>
      <c r="C307" s="26" t="s">
        <v>958</v>
      </c>
      <c r="D307" s="26" t="s">
        <v>958</v>
      </c>
      <c r="E307" s="26" t="s">
        <v>958</v>
      </c>
    </row>
    <row r="308" s="29" customFormat="1" spans="2:5">
      <c r="B308" s="26" t="s">
        <v>275</v>
      </c>
      <c r="C308" s="26" t="s">
        <v>275</v>
      </c>
      <c r="D308" s="26" t="s">
        <v>275</v>
      </c>
      <c r="E308" s="26" t="s">
        <v>275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1155</v>
      </c>
      <c r="C311" s="13" t="s">
        <v>1155</v>
      </c>
      <c r="D311" s="13" t="s">
        <v>1155</v>
      </c>
      <c r="E311" s="13" t="s">
        <v>1155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28" spans="2:5">
      <c r="B314" s="19" t="s">
        <v>1202</v>
      </c>
      <c r="C314" s="20" t="s">
        <v>804</v>
      </c>
      <c r="D314" s="21">
        <v>3</v>
      </c>
      <c r="E314" s="22">
        <v>450450.45045</v>
      </c>
    </row>
    <row r="315" s="29" customFormat="1" ht="28" spans="2:5">
      <c r="B315" s="19" t="s">
        <v>1202</v>
      </c>
      <c r="C315" s="16" t="s">
        <v>183</v>
      </c>
      <c r="D315" s="23">
        <v>3</v>
      </c>
      <c r="E315" s="24">
        <v>450450.45045</v>
      </c>
    </row>
    <row r="316" s="29" customFormat="1" ht="28" spans="2:5">
      <c r="B316" s="19" t="s">
        <v>963</v>
      </c>
      <c r="C316" s="20" t="s">
        <v>804</v>
      </c>
      <c r="D316" s="21">
        <v>4</v>
      </c>
      <c r="E316" s="22">
        <v>720720.720721</v>
      </c>
    </row>
    <row r="317" s="29" customFormat="1" ht="28" spans="2:5">
      <c r="B317" s="19" t="s">
        <v>963</v>
      </c>
      <c r="C317" s="16" t="s">
        <v>183</v>
      </c>
      <c r="D317" s="23">
        <v>4</v>
      </c>
      <c r="E317" s="24">
        <v>720720.720721</v>
      </c>
    </row>
    <row r="318" s="29" customFormat="1" ht="41" spans="2:5">
      <c r="B318" s="19" t="s">
        <v>415</v>
      </c>
      <c r="C318" s="20" t="s">
        <v>182</v>
      </c>
      <c r="D318" s="21">
        <v>1</v>
      </c>
      <c r="E318" s="22">
        <v>45405.405405</v>
      </c>
    </row>
    <row r="319" s="29" customFormat="1" ht="28" spans="2:5">
      <c r="B319" s="19" t="s">
        <v>415</v>
      </c>
      <c r="C319" s="16" t="s">
        <v>183</v>
      </c>
      <c r="D319" s="23">
        <v>1</v>
      </c>
      <c r="E319" s="24">
        <v>45405.405405</v>
      </c>
    </row>
    <row r="320" s="29" customFormat="1" ht="41" spans="2:5">
      <c r="B320" s="19" t="s">
        <v>203</v>
      </c>
      <c r="C320" s="20" t="s">
        <v>182</v>
      </c>
      <c r="D320" s="21">
        <v>13</v>
      </c>
      <c r="E320" s="22">
        <v>454347.466216</v>
      </c>
    </row>
    <row r="321" s="29" customFormat="1" ht="28" spans="2:5">
      <c r="B321" s="19" t="s">
        <v>203</v>
      </c>
      <c r="C321" s="20" t="s">
        <v>804</v>
      </c>
      <c r="D321" s="21">
        <v>1</v>
      </c>
      <c r="E321" s="22">
        <v>45405.405405</v>
      </c>
    </row>
    <row r="322" s="29" customFormat="1" ht="28" spans="2:5">
      <c r="B322" s="19" t="s">
        <v>203</v>
      </c>
      <c r="C322" s="16" t="s">
        <v>183</v>
      </c>
      <c r="D322" s="23">
        <v>14</v>
      </c>
      <c r="E322" s="24">
        <v>499752.871621</v>
      </c>
    </row>
    <row r="323" s="29" customFormat="1" ht="41" spans="2:5">
      <c r="B323" s="19" t="s">
        <v>204</v>
      </c>
      <c r="C323" s="20" t="s">
        <v>182</v>
      </c>
      <c r="D323" s="21">
        <v>16</v>
      </c>
      <c r="E323" s="22">
        <v>528968.405405</v>
      </c>
    </row>
    <row r="324" s="29" customFormat="1" ht="28" spans="2:5">
      <c r="B324" s="19" t="s">
        <v>204</v>
      </c>
      <c r="C324" s="20" t="s">
        <v>804</v>
      </c>
      <c r="D324" s="21">
        <v>1</v>
      </c>
      <c r="E324" s="22">
        <v>45405.405405</v>
      </c>
    </row>
    <row r="325" s="29" customFormat="1" ht="28" spans="2:5">
      <c r="B325" s="19" t="s">
        <v>204</v>
      </c>
      <c r="C325" s="16" t="s">
        <v>183</v>
      </c>
      <c r="D325" s="23">
        <v>17</v>
      </c>
      <c r="E325" s="24">
        <v>574373.81081</v>
      </c>
    </row>
    <row r="326" s="29" customFormat="1" ht="41.75" spans="2:5">
      <c r="B326" s="20" t="s">
        <v>358</v>
      </c>
      <c r="C326" s="20" t="s">
        <v>182</v>
      </c>
      <c r="D326" s="21">
        <v>15</v>
      </c>
      <c r="E326" s="22">
        <v>531423.75</v>
      </c>
    </row>
    <row r="327" s="29" customFormat="1" spans="2:5">
      <c r="B327" s="25"/>
      <c r="C327" s="25"/>
      <c r="D327" s="25"/>
      <c r="E327" s="25"/>
    </row>
    <row r="328" s="29" customFormat="1" ht="36" spans="2:5">
      <c r="B328" s="26" t="s">
        <v>189</v>
      </c>
      <c r="C328" s="26" t="s">
        <v>189</v>
      </c>
      <c r="D328" s="26" t="s">
        <v>189</v>
      </c>
      <c r="E328" s="26" t="s">
        <v>189</v>
      </c>
    </row>
    <row r="329" s="29" customFormat="1" spans="2:5">
      <c r="B329" s="26"/>
      <c r="C329" s="26"/>
      <c r="D329" s="26"/>
      <c r="E329" s="26"/>
    </row>
    <row r="330" s="29" customFormat="1" ht="36" spans="2:5">
      <c r="B330" s="26" t="s">
        <v>958</v>
      </c>
      <c r="C330" s="26" t="s">
        <v>958</v>
      </c>
      <c r="D330" s="26" t="s">
        <v>958</v>
      </c>
      <c r="E330" s="26" t="s">
        <v>958</v>
      </c>
    </row>
    <row r="331" s="29" customFormat="1" spans="2:5">
      <c r="B331" s="26" t="s">
        <v>282</v>
      </c>
      <c r="C331" s="26" t="s">
        <v>282</v>
      </c>
      <c r="D331" s="26" t="s">
        <v>282</v>
      </c>
      <c r="E331" s="26" t="s">
        <v>282</v>
      </c>
    </row>
    <row r="332" s="29" customFormat="1" ht="124" spans="2:5">
      <c r="B332" s="11" t="s">
        <v>173</v>
      </c>
      <c r="C332" s="11" t="s">
        <v>173</v>
      </c>
      <c r="D332" s="11" t="s">
        <v>173</v>
      </c>
      <c r="E332" s="11" t="s">
        <v>173</v>
      </c>
    </row>
    <row r="333" s="29" customFormat="1" ht="156" spans="2:5">
      <c r="B333" s="12" t="s">
        <v>174</v>
      </c>
      <c r="C333" s="12" t="s">
        <v>174</v>
      </c>
      <c r="D333" s="12" t="s">
        <v>174</v>
      </c>
      <c r="E333" s="12" t="s">
        <v>174</v>
      </c>
    </row>
    <row r="334" s="29" customFormat="1" ht="68" spans="2:5">
      <c r="B334" s="13" t="s">
        <v>1155</v>
      </c>
      <c r="C334" s="13" t="s">
        <v>1155</v>
      </c>
      <c r="D334" s="13" t="s">
        <v>1155</v>
      </c>
      <c r="E334" s="13" t="s">
        <v>1155</v>
      </c>
    </row>
    <row r="335" s="29" customFormat="1" ht="22" spans="2:5">
      <c r="B335" s="14" t="s">
        <v>176</v>
      </c>
      <c r="C335" s="14" t="s">
        <v>176</v>
      </c>
      <c r="D335" s="14" t="s">
        <v>176</v>
      </c>
      <c r="E335" s="14" t="s">
        <v>176</v>
      </c>
    </row>
    <row r="336" s="29" customFormat="1" spans="2:5">
      <c r="B336" s="15" t="s">
        <v>177</v>
      </c>
      <c r="C336" s="16" t="s">
        <v>178</v>
      </c>
      <c r="D336" s="17" t="s">
        <v>179</v>
      </c>
      <c r="E336" s="18" t="s">
        <v>180</v>
      </c>
    </row>
    <row r="337" s="29" customFormat="1" ht="28" spans="2:5">
      <c r="B337" s="19" t="s">
        <v>358</v>
      </c>
      <c r="C337" s="20" t="s">
        <v>804</v>
      </c>
      <c r="D337" s="21">
        <v>1</v>
      </c>
      <c r="E337" s="22">
        <v>68468</v>
      </c>
    </row>
    <row r="338" s="29" customFormat="1" ht="28" spans="2:5">
      <c r="B338" s="19" t="s">
        <v>358</v>
      </c>
      <c r="C338" s="16" t="s">
        <v>183</v>
      </c>
      <c r="D338" s="23">
        <v>16</v>
      </c>
      <c r="E338" s="24">
        <v>599891.75</v>
      </c>
    </row>
    <row r="339" s="29" customFormat="1" ht="41" spans="2:5">
      <c r="B339" s="19" t="s">
        <v>359</v>
      </c>
      <c r="C339" s="20" t="s">
        <v>182</v>
      </c>
      <c r="D339" s="21">
        <v>6</v>
      </c>
      <c r="E339" s="22">
        <v>225068.79955</v>
      </c>
    </row>
    <row r="340" s="29" customFormat="1" ht="28" spans="2:5">
      <c r="B340" s="19" t="s">
        <v>359</v>
      </c>
      <c r="C340" s="16" t="s">
        <v>183</v>
      </c>
      <c r="D340" s="23">
        <v>6</v>
      </c>
      <c r="E340" s="24">
        <v>225068.79955</v>
      </c>
    </row>
    <row r="341" s="29" customFormat="1" ht="41" spans="2:5">
      <c r="B341" s="19" t="s">
        <v>964</v>
      </c>
      <c r="C341" s="20" t="s">
        <v>182</v>
      </c>
      <c r="D341" s="21">
        <v>5</v>
      </c>
      <c r="E341" s="22">
        <v>185922.75</v>
      </c>
    </row>
    <row r="342" s="29" customFormat="1" ht="28" spans="2:5">
      <c r="B342" s="19" t="s">
        <v>964</v>
      </c>
      <c r="C342" s="16" t="s">
        <v>183</v>
      </c>
      <c r="D342" s="23">
        <v>5</v>
      </c>
      <c r="E342" s="24">
        <v>185922.75</v>
      </c>
    </row>
    <row r="343" s="29" customFormat="1" ht="41" spans="2:5">
      <c r="B343" s="19" t="s">
        <v>206</v>
      </c>
      <c r="C343" s="20" t="s">
        <v>182</v>
      </c>
      <c r="D343" s="21">
        <v>6</v>
      </c>
      <c r="E343" s="22">
        <v>236373.20045</v>
      </c>
    </row>
    <row r="344" s="29" customFormat="1" ht="28" spans="2:5">
      <c r="B344" s="19" t="s">
        <v>206</v>
      </c>
      <c r="C344" s="16" t="s">
        <v>183</v>
      </c>
      <c r="D344" s="23">
        <v>6</v>
      </c>
      <c r="E344" s="24">
        <v>236373.20045</v>
      </c>
    </row>
    <row r="345" s="29" customFormat="1" ht="41" spans="2:5">
      <c r="B345" s="19" t="s">
        <v>207</v>
      </c>
      <c r="C345" s="20" t="s">
        <v>182</v>
      </c>
      <c r="D345" s="21">
        <v>5</v>
      </c>
      <c r="E345" s="22">
        <v>193242</v>
      </c>
    </row>
    <row r="346" s="29" customFormat="1" ht="28" spans="2:5">
      <c r="B346" s="19" t="s">
        <v>207</v>
      </c>
      <c r="C346" s="20" t="s">
        <v>804</v>
      </c>
      <c r="D346" s="21">
        <v>1</v>
      </c>
      <c r="E346" s="22">
        <v>55495.495495</v>
      </c>
    </row>
    <row r="347" s="29" customFormat="1" ht="28" spans="2:5">
      <c r="B347" s="19" t="s">
        <v>207</v>
      </c>
      <c r="C347" s="16" t="s">
        <v>183</v>
      </c>
      <c r="D347" s="23">
        <v>6</v>
      </c>
      <c r="E347" s="24">
        <v>248737.495495</v>
      </c>
    </row>
    <row r="348" s="29" customFormat="1" ht="41" spans="2:5">
      <c r="B348" s="19" t="s">
        <v>208</v>
      </c>
      <c r="C348" s="20" t="s">
        <v>182</v>
      </c>
      <c r="D348" s="21">
        <v>11</v>
      </c>
      <c r="E348" s="22">
        <v>517298.051802</v>
      </c>
    </row>
    <row r="349" s="29" customFormat="1" ht="28.75" spans="2:5">
      <c r="B349" s="19" t="s">
        <v>208</v>
      </c>
      <c r="C349" s="16" t="s">
        <v>183</v>
      </c>
      <c r="D349" s="23">
        <v>11</v>
      </c>
      <c r="E349" s="24">
        <v>517298.051802</v>
      </c>
    </row>
    <row r="350" s="29" customFormat="1" spans="2:5">
      <c r="B350" s="25"/>
      <c r="C350" s="25"/>
      <c r="D350" s="25"/>
      <c r="E350" s="25"/>
    </row>
    <row r="351" s="29" customFormat="1" ht="36" spans="2:5">
      <c r="B351" s="26" t="s">
        <v>189</v>
      </c>
      <c r="C351" s="26" t="s">
        <v>189</v>
      </c>
      <c r="D351" s="26" t="s">
        <v>189</v>
      </c>
      <c r="E351" s="26" t="s">
        <v>189</v>
      </c>
    </row>
    <row r="352" s="29" customFormat="1" spans="2:5">
      <c r="B352" s="26"/>
      <c r="C352" s="26"/>
      <c r="D352" s="26"/>
      <c r="E352" s="26"/>
    </row>
    <row r="353" s="29" customFormat="1" ht="36" spans="2:5">
      <c r="B353" s="26" t="s">
        <v>958</v>
      </c>
      <c r="C353" s="26" t="s">
        <v>958</v>
      </c>
      <c r="D353" s="26" t="s">
        <v>958</v>
      </c>
      <c r="E353" s="26" t="s">
        <v>958</v>
      </c>
    </row>
    <row r="354" s="29" customFormat="1" spans="2:5">
      <c r="B354" s="26" t="s">
        <v>289</v>
      </c>
      <c r="C354" s="26" t="s">
        <v>289</v>
      </c>
      <c r="D354" s="26" t="s">
        <v>289</v>
      </c>
      <c r="E354" s="26" t="s">
        <v>289</v>
      </c>
    </row>
    <row r="355" s="29" customFormat="1" ht="124" spans="2:5">
      <c r="B355" s="11" t="s">
        <v>173</v>
      </c>
      <c r="C355" s="11" t="s">
        <v>173</v>
      </c>
      <c r="D355" s="11" t="s">
        <v>173</v>
      </c>
      <c r="E355" s="11" t="s">
        <v>173</v>
      </c>
    </row>
    <row r="356" s="29" customFormat="1" ht="156" spans="2:5">
      <c r="B356" s="12" t="s">
        <v>174</v>
      </c>
      <c r="C356" s="12" t="s">
        <v>174</v>
      </c>
      <c r="D356" s="12" t="s">
        <v>174</v>
      </c>
      <c r="E356" s="12" t="s">
        <v>174</v>
      </c>
    </row>
    <row r="357" s="29" customFormat="1" ht="68" spans="2:5">
      <c r="B357" s="13" t="s">
        <v>1155</v>
      </c>
      <c r="C357" s="13" t="s">
        <v>1155</v>
      </c>
      <c r="D357" s="13" t="s">
        <v>1155</v>
      </c>
      <c r="E357" s="13" t="s">
        <v>1155</v>
      </c>
    </row>
    <row r="358" s="29" customFormat="1" ht="22" spans="2:5">
      <c r="B358" s="14" t="s">
        <v>176</v>
      </c>
      <c r="C358" s="14" t="s">
        <v>176</v>
      </c>
      <c r="D358" s="14" t="s">
        <v>176</v>
      </c>
      <c r="E358" s="14" t="s">
        <v>176</v>
      </c>
    </row>
    <row r="359" s="29" customFormat="1" spans="2:5">
      <c r="B359" s="15" t="s">
        <v>177</v>
      </c>
      <c r="C359" s="16" t="s">
        <v>178</v>
      </c>
      <c r="D359" s="17" t="s">
        <v>179</v>
      </c>
      <c r="E359" s="18" t="s">
        <v>180</v>
      </c>
    </row>
    <row r="360" s="29" customFormat="1" ht="41" spans="2:5">
      <c r="B360" s="19" t="s">
        <v>360</v>
      </c>
      <c r="C360" s="20" t="s">
        <v>182</v>
      </c>
      <c r="D360" s="21">
        <v>14</v>
      </c>
      <c r="E360" s="22">
        <v>667473.201802</v>
      </c>
    </row>
    <row r="361" s="29" customFormat="1" ht="28" spans="2:5">
      <c r="B361" s="19" t="s">
        <v>360</v>
      </c>
      <c r="C361" s="16" t="s">
        <v>183</v>
      </c>
      <c r="D361" s="23">
        <v>14</v>
      </c>
      <c r="E361" s="24">
        <v>667473.201802</v>
      </c>
    </row>
    <row r="362" s="29" customFormat="1" ht="41" spans="2:5">
      <c r="B362" s="19" t="s">
        <v>361</v>
      </c>
      <c r="C362" s="20" t="s">
        <v>182</v>
      </c>
      <c r="D362" s="21">
        <v>5</v>
      </c>
      <c r="E362" s="22">
        <v>283782</v>
      </c>
    </row>
    <row r="363" s="29" customFormat="1" ht="28" spans="2:5">
      <c r="B363" s="19" t="s">
        <v>361</v>
      </c>
      <c r="C363" s="16" t="s">
        <v>183</v>
      </c>
      <c r="D363" s="23">
        <v>5</v>
      </c>
      <c r="E363" s="24">
        <v>283782</v>
      </c>
    </row>
    <row r="364" s="29" customFormat="1" ht="28" spans="2:5">
      <c r="B364" s="19" t="s">
        <v>1203</v>
      </c>
      <c r="C364" s="20" t="s">
        <v>804</v>
      </c>
      <c r="D364" s="21">
        <v>1</v>
      </c>
      <c r="E364" s="22">
        <v>458558.558559</v>
      </c>
    </row>
    <row r="365" s="29" customFormat="1" ht="28" spans="2:5">
      <c r="B365" s="19" t="s">
        <v>1203</v>
      </c>
      <c r="C365" s="16" t="s">
        <v>183</v>
      </c>
      <c r="D365" s="23">
        <v>1</v>
      </c>
      <c r="E365" s="24">
        <v>458558.558559</v>
      </c>
    </row>
    <row r="366" s="29" customFormat="1" ht="41" spans="2:5">
      <c r="B366" s="19" t="s">
        <v>418</v>
      </c>
      <c r="C366" s="20" t="s">
        <v>182</v>
      </c>
      <c r="D366" s="21">
        <v>2</v>
      </c>
      <c r="E366" s="22">
        <v>0</v>
      </c>
    </row>
    <row r="367" s="29" customFormat="1" ht="28" spans="2:5">
      <c r="B367" s="19" t="s">
        <v>418</v>
      </c>
      <c r="C367" s="16" t="s">
        <v>183</v>
      </c>
      <c r="D367" s="23">
        <v>2</v>
      </c>
      <c r="E367" s="24">
        <v>0</v>
      </c>
    </row>
    <row r="368" s="29" customFormat="1" ht="41" spans="2:5">
      <c r="B368" s="19" t="s">
        <v>211</v>
      </c>
      <c r="C368" s="20" t="s">
        <v>182</v>
      </c>
      <c r="D368" s="21">
        <v>39</v>
      </c>
      <c r="E368" s="22">
        <v>1955848.751081</v>
      </c>
    </row>
    <row r="369" s="29" customFormat="1" ht="28" spans="2:5">
      <c r="B369" s="19" t="s">
        <v>211</v>
      </c>
      <c r="C369" s="20" t="s">
        <v>804</v>
      </c>
      <c r="D369" s="21">
        <v>13</v>
      </c>
      <c r="E369" s="22">
        <v>810130.73207</v>
      </c>
    </row>
    <row r="370" s="29" customFormat="1" ht="28" spans="2:5">
      <c r="B370" s="19" t="s">
        <v>211</v>
      </c>
      <c r="C370" s="16" t="s">
        <v>183</v>
      </c>
      <c r="D370" s="23">
        <v>52</v>
      </c>
      <c r="E370" s="24">
        <v>2765979.483151</v>
      </c>
    </row>
    <row r="371" s="29" customFormat="1" ht="41" spans="2:5">
      <c r="B371" s="19" t="s">
        <v>213</v>
      </c>
      <c r="C371" s="20" t="s">
        <v>182</v>
      </c>
      <c r="D371" s="21">
        <v>67</v>
      </c>
      <c r="E371" s="22">
        <v>3815648.394236</v>
      </c>
    </row>
    <row r="372" s="29" customFormat="1" ht="28" spans="2:5">
      <c r="B372" s="19" t="s">
        <v>213</v>
      </c>
      <c r="C372" s="20" t="s">
        <v>804</v>
      </c>
      <c r="D372" s="21">
        <v>17</v>
      </c>
      <c r="E372" s="22">
        <v>1063800.711715</v>
      </c>
    </row>
    <row r="373" s="29" customFormat="1" ht="28.75" spans="2:5">
      <c r="B373" s="19" t="s">
        <v>213</v>
      </c>
      <c r="C373" s="16" t="s">
        <v>183</v>
      </c>
      <c r="D373" s="23">
        <v>84</v>
      </c>
      <c r="E373" s="24">
        <v>4879449.105951</v>
      </c>
    </row>
    <row r="374" s="29" customFormat="1" spans="2:5">
      <c r="B374" s="25"/>
      <c r="C374" s="25"/>
      <c r="D374" s="25"/>
      <c r="E374" s="25"/>
    </row>
    <row r="375" s="29" customFormat="1" ht="36" spans="2:5">
      <c r="B375" s="26" t="s">
        <v>189</v>
      </c>
      <c r="C375" s="26" t="s">
        <v>189</v>
      </c>
      <c r="D375" s="26" t="s">
        <v>189</v>
      </c>
      <c r="E375" s="26" t="s">
        <v>189</v>
      </c>
    </row>
    <row r="376" s="29" customFormat="1" spans="2:5">
      <c r="B376" s="26"/>
      <c r="C376" s="26"/>
      <c r="D376" s="26"/>
      <c r="E376" s="26"/>
    </row>
    <row r="377" s="29" customFormat="1" ht="36" spans="2:5">
      <c r="B377" s="26" t="s">
        <v>958</v>
      </c>
      <c r="C377" s="26" t="s">
        <v>958</v>
      </c>
      <c r="D377" s="26" t="s">
        <v>958</v>
      </c>
      <c r="E377" s="26" t="s">
        <v>958</v>
      </c>
    </row>
    <row r="378" s="29" customFormat="1" spans="2:5">
      <c r="B378" s="26" t="s">
        <v>296</v>
      </c>
      <c r="C378" s="26" t="s">
        <v>296</v>
      </c>
      <c r="D378" s="26" t="s">
        <v>296</v>
      </c>
      <c r="E378" s="26" t="s">
        <v>296</v>
      </c>
    </row>
    <row r="379" s="29" customFormat="1" ht="124" spans="2:5">
      <c r="B379" s="11" t="s">
        <v>173</v>
      </c>
      <c r="C379" s="11" t="s">
        <v>173</v>
      </c>
      <c r="D379" s="11" t="s">
        <v>173</v>
      </c>
      <c r="E379" s="11" t="s">
        <v>173</v>
      </c>
    </row>
    <row r="380" s="29" customFormat="1" ht="156" spans="2:5">
      <c r="B380" s="12" t="s">
        <v>174</v>
      </c>
      <c r="C380" s="12" t="s">
        <v>174</v>
      </c>
      <c r="D380" s="12" t="s">
        <v>174</v>
      </c>
      <c r="E380" s="12" t="s">
        <v>174</v>
      </c>
    </row>
    <row r="381" s="29" customFormat="1" ht="68" spans="2:5">
      <c r="B381" s="13" t="s">
        <v>1155</v>
      </c>
      <c r="C381" s="13" t="s">
        <v>1155</v>
      </c>
      <c r="D381" s="13" t="s">
        <v>1155</v>
      </c>
      <c r="E381" s="13" t="s">
        <v>1155</v>
      </c>
    </row>
    <row r="382" s="29" customFormat="1" ht="22" spans="2:5">
      <c r="B382" s="14" t="s">
        <v>176</v>
      </c>
      <c r="C382" s="14" t="s">
        <v>176</v>
      </c>
      <c r="D382" s="14" t="s">
        <v>176</v>
      </c>
      <c r="E382" s="14" t="s">
        <v>176</v>
      </c>
    </row>
    <row r="383" s="29" customFormat="1" spans="2:5">
      <c r="B383" s="15" t="s">
        <v>177</v>
      </c>
      <c r="C383" s="16" t="s">
        <v>178</v>
      </c>
      <c r="D383" s="17" t="s">
        <v>179</v>
      </c>
      <c r="E383" s="18" t="s">
        <v>180</v>
      </c>
    </row>
    <row r="384" s="29" customFormat="1" ht="41" spans="2:5">
      <c r="B384" s="19" t="s">
        <v>214</v>
      </c>
      <c r="C384" s="20" t="s">
        <v>182</v>
      </c>
      <c r="D384" s="21">
        <v>21</v>
      </c>
      <c r="E384" s="22">
        <v>1014912.671171</v>
      </c>
    </row>
    <row r="385" s="29" customFormat="1" ht="28" spans="2:5">
      <c r="B385" s="19" t="s">
        <v>214</v>
      </c>
      <c r="C385" s="20" t="s">
        <v>804</v>
      </c>
      <c r="D385" s="21">
        <v>7</v>
      </c>
      <c r="E385" s="22">
        <v>525314.954955</v>
      </c>
    </row>
    <row r="386" s="29" customFormat="1" ht="28" spans="2:5">
      <c r="B386" s="19" t="s">
        <v>214</v>
      </c>
      <c r="C386" s="16" t="s">
        <v>183</v>
      </c>
      <c r="D386" s="23">
        <v>28</v>
      </c>
      <c r="E386" s="24">
        <v>1540227.626126</v>
      </c>
    </row>
    <row r="387" s="29" customFormat="1" ht="41" spans="2:5">
      <c r="B387" s="19" t="s">
        <v>215</v>
      </c>
      <c r="C387" s="20" t="s">
        <v>182</v>
      </c>
      <c r="D387" s="21">
        <v>27</v>
      </c>
      <c r="E387" s="22">
        <v>1437299.900901</v>
      </c>
    </row>
    <row r="388" s="29" customFormat="1" ht="28" spans="2:5">
      <c r="B388" s="19" t="s">
        <v>215</v>
      </c>
      <c r="C388" s="20" t="s">
        <v>804</v>
      </c>
      <c r="D388" s="21">
        <v>3</v>
      </c>
      <c r="E388" s="22">
        <v>225135.171171</v>
      </c>
    </row>
    <row r="389" s="29" customFormat="1" ht="28" spans="2:5">
      <c r="B389" s="19" t="s">
        <v>215</v>
      </c>
      <c r="C389" s="16" t="s">
        <v>183</v>
      </c>
      <c r="D389" s="23">
        <v>30</v>
      </c>
      <c r="E389" s="24">
        <v>1662435.072072</v>
      </c>
    </row>
    <row r="390" s="29" customFormat="1" ht="41" spans="2:5">
      <c r="B390" s="19" t="s">
        <v>216</v>
      </c>
      <c r="C390" s="20" t="s">
        <v>182</v>
      </c>
      <c r="D390" s="21">
        <v>21</v>
      </c>
      <c r="E390" s="22">
        <v>1053149.328829</v>
      </c>
    </row>
    <row r="391" s="29" customFormat="1" ht="28" spans="2:5">
      <c r="B391" s="19" t="s">
        <v>216</v>
      </c>
      <c r="C391" s="20" t="s">
        <v>804</v>
      </c>
      <c r="D391" s="21">
        <v>1</v>
      </c>
      <c r="E391" s="22">
        <v>78829.081081</v>
      </c>
    </row>
    <row r="392" s="29" customFormat="1" ht="28" spans="2:5">
      <c r="B392" s="19" t="s">
        <v>216</v>
      </c>
      <c r="C392" s="16" t="s">
        <v>183</v>
      </c>
      <c r="D392" s="23">
        <v>22</v>
      </c>
      <c r="E392" s="24">
        <v>1131978.40991</v>
      </c>
    </row>
    <row r="393" s="29" customFormat="1" ht="41" spans="2:5">
      <c r="B393" s="19" t="s">
        <v>364</v>
      </c>
      <c r="C393" s="20" t="s">
        <v>182</v>
      </c>
      <c r="D393" s="21">
        <v>21</v>
      </c>
      <c r="E393" s="22">
        <v>1114137.113424</v>
      </c>
    </row>
    <row r="394" s="29" customFormat="1" ht="28" spans="2:5">
      <c r="B394" s="19" t="s">
        <v>364</v>
      </c>
      <c r="C394" s="20" t="s">
        <v>804</v>
      </c>
      <c r="D394" s="21">
        <v>1</v>
      </c>
      <c r="E394" s="22">
        <v>78828.828829</v>
      </c>
    </row>
    <row r="395" s="29" customFormat="1" ht="28" spans="2:5">
      <c r="B395" s="19" t="s">
        <v>364</v>
      </c>
      <c r="C395" s="16" t="s">
        <v>183</v>
      </c>
      <c r="D395" s="23">
        <v>22</v>
      </c>
      <c r="E395" s="24">
        <v>1192965.942253</v>
      </c>
    </row>
    <row r="396" s="29" customFormat="1" ht="41.75" spans="2:5">
      <c r="B396" s="20" t="s">
        <v>217</v>
      </c>
      <c r="C396" s="20" t="s">
        <v>182</v>
      </c>
      <c r="D396" s="21">
        <v>28</v>
      </c>
      <c r="E396" s="22">
        <v>1725282.64982</v>
      </c>
    </row>
    <row r="397" s="29" customFormat="1" spans="2:5">
      <c r="B397" s="25"/>
      <c r="C397" s="25"/>
      <c r="D397" s="25"/>
      <c r="E397" s="25"/>
    </row>
    <row r="398" s="29" customFormat="1" ht="36" spans="2:5">
      <c r="B398" s="26" t="s">
        <v>189</v>
      </c>
      <c r="C398" s="26" t="s">
        <v>189</v>
      </c>
      <c r="D398" s="26" t="s">
        <v>189</v>
      </c>
      <c r="E398" s="26" t="s">
        <v>189</v>
      </c>
    </row>
    <row r="399" s="29" customFormat="1" spans="2:5">
      <c r="B399" s="26"/>
      <c r="C399" s="26"/>
      <c r="D399" s="26"/>
      <c r="E399" s="26"/>
    </row>
    <row r="400" s="29" customFormat="1" ht="36" spans="2:5">
      <c r="B400" s="26" t="s">
        <v>958</v>
      </c>
      <c r="C400" s="26" t="s">
        <v>958</v>
      </c>
      <c r="D400" s="26" t="s">
        <v>958</v>
      </c>
      <c r="E400" s="26" t="s">
        <v>958</v>
      </c>
    </row>
    <row r="401" s="29" customFormat="1" spans="2:5">
      <c r="B401" s="26" t="s">
        <v>303</v>
      </c>
      <c r="C401" s="26" t="s">
        <v>303</v>
      </c>
      <c r="D401" s="26" t="s">
        <v>303</v>
      </c>
      <c r="E401" s="26" t="s">
        <v>303</v>
      </c>
    </row>
    <row r="402" s="29" customFormat="1" ht="124" spans="2:5">
      <c r="B402" s="11" t="s">
        <v>173</v>
      </c>
      <c r="C402" s="11" t="s">
        <v>173</v>
      </c>
      <c r="D402" s="11" t="s">
        <v>173</v>
      </c>
      <c r="E402" s="11" t="s">
        <v>173</v>
      </c>
    </row>
    <row r="403" s="29" customFormat="1" ht="156" spans="2:5">
      <c r="B403" s="12" t="s">
        <v>174</v>
      </c>
      <c r="C403" s="12" t="s">
        <v>174</v>
      </c>
      <c r="D403" s="12" t="s">
        <v>174</v>
      </c>
      <c r="E403" s="12" t="s">
        <v>174</v>
      </c>
    </row>
    <row r="404" s="29" customFormat="1" ht="68" spans="2:5">
      <c r="B404" s="13" t="s">
        <v>1155</v>
      </c>
      <c r="C404" s="13" t="s">
        <v>1155</v>
      </c>
      <c r="D404" s="13" t="s">
        <v>1155</v>
      </c>
      <c r="E404" s="13" t="s">
        <v>1155</v>
      </c>
    </row>
    <row r="405" s="29" customFormat="1" ht="22" spans="2:5">
      <c r="B405" s="14" t="s">
        <v>176</v>
      </c>
      <c r="C405" s="14" t="s">
        <v>176</v>
      </c>
      <c r="D405" s="14" t="s">
        <v>176</v>
      </c>
      <c r="E405" s="14" t="s">
        <v>176</v>
      </c>
    </row>
    <row r="406" s="29" customFormat="1" spans="2:5">
      <c r="B406" s="15" t="s">
        <v>177</v>
      </c>
      <c r="C406" s="16" t="s">
        <v>178</v>
      </c>
      <c r="D406" s="17" t="s">
        <v>179</v>
      </c>
      <c r="E406" s="18" t="s">
        <v>180</v>
      </c>
    </row>
    <row r="407" s="29" customFormat="1" ht="28" spans="2:5">
      <c r="B407" s="19" t="s">
        <v>217</v>
      </c>
      <c r="C407" s="20" t="s">
        <v>804</v>
      </c>
      <c r="D407" s="21">
        <v>1</v>
      </c>
      <c r="E407" s="22">
        <v>79459.459459</v>
      </c>
    </row>
    <row r="408" s="29" customFormat="1" ht="28" spans="2:5">
      <c r="B408" s="19" t="s">
        <v>217</v>
      </c>
      <c r="C408" s="16" t="s">
        <v>183</v>
      </c>
      <c r="D408" s="23">
        <v>29</v>
      </c>
      <c r="E408" s="24">
        <v>1804742.109279</v>
      </c>
    </row>
    <row r="409" s="29" customFormat="1" ht="41" spans="2:5">
      <c r="B409" s="19" t="s">
        <v>218</v>
      </c>
      <c r="C409" s="20" t="s">
        <v>182</v>
      </c>
      <c r="D409" s="21">
        <v>44</v>
      </c>
      <c r="E409" s="22">
        <v>3178871.932429</v>
      </c>
    </row>
    <row r="410" s="29" customFormat="1" ht="28" spans="2:5">
      <c r="B410" s="19" t="s">
        <v>218</v>
      </c>
      <c r="C410" s="20" t="s">
        <v>804</v>
      </c>
      <c r="D410" s="21">
        <v>21</v>
      </c>
      <c r="E410" s="22">
        <v>1787837.936934</v>
      </c>
    </row>
    <row r="411" s="29" customFormat="1" ht="28" spans="2:5">
      <c r="B411" s="19" t="s">
        <v>218</v>
      </c>
      <c r="C411" s="16" t="s">
        <v>183</v>
      </c>
      <c r="D411" s="23">
        <v>65</v>
      </c>
      <c r="E411" s="24">
        <v>4966709.869363</v>
      </c>
    </row>
    <row r="412" s="29" customFormat="1" ht="41" spans="2:5">
      <c r="B412" s="19" t="s">
        <v>220</v>
      </c>
      <c r="C412" s="20" t="s">
        <v>182</v>
      </c>
      <c r="D412" s="21">
        <v>39</v>
      </c>
      <c r="E412" s="22">
        <v>2629459.689188</v>
      </c>
    </row>
    <row r="413" s="29" customFormat="1" ht="28" spans="2:5">
      <c r="B413" s="19" t="s">
        <v>220</v>
      </c>
      <c r="C413" s="20" t="s">
        <v>804</v>
      </c>
      <c r="D413" s="21">
        <v>12</v>
      </c>
      <c r="E413" s="22">
        <v>1012326.493418</v>
      </c>
    </row>
    <row r="414" s="29" customFormat="1" ht="28" spans="2:5">
      <c r="B414" s="19" t="s">
        <v>220</v>
      </c>
      <c r="C414" s="16" t="s">
        <v>183</v>
      </c>
      <c r="D414" s="23">
        <v>51</v>
      </c>
      <c r="E414" s="24">
        <v>3641786.182606</v>
      </c>
    </row>
    <row r="415" s="29" customFormat="1" ht="41" spans="2:5">
      <c r="B415" s="19" t="s">
        <v>221</v>
      </c>
      <c r="C415" s="20" t="s">
        <v>182</v>
      </c>
      <c r="D415" s="21">
        <v>30</v>
      </c>
      <c r="E415" s="22">
        <v>2249327.43919</v>
      </c>
    </row>
    <row r="416" s="29" customFormat="1" ht="28" spans="2:5">
      <c r="B416" s="19" t="s">
        <v>221</v>
      </c>
      <c r="C416" s="20" t="s">
        <v>804</v>
      </c>
      <c r="D416" s="21">
        <v>14</v>
      </c>
      <c r="E416" s="22">
        <v>1254645.945947</v>
      </c>
    </row>
    <row r="417" s="29" customFormat="1" ht="28" spans="2:5">
      <c r="B417" s="19" t="s">
        <v>221</v>
      </c>
      <c r="C417" s="16" t="s">
        <v>183</v>
      </c>
      <c r="D417" s="23">
        <v>44</v>
      </c>
      <c r="E417" s="24">
        <v>3503973.385137</v>
      </c>
    </row>
    <row r="418" s="29" customFormat="1" ht="41" spans="2:5">
      <c r="B418" s="19" t="s">
        <v>420</v>
      </c>
      <c r="C418" s="20" t="s">
        <v>182</v>
      </c>
      <c r="D418" s="21">
        <v>5</v>
      </c>
      <c r="E418" s="22">
        <v>345494.5</v>
      </c>
    </row>
    <row r="419" s="29" customFormat="1" ht="28.75" spans="2:5">
      <c r="B419" s="19" t="s">
        <v>420</v>
      </c>
      <c r="C419" s="16" t="s">
        <v>183</v>
      </c>
      <c r="D419" s="23">
        <v>5</v>
      </c>
      <c r="E419" s="24">
        <v>345494.5</v>
      </c>
    </row>
    <row r="420" s="29" customFormat="1" spans="2:5">
      <c r="B420" s="25"/>
      <c r="C420" s="25"/>
      <c r="D420" s="25"/>
      <c r="E420" s="25"/>
    </row>
    <row r="421" s="29" customFormat="1" ht="36" spans="2:5">
      <c r="B421" s="26" t="s">
        <v>189</v>
      </c>
      <c r="C421" s="26" t="s">
        <v>189</v>
      </c>
      <c r="D421" s="26" t="s">
        <v>189</v>
      </c>
      <c r="E421" s="26" t="s">
        <v>189</v>
      </c>
    </row>
    <row r="422" s="29" customFormat="1" spans="2:5">
      <c r="B422" s="26"/>
      <c r="C422" s="26"/>
      <c r="D422" s="26"/>
      <c r="E422" s="26"/>
    </row>
    <row r="423" s="29" customFormat="1" ht="36" spans="2:5">
      <c r="B423" s="26" t="s">
        <v>958</v>
      </c>
      <c r="C423" s="26" t="s">
        <v>958</v>
      </c>
      <c r="D423" s="26" t="s">
        <v>958</v>
      </c>
      <c r="E423" s="26" t="s">
        <v>958</v>
      </c>
    </row>
    <row r="424" s="29" customFormat="1" spans="2:5">
      <c r="B424" s="26" t="s">
        <v>310</v>
      </c>
      <c r="C424" s="26" t="s">
        <v>310</v>
      </c>
      <c r="D424" s="26" t="s">
        <v>310</v>
      </c>
      <c r="E424" s="26" t="s">
        <v>310</v>
      </c>
    </row>
    <row r="425" s="29" customFormat="1" ht="124" spans="2:5">
      <c r="B425" s="11" t="s">
        <v>173</v>
      </c>
      <c r="C425" s="11" t="s">
        <v>173</v>
      </c>
      <c r="D425" s="11" t="s">
        <v>173</v>
      </c>
      <c r="E425" s="11" t="s">
        <v>173</v>
      </c>
    </row>
    <row r="426" s="29" customFormat="1" ht="156" spans="2:5">
      <c r="B426" s="12" t="s">
        <v>174</v>
      </c>
      <c r="C426" s="12" t="s">
        <v>174</v>
      </c>
      <c r="D426" s="12" t="s">
        <v>174</v>
      </c>
      <c r="E426" s="12" t="s">
        <v>174</v>
      </c>
    </row>
    <row r="427" s="29" customFormat="1" ht="68" spans="2:5">
      <c r="B427" s="13" t="s">
        <v>1155</v>
      </c>
      <c r="C427" s="13" t="s">
        <v>1155</v>
      </c>
      <c r="D427" s="13" t="s">
        <v>1155</v>
      </c>
      <c r="E427" s="13" t="s">
        <v>1155</v>
      </c>
    </row>
    <row r="428" s="29" customFormat="1" ht="22" spans="2:5">
      <c r="B428" s="14" t="s">
        <v>176</v>
      </c>
      <c r="C428" s="14" t="s">
        <v>176</v>
      </c>
      <c r="D428" s="14" t="s">
        <v>176</v>
      </c>
      <c r="E428" s="14" t="s">
        <v>176</v>
      </c>
    </row>
    <row r="429" s="29" customFormat="1" spans="2:5">
      <c r="B429" s="15" t="s">
        <v>177</v>
      </c>
      <c r="C429" s="16" t="s">
        <v>178</v>
      </c>
      <c r="D429" s="17" t="s">
        <v>179</v>
      </c>
      <c r="E429" s="18" t="s">
        <v>180</v>
      </c>
    </row>
    <row r="430" s="29" customFormat="1" ht="41" spans="2:5">
      <c r="B430" s="19" t="s">
        <v>222</v>
      </c>
      <c r="C430" s="20" t="s">
        <v>1191</v>
      </c>
      <c r="D430" s="21">
        <v>10</v>
      </c>
      <c r="E430" s="22">
        <v>562159</v>
      </c>
    </row>
    <row r="431" s="29" customFormat="1" ht="41" spans="2:5">
      <c r="B431" s="19" t="s">
        <v>222</v>
      </c>
      <c r="C431" s="20" t="s">
        <v>182</v>
      </c>
      <c r="D431" s="21">
        <v>3</v>
      </c>
      <c r="E431" s="22">
        <v>274865.063063</v>
      </c>
    </row>
    <row r="432" s="29" customFormat="1" ht="28" spans="2:5">
      <c r="B432" s="19" t="s">
        <v>222</v>
      </c>
      <c r="C432" s="20" t="s">
        <v>804</v>
      </c>
      <c r="D432" s="21">
        <v>4</v>
      </c>
      <c r="E432" s="22">
        <v>407206.900901</v>
      </c>
    </row>
    <row r="433" s="29" customFormat="1" ht="28" spans="2:5">
      <c r="B433" s="19" t="s">
        <v>222</v>
      </c>
      <c r="C433" s="16" t="s">
        <v>183</v>
      </c>
      <c r="D433" s="23">
        <v>17</v>
      </c>
      <c r="E433" s="24">
        <v>1244230.963964</v>
      </c>
    </row>
    <row r="434" s="29" customFormat="1" ht="28" spans="2:5">
      <c r="B434" s="19" t="s">
        <v>223</v>
      </c>
      <c r="C434" s="20" t="s">
        <v>804</v>
      </c>
      <c r="D434" s="21">
        <v>1</v>
      </c>
      <c r="E434" s="22">
        <v>109909.90991</v>
      </c>
    </row>
    <row r="435" s="29" customFormat="1" ht="28" spans="2:5">
      <c r="B435" s="19" t="s">
        <v>223</v>
      </c>
      <c r="C435" s="16" t="s">
        <v>183</v>
      </c>
      <c r="D435" s="23">
        <v>1</v>
      </c>
      <c r="E435" s="24">
        <v>109909.90991</v>
      </c>
    </row>
    <row r="436" s="29" customFormat="1" ht="41" spans="2:5">
      <c r="B436" s="19" t="s">
        <v>224</v>
      </c>
      <c r="C436" s="20" t="s">
        <v>1191</v>
      </c>
      <c r="D436" s="21">
        <v>5</v>
      </c>
      <c r="E436" s="22">
        <v>356307</v>
      </c>
    </row>
    <row r="437" s="29" customFormat="1" ht="41" spans="2:5">
      <c r="B437" s="19" t="s">
        <v>224</v>
      </c>
      <c r="C437" s="20" t="s">
        <v>182</v>
      </c>
      <c r="D437" s="21">
        <v>1</v>
      </c>
      <c r="E437" s="22">
        <v>94414</v>
      </c>
    </row>
    <row r="438" s="29" customFormat="1" ht="28" spans="2:5">
      <c r="B438" s="19" t="s">
        <v>224</v>
      </c>
      <c r="C438" s="20" t="s">
        <v>804</v>
      </c>
      <c r="D438" s="21">
        <v>5</v>
      </c>
      <c r="E438" s="22">
        <v>573873.855856</v>
      </c>
    </row>
    <row r="439" s="29" customFormat="1" ht="28" spans="2:5">
      <c r="B439" s="19" t="s">
        <v>224</v>
      </c>
      <c r="C439" s="16" t="s">
        <v>183</v>
      </c>
      <c r="D439" s="23">
        <v>11</v>
      </c>
      <c r="E439" s="24">
        <v>1024594.855856</v>
      </c>
    </row>
    <row r="440" s="29" customFormat="1" ht="28" spans="2:5">
      <c r="B440" s="19" t="s">
        <v>225</v>
      </c>
      <c r="C440" s="20" t="s">
        <v>804</v>
      </c>
      <c r="D440" s="21">
        <v>3</v>
      </c>
      <c r="E440" s="22">
        <v>343243.243242</v>
      </c>
    </row>
    <row r="441" s="29" customFormat="1" ht="28" spans="2:5">
      <c r="B441" s="19" t="s">
        <v>225</v>
      </c>
      <c r="C441" s="16" t="s">
        <v>183</v>
      </c>
      <c r="D441" s="23">
        <v>3</v>
      </c>
      <c r="E441" s="24">
        <v>343243.243242</v>
      </c>
    </row>
    <row r="442" s="29" customFormat="1" ht="41" spans="2:5">
      <c r="B442" s="19" t="s">
        <v>227</v>
      </c>
      <c r="C442" s="20" t="s">
        <v>182</v>
      </c>
      <c r="D442" s="21">
        <v>1</v>
      </c>
      <c r="E442" s="22">
        <v>109909.90991</v>
      </c>
    </row>
    <row r="443" s="29" customFormat="1" ht="28.75" spans="2:5">
      <c r="B443" s="19" t="s">
        <v>227</v>
      </c>
      <c r="C443" s="16" t="s">
        <v>183</v>
      </c>
      <c r="D443" s="23">
        <v>1</v>
      </c>
      <c r="E443" s="24">
        <v>109909.90991</v>
      </c>
    </row>
    <row r="444" s="29" customFormat="1" spans="2:5">
      <c r="B444" s="25"/>
      <c r="C444" s="25"/>
      <c r="D444" s="25"/>
      <c r="E444" s="25"/>
    </row>
    <row r="445" s="29" customFormat="1" ht="36" spans="2:5">
      <c r="B445" s="26" t="s">
        <v>189</v>
      </c>
      <c r="C445" s="26" t="s">
        <v>189</v>
      </c>
      <c r="D445" s="26" t="s">
        <v>189</v>
      </c>
      <c r="E445" s="26" t="s">
        <v>189</v>
      </c>
    </row>
    <row r="446" s="29" customFormat="1" spans="2:5">
      <c r="B446" s="26"/>
      <c r="C446" s="26"/>
      <c r="D446" s="26"/>
      <c r="E446" s="26"/>
    </row>
    <row r="447" s="29" customFormat="1" ht="36" spans="2:5">
      <c r="B447" s="26" t="s">
        <v>958</v>
      </c>
      <c r="C447" s="26" t="s">
        <v>958</v>
      </c>
      <c r="D447" s="26" t="s">
        <v>958</v>
      </c>
      <c r="E447" s="26" t="s">
        <v>958</v>
      </c>
    </row>
    <row r="448" s="29" customFormat="1" spans="2:5">
      <c r="B448" s="26" t="s">
        <v>317</v>
      </c>
      <c r="C448" s="26" t="s">
        <v>317</v>
      </c>
      <c r="D448" s="26" t="s">
        <v>317</v>
      </c>
      <c r="E448" s="26" t="s">
        <v>317</v>
      </c>
    </row>
    <row r="449" s="29" customFormat="1" ht="124" spans="2:5">
      <c r="B449" s="11" t="s">
        <v>173</v>
      </c>
      <c r="C449" s="11" t="s">
        <v>173</v>
      </c>
      <c r="D449" s="11" t="s">
        <v>173</v>
      </c>
      <c r="E449" s="11" t="s">
        <v>173</v>
      </c>
    </row>
    <row r="450" s="29" customFormat="1" ht="156" spans="2:5">
      <c r="B450" s="12" t="s">
        <v>174</v>
      </c>
      <c r="C450" s="12" t="s">
        <v>174</v>
      </c>
      <c r="D450" s="12" t="s">
        <v>174</v>
      </c>
      <c r="E450" s="12" t="s">
        <v>174</v>
      </c>
    </row>
    <row r="451" s="29" customFormat="1" ht="68" spans="2:5">
      <c r="B451" s="13" t="s">
        <v>1155</v>
      </c>
      <c r="C451" s="13" t="s">
        <v>1155</v>
      </c>
      <c r="D451" s="13" t="s">
        <v>1155</v>
      </c>
      <c r="E451" s="13" t="s">
        <v>1155</v>
      </c>
    </row>
    <row r="452" s="29" customFormat="1" ht="22" spans="2:5">
      <c r="B452" s="14" t="s">
        <v>176</v>
      </c>
      <c r="C452" s="14" t="s">
        <v>176</v>
      </c>
      <c r="D452" s="14" t="s">
        <v>176</v>
      </c>
      <c r="E452" s="14" t="s">
        <v>176</v>
      </c>
    </row>
    <row r="453" s="29" customFormat="1" spans="2:5">
      <c r="B453" s="15" t="s">
        <v>177</v>
      </c>
      <c r="C453" s="16" t="s">
        <v>178</v>
      </c>
      <c r="D453" s="17" t="s">
        <v>179</v>
      </c>
      <c r="E453" s="18" t="s">
        <v>180</v>
      </c>
    </row>
    <row r="454" s="29" customFormat="1" ht="28" spans="2:5">
      <c r="B454" s="19" t="s">
        <v>1204</v>
      </c>
      <c r="C454" s="20" t="s">
        <v>804</v>
      </c>
      <c r="D454" s="21">
        <v>1</v>
      </c>
      <c r="E454" s="22">
        <v>657000</v>
      </c>
    </row>
    <row r="455" s="29" customFormat="1" spans="2:5">
      <c r="B455" s="19" t="s">
        <v>1204</v>
      </c>
      <c r="C455" s="16" t="s">
        <v>183</v>
      </c>
      <c r="D455" s="23">
        <v>1</v>
      </c>
      <c r="E455" s="24">
        <v>657000</v>
      </c>
    </row>
    <row r="456" s="29" customFormat="1" ht="28" spans="2:5">
      <c r="B456" s="19" t="s">
        <v>1205</v>
      </c>
      <c r="C456" s="20" t="s">
        <v>804</v>
      </c>
      <c r="D456" s="21">
        <v>1</v>
      </c>
      <c r="E456" s="22">
        <v>1351351.351351</v>
      </c>
    </row>
    <row r="457" s="29" customFormat="1" spans="2:5">
      <c r="B457" s="19" t="s">
        <v>1205</v>
      </c>
      <c r="C457" s="16" t="s">
        <v>183</v>
      </c>
      <c r="D457" s="23">
        <v>1</v>
      </c>
      <c r="E457" s="24">
        <v>1351351.351351</v>
      </c>
    </row>
    <row r="458" s="29" customFormat="1" ht="41" spans="2:5">
      <c r="B458" s="19" t="s">
        <v>1206</v>
      </c>
      <c r="C458" s="20" t="s">
        <v>182</v>
      </c>
      <c r="D458" s="21">
        <v>1</v>
      </c>
      <c r="E458" s="22">
        <v>312162.162162</v>
      </c>
    </row>
    <row r="459" s="29" customFormat="1" ht="28" spans="2:5">
      <c r="B459" s="19" t="s">
        <v>1206</v>
      </c>
      <c r="C459" s="16" t="s">
        <v>183</v>
      </c>
      <c r="D459" s="23">
        <v>1</v>
      </c>
      <c r="E459" s="24">
        <v>312162.162162</v>
      </c>
    </row>
    <row r="460" s="29" customFormat="1" ht="28" spans="2:5">
      <c r="B460" s="19" t="s">
        <v>1207</v>
      </c>
      <c r="C460" s="20" t="s">
        <v>804</v>
      </c>
      <c r="D460" s="21">
        <v>2</v>
      </c>
      <c r="E460" s="22">
        <v>5926126</v>
      </c>
    </row>
    <row r="461" s="29" customFormat="1" ht="28" spans="2:5">
      <c r="B461" s="19" t="s">
        <v>1207</v>
      </c>
      <c r="C461" s="16" t="s">
        <v>183</v>
      </c>
      <c r="D461" s="23">
        <v>2</v>
      </c>
      <c r="E461" s="24">
        <v>5926126</v>
      </c>
    </row>
    <row r="462" s="29" customFormat="1" ht="28" spans="2:5">
      <c r="B462" s="19" t="s">
        <v>237</v>
      </c>
      <c r="C462" s="20" t="s">
        <v>804</v>
      </c>
      <c r="D462" s="21">
        <v>4</v>
      </c>
      <c r="E462" s="22">
        <v>5066667</v>
      </c>
    </row>
    <row r="463" s="29" customFormat="1" ht="28" spans="2:5">
      <c r="B463" s="19" t="s">
        <v>237</v>
      </c>
      <c r="C463" s="16" t="s">
        <v>183</v>
      </c>
      <c r="D463" s="23">
        <v>4</v>
      </c>
      <c r="E463" s="24">
        <v>5066667</v>
      </c>
    </row>
    <row r="464" s="29" customFormat="1" ht="28" spans="2:5">
      <c r="B464" s="19" t="s">
        <v>238</v>
      </c>
      <c r="C464" s="20" t="s">
        <v>804</v>
      </c>
      <c r="D464" s="21">
        <v>4</v>
      </c>
      <c r="E464" s="22">
        <v>8648649</v>
      </c>
    </row>
    <row r="465" s="29" customFormat="1" ht="28" spans="2:5">
      <c r="B465" s="19" t="s">
        <v>238</v>
      </c>
      <c r="C465" s="16" t="s">
        <v>183</v>
      </c>
      <c r="D465" s="23">
        <v>4</v>
      </c>
      <c r="E465" s="24">
        <v>8648649</v>
      </c>
    </row>
    <row r="466" s="29" customFormat="1" ht="28" spans="2:5">
      <c r="B466" s="19" t="s">
        <v>239</v>
      </c>
      <c r="C466" s="20" t="s">
        <v>804</v>
      </c>
      <c r="D466" s="21">
        <v>2</v>
      </c>
      <c r="E466" s="22">
        <v>3623423.423423</v>
      </c>
    </row>
    <row r="467" s="29" customFormat="1" ht="28" spans="2:5">
      <c r="B467" s="19" t="s">
        <v>239</v>
      </c>
      <c r="C467" s="16" t="s">
        <v>183</v>
      </c>
      <c r="D467" s="23">
        <v>2</v>
      </c>
      <c r="E467" s="24">
        <v>3623423.423423</v>
      </c>
    </row>
    <row r="468" s="29" customFormat="1" ht="28" spans="2:5">
      <c r="B468" s="19" t="s">
        <v>1208</v>
      </c>
      <c r="C468" s="20" t="s">
        <v>804</v>
      </c>
      <c r="D468" s="21">
        <v>2</v>
      </c>
      <c r="E468" s="22">
        <v>2443243</v>
      </c>
    </row>
    <row r="469" s="29" customFormat="1" ht="28.75" spans="2:5">
      <c r="B469" s="19" t="s">
        <v>1208</v>
      </c>
      <c r="C469" s="16" t="s">
        <v>183</v>
      </c>
      <c r="D469" s="23">
        <v>2</v>
      </c>
      <c r="E469" s="24">
        <v>2443243</v>
      </c>
    </row>
    <row r="470" s="29" customFormat="1" spans="2:5">
      <c r="B470" s="25"/>
      <c r="C470" s="25"/>
      <c r="D470" s="25"/>
      <c r="E470" s="25"/>
    </row>
    <row r="471" s="29" customFormat="1" ht="36" spans="2:5">
      <c r="B471" s="26" t="s">
        <v>189</v>
      </c>
      <c r="C471" s="26" t="s">
        <v>189</v>
      </c>
      <c r="D471" s="26" t="s">
        <v>189</v>
      </c>
      <c r="E471" s="26" t="s">
        <v>189</v>
      </c>
    </row>
    <row r="472" s="29" customFormat="1" spans="2:5">
      <c r="B472" s="26"/>
      <c r="C472" s="26"/>
      <c r="D472" s="26"/>
      <c r="E472" s="26"/>
    </row>
    <row r="473" s="29" customFormat="1" ht="36" spans="2:5">
      <c r="B473" s="26" t="s">
        <v>958</v>
      </c>
      <c r="C473" s="26" t="s">
        <v>958</v>
      </c>
      <c r="D473" s="26" t="s">
        <v>958</v>
      </c>
      <c r="E473" s="26" t="s">
        <v>958</v>
      </c>
    </row>
    <row r="474" s="29" customFormat="1" spans="2:5">
      <c r="B474" s="26" t="s">
        <v>324</v>
      </c>
      <c r="C474" s="26" t="s">
        <v>324</v>
      </c>
      <c r="D474" s="26" t="s">
        <v>324</v>
      </c>
      <c r="E474" s="26" t="s">
        <v>324</v>
      </c>
    </row>
    <row r="475" s="29" customFormat="1" ht="124" spans="2:5">
      <c r="B475" s="11" t="s">
        <v>173</v>
      </c>
      <c r="C475" s="11" t="s">
        <v>173</v>
      </c>
      <c r="D475" s="11" t="s">
        <v>173</v>
      </c>
      <c r="E475" s="11" t="s">
        <v>173</v>
      </c>
    </row>
    <row r="476" s="29" customFormat="1" ht="156" spans="2:5">
      <c r="B476" s="12" t="s">
        <v>174</v>
      </c>
      <c r="C476" s="12" t="s">
        <v>174</v>
      </c>
      <c r="D476" s="12" t="s">
        <v>174</v>
      </c>
      <c r="E476" s="12" t="s">
        <v>174</v>
      </c>
    </row>
    <row r="477" s="29" customFormat="1" ht="68" spans="2:5">
      <c r="B477" s="13" t="s">
        <v>1155</v>
      </c>
      <c r="C477" s="13" t="s">
        <v>1155</v>
      </c>
      <c r="D477" s="13" t="s">
        <v>1155</v>
      </c>
      <c r="E477" s="13" t="s">
        <v>1155</v>
      </c>
    </row>
    <row r="478" s="29" customFormat="1" ht="22" spans="2:5">
      <c r="B478" s="14" t="s">
        <v>176</v>
      </c>
      <c r="C478" s="14" t="s">
        <v>176</v>
      </c>
      <c r="D478" s="14" t="s">
        <v>176</v>
      </c>
      <c r="E478" s="14" t="s">
        <v>176</v>
      </c>
    </row>
    <row r="479" s="29" customFormat="1" spans="2:5">
      <c r="B479" s="15" t="s">
        <v>177</v>
      </c>
      <c r="C479" s="16" t="s">
        <v>178</v>
      </c>
      <c r="D479" s="17" t="s">
        <v>179</v>
      </c>
      <c r="E479" s="18" t="s">
        <v>180</v>
      </c>
    </row>
    <row r="480" s="29" customFormat="1" ht="28" spans="2:5">
      <c r="B480" s="19" t="s">
        <v>1209</v>
      </c>
      <c r="C480" s="20" t="s">
        <v>804</v>
      </c>
      <c r="D480" s="21">
        <v>1</v>
      </c>
      <c r="E480" s="22">
        <v>783784</v>
      </c>
    </row>
    <row r="481" s="29" customFormat="1" ht="28" spans="2:5">
      <c r="B481" s="19" t="s">
        <v>1209</v>
      </c>
      <c r="C481" s="16" t="s">
        <v>183</v>
      </c>
      <c r="D481" s="23">
        <v>1</v>
      </c>
      <c r="E481" s="24">
        <v>783784</v>
      </c>
    </row>
    <row r="482" s="29" customFormat="1" ht="28" spans="2:5">
      <c r="B482" s="19" t="s">
        <v>242</v>
      </c>
      <c r="C482" s="20" t="s">
        <v>804</v>
      </c>
      <c r="D482" s="21">
        <v>2</v>
      </c>
      <c r="E482" s="22">
        <v>1261261</v>
      </c>
    </row>
    <row r="483" s="29" customFormat="1" ht="28" spans="2:5">
      <c r="B483" s="19" t="s">
        <v>242</v>
      </c>
      <c r="C483" s="16" t="s">
        <v>183</v>
      </c>
      <c r="D483" s="23">
        <v>2</v>
      </c>
      <c r="E483" s="24">
        <v>1261261</v>
      </c>
    </row>
    <row r="484" s="29" customFormat="1" ht="41" spans="2:5">
      <c r="B484" s="19" t="s">
        <v>243</v>
      </c>
      <c r="C484" s="20" t="s">
        <v>182</v>
      </c>
      <c r="D484" s="21">
        <v>2</v>
      </c>
      <c r="E484" s="22">
        <v>1380180.18018</v>
      </c>
    </row>
    <row r="485" s="29" customFormat="1" ht="28" spans="2:5">
      <c r="B485" s="19" t="s">
        <v>243</v>
      </c>
      <c r="C485" s="16" t="s">
        <v>183</v>
      </c>
      <c r="D485" s="23">
        <v>2</v>
      </c>
      <c r="E485" s="24">
        <v>1380180.18018</v>
      </c>
    </row>
    <row r="486" s="29" customFormat="1" ht="28" spans="2:5">
      <c r="B486" s="19" t="s">
        <v>1210</v>
      </c>
      <c r="C486" s="20" t="s">
        <v>804</v>
      </c>
      <c r="D486" s="21">
        <v>4</v>
      </c>
      <c r="E486" s="22">
        <v>3156757</v>
      </c>
    </row>
    <row r="487" s="29" customFormat="1" ht="28" spans="2:5">
      <c r="B487" s="19" t="s">
        <v>1210</v>
      </c>
      <c r="C487" s="16" t="s">
        <v>183</v>
      </c>
      <c r="D487" s="23">
        <v>4</v>
      </c>
      <c r="E487" s="24">
        <v>3156757</v>
      </c>
    </row>
    <row r="488" s="29" customFormat="1" ht="28" spans="2:5">
      <c r="B488" s="19" t="s">
        <v>255</v>
      </c>
      <c r="C488" s="20" t="s">
        <v>804</v>
      </c>
      <c r="D488" s="21">
        <v>2</v>
      </c>
      <c r="E488" s="22">
        <v>1981981.981982</v>
      </c>
    </row>
    <row r="489" s="29" customFormat="1" ht="28" spans="2:5">
      <c r="B489" s="19" t="s">
        <v>255</v>
      </c>
      <c r="C489" s="16" t="s">
        <v>183</v>
      </c>
      <c r="D489" s="23">
        <v>2</v>
      </c>
      <c r="E489" s="24">
        <v>1981981.981982</v>
      </c>
    </row>
    <row r="490" s="29" customFormat="1" ht="28" spans="2:5">
      <c r="B490" s="19" t="s">
        <v>1211</v>
      </c>
      <c r="C490" s="20" t="s">
        <v>804</v>
      </c>
      <c r="D490" s="21">
        <v>1</v>
      </c>
      <c r="E490" s="22">
        <v>1272072</v>
      </c>
    </row>
    <row r="491" s="29" customFormat="1" ht="28" spans="2:5">
      <c r="B491" s="19" t="s">
        <v>1211</v>
      </c>
      <c r="C491" s="16" t="s">
        <v>183</v>
      </c>
      <c r="D491" s="23">
        <v>1</v>
      </c>
      <c r="E491" s="24">
        <v>1272072</v>
      </c>
    </row>
    <row r="492" s="29" customFormat="1" ht="41" spans="2:5">
      <c r="B492" s="19" t="s">
        <v>264</v>
      </c>
      <c r="C492" s="20" t="s">
        <v>182</v>
      </c>
      <c r="D492" s="21">
        <v>1</v>
      </c>
      <c r="E492" s="22">
        <v>1287387</v>
      </c>
    </row>
    <row r="493" s="29" customFormat="1" ht="28.75" spans="2:5">
      <c r="B493" s="19" t="s">
        <v>264</v>
      </c>
      <c r="C493" s="16" t="s">
        <v>183</v>
      </c>
      <c r="D493" s="23">
        <v>1</v>
      </c>
      <c r="E493" s="24">
        <v>1287387</v>
      </c>
    </row>
    <row r="494" s="29" customFormat="1" spans="2:5">
      <c r="B494" s="25"/>
      <c r="C494" s="25"/>
      <c r="D494" s="25"/>
      <c r="E494" s="25"/>
    </row>
    <row r="495" s="29" customFormat="1" ht="36" spans="2:5">
      <c r="B495" s="26" t="s">
        <v>189</v>
      </c>
      <c r="C495" s="26" t="s">
        <v>189</v>
      </c>
      <c r="D495" s="26" t="s">
        <v>189</v>
      </c>
      <c r="E495" s="26" t="s">
        <v>189</v>
      </c>
    </row>
    <row r="496" s="29" customFormat="1" spans="2:5">
      <c r="B496" s="26"/>
      <c r="C496" s="26"/>
      <c r="D496" s="26"/>
      <c r="E496" s="26"/>
    </row>
    <row r="497" s="29" customFormat="1" ht="36" spans="2:5">
      <c r="B497" s="26" t="s">
        <v>958</v>
      </c>
      <c r="C497" s="26" t="s">
        <v>958</v>
      </c>
      <c r="D497" s="26" t="s">
        <v>958</v>
      </c>
      <c r="E497" s="26" t="s">
        <v>958</v>
      </c>
    </row>
    <row r="498" s="29" customFormat="1" spans="2:5">
      <c r="B498" s="26" t="s">
        <v>331</v>
      </c>
      <c r="C498" s="26" t="s">
        <v>331</v>
      </c>
      <c r="D498" s="26" t="s">
        <v>331</v>
      </c>
      <c r="E498" s="26" t="s">
        <v>331</v>
      </c>
    </row>
    <row r="499" s="29" customFormat="1" ht="124" spans="2:5">
      <c r="B499" s="11" t="s">
        <v>173</v>
      </c>
      <c r="C499" s="11" t="s">
        <v>173</v>
      </c>
      <c r="D499" s="11" t="s">
        <v>173</v>
      </c>
      <c r="E499" s="11" t="s">
        <v>173</v>
      </c>
    </row>
    <row r="500" s="29" customFormat="1" ht="156" spans="2:5">
      <c r="B500" s="12" t="s">
        <v>174</v>
      </c>
      <c r="C500" s="12" t="s">
        <v>174</v>
      </c>
      <c r="D500" s="12" t="s">
        <v>174</v>
      </c>
      <c r="E500" s="12" t="s">
        <v>174</v>
      </c>
    </row>
    <row r="501" s="29" customFormat="1" ht="68" spans="2:5">
      <c r="B501" s="13" t="s">
        <v>1155</v>
      </c>
      <c r="C501" s="13" t="s">
        <v>1155</v>
      </c>
      <c r="D501" s="13" t="s">
        <v>1155</v>
      </c>
      <c r="E501" s="13" t="s">
        <v>1155</v>
      </c>
    </row>
    <row r="502" s="29" customFormat="1" ht="22" spans="2:5">
      <c r="B502" s="14" t="s">
        <v>176</v>
      </c>
      <c r="C502" s="14" t="s">
        <v>176</v>
      </c>
      <c r="D502" s="14" t="s">
        <v>176</v>
      </c>
      <c r="E502" s="14" t="s">
        <v>176</v>
      </c>
    </row>
    <row r="503" s="29" customFormat="1" spans="2:5">
      <c r="B503" s="15" t="s">
        <v>177</v>
      </c>
      <c r="C503" s="16" t="s">
        <v>178</v>
      </c>
      <c r="D503" s="17" t="s">
        <v>179</v>
      </c>
      <c r="E503" s="18" t="s">
        <v>180</v>
      </c>
    </row>
    <row r="504" s="29" customFormat="1" ht="41" spans="2:5">
      <c r="B504" s="19" t="s">
        <v>267</v>
      </c>
      <c r="C504" s="20" t="s">
        <v>182</v>
      </c>
      <c r="D504" s="21">
        <v>2</v>
      </c>
      <c r="E504" s="22">
        <v>2998000</v>
      </c>
    </row>
    <row r="505" s="29" customFormat="1" ht="28" spans="2:5">
      <c r="B505" s="19" t="s">
        <v>267</v>
      </c>
      <c r="C505" s="16" t="s">
        <v>183</v>
      </c>
      <c r="D505" s="23">
        <v>2</v>
      </c>
      <c r="E505" s="24">
        <v>2998000</v>
      </c>
    </row>
    <row r="506" s="29" customFormat="1" ht="28" spans="2:5">
      <c r="B506" s="19" t="s">
        <v>1212</v>
      </c>
      <c r="C506" s="20" t="s">
        <v>804</v>
      </c>
      <c r="D506" s="21">
        <v>2</v>
      </c>
      <c r="E506" s="22">
        <v>200000</v>
      </c>
    </row>
    <row r="507" s="29" customFormat="1" ht="28" spans="2:5">
      <c r="B507" s="19" t="s">
        <v>1212</v>
      </c>
      <c r="C507" s="16" t="s">
        <v>183</v>
      </c>
      <c r="D507" s="23">
        <v>2</v>
      </c>
      <c r="E507" s="24">
        <v>200000</v>
      </c>
    </row>
    <row r="508" s="29" customFormat="1" ht="41" spans="2:5">
      <c r="B508" s="19" t="s">
        <v>1213</v>
      </c>
      <c r="C508" s="20" t="s">
        <v>182</v>
      </c>
      <c r="D508" s="21">
        <v>1</v>
      </c>
      <c r="E508" s="22">
        <v>85585.585586</v>
      </c>
    </row>
    <row r="509" s="29" customFormat="1" spans="2:5">
      <c r="B509" s="19" t="s">
        <v>1213</v>
      </c>
      <c r="C509" s="16" t="s">
        <v>183</v>
      </c>
      <c r="D509" s="23">
        <v>1</v>
      </c>
      <c r="E509" s="24">
        <v>85585.585586</v>
      </c>
    </row>
    <row r="510" s="29" customFormat="1" ht="41" spans="2:5">
      <c r="B510" s="19" t="s">
        <v>680</v>
      </c>
      <c r="C510" s="20" t="s">
        <v>182</v>
      </c>
      <c r="D510" s="21">
        <v>1</v>
      </c>
      <c r="E510" s="22">
        <v>51000</v>
      </c>
    </row>
    <row r="511" s="29" customFormat="1" spans="2:5">
      <c r="B511" s="19" t="s">
        <v>680</v>
      </c>
      <c r="C511" s="16" t="s">
        <v>183</v>
      </c>
      <c r="D511" s="23">
        <v>1</v>
      </c>
      <c r="E511" s="24">
        <v>51000</v>
      </c>
    </row>
    <row r="512" s="29" customFormat="1" ht="28" spans="2:5">
      <c r="B512" s="19" t="s">
        <v>1214</v>
      </c>
      <c r="C512" s="20" t="s">
        <v>804</v>
      </c>
      <c r="D512" s="21">
        <v>1</v>
      </c>
      <c r="E512" s="22">
        <v>261000</v>
      </c>
    </row>
    <row r="513" s="29" customFormat="1" spans="2:5">
      <c r="B513" s="19" t="s">
        <v>1214</v>
      </c>
      <c r="C513" s="16" t="s">
        <v>183</v>
      </c>
      <c r="D513" s="23">
        <v>1</v>
      </c>
      <c r="E513" s="24">
        <v>261000</v>
      </c>
    </row>
    <row r="514" s="29" customFormat="1" ht="28" spans="2:5">
      <c r="B514" s="19" t="s">
        <v>1215</v>
      </c>
      <c r="C514" s="20" t="s">
        <v>804</v>
      </c>
      <c r="D514" s="21">
        <v>1</v>
      </c>
      <c r="E514" s="22">
        <v>152250</v>
      </c>
    </row>
    <row r="515" s="29" customFormat="1" spans="2:5">
      <c r="B515" s="19" t="s">
        <v>1215</v>
      </c>
      <c r="C515" s="16" t="s">
        <v>183</v>
      </c>
      <c r="D515" s="23">
        <v>1</v>
      </c>
      <c r="E515" s="24">
        <v>152250</v>
      </c>
    </row>
    <row r="516" s="29" customFormat="1" ht="41" spans="2:5">
      <c r="B516" s="19" t="s">
        <v>1216</v>
      </c>
      <c r="C516" s="20" t="s">
        <v>182</v>
      </c>
      <c r="D516" s="21">
        <v>4</v>
      </c>
      <c r="E516" s="22">
        <v>200000</v>
      </c>
    </row>
    <row r="517" s="29" customFormat="1" ht="28.75" spans="2:5">
      <c r="B517" s="19" t="s">
        <v>1216</v>
      </c>
      <c r="C517" s="16" t="s">
        <v>183</v>
      </c>
      <c r="D517" s="23">
        <v>4</v>
      </c>
      <c r="E517" s="24">
        <v>200000</v>
      </c>
    </row>
    <row r="518" s="29" customFormat="1" spans="2:5">
      <c r="B518" s="25"/>
      <c r="C518" s="25"/>
      <c r="D518" s="25"/>
      <c r="E518" s="25"/>
    </row>
    <row r="519" s="29" customFormat="1" ht="36" spans="2:5">
      <c r="B519" s="26" t="s">
        <v>189</v>
      </c>
      <c r="C519" s="26" t="s">
        <v>189</v>
      </c>
      <c r="D519" s="26" t="s">
        <v>189</v>
      </c>
      <c r="E519" s="26" t="s">
        <v>189</v>
      </c>
    </row>
    <row r="520" s="29" customFormat="1" spans="2:5">
      <c r="B520" s="26"/>
      <c r="C520" s="26"/>
      <c r="D520" s="26"/>
      <c r="E520" s="26"/>
    </row>
    <row r="521" s="29" customFormat="1" ht="36" spans="2:5">
      <c r="B521" s="26" t="s">
        <v>958</v>
      </c>
      <c r="C521" s="26" t="s">
        <v>958</v>
      </c>
      <c r="D521" s="26" t="s">
        <v>958</v>
      </c>
      <c r="E521" s="26" t="s">
        <v>958</v>
      </c>
    </row>
    <row r="522" s="29" customFormat="1" spans="2:5">
      <c r="B522" s="26" t="s">
        <v>338</v>
      </c>
      <c r="C522" s="26" t="s">
        <v>338</v>
      </c>
      <c r="D522" s="26" t="s">
        <v>338</v>
      </c>
      <c r="E522" s="26" t="s">
        <v>338</v>
      </c>
    </row>
    <row r="523" s="29" customFormat="1" ht="124" spans="2:5">
      <c r="B523" s="11" t="s">
        <v>173</v>
      </c>
      <c r="C523" s="11" t="s">
        <v>173</v>
      </c>
      <c r="D523" s="11" t="s">
        <v>173</v>
      </c>
      <c r="E523" s="11" t="s">
        <v>173</v>
      </c>
    </row>
    <row r="524" s="29" customFormat="1" ht="156" spans="2:5">
      <c r="B524" s="12" t="s">
        <v>174</v>
      </c>
      <c r="C524" s="12" t="s">
        <v>174</v>
      </c>
      <c r="D524" s="12" t="s">
        <v>174</v>
      </c>
      <c r="E524" s="12" t="s">
        <v>174</v>
      </c>
    </row>
    <row r="525" s="29" customFormat="1" ht="68" spans="2:5">
      <c r="B525" s="13" t="s">
        <v>1155</v>
      </c>
      <c r="C525" s="13" t="s">
        <v>1155</v>
      </c>
      <c r="D525" s="13" t="s">
        <v>1155</v>
      </c>
      <c r="E525" s="13" t="s">
        <v>1155</v>
      </c>
    </row>
    <row r="526" s="29" customFormat="1" ht="22" spans="2:5">
      <c r="B526" s="14" t="s">
        <v>176</v>
      </c>
      <c r="C526" s="14" t="s">
        <v>176</v>
      </c>
      <c r="D526" s="14" t="s">
        <v>176</v>
      </c>
      <c r="E526" s="14" t="s">
        <v>176</v>
      </c>
    </row>
    <row r="527" s="29" customFormat="1" spans="2:5">
      <c r="B527" s="15" t="s">
        <v>177</v>
      </c>
      <c r="C527" s="16" t="s">
        <v>178</v>
      </c>
      <c r="D527" s="17" t="s">
        <v>179</v>
      </c>
      <c r="E527" s="18" t="s">
        <v>180</v>
      </c>
    </row>
    <row r="528" s="29" customFormat="1" ht="41" spans="2:5">
      <c r="B528" s="19" t="s">
        <v>1217</v>
      </c>
      <c r="C528" s="20" t="s">
        <v>182</v>
      </c>
      <c r="D528" s="21">
        <v>4</v>
      </c>
      <c r="E528" s="22">
        <v>700000</v>
      </c>
    </row>
    <row r="529" s="29" customFormat="1" ht="28" spans="2:5">
      <c r="B529" s="19" t="s">
        <v>1217</v>
      </c>
      <c r="C529" s="16" t="s">
        <v>183</v>
      </c>
      <c r="D529" s="23">
        <v>4</v>
      </c>
      <c r="E529" s="24">
        <v>700000</v>
      </c>
    </row>
    <row r="530" s="29" customFormat="1" ht="41" spans="2:5">
      <c r="B530" s="19" t="s">
        <v>974</v>
      </c>
      <c r="C530" s="20" t="s">
        <v>182</v>
      </c>
      <c r="D530" s="21">
        <v>2</v>
      </c>
      <c r="E530" s="22">
        <v>0</v>
      </c>
    </row>
    <row r="531" s="29" customFormat="1" spans="2:5">
      <c r="B531" s="19" t="s">
        <v>974</v>
      </c>
      <c r="C531" s="16" t="s">
        <v>183</v>
      </c>
      <c r="D531" s="23">
        <v>2</v>
      </c>
      <c r="E531" s="24">
        <v>0</v>
      </c>
    </row>
    <row r="532" s="29" customFormat="1" ht="41" spans="2:5">
      <c r="B532" s="19" t="s">
        <v>1218</v>
      </c>
      <c r="C532" s="20" t="s">
        <v>182</v>
      </c>
      <c r="D532" s="21">
        <v>1</v>
      </c>
      <c r="E532" s="22">
        <v>0</v>
      </c>
    </row>
    <row r="533" s="29" customFormat="1" ht="28" spans="2:5">
      <c r="B533" s="19" t="s">
        <v>1218</v>
      </c>
      <c r="C533" s="16" t="s">
        <v>183</v>
      </c>
      <c r="D533" s="23">
        <v>1</v>
      </c>
      <c r="E533" s="24">
        <v>0</v>
      </c>
    </row>
    <row r="534" s="29" customFormat="1" ht="41" spans="2:5">
      <c r="B534" s="19" t="s">
        <v>975</v>
      </c>
      <c r="C534" s="20" t="s">
        <v>182</v>
      </c>
      <c r="D534" s="21">
        <v>84</v>
      </c>
      <c r="E534" s="22">
        <v>0</v>
      </c>
    </row>
    <row r="535" s="29" customFormat="1" ht="28" spans="2:5">
      <c r="B535" s="19" t="s">
        <v>975</v>
      </c>
      <c r="C535" s="20" t="s">
        <v>804</v>
      </c>
      <c r="D535" s="21">
        <v>56</v>
      </c>
      <c r="E535" s="22">
        <v>0</v>
      </c>
    </row>
    <row r="536" s="29" customFormat="1" ht="28" spans="2:5">
      <c r="B536" s="19" t="s">
        <v>975</v>
      </c>
      <c r="C536" s="16" t="s">
        <v>183</v>
      </c>
      <c r="D536" s="23">
        <v>140</v>
      </c>
      <c r="E536" s="24">
        <v>0</v>
      </c>
    </row>
    <row r="537" s="29" customFormat="1" ht="41" spans="2:5">
      <c r="B537" s="19" t="s">
        <v>272</v>
      </c>
      <c r="C537" s="20" t="s">
        <v>182</v>
      </c>
      <c r="D537" s="21">
        <v>13</v>
      </c>
      <c r="E537" s="22">
        <v>399999.999999</v>
      </c>
    </row>
    <row r="538" s="29" customFormat="1" ht="28" spans="2:5">
      <c r="B538" s="19" t="s">
        <v>272</v>
      </c>
      <c r="C538" s="20" t="s">
        <v>804</v>
      </c>
      <c r="D538" s="21">
        <v>56</v>
      </c>
      <c r="E538" s="22">
        <v>3333334.063056</v>
      </c>
    </row>
    <row r="539" s="29" customFormat="1" ht="28" spans="2:5">
      <c r="B539" s="19" t="s">
        <v>272</v>
      </c>
      <c r="C539" s="16" t="s">
        <v>183</v>
      </c>
      <c r="D539" s="23">
        <v>69</v>
      </c>
      <c r="E539" s="24">
        <v>3733334.063055</v>
      </c>
    </row>
    <row r="540" s="29" customFormat="1" ht="41.75" spans="2:5">
      <c r="B540" s="20" t="s">
        <v>421</v>
      </c>
      <c r="C540" s="20" t="s">
        <v>182</v>
      </c>
      <c r="D540" s="21">
        <v>7</v>
      </c>
      <c r="E540" s="22">
        <v>200000</v>
      </c>
    </row>
    <row r="541" s="29" customFormat="1" spans="2:5">
      <c r="B541" s="25"/>
      <c r="C541" s="25"/>
      <c r="D541" s="25"/>
      <c r="E541" s="25"/>
    </row>
    <row r="542" s="29" customFormat="1" ht="36" spans="2:5">
      <c r="B542" s="26" t="s">
        <v>189</v>
      </c>
      <c r="C542" s="26" t="s">
        <v>189</v>
      </c>
      <c r="D542" s="26" t="s">
        <v>189</v>
      </c>
      <c r="E542" s="26" t="s">
        <v>189</v>
      </c>
    </row>
    <row r="543" s="29" customFormat="1" spans="2:5">
      <c r="B543" s="26"/>
      <c r="C543" s="26"/>
      <c r="D543" s="26"/>
      <c r="E543" s="26"/>
    </row>
    <row r="544" s="29" customFormat="1" ht="36" spans="2:5">
      <c r="B544" s="26" t="s">
        <v>958</v>
      </c>
      <c r="C544" s="26" t="s">
        <v>958</v>
      </c>
      <c r="D544" s="26" t="s">
        <v>958</v>
      </c>
      <c r="E544" s="26" t="s">
        <v>958</v>
      </c>
    </row>
    <row r="545" s="29" customFormat="1" spans="2:5">
      <c r="B545" s="26" t="s">
        <v>342</v>
      </c>
      <c r="C545" s="26" t="s">
        <v>342</v>
      </c>
      <c r="D545" s="26" t="s">
        <v>342</v>
      </c>
      <c r="E545" s="26" t="s">
        <v>342</v>
      </c>
    </row>
    <row r="546" s="29" customFormat="1" ht="124" spans="2:5">
      <c r="B546" s="11" t="s">
        <v>173</v>
      </c>
      <c r="C546" s="11" t="s">
        <v>173</v>
      </c>
      <c r="D546" s="11" t="s">
        <v>173</v>
      </c>
      <c r="E546" s="11" t="s">
        <v>173</v>
      </c>
    </row>
    <row r="547" s="29" customFormat="1" ht="156" spans="2:5">
      <c r="B547" s="12" t="s">
        <v>174</v>
      </c>
      <c r="C547" s="12" t="s">
        <v>174</v>
      </c>
      <c r="D547" s="12" t="s">
        <v>174</v>
      </c>
      <c r="E547" s="12" t="s">
        <v>174</v>
      </c>
    </row>
    <row r="548" s="29" customFormat="1" ht="68" spans="2:5">
      <c r="B548" s="13" t="s">
        <v>1155</v>
      </c>
      <c r="C548" s="13" t="s">
        <v>1155</v>
      </c>
      <c r="D548" s="13" t="s">
        <v>1155</v>
      </c>
      <c r="E548" s="13" t="s">
        <v>1155</v>
      </c>
    </row>
    <row r="549" s="29" customFormat="1" ht="22" spans="2:5">
      <c r="B549" s="14" t="s">
        <v>176</v>
      </c>
      <c r="C549" s="14" t="s">
        <v>176</v>
      </c>
      <c r="D549" s="14" t="s">
        <v>176</v>
      </c>
      <c r="E549" s="14" t="s">
        <v>176</v>
      </c>
    </row>
    <row r="550" s="29" customFormat="1" spans="2:5">
      <c r="B550" s="15" t="s">
        <v>177</v>
      </c>
      <c r="C550" s="16" t="s">
        <v>178</v>
      </c>
      <c r="D550" s="17" t="s">
        <v>179</v>
      </c>
      <c r="E550" s="18" t="s">
        <v>180</v>
      </c>
    </row>
    <row r="551" s="29" customFormat="1" ht="28" spans="2:5">
      <c r="B551" s="19" t="s">
        <v>421</v>
      </c>
      <c r="C551" s="20" t="s">
        <v>804</v>
      </c>
      <c r="D551" s="21">
        <v>48</v>
      </c>
      <c r="E551" s="22">
        <v>3014666.387383</v>
      </c>
    </row>
    <row r="552" s="29" customFormat="1" ht="28" spans="2:5">
      <c r="B552" s="19" t="s">
        <v>421</v>
      </c>
      <c r="C552" s="16" t="s">
        <v>183</v>
      </c>
      <c r="D552" s="23">
        <v>55</v>
      </c>
      <c r="E552" s="24">
        <v>3214666.387383</v>
      </c>
    </row>
    <row r="553" s="29" customFormat="1" ht="41" spans="2:5">
      <c r="B553" s="19" t="s">
        <v>273</v>
      </c>
      <c r="C553" s="20" t="s">
        <v>182</v>
      </c>
      <c r="D553" s="21">
        <v>6</v>
      </c>
      <c r="E553" s="22">
        <v>163964</v>
      </c>
    </row>
    <row r="554" s="29" customFormat="1" ht="28" spans="2:5">
      <c r="B554" s="19" t="s">
        <v>273</v>
      </c>
      <c r="C554" s="16" t="s">
        <v>183</v>
      </c>
      <c r="D554" s="23">
        <v>6</v>
      </c>
      <c r="E554" s="24">
        <v>163964</v>
      </c>
    </row>
    <row r="555" s="29" customFormat="1" ht="41" spans="2:5">
      <c r="B555" s="19" t="s">
        <v>274</v>
      </c>
      <c r="C555" s="20" t="s">
        <v>182</v>
      </c>
      <c r="D555" s="21">
        <v>9</v>
      </c>
      <c r="E555" s="22">
        <v>0</v>
      </c>
    </row>
    <row r="556" s="29" customFormat="1" ht="28" spans="2:5">
      <c r="B556" s="19" t="s">
        <v>274</v>
      </c>
      <c r="C556" s="20" t="s">
        <v>804</v>
      </c>
      <c r="D556" s="21">
        <v>1</v>
      </c>
      <c r="E556" s="22">
        <v>0</v>
      </c>
    </row>
    <row r="557" s="29" customFormat="1" ht="28" spans="2:5">
      <c r="B557" s="19" t="s">
        <v>274</v>
      </c>
      <c r="C557" s="16" t="s">
        <v>183</v>
      </c>
      <c r="D557" s="23">
        <v>10</v>
      </c>
      <c r="E557" s="24">
        <v>0</v>
      </c>
    </row>
    <row r="558" s="29" customFormat="1" ht="41" spans="2:5">
      <c r="B558" s="19" t="s">
        <v>583</v>
      </c>
      <c r="C558" s="20" t="s">
        <v>182</v>
      </c>
      <c r="D558" s="21">
        <v>4</v>
      </c>
      <c r="E558" s="22">
        <v>0</v>
      </c>
    </row>
    <row r="559" s="29" customFormat="1" ht="28" spans="2:5">
      <c r="B559" s="19" t="s">
        <v>583</v>
      </c>
      <c r="C559" s="20" t="s">
        <v>804</v>
      </c>
      <c r="D559" s="21">
        <v>4</v>
      </c>
      <c r="E559" s="22">
        <v>0</v>
      </c>
    </row>
    <row r="560" s="29" customFormat="1" ht="28" spans="2:5">
      <c r="B560" s="19" t="s">
        <v>583</v>
      </c>
      <c r="C560" s="16" t="s">
        <v>183</v>
      </c>
      <c r="D560" s="23">
        <v>8</v>
      </c>
      <c r="E560" s="24">
        <v>0</v>
      </c>
    </row>
    <row r="561" s="29" customFormat="1" ht="41" spans="2:5">
      <c r="B561" s="19" t="s">
        <v>367</v>
      </c>
      <c r="C561" s="20" t="s">
        <v>182</v>
      </c>
      <c r="D561" s="21">
        <v>7</v>
      </c>
      <c r="E561" s="22">
        <v>449549.675676</v>
      </c>
    </row>
    <row r="562" s="29" customFormat="1" ht="28" spans="2:5">
      <c r="B562" s="19" t="s">
        <v>367</v>
      </c>
      <c r="C562" s="16" t="s">
        <v>183</v>
      </c>
      <c r="D562" s="23">
        <v>7</v>
      </c>
      <c r="E562" s="24">
        <v>449549.675676</v>
      </c>
    </row>
    <row r="563" s="29" customFormat="1" ht="41" spans="2:5">
      <c r="B563" s="19" t="s">
        <v>368</v>
      </c>
      <c r="C563" s="20" t="s">
        <v>182</v>
      </c>
      <c r="D563" s="21">
        <v>4</v>
      </c>
      <c r="E563" s="22">
        <v>0</v>
      </c>
    </row>
    <row r="564" s="29" customFormat="1" ht="28.75" spans="2:5">
      <c r="B564" s="19" t="s">
        <v>368</v>
      </c>
      <c r="C564" s="16" t="s">
        <v>183</v>
      </c>
      <c r="D564" s="23">
        <v>4</v>
      </c>
      <c r="E564" s="24">
        <v>0</v>
      </c>
    </row>
    <row r="565" s="29" customFormat="1" spans="2:5">
      <c r="B565" s="25"/>
      <c r="C565" s="25"/>
      <c r="D565" s="25"/>
      <c r="E565" s="25"/>
    </row>
    <row r="566" s="29" customFormat="1" ht="36" spans="2:5">
      <c r="B566" s="26" t="s">
        <v>189</v>
      </c>
      <c r="C566" s="26" t="s">
        <v>189</v>
      </c>
      <c r="D566" s="26" t="s">
        <v>189</v>
      </c>
      <c r="E566" s="26" t="s">
        <v>189</v>
      </c>
    </row>
    <row r="567" s="29" customFormat="1" spans="2:5">
      <c r="B567" s="26"/>
      <c r="C567" s="26"/>
      <c r="D567" s="26"/>
      <c r="E567" s="26"/>
    </row>
    <row r="568" s="29" customFormat="1" ht="36" spans="2:5">
      <c r="B568" s="26" t="s">
        <v>958</v>
      </c>
      <c r="C568" s="26" t="s">
        <v>958</v>
      </c>
      <c r="D568" s="26" t="s">
        <v>958</v>
      </c>
      <c r="E568" s="26" t="s">
        <v>958</v>
      </c>
    </row>
    <row r="569" s="29" customFormat="1" spans="2:5">
      <c r="B569" s="26" t="s">
        <v>476</v>
      </c>
      <c r="C569" s="26" t="s">
        <v>476</v>
      </c>
      <c r="D569" s="26" t="s">
        <v>476</v>
      </c>
      <c r="E569" s="26" t="s">
        <v>476</v>
      </c>
    </row>
    <row r="570" s="29" customFormat="1" ht="124" spans="2:5">
      <c r="B570" s="11" t="s">
        <v>173</v>
      </c>
      <c r="C570" s="11" t="s">
        <v>173</v>
      </c>
      <c r="D570" s="11" t="s">
        <v>173</v>
      </c>
      <c r="E570" s="11" t="s">
        <v>173</v>
      </c>
    </row>
    <row r="571" s="29" customFormat="1" ht="156" spans="2:5">
      <c r="B571" s="12" t="s">
        <v>174</v>
      </c>
      <c r="C571" s="12" t="s">
        <v>174</v>
      </c>
      <c r="D571" s="12" t="s">
        <v>174</v>
      </c>
      <c r="E571" s="12" t="s">
        <v>174</v>
      </c>
    </row>
    <row r="572" s="29" customFormat="1" ht="68" spans="2:5">
      <c r="B572" s="13" t="s">
        <v>1155</v>
      </c>
      <c r="C572" s="13" t="s">
        <v>1155</v>
      </c>
      <c r="D572" s="13" t="s">
        <v>1155</v>
      </c>
      <c r="E572" s="13" t="s">
        <v>1155</v>
      </c>
    </row>
    <row r="573" s="29" customFormat="1" ht="22" spans="2:5">
      <c r="B573" s="14" t="s">
        <v>176</v>
      </c>
      <c r="C573" s="14" t="s">
        <v>176</v>
      </c>
      <c r="D573" s="14" t="s">
        <v>176</v>
      </c>
      <c r="E573" s="14" t="s">
        <v>176</v>
      </c>
    </row>
    <row r="574" s="29" customFormat="1" spans="2:5">
      <c r="B574" s="15" t="s">
        <v>177</v>
      </c>
      <c r="C574" s="16" t="s">
        <v>178</v>
      </c>
      <c r="D574" s="17" t="s">
        <v>179</v>
      </c>
      <c r="E574" s="18" t="s">
        <v>180</v>
      </c>
    </row>
    <row r="575" s="29" customFormat="1" ht="41" spans="2:5">
      <c r="B575" s="19" t="s">
        <v>422</v>
      </c>
      <c r="C575" s="20" t="s">
        <v>182</v>
      </c>
      <c r="D575" s="21">
        <v>5</v>
      </c>
      <c r="E575" s="22">
        <v>0</v>
      </c>
    </row>
    <row r="576" s="29" customFormat="1" ht="28" spans="2:5">
      <c r="B576" s="19" t="s">
        <v>422</v>
      </c>
      <c r="C576" s="16" t="s">
        <v>183</v>
      </c>
      <c r="D576" s="23">
        <v>5</v>
      </c>
      <c r="E576" s="24">
        <v>0</v>
      </c>
    </row>
    <row r="577" s="29" customFormat="1" ht="41" spans="2:5">
      <c r="B577" s="19" t="s">
        <v>495</v>
      </c>
      <c r="C577" s="20" t="s">
        <v>182</v>
      </c>
      <c r="D577" s="21">
        <v>2</v>
      </c>
      <c r="E577" s="22">
        <v>246846.540541</v>
      </c>
    </row>
    <row r="578" s="29" customFormat="1" ht="28" spans="2:5">
      <c r="B578" s="19" t="s">
        <v>495</v>
      </c>
      <c r="C578" s="20" t="s">
        <v>804</v>
      </c>
      <c r="D578" s="21">
        <v>8</v>
      </c>
      <c r="E578" s="22">
        <v>476757</v>
      </c>
    </row>
    <row r="579" s="29" customFormat="1" ht="28" spans="2:5">
      <c r="B579" s="19" t="s">
        <v>495</v>
      </c>
      <c r="C579" s="16" t="s">
        <v>183</v>
      </c>
      <c r="D579" s="23">
        <v>10</v>
      </c>
      <c r="E579" s="24">
        <v>723603.540541</v>
      </c>
    </row>
    <row r="580" s="29" customFormat="1" ht="41" spans="2:5">
      <c r="B580" s="19" t="s">
        <v>423</v>
      </c>
      <c r="C580" s="20" t="s">
        <v>182</v>
      </c>
      <c r="D580" s="21">
        <v>5</v>
      </c>
      <c r="E580" s="22">
        <v>0</v>
      </c>
    </row>
    <row r="581" s="29" customFormat="1" ht="28" spans="2:5">
      <c r="B581" s="19" t="s">
        <v>423</v>
      </c>
      <c r="C581" s="16" t="s">
        <v>183</v>
      </c>
      <c r="D581" s="23">
        <v>5</v>
      </c>
      <c r="E581" s="24">
        <v>0</v>
      </c>
    </row>
    <row r="582" s="29" customFormat="1" ht="28" spans="2:5">
      <c r="B582" s="19" t="s">
        <v>1219</v>
      </c>
      <c r="C582" s="20" t="s">
        <v>804</v>
      </c>
      <c r="D582" s="21">
        <v>1</v>
      </c>
      <c r="E582" s="22">
        <v>1260000</v>
      </c>
    </row>
    <row r="583" s="29" customFormat="1" spans="2:5">
      <c r="B583" s="19" t="s">
        <v>1219</v>
      </c>
      <c r="C583" s="16" t="s">
        <v>183</v>
      </c>
      <c r="D583" s="23">
        <v>1</v>
      </c>
      <c r="E583" s="24">
        <v>1260000</v>
      </c>
    </row>
    <row r="584" s="29" customFormat="1" ht="28" spans="2:5">
      <c r="B584" s="19" t="s">
        <v>1220</v>
      </c>
      <c r="C584" s="20" t="s">
        <v>804</v>
      </c>
      <c r="D584" s="21">
        <v>1</v>
      </c>
      <c r="E584" s="22">
        <v>1500000</v>
      </c>
    </row>
    <row r="585" s="29" customFormat="1" spans="2:5">
      <c r="B585" s="19" t="s">
        <v>1220</v>
      </c>
      <c r="C585" s="16" t="s">
        <v>183</v>
      </c>
      <c r="D585" s="23">
        <v>1</v>
      </c>
      <c r="E585" s="24">
        <v>1500000</v>
      </c>
    </row>
    <row r="586" s="29" customFormat="1" ht="28" spans="2:5">
      <c r="B586" s="19" t="s">
        <v>1221</v>
      </c>
      <c r="C586" s="20" t="s">
        <v>804</v>
      </c>
      <c r="D586" s="21">
        <v>2</v>
      </c>
      <c r="E586" s="22">
        <v>500000</v>
      </c>
    </row>
    <row r="587" s="29" customFormat="1" spans="2:5">
      <c r="B587" s="19" t="s">
        <v>1221</v>
      </c>
      <c r="C587" s="16" t="s">
        <v>183</v>
      </c>
      <c r="D587" s="23">
        <v>2</v>
      </c>
      <c r="E587" s="24">
        <v>500000</v>
      </c>
    </row>
    <row r="588" s="29" customFormat="1" ht="28" spans="2:5">
      <c r="B588" s="19" t="s">
        <v>1222</v>
      </c>
      <c r="C588" s="20" t="s">
        <v>804</v>
      </c>
      <c r="D588" s="21">
        <v>1</v>
      </c>
      <c r="E588" s="22">
        <v>752500</v>
      </c>
    </row>
    <row r="589" s="29" customFormat="1" ht="17.55" spans="2:5">
      <c r="B589" s="19" t="s">
        <v>1222</v>
      </c>
      <c r="C589" s="16" t="s">
        <v>183</v>
      </c>
      <c r="D589" s="23">
        <v>1</v>
      </c>
      <c r="E589" s="24">
        <v>752500</v>
      </c>
    </row>
    <row r="590" s="29" customFormat="1" spans="2:5">
      <c r="B590" s="25"/>
      <c r="C590" s="25"/>
      <c r="D590" s="25"/>
      <c r="E590" s="25"/>
    </row>
    <row r="591" s="29" customFormat="1" ht="36" spans="2:5">
      <c r="B591" s="26" t="s">
        <v>189</v>
      </c>
      <c r="C591" s="26" t="s">
        <v>189</v>
      </c>
      <c r="D591" s="26" t="s">
        <v>189</v>
      </c>
      <c r="E591" s="26" t="s">
        <v>189</v>
      </c>
    </row>
    <row r="592" s="29" customFormat="1" spans="2:5">
      <c r="B592" s="26"/>
      <c r="C592" s="26"/>
      <c r="D592" s="26"/>
      <c r="E592" s="26"/>
    </row>
    <row r="593" s="29" customFormat="1" ht="36" spans="2:5">
      <c r="B593" s="26" t="s">
        <v>958</v>
      </c>
      <c r="C593" s="26" t="s">
        <v>958</v>
      </c>
      <c r="D593" s="26" t="s">
        <v>958</v>
      </c>
      <c r="E593" s="26" t="s">
        <v>958</v>
      </c>
    </row>
    <row r="594" s="29" customFormat="1" spans="2:5">
      <c r="B594" s="26" t="s">
        <v>480</v>
      </c>
      <c r="C594" s="26" t="s">
        <v>480</v>
      </c>
      <c r="D594" s="26" t="s">
        <v>480</v>
      </c>
      <c r="E594" s="26" t="s">
        <v>480</v>
      </c>
    </row>
    <row r="595" s="29" customFormat="1" ht="124" spans="2:5">
      <c r="B595" s="11" t="s">
        <v>173</v>
      </c>
      <c r="C595" s="11" t="s">
        <v>173</v>
      </c>
      <c r="D595" s="11" t="s">
        <v>173</v>
      </c>
      <c r="E595" s="11" t="s">
        <v>173</v>
      </c>
    </row>
    <row r="596" s="29" customFormat="1" ht="156" spans="2:5">
      <c r="B596" s="12" t="s">
        <v>174</v>
      </c>
      <c r="C596" s="12" t="s">
        <v>174</v>
      </c>
      <c r="D596" s="12" t="s">
        <v>174</v>
      </c>
      <c r="E596" s="12" t="s">
        <v>174</v>
      </c>
    </row>
    <row r="597" s="29" customFormat="1" ht="68" spans="2:5">
      <c r="B597" s="13" t="s">
        <v>1155</v>
      </c>
      <c r="C597" s="13" t="s">
        <v>1155</v>
      </c>
      <c r="D597" s="13" t="s">
        <v>1155</v>
      </c>
      <c r="E597" s="13" t="s">
        <v>1155</v>
      </c>
    </row>
    <row r="598" s="29" customFormat="1" ht="22" spans="2:5">
      <c r="B598" s="14" t="s">
        <v>176</v>
      </c>
      <c r="C598" s="14" t="s">
        <v>176</v>
      </c>
      <c r="D598" s="14" t="s">
        <v>176</v>
      </c>
      <c r="E598" s="14" t="s">
        <v>176</v>
      </c>
    </row>
    <row r="599" s="29" customFormat="1" spans="2:5">
      <c r="B599" s="15" t="s">
        <v>177</v>
      </c>
      <c r="C599" s="16" t="s">
        <v>178</v>
      </c>
      <c r="D599" s="17" t="s">
        <v>179</v>
      </c>
      <c r="E599" s="18" t="s">
        <v>180</v>
      </c>
    </row>
    <row r="600" s="29" customFormat="1" ht="41" spans="2:5">
      <c r="B600" s="19" t="s">
        <v>1223</v>
      </c>
      <c r="C600" s="20" t="s">
        <v>182</v>
      </c>
      <c r="D600" s="21">
        <v>1</v>
      </c>
      <c r="E600" s="22">
        <v>858000</v>
      </c>
    </row>
    <row r="601" s="29" customFormat="1" ht="28" spans="2:5">
      <c r="B601" s="19" t="s">
        <v>1223</v>
      </c>
      <c r="C601" s="16" t="s">
        <v>183</v>
      </c>
      <c r="D601" s="23">
        <v>1</v>
      </c>
      <c r="E601" s="24">
        <v>858000</v>
      </c>
    </row>
    <row r="602" s="29" customFormat="1" ht="41" spans="2:5">
      <c r="B602" s="19" t="s">
        <v>1224</v>
      </c>
      <c r="C602" s="20" t="s">
        <v>182</v>
      </c>
      <c r="D602" s="21">
        <v>1</v>
      </c>
      <c r="E602" s="22">
        <v>652500</v>
      </c>
    </row>
    <row r="603" s="29" customFormat="1" ht="28" spans="2:5">
      <c r="B603" s="19" t="s">
        <v>1224</v>
      </c>
      <c r="C603" s="16" t="s">
        <v>183</v>
      </c>
      <c r="D603" s="23">
        <v>1</v>
      </c>
      <c r="E603" s="24">
        <v>652500</v>
      </c>
    </row>
    <row r="604" s="29" customFormat="1" ht="41" spans="2:5">
      <c r="B604" s="19" t="s">
        <v>1225</v>
      </c>
      <c r="C604" s="20" t="s">
        <v>182</v>
      </c>
      <c r="D604" s="21">
        <v>1</v>
      </c>
      <c r="E604" s="22">
        <v>495000</v>
      </c>
    </row>
    <row r="605" s="29" customFormat="1" ht="41" spans="2:5">
      <c r="B605" s="19" t="s">
        <v>1225</v>
      </c>
      <c r="C605" s="16" t="s">
        <v>183</v>
      </c>
      <c r="D605" s="23">
        <v>1</v>
      </c>
      <c r="E605" s="24">
        <v>495000</v>
      </c>
    </row>
    <row r="606" s="29" customFormat="1" ht="41" spans="2:5">
      <c r="B606" s="19" t="s">
        <v>1226</v>
      </c>
      <c r="C606" s="20" t="s">
        <v>182</v>
      </c>
      <c r="D606" s="21">
        <v>1</v>
      </c>
      <c r="E606" s="22">
        <v>300000</v>
      </c>
    </row>
    <row r="607" s="29" customFormat="1" ht="28" spans="2:5">
      <c r="B607" s="19" t="s">
        <v>1226</v>
      </c>
      <c r="C607" s="16" t="s">
        <v>183</v>
      </c>
      <c r="D607" s="23">
        <v>1</v>
      </c>
      <c r="E607" s="24">
        <v>300000</v>
      </c>
    </row>
    <row r="608" s="29" customFormat="1" ht="41" spans="2:5">
      <c r="B608" s="19" t="s">
        <v>1227</v>
      </c>
      <c r="C608" s="20" t="s">
        <v>182</v>
      </c>
      <c r="D608" s="21">
        <v>1</v>
      </c>
      <c r="E608" s="22">
        <v>158000</v>
      </c>
    </row>
    <row r="609" s="29" customFormat="1" ht="28" spans="2:5">
      <c r="B609" s="19" t="s">
        <v>1227</v>
      </c>
      <c r="C609" s="16" t="s">
        <v>183</v>
      </c>
      <c r="D609" s="23">
        <v>1</v>
      </c>
      <c r="E609" s="24">
        <v>158000</v>
      </c>
    </row>
    <row r="610" s="29" customFormat="1" ht="41" spans="2:5">
      <c r="B610" s="19" t="s">
        <v>1228</v>
      </c>
      <c r="C610" s="20" t="s">
        <v>182</v>
      </c>
      <c r="D610" s="21">
        <v>1</v>
      </c>
      <c r="E610" s="22">
        <v>1264500</v>
      </c>
    </row>
    <row r="611" s="29" customFormat="1" ht="28" spans="2:5">
      <c r="B611" s="19" t="s">
        <v>1228</v>
      </c>
      <c r="C611" s="16" t="s">
        <v>183</v>
      </c>
      <c r="D611" s="23">
        <v>1</v>
      </c>
      <c r="E611" s="24">
        <v>1264500</v>
      </c>
    </row>
    <row r="612" s="29" customFormat="1" ht="41.75" spans="2:5">
      <c r="B612" s="20" t="s">
        <v>424</v>
      </c>
      <c r="C612" s="20" t="s">
        <v>182</v>
      </c>
      <c r="D612" s="21">
        <v>58</v>
      </c>
      <c r="E612" s="22">
        <v>783783.432433</v>
      </c>
    </row>
    <row r="613" s="29" customFormat="1" spans="2:5">
      <c r="B613" s="25"/>
      <c r="C613" s="25"/>
      <c r="D613" s="25"/>
      <c r="E613" s="25"/>
    </row>
    <row r="614" s="29" customFormat="1" ht="36" spans="2:5">
      <c r="B614" s="26" t="s">
        <v>189</v>
      </c>
      <c r="C614" s="26" t="s">
        <v>189</v>
      </c>
      <c r="D614" s="26" t="s">
        <v>189</v>
      </c>
      <c r="E614" s="26" t="s">
        <v>189</v>
      </c>
    </row>
    <row r="615" s="29" customFormat="1" spans="2:5">
      <c r="B615" s="26"/>
      <c r="C615" s="26"/>
      <c r="D615" s="26"/>
      <c r="E615" s="26"/>
    </row>
    <row r="616" s="29" customFormat="1" ht="36" spans="2:5">
      <c r="B616" s="26" t="s">
        <v>958</v>
      </c>
      <c r="C616" s="26" t="s">
        <v>958</v>
      </c>
      <c r="D616" s="26" t="s">
        <v>958</v>
      </c>
      <c r="E616" s="26" t="s">
        <v>958</v>
      </c>
    </row>
    <row r="617" s="29" customFormat="1" spans="2:5">
      <c r="B617" s="26" t="s">
        <v>523</v>
      </c>
      <c r="C617" s="26" t="s">
        <v>523</v>
      </c>
      <c r="D617" s="26" t="s">
        <v>523</v>
      </c>
      <c r="E617" s="26" t="s">
        <v>523</v>
      </c>
    </row>
    <row r="618" s="29" customFormat="1" ht="124" spans="2:5">
      <c r="B618" s="11" t="s">
        <v>173</v>
      </c>
      <c r="C618" s="11" t="s">
        <v>173</v>
      </c>
      <c r="D618" s="11" t="s">
        <v>173</v>
      </c>
      <c r="E618" s="11" t="s">
        <v>173</v>
      </c>
    </row>
    <row r="619" s="29" customFormat="1" ht="156" spans="2:5">
      <c r="B619" s="12" t="s">
        <v>174</v>
      </c>
      <c r="C619" s="12" t="s">
        <v>174</v>
      </c>
      <c r="D619" s="12" t="s">
        <v>174</v>
      </c>
      <c r="E619" s="12" t="s">
        <v>174</v>
      </c>
    </row>
    <row r="620" s="29" customFormat="1" ht="68" spans="2:5">
      <c r="B620" s="13" t="s">
        <v>1155</v>
      </c>
      <c r="C620" s="13" t="s">
        <v>1155</v>
      </c>
      <c r="D620" s="13" t="s">
        <v>1155</v>
      </c>
      <c r="E620" s="13" t="s">
        <v>1155</v>
      </c>
    </row>
    <row r="621" s="29" customFormat="1" ht="22" spans="2:5">
      <c r="B621" s="14" t="s">
        <v>176</v>
      </c>
      <c r="C621" s="14" t="s">
        <v>176</v>
      </c>
      <c r="D621" s="14" t="s">
        <v>176</v>
      </c>
      <c r="E621" s="14" t="s">
        <v>176</v>
      </c>
    </row>
    <row r="622" s="29" customFormat="1" spans="2:5">
      <c r="B622" s="15" t="s">
        <v>177</v>
      </c>
      <c r="C622" s="16" t="s">
        <v>178</v>
      </c>
      <c r="D622" s="17" t="s">
        <v>179</v>
      </c>
      <c r="E622" s="18" t="s">
        <v>180</v>
      </c>
    </row>
    <row r="623" s="29" customFormat="1" ht="28" spans="2:5">
      <c r="B623" s="19" t="s">
        <v>424</v>
      </c>
      <c r="C623" s="20" t="s">
        <v>804</v>
      </c>
      <c r="D623" s="21">
        <v>10</v>
      </c>
      <c r="E623" s="22">
        <v>345945.702702</v>
      </c>
    </row>
    <row r="624" s="29" customFormat="1" ht="28" spans="2:5">
      <c r="B624" s="19" t="s">
        <v>424</v>
      </c>
      <c r="C624" s="16" t="s">
        <v>183</v>
      </c>
      <c r="D624" s="23">
        <v>68</v>
      </c>
      <c r="E624" s="24">
        <v>1129729.135135</v>
      </c>
    </row>
    <row r="625" s="29" customFormat="1" ht="41" spans="2:5">
      <c r="B625" s="19" t="s">
        <v>1229</v>
      </c>
      <c r="C625" s="20" t="s">
        <v>182</v>
      </c>
      <c r="D625" s="21">
        <v>1</v>
      </c>
      <c r="E625" s="22">
        <v>200000</v>
      </c>
    </row>
    <row r="626" s="29" customFormat="1" spans="2:5">
      <c r="B626" s="19" t="s">
        <v>1229</v>
      </c>
      <c r="C626" s="16" t="s">
        <v>183</v>
      </c>
      <c r="D626" s="23">
        <v>1</v>
      </c>
      <c r="E626" s="24">
        <v>200000</v>
      </c>
    </row>
    <row r="627" s="29" customFormat="1" ht="28" spans="2:5">
      <c r="B627" s="19" t="s">
        <v>827</v>
      </c>
      <c r="C627" s="20" t="s">
        <v>804</v>
      </c>
      <c r="D627" s="21">
        <v>1</v>
      </c>
      <c r="E627" s="22">
        <v>163063.063063</v>
      </c>
    </row>
    <row r="628" s="29" customFormat="1" spans="2:5">
      <c r="B628" s="19" t="s">
        <v>827</v>
      </c>
      <c r="C628" s="16" t="s">
        <v>183</v>
      </c>
      <c r="D628" s="23">
        <v>1</v>
      </c>
      <c r="E628" s="24">
        <v>163063.063063</v>
      </c>
    </row>
    <row r="629" s="29" customFormat="1" ht="41" spans="2:5">
      <c r="B629" s="19" t="s">
        <v>689</v>
      </c>
      <c r="C629" s="20" t="s">
        <v>182</v>
      </c>
      <c r="D629" s="21">
        <v>3</v>
      </c>
      <c r="E629" s="22">
        <v>302702.702703</v>
      </c>
    </row>
    <row r="630" s="29" customFormat="1" spans="2:5">
      <c r="B630" s="19" t="s">
        <v>689</v>
      </c>
      <c r="C630" s="16" t="s">
        <v>183</v>
      </c>
      <c r="D630" s="23">
        <v>3</v>
      </c>
      <c r="E630" s="24">
        <v>302702.702703</v>
      </c>
    </row>
    <row r="631" s="29" customFormat="1" ht="41" spans="2:5">
      <c r="B631" s="19" t="s">
        <v>828</v>
      </c>
      <c r="C631" s="20" t="s">
        <v>182</v>
      </c>
      <c r="D631" s="21">
        <v>3</v>
      </c>
      <c r="E631" s="22">
        <v>275675.288288</v>
      </c>
    </row>
    <row r="632" s="29" customFormat="1" ht="28" spans="2:5">
      <c r="B632" s="19" t="s">
        <v>828</v>
      </c>
      <c r="C632" s="20" t="s">
        <v>804</v>
      </c>
      <c r="D632" s="21">
        <v>4</v>
      </c>
      <c r="E632" s="22">
        <v>367567.171171</v>
      </c>
    </row>
    <row r="633" s="29" customFormat="1" spans="2:5">
      <c r="B633" s="19" t="s">
        <v>828</v>
      </c>
      <c r="C633" s="16" t="s">
        <v>183</v>
      </c>
      <c r="D633" s="23">
        <v>7</v>
      </c>
      <c r="E633" s="24">
        <v>643242.459459</v>
      </c>
    </row>
    <row r="634" s="29" customFormat="1" ht="41" spans="2:5">
      <c r="B634" s="19" t="s">
        <v>829</v>
      </c>
      <c r="C634" s="20" t="s">
        <v>182</v>
      </c>
      <c r="D634" s="21">
        <v>4</v>
      </c>
      <c r="E634" s="22">
        <v>331531.531532</v>
      </c>
    </row>
    <row r="635" s="29" customFormat="1" ht="17.55" spans="2:5">
      <c r="B635" s="19" t="s">
        <v>829</v>
      </c>
      <c r="C635" s="16" t="s">
        <v>183</v>
      </c>
      <c r="D635" s="23">
        <v>4</v>
      </c>
      <c r="E635" s="24">
        <v>331531.531532</v>
      </c>
    </row>
    <row r="636" s="29" customFormat="1" spans="2:5">
      <c r="B636" s="25"/>
      <c r="C636" s="25"/>
      <c r="D636" s="25"/>
      <c r="E636" s="25"/>
    </row>
    <row r="637" s="29" customFormat="1" ht="36" spans="2:5">
      <c r="B637" s="26" t="s">
        <v>189</v>
      </c>
      <c r="C637" s="26" t="s">
        <v>189</v>
      </c>
      <c r="D637" s="26" t="s">
        <v>189</v>
      </c>
      <c r="E637" s="26" t="s">
        <v>189</v>
      </c>
    </row>
    <row r="638" s="29" customFormat="1" spans="2:5">
      <c r="B638" s="26"/>
      <c r="C638" s="26"/>
      <c r="D638" s="26"/>
      <c r="E638" s="26"/>
    </row>
    <row r="639" s="29" customFormat="1" ht="36" spans="2:5">
      <c r="B639" s="26" t="s">
        <v>958</v>
      </c>
      <c r="C639" s="26" t="s">
        <v>958</v>
      </c>
      <c r="D639" s="26" t="s">
        <v>958</v>
      </c>
      <c r="E639" s="26" t="s">
        <v>958</v>
      </c>
    </row>
    <row r="640" s="29" customFormat="1" spans="2:5">
      <c r="B640" s="26" t="s">
        <v>529</v>
      </c>
      <c r="C640" s="26" t="s">
        <v>529</v>
      </c>
      <c r="D640" s="26" t="s">
        <v>529</v>
      </c>
      <c r="E640" s="26" t="s">
        <v>529</v>
      </c>
    </row>
    <row r="641" s="29" customFormat="1" ht="124" spans="2:5">
      <c r="B641" s="11" t="s">
        <v>173</v>
      </c>
      <c r="C641" s="11" t="s">
        <v>173</v>
      </c>
      <c r="D641" s="11" t="s">
        <v>173</v>
      </c>
      <c r="E641" s="11" t="s">
        <v>173</v>
      </c>
    </row>
    <row r="642" s="29" customFormat="1" ht="156" spans="2:5">
      <c r="B642" s="12" t="s">
        <v>174</v>
      </c>
      <c r="C642" s="12" t="s">
        <v>174</v>
      </c>
      <c r="D642" s="12" t="s">
        <v>174</v>
      </c>
      <c r="E642" s="12" t="s">
        <v>174</v>
      </c>
    </row>
    <row r="643" s="29" customFormat="1" ht="68" spans="2:5">
      <c r="B643" s="13" t="s">
        <v>1155</v>
      </c>
      <c r="C643" s="13" t="s">
        <v>1155</v>
      </c>
      <c r="D643" s="13" t="s">
        <v>1155</v>
      </c>
      <c r="E643" s="13" t="s">
        <v>1155</v>
      </c>
    </row>
    <row r="644" s="29" customFormat="1" ht="22" spans="2:5">
      <c r="B644" s="14" t="s">
        <v>176</v>
      </c>
      <c r="C644" s="14" t="s">
        <v>176</v>
      </c>
      <c r="D644" s="14" t="s">
        <v>176</v>
      </c>
      <c r="E644" s="14" t="s">
        <v>176</v>
      </c>
    </row>
    <row r="645" s="29" customFormat="1" spans="2:5">
      <c r="B645" s="15" t="s">
        <v>177</v>
      </c>
      <c r="C645" s="16" t="s">
        <v>178</v>
      </c>
      <c r="D645" s="17" t="s">
        <v>179</v>
      </c>
      <c r="E645" s="18" t="s">
        <v>180</v>
      </c>
    </row>
    <row r="646" s="29" customFormat="1" ht="41" spans="2:5">
      <c r="B646" s="19" t="s">
        <v>1230</v>
      </c>
      <c r="C646" s="20" t="s">
        <v>182</v>
      </c>
      <c r="D646" s="21">
        <v>1</v>
      </c>
      <c r="E646" s="22">
        <v>96396.396396</v>
      </c>
    </row>
    <row r="647" s="29" customFormat="1" spans="2:5">
      <c r="B647" s="19" t="s">
        <v>1230</v>
      </c>
      <c r="C647" s="16" t="s">
        <v>183</v>
      </c>
      <c r="D647" s="23">
        <v>1</v>
      </c>
      <c r="E647" s="24">
        <v>96396.396396</v>
      </c>
    </row>
    <row r="648" s="29" customFormat="1" ht="41" spans="2:5">
      <c r="B648" s="19" t="s">
        <v>690</v>
      </c>
      <c r="C648" s="20" t="s">
        <v>182</v>
      </c>
      <c r="D648" s="21">
        <v>1</v>
      </c>
      <c r="E648" s="22">
        <v>92342.342342</v>
      </c>
    </row>
    <row r="649" s="29" customFormat="1" spans="2:5">
      <c r="B649" s="19" t="s">
        <v>690</v>
      </c>
      <c r="C649" s="16" t="s">
        <v>183</v>
      </c>
      <c r="D649" s="23">
        <v>1</v>
      </c>
      <c r="E649" s="24">
        <v>92342.342342</v>
      </c>
    </row>
    <row r="650" s="29" customFormat="1" ht="41" spans="2:5">
      <c r="B650" s="19" t="s">
        <v>980</v>
      </c>
      <c r="C650" s="20" t="s">
        <v>182</v>
      </c>
      <c r="D650" s="21">
        <v>1</v>
      </c>
      <c r="E650" s="22">
        <v>108558.558559</v>
      </c>
    </row>
    <row r="651" s="29" customFormat="1" ht="28" spans="2:5">
      <c r="B651" s="19" t="s">
        <v>980</v>
      </c>
      <c r="C651" s="20" t="s">
        <v>804</v>
      </c>
      <c r="D651" s="21">
        <v>2</v>
      </c>
      <c r="E651" s="22">
        <v>217116.675676</v>
      </c>
    </row>
    <row r="652" s="29" customFormat="1" spans="2:5">
      <c r="B652" s="19" t="s">
        <v>980</v>
      </c>
      <c r="C652" s="16" t="s">
        <v>183</v>
      </c>
      <c r="D652" s="23">
        <v>3</v>
      </c>
      <c r="E652" s="24">
        <v>325675.234235</v>
      </c>
    </row>
    <row r="653" s="29" customFormat="1" ht="41" spans="2:5">
      <c r="B653" s="19" t="s">
        <v>691</v>
      </c>
      <c r="C653" s="20" t="s">
        <v>182</v>
      </c>
      <c r="D653" s="21">
        <v>2</v>
      </c>
      <c r="E653" s="22">
        <v>181981.981982</v>
      </c>
    </row>
    <row r="654" s="29" customFormat="1" spans="2:5">
      <c r="B654" s="19" t="s">
        <v>691</v>
      </c>
      <c r="C654" s="16" t="s">
        <v>183</v>
      </c>
      <c r="D654" s="23">
        <v>2</v>
      </c>
      <c r="E654" s="24">
        <v>181981.981982</v>
      </c>
    </row>
    <row r="655" s="29" customFormat="1" ht="28" spans="2:5">
      <c r="B655" s="19" t="s">
        <v>1231</v>
      </c>
      <c r="C655" s="20" t="s">
        <v>804</v>
      </c>
      <c r="D655" s="21">
        <v>1</v>
      </c>
      <c r="E655" s="22">
        <v>145495.495495</v>
      </c>
    </row>
    <row r="656" s="29" customFormat="1" spans="2:5">
      <c r="B656" s="19" t="s">
        <v>1231</v>
      </c>
      <c r="C656" s="16" t="s">
        <v>183</v>
      </c>
      <c r="D656" s="23">
        <v>1</v>
      </c>
      <c r="E656" s="24">
        <v>145495.495495</v>
      </c>
    </row>
    <row r="657" s="29" customFormat="1" ht="28" spans="2:5">
      <c r="B657" s="19" t="s">
        <v>831</v>
      </c>
      <c r="C657" s="20" t="s">
        <v>804</v>
      </c>
      <c r="D657" s="21">
        <v>3</v>
      </c>
      <c r="E657" s="22">
        <v>224324.774775</v>
      </c>
    </row>
    <row r="658" s="29" customFormat="1" ht="17.55" spans="2:5">
      <c r="B658" s="19" t="s">
        <v>831</v>
      </c>
      <c r="C658" s="16" t="s">
        <v>183</v>
      </c>
      <c r="D658" s="23">
        <v>3</v>
      </c>
      <c r="E658" s="24">
        <v>224324.774775</v>
      </c>
    </row>
    <row r="659" s="29" customFormat="1" spans="2:5">
      <c r="B659" s="25"/>
      <c r="C659" s="25"/>
      <c r="D659" s="25"/>
      <c r="E659" s="25"/>
    </row>
    <row r="660" s="29" customFormat="1" ht="36" spans="2:5">
      <c r="B660" s="26" t="s">
        <v>189</v>
      </c>
      <c r="C660" s="26" t="s">
        <v>189</v>
      </c>
      <c r="D660" s="26" t="s">
        <v>189</v>
      </c>
      <c r="E660" s="26" t="s">
        <v>189</v>
      </c>
    </row>
    <row r="661" s="29" customFormat="1" spans="2:5">
      <c r="B661" s="26"/>
      <c r="C661" s="26"/>
      <c r="D661" s="26"/>
      <c r="E661" s="26"/>
    </row>
    <row r="662" s="29" customFormat="1" ht="36" spans="2:5">
      <c r="B662" s="26" t="s">
        <v>958</v>
      </c>
      <c r="C662" s="26" t="s">
        <v>958</v>
      </c>
      <c r="D662" s="26" t="s">
        <v>958</v>
      </c>
      <c r="E662" s="26" t="s">
        <v>958</v>
      </c>
    </row>
    <row r="663" s="29" customFormat="1" spans="2:5">
      <c r="B663" s="26" t="s">
        <v>533</v>
      </c>
      <c r="C663" s="26" t="s">
        <v>533</v>
      </c>
      <c r="D663" s="26" t="s">
        <v>533</v>
      </c>
      <c r="E663" s="26" t="s">
        <v>533</v>
      </c>
    </row>
    <row r="664" s="29" customFormat="1" ht="124" spans="2:5">
      <c r="B664" s="11" t="s">
        <v>173</v>
      </c>
      <c r="C664" s="11" t="s">
        <v>173</v>
      </c>
      <c r="D664" s="11" t="s">
        <v>173</v>
      </c>
      <c r="E664" s="11" t="s">
        <v>173</v>
      </c>
    </row>
    <row r="665" s="29" customFormat="1" ht="156" spans="2:5">
      <c r="B665" s="12" t="s">
        <v>174</v>
      </c>
      <c r="C665" s="12" t="s">
        <v>174</v>
      </c>
      <c r="D665" s="12" t="s">
        <v>174</v>
      </c>
      <c r="E665" s="12" t="s">
        <v>174</v>
      </c>
    </row>
    <row r="666" s="29" customFormat="1" ht="68" spans="2:5">
      <c r="B666" s="13" t="s">
        <v>1155</v>
      </c>
      <c r="C666" s="13" t="s">
        <v>1155</v>
      </c>
      <c r="D666" s="13" t="s">
        <v>1155</v>
      </c>
      <c r="E666" s="13" t="s">
        <v>1155</v>
      </c>
    </row>
    <row r="667" s="29" customFormat="1" ht="22" spans="2:5">
      <c r="B667" s="14" t="s">
        <v>176</v>
      </c>
      <c r="C667" s="14" t="s">
        <v>176</v>
      </c>
      <c r="D667" s="14" t="s">
        <v>176</v>
      </c>
      <c r="E667" s="14" t="s">
        <v>176</v>
      </c>
    </row>
    <row r="668" s="29" customFormat="1" spans="2:5">
      <c r="B668" s="15" t="s">
        <v>177</v>
      </c>
      <c r="C668" s="16" t="s">
        <v>178</v>
      </c>
      <c r="D668" s="17" t="s">
        <v>179</v>
      </c>
      <c r="E668" s="18" t="s">
        <v>180</v>
      </c>
    </row>
    <row r="669" s="29" customFormat="1" ht="41" spans="2:5">
      <c r="B669" s="19" t="s">
        <v>1232</v>
      </c>
      <c r="C669" s="20" t="s">
        <v>182</v>
      </c>
      <c r="D669" s="21">
        <v>1</v>
      </c>
      <c r="E669" s="22">
        <v>184685</v>
      </c>
    </row>
    <row r="670" s="29" customFormat="1" spans="2:5">
      <c r="B670" s="19" t="s">
        <v>1232</v>
      </c>
      <c r="C670" s="16" t="s">
        <v>183</v>
      </c>
      <c r="D670" s="23">
        <v>1</v>
      </c>
      <c r="E670" s="24">
        <v>184685</v>
      </c>
    </row>
    <row r="671" s="29" customFormat="1" ht="41" spans="2:5">
      <c r="B671" s="19" t="s">
        <v>1233</v>
      </c>
      <c r="C671" s="20" t="s">
        <v>182</v>
      </c>
      <c r="D671" s="21">
        <v>1</v>
      </c>
      <c r="E671" s="22">
        <v>81982</v>
      </c>
    </row>
    <row r="672" s="29" customFormat="1" spans="2:5">
      <c r="B672" s="19" t="s">
        <v>1233</v>
      </c>
      <c r="C672" s="16" t="s">
        <v>183</v>
      </c>
      <c r="D672" s="23">
        <v>1</v>
      </c>
      <c r="E672" s="24">
        <v>81982</v>
      </c>
    </row>
    <row r="673" s="29" customFormat="1" ht="28" spans="2:5">
      <c r="B673" s="19" t="s">
        <v>832</v>
      </c>
      <c r="C673" s="20" t="s">
        <v>804</v>
      </c>
      <c r="D673" s="21">
        <v>3</v>
      </c>
      <c r="E673" s="22">
        <v>398648.261261</v>
      </c>
    </row>
    <row r="674" s="29" customFormat="1" spans="2:5">
      <c r="B674" s="19" t="s">
        <v>832</v>
      </c>
      <c r="C674" s="16" t="s">
        <v>183</v>
      </c>
      <c r="D674" s="23">
        <v>3</v>
      </c>
      <c r="E674" s="24">
        <v>398648.261261</v>
      </c>
    </row>
    <row r="675" s="29" customFormat="1" ht="28" spans="2:5">
      <c r="B675" s="19" t="s">
        <v>833</v>
      </c>
      <c r="C675" s="20" t="s">
        <v>804</v>
      </c>
      <c r="D675" s="21">
        <v>6</v>
      </c>
      <c r="E675" s="22">
        <v>498157.873875</v>
      </c>
    </row>
    <row r="676" s="29" customFormat="1" spans="2:5">
      <c r="B676" s="19" t="s">
        <v>833</v>
      </c>
      <c r="C676" s="16" t="s">
        <v>183</v>
      </c>
      <c r="D676" s="23">
        <v>6</v>
      </c>
      <c r="E676" s="24">
        <v>498157.873875</v>
      </c>
    </row>
    <row r="677" s="29" customFormat="1" ht="28" spans="2:5">
      <c r="B677" s="19" t="s">
        <v>1234</v>
      </c>
      <c r="C677" s="20" t="s">
        <v>804</v>
      </c>
      <c r="D677" s="21">
        <v>1</v>
      </c>
      <c r="E677" s="22">
        <v>108558.558559</v>
      </c>
    </row>
    <row r="678" s="29" customFormat="1" spans="2:5">
      <c r="B678" s="19" t="s">
        <v>1234</v>
      </c>
      <c r="C678" s="16" t="s">
        <v>183</v>
      </c>
      <c r="D678" s="23">
        <v>1</v>
      </c>
      <c r="E678" s="24">
        <v>108558.558559</v>
      </c>
    </row>
    <row r="679" s="29" customFormat="1" ht="41" spans="2:5">
      <c r="B679" s="19" t="s">
        <v>1235</v>
      </c>
      <c r="C679" s="20" t="s">
        <v>182</v>
      </c>
      <c r="D679" s="21">
        <v>1</v>
      </c>
      <c r="E679" s="22">
        <v>81081</v>
      </c>
    </row>
    <row r="680" s="29" customFormat="1" spans="2:5">
      <c r="B680" s="19" t="s">
        <v>1235</v>
      </c>
      <c r="C680" s="16" t="s">
        <v>183</v>
      </c>
      <c r="D680" s="23">
        <v>1</v>
      </c>
      <c r="E680" s="24">
        <v>81081</v>
      </c>
    </row>
    <row r="681" s="29" customFormat="1" ht="41" spans="2:5">
      <c r="B681" s="19" t="s">
        <v>834</v>
      </c>
      <c r="C681" s="20" t="s">
        <v>182</v>
      </c>
      <c r="D681" s="21">
        <v>1</v>
      </c>
      <c r="E681" s="22">
        <v>113513.513514</v>
      </c>
    </row>
    <row r="682" s="29" customFormat="1" ht="17.55" spans="2:5">
      <c r="B682" s="19" t="s">
        <v>834</v>
      </c>
      <c r="C682" s="16" t="s">
        <v>183</v>
      </c>
      <c r="D682" s="23">
        <v>1</v>
      </c>
      <c r="E682" s="24">
        <v>113513.513514</v>
      </c>
    </row>
    <row r="683" s="29" customFormat="1" spans="2:5">
      <c r="B683" s="25"/>
      <c r="C683" s="25"/>
      <c r="D683" s="25"/>
      <c r="E683" s="25"/>
    </row>
    <row r="684" s="29" customFormat="1" ht="36" spans="2:5">
      <c r="B684" s="26" t="s">
        <v>189</v>
      </c>
      <c r="C684" s="26" t="s">
        <v>189</v>
      </c>
      <c r="D684" s="26" t="s">
        <v>189</v>
      </c>
      <c r="E684" s="26" t="s">
        <v>189</v>
      </c>
    </row>
    <row r="685" s="29" customFormat="1" spans="2:5">
      <c r="B685" s="26"/>
      <c r="C685" s="26"/>
      <c r="D685" s="26"/>
      <c r="E685" s="26"/>
    </row>
    <row r="686" s="29" customFormat="1" ht="36" spans="2:5">
      <c r="B686" s="26" t="s">
        <v>958</v>
      </c>
      <c r="C686" s="26" t="s">
        <v>958</v>
      </c>
      <c r="D686" s="26" t="s">
        <v>958</v>
      </c>
      <c r="E686" s="26" t="s">
        <v>958</v>
      </c>
    </row>
    <row r="687" s="29" customFormat="1" spans="2:5">
      <c r="B687" s="26" t="s">
        <v>540</v>
      </c>
      <c r="C687" s="26" t="s">
        <v>540</v>
      </c>
      <c r="D687" s="26" t="s">
        <v>540</v>
      </c>
      <c r="E687" s="26" t="s">
        <v>540</v>
      </c>
    </row>
    <row r="688" s="29" customFormat="1" ht="124" spans="2:5">
      <c r="B688" s="11" t="s">
        <v>173</v>
      </c>
      <c r="C688" s="11" t="s">
        <v>173</v>
      </c>
      <c r="D688" s="11" t="s">
        <v>173</v>
      </c>
      <c r="E688" s="11" t="s">
        <v>173</v>
      </c>
    </row>
    <row r="689" s="29" customFormat="1" ht="156" spans="2:5">
      <c r="B689" s="12" t="s">
        <v>174</v>
      </c>
      <c r="C689" s="12" t="s">
        <v>174</v>
      </c>
      <c r="D689" s="12" t="s">
        <v>174</v>
      </c>
      <c r="E689" s="12" t="s">
        <v>174</v>
      </c>
    </row>
    <row r="690" s="29" customFormat="1" ht="68" spans="2:5">
      <c r="B690" s="13" t="s">
        <v>1155</v>
      </c>
      <c r="C690" s="13" t="s">
        <v>1155</v>
      </c>
      <c r="D690" s="13" t="s">
        <v>1155</v>
      </c>
      <c r="E690" s="13" t="s">
        <v>1155</v>
      </c>
    </row>
    <row r="691" s="29" customFormat="1" ht="22" spans="2:5">
      <c r="B691" s="14" t="s">
        <v>176</v>
      </c>
      <c r="C691" s="14" t="s">
        <v>176</v>
      </c>
      <c r="D691" s="14" t="s">
        <v>176</v>
      </c>
      <c r="E691" s="14" t="s">
        <v>176</v>
      </c>
    </row>
    <row r="692" s="29" customFormat="1" spans="2:5">
      <c r="B692" s="15" t="s">
        <v>177</v>
      </c>
      <c r="C692" s="16" t="s">
        <v>178</v>
      </c>
      <c r="D692" s="17" t="s">
        <v>179</v>
      </c>
      <c r="E692" s="18" t="s">
        <v>180</v>
      </c>
    </row>
    <row r="693" s="29" customFormat="1" ht="41" spans="2:5">
      <c r="B693" s="19" t="s">
        <v>835</v>
      </c>
      <c r="C693" s="20" t="s">
        <v>182</v>
      </c>
      <c r="D693" s="21">
        <v>3</v>
      </c>
      <c r="E693" s="22">
        <v>239189.18919</v>
      </c>
    </row>
    <row r="694" s="29" customFormat="1" spans="2:5">
      <c r="B694" s="19" t="s">
        <v>835</v>
      </c>
      <c r="C694" s="16" t="s">
        <v>183</v>
      </c>
      <c r="D694" s="23">
        <v>3</v>
      </c>
      <c r="E694" s="24">
        <v>239189.18919</v>
      </c>
    </row>
    <row r="695" s="29" customFormat="1" ht="41" spans="2:5">
      <c r="B695" s="19" t="s">
        <v>1236</v>
      </c>
      <c r="C695" s="20" t="s">
        <v>182</v>
      </c>
      <c r="D695" s="21">
        <v>1</v>
      </c>
      <c r="E695" s="22">
        <v>262350</v>
      </c>
    </row>
    <row r="696" s="29" customFormat="1" ht="28" spans="2:5">
      <c r="B696" s="19" t="s">
        <v>1236</v>
      </c>
      <c r="C696" s="16" t="s">
        <v>183</v>
      </c>
      <c r="D696" s="23">
        <v>1</v>
      </c>
      <c r="E696" s="24">
        <v>262350</v>
      </c>
    </row>
    <row r="697" s="29" customFormat="1" ht="41" spans="2:5">
      <c r="B697" s="19" t="s">
        <v>1237</v>
      </c>
      <c r="C697" s="20" t="s">
        <v>182</v>
      </c>
      <c r="D697" s="21">
        <v>1</v>
      </c>
      <c r="E697" s="22">
        <v>94000</v>
      </c>
    </row>
    <row r="698" s="29" customFormat="1" ht="28" spans="2:5">
      <c r="B698" s="19" t="s">
        <v>1237</v>
      </c>
      <c r="C698" s="16" t="s">
        <v>183</v>
      </c>
      <c r="D698" s="23">
        <v>1</v>
      </c>
      <c r="E698" s="24">
        <v>94000</v>
      </c>
    </row>
    <row r="699" s="29" customFormat="1" ht="41" spans="2:5">
      <c r="B699" s="19" t="s">
        <v>426</v>
      </c>
      <c r="C699" s="20" t="s">
        <v>182</v>
      </c>
      <c r="D699" s="21">
        <v>30</v>
      </c>
      <c r="E699" s="22">
        <v>0</v>
      </c>
    </row>
    <row r="700" s="29" customFormat="1" spans="2:5">
      <c r="B700" s="19" t="s">
        <v>426</v>
      </c>
      <c r="C700" s="16" t="s">
        <v>183</v>
      </c>
      <c r="D700" s="23">
        <v>30</v>
      </c>
      <c r="E700" s="24">
        <v>0</v>
      </c>
    </row>
    <row r="701" s="29" customFormat="1" ht="41" spans="2:5">
      <c r="B701" s="19" t="s">
        <v>498</v>
      </c>
      <c r="C701" s="20" t="s">
        <v>182</v>
      </c>
      <c r="D701" s="21">
        <v>2</v>
      </c>
      <c r="E701" s="22">
        <v>0</v>
      </c>
    </row>
    <row r="702" s="29" customFormat="1" spans="2:5">
      <c r="B702" s="19" t="s">
        <v>498</v>
      </c>
      <c r="C702" s="16" t="s">
        <v>183</v>
      </c>
      <c r="D702" s="23">
        <v>2</v>
      </c>
      <c r="E702" s="24">
        <v>0</v>
      </c>
    </row>
    <row r="703" s="29" customFormat="1" ht="41" spans="2:5">
      <c r="B703" s="19" t="s">
        <v>427</v>
      </c>
      <c r="C703" s="20" t="s">
        <v>182</v>
      </c>
      <c r="D703" s="21">
        <v>2</v>
      </c>
      <c r="E703" s="22">
        <v>0</v>
      </c>
    </row>
    <row r="704" s="29" customFormat="1" ht="28" spans="2:5">
      <c r="B704" s="19" t="s">
        <v>427</v>
      </c>
      <c r="C704" s="20" t="s">
        <v>804</v>
      </c>
      <c r="D704" s="21">
        <v>1</v>
      </c>
      <c r="E704" s="22">
        <v>0</v>
      </c>
    </row>
    <row r="705" s="29" customFormat="1" ht="17.55" spans="2:5">
      <c r="B705" s="19" t="s">
        <v>427</v>
      </c>
      <c r="C705" s="16" t="s">
        <v>183</v>
      </c>
      <c r="D705" s="23">
        <v>3</v>
      </c>
      <c r="E705" s="24">
        <v>0</v>
      </c>
    </row>
    <row r="706" s="29" customFormat="1" spans="2:5">
      <c r="B706" s="25"/>
      <c r="C706" s="25"/>
      <c r="D706" s="25"/>
      <c r="E706" s="25"/>
    </row>
    <row r="707" s="29" customFormat="1" ht="36" spans="2:5">
      <c r="B707" s="26" t="s">
        <v>189</v>
      </c>
      <c r="C707" s="26" t="s">
        <v>189</v>
      </c>
      <c r="D707" s="26" t="s">
        <v>189</v>
      </c>
      <c r="E707" s="26" t="s">
        <v>189</v>
      </c>
    </row>
    <row r="708" s="29" customFormat="1" spans="2:5">
      <c r="B708" s="26"/>
      <c r="C708" s="26"/>
      <c r="D708" s="26"/>
      <c r="E708" s="26"/>
    </row>
    <row r="709" s="29" customFormat="1" ht="36" spans="2:5">
      <c r="B709" s="26" t="s">
        <v>958</v>
      </c>
      <c r="C709" s="26" t="s">
        <v>958</v>
      </c>
      <c r="D709" s="26" t="s">
        <v>958</v>
      </c>
      <c r="E709" s="26" t="s">
        <v>958</v>
      </c>
    </row>
    <row r="710" s="29" customFormat="1" spans="2:5">
      <c r="B710" s="26" t="s">
        <v>547</v>
      </c>
      <c r="C710" s="26" t="s">
        <v>547</v>
      </c>
      <c r="D710" s="26" t="s">
        <v>547</v>
      </c>
      <c r="E710" s="26" t="s">
        <v>547</v>
      </c>
    </row>
    <row r="711" s="29" customFormat="1" ht="124" spans="2:5">
      <c r="B711" s="11" t="s">
        <v>173</v>
      </c>
      <c r="C711" s="11" t="s">
        <v>173</v>
      </c>
      <c r="D711" s="11" t="s">
        <v>173</v>
      </c>
      <c r="E711" s="11" t="s">
        <v>173</v>
      </c>
    </row>
    <row r="712" s="29" customFormat="1" ht="156" spans="2:5">
      <c r="B712" s="12" t="s">
        <v>174</v>
      </c>
      <c r="C712" s="12" t="s">
        <v>174</v>
      </c>
      <c r="D712" s="12" t="s">
        <v>174</v>
      </c>
      <c r="E712" s="12" t="s">
        <v>174</v>
      </c>
    </row>
    <row r="713" s="29" customFormat="1" ht="68" spans="2:5">
      <c r="B713" s="13" t="s">
        <v>1155</v>
      </c>
      <c r="C713" s="13" t="s">
        <v>1155</v>
      </c>
      <c r="D713" s="13" t="s">
        <v>1155</v>
      </c>
      <c r="E713" s="13" t="s">
        <v>1155</v>
      </c>
    </row>
    <row r="714" s="29" customFormat="1" ht="22" spans="2:5">
      <c r="B714" s="14" t="s">
        <v>176</v>
      </c>
      <c r="C714" s="14" t="s">
        <v>176</v>
      </c>
      <c r="D714" s="14" t="s">
        <v>176</v>
      </c>
      <c r="E714" s="14" t="s">
        <v>176</v>
      </c>
    </row>
    <row r="715" s="29" customFormat="1" spans="2:5">
      <c r="B715" s="15" t="s">
        <v>177</v>
      </c>
      <c r="C715" s="16" t="s">
        <v>178</v>
      </c>
      <c r="D715" s="17" t="s">
        <v>179</v>
      </c>
      <c r="E715" s="18" t="s">
        <v>180</v>
      </c>
    </row>
    <row r="716" s="29" customFormat="1" ht="41" spans="2:5">
      <c r="B716" s="19" t="s">
        <v>428</v>
      </c>
      <c r="C716" s="20" t="s">
        <v>182</v>
      </c>
      <c r="D716" s="21">
        <v>2</v>
      </c>
      <c r="E716" s="22">
        <v>0</v>
      </c>
    </row>
    <row r="717" s="29" customFormat="1" ht="28" spans="2:5">
      <c r="B717" s="19" t="s">
        <v>428</v>
      </c>
      <c r="C717" s="20" t="s">
        <v>804</v>
      </c>
      <c r="D717" s="21">
        <v>4</v>
      </c>
      <c r="E717" s="22">
        <v>0</v>
      </c>
    </row>
    <row r="718" s="29" customFormat="1" spans="2:5">
      <c r="B718" s="19" t="s">
        <v>428</v>
      </c>
      <c r="C718" s="16" t="s">
        <v>183</v>
      </c>
      <c r="D718" s="23">
        <v>6</v>
      </c>
      <c r="E718" s="24">
        <v>0</v>
      </c>
    </row>
    <row r="719" s="29" customFormat="1" ht="41" spans="2:5">
      <c r="B719" s="19" t="s">
        <v>429</v>
      </c>
      <c r="C719" s="20" t="s">
        <v>182</v>
      </c>
      <c r="D719" s="21">
        <v>46</v>
      </c>
      <c r="E719" s="22">
        <v>0</v>
      </c>
    </row>
    <row r="720" s="29" customFormat="1" ht="28" spans="2:5">
      <c r="B720" s="19" t="s">
        <v>429</v>
      </c>
      <c r="C720" s="20" t="s">
        <v>804</v>
      </c>
      <c r="D720" s="21">
        <v>16</v>
      </c>
      <c r="E720" s="22">
        <v>0</v>
      </c>
    </row>
    <row r="721" s="29" customFormat="1" spans="2:5">
      <c r="B721" s="19" t="s">
        <v>429</v>
      </c>
      <c r="C721" s="16" t="s">
        <v>183</v>
      </c>
      <c r="D721" s="23">
        <v>62</v>
      </c>
      <c r="E721" s="24">
        <v>0</v>
      </c>
    </row>
    <row r="722" s="29" customFormat="1" ht="41" spans="2:5">
      <c r="B722" s="19" t="s">
        <v>431</v>
      </c>
      <c r="C722" s="20" t="s">
        <v>182</v>
      </c>
      <c r="D722" s="21">
        <v>10</v>
      </c>
      <c r="E722" s="22">
        <v>0</v>
      </c>
    </row>
    <row r="723" s="29" customFormat="1" ht="28" spans="2:5">
      <c r="B723" s="19" t="s">
        <v>431</v>
      </c>
      <c r="C723" s="20" t="s">
        <v>804</v>
      </c>
      <c r="D723" s="21">
        <v>7</v>
      </c>
      <c r="E723" s="22">
        <v>0</v>
      </c>
    </row>
    <row r="724" s="29" customFormat="1" spans="2:5">
      <c r="B724" s="19" t="s">
        <v>431</v>
      </c>
      <c r="C724" s="16" t="s">
        <v>183</v>
      </c>
      <c r="D724" s="23">
        <v>17</v>
      </c>
      <c r="E724" s="24">
        <v>0</v>
      </c>
    </row>
    <row r="725" s="29" customFormat="1" ht="41" spans="2:5">
      <c r="B725" s="19" t="s">
        <v>432</v>
      </c>
      <c r="C725" s="20" t="s">
        <v>182</v>
      </c>
      <c r="D725" s="21">
        <v>2</v>
      </c>
      <c r="E725" s="22">
        <v>0</v>
      </c>
    </row>
    <row r="726" s="29" customFormat="1" ht="28" spans="2:5">
      <c r="B726" s="19" t="s">
        <v>432</v>
      </c>
      <c r="C726" s="20" t="s">
        <v>804</v>
      </c>
      <c r="D726" s="21">
        <v>2</v>
      </c>
      <c r="E726" s="22">
        <v>0</v>
      </c>
    </row>
    <row r="727" s="29" customFormat="1" spans="2:5">
      <c r="B727" s="19" t="s">
        <v>432</v>
      </c>
      <c r="C727" s="16" t="s">
        <v>183</v>
      </c>
      <c r="D727" s="23">
        <v>4</v>
      </c>
      <c r="E727" s="24">
        <v>0</v>
      </c>
    </row>
    <row r="728" s="29" customFormat="1" ht="41.75" spans="2:5">
      <c r="B728" s="20" t="s">
        <v>433</v>
      </c>
      <c r="C728" s="20" t="s">
        <v>182</v>
      </c>
      <c r="D728" s="21">
        <v>4</v>
      </c>
      <c r="E728" s="22">
        <v>0</v>
      </c>
    </row>
    <row r="729" s="29" customFormat="1" spans="2:5">
      <c r="B729" s="25"/>
      <c r="C729" s="25"/>
      <c r="D729" s="25"/>
      <c r="E729" s="25"/>
    </row>
    <row r="730" s="29" customFormat="1" ht="36" spans="2:5">
      <c r="B730" s="26" t="s">
        <v>189</v>
      </c>
      <c r="C730" s="26" t="s">
        <v>189</v>
      </c>
      <c r="D730" s="26" t="s">
        <v>189</v>
      </c>
      <c r="E730" s="26" t="s">
        <v>189</v>
      </c>
    </row>
    <row r="731" s="29" customFormat="1" spans="2:5">
      <c r="B731" s="26"/>
      <c r="C731" s="26"/>
      <c r="D731" s="26"/>
      <c r="E731" s="26"/>
    </row>
    <row r="732" s="29" customFormat="1" ht="36" spans="2:5">
      <c r="B732" s="26" t="s">
        <v>958</v>
      </c>
      <c r="C732" s="26" t="s">
        <v>958</v>
      </c>
      <c r="D732" s="26" t="s">
        <v>958</v>
      </c>
      <c r="E732" s="26" t="s">
        <v>958</v>
      </c>
    </row>
    <row r="733" s="29" customFormat="1" spans="2:5">
      <c r="B733" s="26" t="s">
        <v>554</v>
      </c>
      <c r="C733" s="26" t="s">
        <v>554</v>
      </c>
      <c r="D733" s="26" t="s">
        <v>554</v>
      </c>
      <c r="E733" s="26" t="s">
        <v>554</v>
      </c>
    </row>
    <row r="734" s="29" customFormat="1" ht="124" spans="2:5">
      <c r="B734" s="11" t="s">
        <v>173</v>
      </c>
      <c r="C734" s="11" t="s">
        <v>173</v>
      </c>
      <c r="D734" s="11" t="s">
        <v>173</v>
      </c>
      <c r="E734" s="11" t="s">
        <v>173</v>
      </c>
    </row>
    <row r="735" s="29" customFormat="1" ht="156" spans="2:5">
      <c r="B735" s="12" t="s">
        <v>174</v>
      </c>
      <c r="C735" s="12" t="s">
        <v>174</v>
      </c>
      <c r="D735" s="12" t="s">
        <v>174</v>
      </c>
      <c r="E735" s="12" t="s">
        <v>174</v>
      </c>
    </row>
    <row r="736" s="29" customFormat="1" ht="68" spans="2:5">
      <c r="B736" s="13" t="s">
        <v>1155</v>
      </c>
      <c r="C736" s="13" t="s">
        <v>1155</v>
      </c>
      <c r="D736" s="13" t="s">
        <v>1155</v>
      </c>
      <c r="E736" s="13" t="s">
        <v>1155</v>
      </c>
    </row>
    <row r="737" s="29" customFormat="1" ht="22" spans="2:5">
      <c r="B737" s="14" t="s">
        <v>176</v>
      </c>
      <c r="C737" s="14" t="s">
        <v>176</v>
      </c>
      <c r="D737" s="14" t="s">
        <v>176</v>
      </c>
      <c r="E737" s="14" t="s">
        <v>176</v>
      </c>
    </row>
    <row r="738" s="29" customFormat="1" spans="2:5">
      <c r="B738" s="15" t="s">
        <v>177</v>
      </c>
      <c r="C738" s="16" t="s">
        <v>178</v>
      </c>
      <c r="D738" s="17" t="s">
        <v>179</v>
      </c>
      <c r="E738" s="18" t="s">
        <v>180</v>
      </c>
    </row>
    <row r="739" s="29" customFormat="1" ht="28" spans="2:5">
      <c r="B739" s="19" t="s">
        <v>433</v>
      </c>
      <c r="C739" s="20" t="s">
        <v>804</v>
      </c>
      <c r="D739" s="21">
        <v>1</v>
      </c>
      <c r="E739" s="22">
        <v>0</v>
      </c>
    </row>
    <row r="740" s="29" customFormat="1" spans="2:5">
      <c r="B740" s="19" t="s">
        <v>433</v>
      </c>
      <c r="C740" s="16" t="s">
        <v>183</v>
      </c>
      <c r="D740" s="23">
        <v>5</v>
      </c>
      <c r="E740" s="24">
        <v>0</v>
      </c>
    </row>
    <row r="741" s="29" customFormat="1" ht="41" spans="2:5">
      <c r="B741" s="19" t="s">
        <v>434</v>
      </c>
      <c r="C741" s="20" t="s">
        <v>182</v>
      </c>
      <c r="D741" s="21">
        <v>17</v>
      </c>
      <c r="E741" s="22">
        <v>0</v>
      </c>
    </row>
    <row r="742" s="29" customFormat="1" ht="28" spans="2:5">
      <c r="B742" s="19" t="s">
        <v>434</v>
      </c>
      <c r="C742" s="20" t="s">
        <v>804</v>
      </c>
      <c r="D742" s="21">
        <v>13</v>
      </c>
      <c r="E742" s="22">
        <v>0</v>
      </c>
    </row>
    <row r="743" s="29" customFormat="1" spans="2:5">
      <c r="B743" s="19" t="s">
        <v>434</v>
      </c>
      <c r="C743" s="16" t="s">
        <v>183</v>
      </c>
      <c r="D743" s="23">
        <v>30</v>
      </c>
      <c r="E743" s="24">
        <v>0</v>
      </c>
    </row>
    <row r="744" s="29" customFormat="1" ht="41" spans="2:5">
      <c r="B744" s="19" t="s">
        <v>435</v>
      </c>
      <c r="C744" s="20" t="s">
        <v>182</v>
      </c>
      <c r="D744" s="21">
        <v>2</v>
      </c>
      <c r="E744" s="22">
        <v>0</v>
      </c>
    </row>
    <row r="745" s="29" customFormat="1" ht="28" spans="2:5">
      <c r="B745" s="19" t="s">
        <v>435</v>
      </c>
      <c r="C745" s="20" t="s">
        <v>804</v>
      </c>
      <c r="D745" s="21">
        <v>23</v>
      </c>
      <c r="E745" s="22">
        <v>129729.63964</v>
      </c>
    </row>
    <row r="746" s="29" customFormat="1" spans="2:5">
      <c r="B746" s="19" t="s">
        <v>435</v>
      </c>
      <c r="C746" s="16" t="s">
        <v>183</v>
      </c>
      <c r="D746" s="23">
        <v>25</v>
      </c>
      <c r="E746" s="24">
        <v>129729.63964</v>
      </c>
    </row>
    <row r="747" s="29" customFormat="1" ht="41" spans="2:5">
      <c r="B747" s="19" t="s">
        <v>436</v>
      </c>
      <c r="C747" s="20" t="s">
        <v>182</v>
      </c>
      <c r="D747" s="21">
        <v>7</v>
      </c>
      <c r="E747" s="22">
        <v>0</v>
      </c>
    </row>
    <row r="748" s="29" customFormat="1" spans="2:5">
      <c r="B748" s="19" t="s">
        <v>436</v>
      </c>
      <c r="C748" s="16" t="s">
        <v>183</v>
      </c>
      <c r="D748" s="23">
        <v>7</v>
      </c>
      <c r="E748" s="24">
        <v>0</v>
      </c>
    </row>
    <row r="749" s="29" customFormat="1" ht="41" spans="2:5">
      <c r="B749" s="19" t="s">
        <v>587</v>
      </c>
      <c r="C749" s="20" t="s">
        <v>182</v>
      </c>
      <c r="D749" s="21">
        <v>3</v>
      </c>
      <c r="E749" s="22">
        <v>0</v>
      </c>
    </row>
    <row r="750" s="29" customFormat="1" spans="2:5">
      <c r="B750" s="19" t="s">
        <v>587</v>
      </c>
      <c r="C750" s="16" t="s">
        <v>183</v>
      </c>
      <c r="D750" s="23">
        <v>3</v>
      </c>
      <c r="E750" s="24">
        <v>0</v>
      </c>
    </row>
    <row r="751" s="29" customFormat="1" ht="28" spans="2:5">
      <c r="B751" s="19" t="s">
        <v>437</v>
      </c>
      <c r="C751" s="20" t="s">
        <v>804</v>
      </c>
      <c r="D751" s="21">
        <v>2</v>
      </c>
      <c r="E751" s="22">
        <v>0</v>
      </c>
    </row>
    <row r="752" s="29" customFormat="1" ht="17.55" spans="2:5">
      <c r="B752" s="19" t="s">
        <v>437</v>
      </c>
      <c r="C752" s="16" t="s">
        <v>183</v>
      </c>
      <c r="D752" s="23">
        <v>2</v>
      </c>
      <c r="E752" s="24">
        <v>0</v>
      </c>
    </row>
    <row r="753" s="29" customFormat="1" spans="2:5">
      <c r="B753" s="25"/>
      <c r="C753" s="25"/>
      <c r="D753" s="25"/>
      <c r="E753" s="25"/>
    </row>
    <row r="754" s="29" customFormat="1" ht="36" spans="2:5">
      <c r="B754" s="26" t="s">
        <v>189</v>
      </c>
      <c r="C754" s="26" t="s">
        <v>189</v>
      </c>
      <c r="D754" s="26" t="s">
        <v>189</v>
      </c>
      <c r="E754" s="26" t="s">
        <v>189</v>
      </c>
    </row>
    <row r="755" s="29" customFormat="1" spans="2:5">
      <c r="B755" s="26"/>
      <c r="C755" s="26"/>
      <c r="D755" s="26"/>
      <c r="E755" s="26"/>
    </row>
    <row r="756" s="29" customFormat="1" ht="36" spans="2:5">
      <c r="B756" s="26" t="s">
        <v>958</v>
      </c>
      <c r="C756" s="26" t="s">
        <v>958</v>
      </c>
      <c r="D756" s="26" t="s">
        <v>958</v>
      </c>
      <c r="E756" s="26" t="s">
        <v>958</v>
      </c>
    </row>
    <row r="757" s="29" customFormat="1" spans="2:5">
      <c r="B757" s="26" t="s">
        <v>561</v>
      </c>
      <c r="C757" s="26" t="s">
        <v>561</v>
      </c>
      <c r="D757" s="26" t="s">
        <v>561</v>
      </c>
      <c r="E757" s="26" t="s">
        <v>561</v>
      </c>
    </row>
    <row r="758" s="29" customFormat="1" ht="124" spans="2:5">
      <c r="B758" s="11" t="s">
        <v>173</v>
      </c>
      <c r="C758" s="11" t="s">
        <v>173</v>
      </c>
      <c r="D758" s="11" t="s">
        <v>173</v>
      </c>
      <c r="E758" s="11" t="s">
        <v>173</v>
      </c>
    </row>
    <row r="759" s="29" customFormat="1" ht="156" spans="2:5">
      <c r="B759" s="12" t="s">
        <v>174</v>
      </c>
      <c r="C759" s="12" t="s">
        <v>174</v>
      </c>
      <c r="D759" s="12" t="s">
        <v>174</v>
      </c>
      <c r="E759" s="12" t="s">
        <v>174</v>
      </c>
    </row>
    <row r="760" s="29" customFormat="1" ht="68" spans="2:5">
      <c r="B760" s="13" t="s">
        <v>1155</v>
      </c>
      <c r="C760" s="13" t="s">
        <v>1155</v>
      </c>
      <c r="D760" s="13" t="s">
        <v>1155</v>
      </c>
      <c r="E760" s="13" t="s">
        <v>1155</v>
      </c>
    </row>
    <row r="761" s="29" customFormat="1" ht="22" spans="2:5">
      <c r="B761" s="14" t="s">
        <v>176</v>
      </c>
      <c r="C761" s="14" t="s">
        <v>176</v>
      </c>
      <c r="D761" s="14" t="s">
        <v>176</v>
      </c>
      <c r="E761" s="14" t="s">
        <v>176</v>
      </c>
    </row>
    <row r="762" s="29" customFormat="1" spans="2:5">
      <c r="B762" s="15" t="s">
        <v>177</v>
      </c>
      <c r="C762" s="16" t="s">
        <v>178</v>
      </c>
      <c r="D762" s="17" t="s">
        <v>179</v>
      </c>
      <c r="E762" s="18" t="s">
        <v>180</v>
      </c>
    </row>
    <row r="763" s="29" customFormat="1" ht="41" spans="2:5">
      <c r="B763" s="19" t="s">
        <v>438</v>
      </c>
      <c r="C763" s="20" t="s">
        <v>182</v>
      </c>
      <c r="D763" s="21">
        <v>1</v>
      </c>
      <c r="E763" s="22">
        <v>0</v>
      </c>
    </row>
    <row r="764" s="29" customFormat="1" spans="2:5">
      <c r="B764" s="19" t="s">
        <v>438</v>
      </c>
      <c r="C764" s="16" t="s">
        <v>183</v>
      </c>
      <c r="D764" s="23">
        <v>1</v>
      </c>
      <c r="E764" s="24">
        <v>0</v>
      </c>
    </row>
    <row r="765" s="29" customFormat="1" ht="28" spans="2:5">
      <c r="B765" s="19" t="s">
        <v>439</v>
      </c>
      <c r="C765" s="20" t="s">
        <v>804</v>
      </c>
      <c r="D765" s="21">
        <v>2</v>
      </c>
      <c r="E765" s="22">
        <v>0</v>
      </c>
    </row>
    <row r="766" s="29" customFormat="1" spans="2:5">
      <c r="B766" s="19" t="s">
        <v>439</v>
      </c>
      <c r="C766" s="16" t="s">
        <v>183</v>
      </c>
      <c r="D766" s="23">
        <v>2</v>
      </c>
      <c r="E766" s="24">
        <v>0</v>
      </c>
    </row>
    <row r="767" s="29" customFormat="1" ht="41" spans="2:5">
      <c r="B767" s="19" t="s">
        <v>440</v>
      </c>
      <c r="C767" s="20" t="s">
        <v>182</v>
      </c>
      <c r="D767" s="21">
        <v>47</v>
      </c>
      <c r="E767" s="22">
        <v>0</v>
      </c>
    </row>
    <row r="768" s="29" customFormat="1" ht="28" spans="2:5">
      <c r="B768" s="19" t="s">
        <v>440</v>
      </c>
      <c r="C768" s="20" t="s">
        <v>804</v>
      </c>
      <c r="D768" s="21">
        <v>19</v>
      </c>
      <c r="E768" s="22">
        <v>0</v>
      </c>
    </row>
    <row r="769" s="29" customFormat="1" spans="2:5">
      <c r="B769" s="19" t="s">
        <v>440</v>
      </c>
      <c r="C769" s="16" t="s">
        <v>183</v>
      </c>
      <c r="D769" s="23">
        <v>66</v>
      </c>
      <c r="E769" s="24">
        <v>0</v>
      </c>
    </row>
    <row r="770" s="29" customFormat="1" ht="41" spans="2:5">
      <c r="B770" s="19" t="s">
        <v>443</v>
      </c>
      <c r="C770" s="20" t="s">
        <v>182</v>
      </c>
      <c r="D770" s="21">
        <v>2</v>
      </c>
      <c r="E770" s="22">
        <v>0</v>
      </c>
    </row>
    <row r="771" s="29" customFormat="1" ht="28" spans="2:5">
      <c r="B771" s="19" t="s">
        <v>443</v>
      </c>
      <c r="C771" s="20" t="s">
        <v>804</v>
      </c>
      <c r="D771" s="21">
        <v>1</v>
      </c>
      <c r="E771" s="22">
        <v>0</v>
      </c>
    </row>
    <row r="772" s="29" customFormat="1" spans="2:5">
      <c r="B772" s="19" t="s">
        <v>443</v>
      </c>
      <c r="C772" s="16" t="s">
        <v>183</v>
      </c>
      <c r="D772" s="23">
        <v>3</v>
      </c>
      <c r="E772" s="24">
        <v>0</v>
      </c>
    </row>
    <row r="773" s="29" customFormat="1" ht="28" spans="2:5">
      <c r="B773" s="19" t="s">
        <v>444</v>
      </c>
      <c r="C773" s="20" t="s">
        <v>804</v>
      </c>
      <c r="D773" s="21">
        <v>4</v>
      </c>
      <c r="E773" s="22">
        <v>0</v>
      </c>
    </row>
    <row r="774" s="29" customFormat="1" spans="2:5">
      <c r="B774" s="19" t="s">
        <v>444</v>
      </c>
      <c r="C774" s="16" t="s">
        <v>183</v>
      </c>
      <c r="D774" s="23">
        <v>4</v>
      </c>
      <c r="E774" s="24">
        <v>0</v>
      </c>
    </row>
    <row r="775" s="29" customFormat="1" ht="41" spans="2:5">
      <c r="B775" s="19" t="s">
        <v>499</v>
      </c>
      <c r="C775" s="20" t="s">
        <v>182</v>
      </c>
      <c r="D775" s="21">
        <v>1</v>
      </c>
      <c r="E775" s="22">
        <v>0</v>
      </c>
    </row>
    <row r="776" s="29" customFormat="1" ht="17.55" spans="2:5">
      <c r="B776" s="19" t="s">
        <v>499</v>
      </c>
      <c r="C776" s="16" t="s">
        <v>183</v>
      </c>
      <c r="D776" s="23">
        <v>1</v>
      </c>
      <c r="E776" s="24">
        <v>0</v>
      </c>
    </row>
    <row r="777" s="29" customFormat="1" spans="2:5">
      <c r="B777" s="25"/>
      <c r="C777" s="25"/>
      <c r="D777" s="25"/>
      <c r="E777" s="25"/>
    </row>
    <row r="778" s="29" customFormat="1" ht="36" spans="2:5">
      <c r="B778" s="26" t="s">
        <v>189</v>
      </c>
      <c r="C778" s="26" t="s">
        <v>189</v>
      </c>
      <c r="D778" s="26" t="s">
        <v>189</v>
      </c>
      <c r="E778" s="26" t="s">
        <v>189</v>
      </c>
    </row>
    <row r="779" s="29" customFormat="1" spans="2:5">
      <c r="B779" s="26"/>
      <c r="C779" s="26"/>
      <c r="D779" s="26"/>
      <c r="E779" s="26"/>
    </row>
    <row r="780" s="29" customFormat="1" ht="36" spans="2:5">
      <c r="B780" s="26" t="s">
        <v>958</v>
      </c>
      <c r="C780" s="26" t="s">
        <v>958</v>
      </c>
      <c r="D780" s="26" t="s">
        <v>958</v>
      </c>
      <c r="E780" s="26" t="s">
        <v>958</v>
      </c>
    </row>
    <row r="781" s="29" customFormat="1" spans="2:5">
      <c r="B781" s="26" t="s">
        <v>566</v>
      </c>
      <c r="C781" s="26" t="s">
        <v>566</v>
      </c>
      <c r="D781" s="26" t="s">
        <v>566</v>
      </c>
      <c r="E781" s="26" t="s">
        <v>566</v>
      </c>
    </row>
    <row r="782" s="29" customFormat="1" ht="124" spans="2:5">
      <c r="B782" s="11" t="s">
        <v>173</v>
      </c>
      <c r="C782" s="11" t="s">
        <v>173</v>
      </c>
      <c r="D782" s="11" t="s">
        <v>173</v>
      </c>
      <c r="E782" s="11" t="s">
        <v>173</v>
      </c>
    </row>
    <row r="783" s="29" customFormat="1" ht="156" spans="2:5">
      <c r="B783" s="12" t="s">
        <v>174</v>
      </c>
      <c r="C783" s="12" t="s">
        <v>174</v>
      </c>
      <c r="D783" s="12" t="s">
        <v>174</v>
      </c>
      <c r="E783" s="12" t="s">
        <v>174</v>
      </c>
    </row>
    <row r="784" s="29" customFormat="1" ht="68" spans="2:5">
      <c r="B784" s="13" t="s">
        <v>1155</v>
      </c>
      <c r="C784" s="13" t="s">
        <v>1155</v>
      </c>
      <c r="D784" s="13" t="s">
        <v>1155</v>
      </c>
      <c r="E784" s="13" t="s">
        <v>1155</v>
      </c>
    </row>
    <row r="785" s="29" customFormat="1" ht="22" spans="2:5">
      <c r="B785" s="14" t="s">
        <v>176</v>
      </c>
      <c r="C785" s="14" t="s">
        <v>176</v>
      </c>
      <c r="D785" s="14" t="s">
        <v>176</v>
      </c>
      <c r="E785" s="14" t="s">
        <v>176</v>
      </c>
    </row>
    <row r="786" s="29" customFormat="1" spans="2:5">
      <c r="B786" s="15" t="s">
        <v>177</v>
      </c>
      <c r="C786" s="16" t="s">
        <v>178</v>
      </c>
      <c r="D786" s="17" t="s">
        <v>179</v>
      </c>
      <c r="E786" s="18" t="s">
        <v>180</v>
      </c>
    </row>
    <row r="787" s="29" customFormat="1" ht="41" spans="2:5">
      <c r="B787" s="19" t="s">
        <v>1238</v>
      </c>
      <c r="C787" s="20" t="s">
        <v>182</v>
      </c>
      <c r="D787" s="21">
        <v>1</v>
      </c>
      <c r="E787" s="22">
        <v>1136000</v>
      </c>
    </row>
    <row r="788" s="29" customFormat="1" ht="28" spans="2:5">
      <c r="B788" s="19" t="s">
        <v>1238</v>
      </c>
      <c r="C788" s="16" t="s">
        <v>183</v>
      </c>
      <c r="D788" s="23">
        <v>1</v>
      </c>
      <c r="E788" s="24">
        <v>1136000</v>
      </c>
    </row>
    <row r="789" s="29" customFormat="1" ht="41" spans="2:5">
      <c r="B789" s="19" t="s">
        <v>1239</v>
      </c>
      <c r="C789" s="20" t="s">
        <v>182</v>
      </c>
      <c r="D789" s="21">
        <v>2</v>
      </c>
      <c r="E789" s="22">
        <v>0</v>
      </c>
    </row>
    <row r="790" s="29" customFormat="1" spans="2:5">
      <c r="B790" s="19" t="s">
        <v>1239</v>
      </c>
      <c r="C790" s="16" t="s">
        <v>183</v>
      </c>
      <c r="D790" s="23">
        <v>2</v>
      </c>
      <c r="E790" s="24">
        <v>0</v>
      </c>
    </row>
    <row r="791" s="29" customFormat="1" ht="41" spans="2:5">
      <c r="B791" s="19" t="s">
        <v>588</v>
      </c>
      <c r="C791" s="20" t="s">
        <v>182</v>
      </c>
      <c r="D791" s="21">
        <v>1</v>
      </c>
      <c r="E791" s="22">
        <v>0</v>
      </c>
    </row>
    <row r="792" s="29" customFormat="1" spans="2:5">
      <c r="B792" s="19" t="s">
        <v>588</v>
      </c>
      <c r="C792" s="16" t="s">
        <v>183</v>
      </c>
      <c r="D792" s="23">
        <v>1</v>
      </c>
      <c r="E792" s="24">
        <v>0</v>
      </c>
    </row>
    <row r="793" s="29" customFormat="1" ht="41" spans="2:5">
      <c r="B793" s="19" t="s">
        <v>445</v>
      </c>
      <c r="C793" s="20" t="s">
        <v>182</v>
      </c>
      <c r="D793" s="21">
        <v>2</v>
      </c>
      <c r="E793" s="22">
        <v>0</v>
      </c>
    </row>
    <row r="794" s="29" customFormat="1" spans="2:5">
      <c r="B794" s="19" t="s">
        <v>445</v>
      </c>
      <c r="C794" s="16" t="s">
        <v>183</v>
      </c>
      <c r="D794" s="23">
        <v>2</v>
      </c>
      <c r="E794" s="24">
        <v>0</v>
      </c>
    </row>
    <row r="795" s="29" customFormat="1" ht="41" spans="2:5">
      <c r="B795" s="19" t="s">
        <v>500</v>
      </c>
      <c r="C795" s="20" t="s">
        <v>182</v>
      </c>
      <c r="D795" s="21">
        <v>2</v>
      </c>
      <c r="E795" s="22">
        <v>0</v>
      </c>
    </row>
    <row r="796" s="29" customFormat="1" spans="2:5">
      <c r="B796" s="19" t="s">
        <v>500</v>
      </c>
      <c r="C796" s="16" t="s">
        <v>183</v>
      </c>
      <c r="D796" s="23">
        <v>2</v>
      </c>
      <c r="E796" s="24">
        <v>0</v>
      </c>
    </row>
    <row r="797" s="29" customFormat="1" ht="41" spans="2:5">
      <c r="B797" s="19" t="s">
        <v>840</v>
      </c>
      <c r="C797" s="20" t="s">
        <v>182</v>
      </c>
      <c r="D797" s="21">
        <v>4</v>
      </c>
      <c r="E797" s="22">
        <v>630630.630631</v>
      </c>
    </row>
    <row r="798" s="29" customFormat="1" spans="2:5">
      <c r="B798" s="19" t="s">
        <v>840</v>
      </c>
      <c r="C798" s="16" t="s">
        <v>183</v>
      </c>
      <c r="D798" s="23">
        <v>4</v>
      </c>
      <c r="E798" s="24">
        <v>630630.630631</v>
      </c>
    </row>
    <row r="799" s="29" customFormat="1" ht="41.75" spans="2:5">
      <c r="B799" s="20" t="s">
        <v>841</v>
      </c>
      <c r="C799" s="20" t="s">
        <v>182</v>
      </c>
      <c r="D799" s="21">
        <v>8</v>
      </c>
      <c r="E799" s="22">
        <v>1261261.630631</v>
      </c>
    </row>
    <row r="800" s="29" customFormat="1" spans="2:5">
      <c r="B800" s="25"/>
      <c r="C800" s="25"/>
      <c r="D800" s="25"/>
      <c r="E800" s="25"/>
    </row>
    <row r="801" s="29" customFormat="1" ht="36" spans="2:5">
      <c r="B801" s="26" t="s">
        <v>189</v>
      </c>
      <c r="C801" s="26" t="s">
        <v>189</v>
      </c>
      <c r="D801" s="26" t="s">
        <v>189</v>
      </c>
      <c r="E801" s="26" t="s">
        <v>189</v>
      </c>
    </row>
    <row r="802" s="29" customFormat="1" spans="2:5">
      <c r="B802" s="26"/>
      <c r="C802" s="26"/>
      <c r="D802" s="26"/>
      <c r="E802" s="26"/>
    </row>
    <row r="803" s="29" customFormat="1" ht="36" spans="2:5">
      <c r="B803" s="26" t="s">
        <v>958</v>
      </c>
      <c r="C803" s="26" t="s">
        <v>958</v>
      </c>
      <c r="D803" s="26" t="s">
        <v>958</v>
      </c>
      <c r="E803" s="26" t="s">
        <v>958</v>
      </c>
    </row>
    <row r="804" s="29" customFormat="1" spans="2:5">
      <c r="B804" s="26" t="s">
        <v>645</v>
      </c>
      <c r="C804" s="26" t="s">
        <v>645</v>
      </c>
      <c r="D804" s="26" t="s">
        <v>645</v>
      </c>
      <c r="E804" s="26" t="s">
        <v>645</v>
      </c>
    </row>
    <row r="805" s="29" customFormat="1" ht="124" spans="2:5">
      <c r="B805" s="11" t="s">
        <v>173</v>
      </c>
      <c r="C805" s="11" t="s">
        <v>173</v>
      </c>
      <c r="D805" s="11" t="s">
        <v>173</v>
      </c>
      <c r="E805" s="11" t="s">
        <v>173</v>
      </c>
    </row>
    <row r="806" s="29" customFormat="1" ht="156" spans="2:5">
      <c r="B806" s="12" t="s">
        <v>174</v>
      </c>
      <c r="C806" s="12" t="s">
        <v>174</v>
      </c>
      <c r="D806" s="12" t="s">
        <v>174</v>
      </c>
      <c r="E806" s="12" t="s">
        <v>174</v>
      </c>
    </row>
    <row r="807" s="29" customFormat="1" ht="68" spans="2:5">
      <c r="B807" s="13" t="s">
        <v>1155</v>
      </c>
      <c r="C807" s="13" t="s">
        <v>1155</v>
      </c>
      <c r="D807" s="13" t="s">
        <v>1155</v>
      </c>
      <c r="E807" s="13" t="s">
        <v>1155</v>
      </c>
    </row>
    <row r="808" s="29" customFormat="1" ht="22" spans="2:5">
      <c r="B808" s="14" t="s">
        <v>176</v>
      </c>
      <c r="C808" s="14" t="s">
        <v>176</v>
      </c>
      <c r="D808" s="14" t="s">
        <v>176</v>
      </c>
      <c r="E808" s="14" t="s">
        <v>176</v>
      </c>
    </row>
    <row r="809" s="29" customFormat="1" spans="2:5">
      <c r="B809" s="15" t="s">
        <v>177</v>
      </c>
      <c r="C809" s="16" t="s">
        <v>178</v>
      </c>
      <c r="D809" s="17" t="s">
        <v>179</v>
      </c>
      <c r="E809" s="18" t="s">
        <v>180</v>
      </c>
    </row>
    <row r="810" s="29" customFormat="1" ht="28" spans="2:5">
      <c r="B810" s="19" t="s">
        <v>841</v>
      </c>
      <c r="C810" s="20" t="s">
        <v>804</v>
      </c>
      <c r="D810" s="21">
        <v>16</v>
      </c>
      <c r="E810" s="22">
        <v>2522523.261262</v>
      </c>
    </row>
    <row r="811" s="29" customFormat="1" spans="2:5">
      <c r="B811" s="19" t="s">
        <v>841</v>
      </c>
      <c r="C811" s="16" t="s">
        <v>183</v>
      </c>
      <c r="D811" s="23">
        <v>24</v>
      </c>
      <c r="E811" s="24">
        <v>3783784.891893</v>
      </c>
    </row>
    <row r="812" s="29" customFormat="1" ht="41" spans="2:5">
      <c r="B812" s="19" t="s">
        <v>697</v>
      </c>
      <c r="C812" s="20" t="s">
        <v>182</v>
      </c>
      <c r="D812" s="21">
        <v>8</v>
      </c>
      <c r="E812" s="22">
        <v>1351351.351352</v>
      </c>
    </row>
    <row r="813" s="29" customFormat="1" ht="28" spans="2:5">
      <c r="B813" s="19" t="s">
        <v>697</v>
      </c>
      <c r="C813" s="16" t="s">
        <v>183</v>
      </c>
      <c r="D813" s="23">
        <v>8</v>
      </c>
      <c r="E813" s="24">
        <v>1351351.351352</v>
      </c>
    </row>
    <row r="814" s="29" customFormat="1" ht="28" spans="2:5">
      <c r="B814" s="19" t="s">
        <v>1240</v>
      </c>
      <c r="C814" s="20" t="s">
        <v>804</v>
      </c>
      <c r="D814" s="21">
        <v>4</v>
      </c>
      <c r="E814" s="22">
        <v>540541</v>
      </c>
    </row>
    <row r="815" s="29" customFormat="1" spans="2:5">
      <c r="B815" s="19" t="s">
        <v>1240</v>
      </c>
      <c r="C815" s="16" t="s">
        <v>183</v>
      </c>
      <c r="D815" s="23">
        <v>4</v>
      </c>
      <c r="E815" s="24">
        <v>540541</v>
      </c>
    </row>
    <row r="816" s="29" customFormat="1" ht="41" spans="2:5">
      <c r="B816" s="19" t="s">
        <v>1241</v>
      </c>
      <c r="C816" s="20" t="s">
        <v>182</v>
      </c>
      <c r="D816" s="21">
        <v>12</v>
      </c>
      <c r="E816" s="22">
        <v>1027027.027026</v>
      </c>
    </row>
    <row r="817" s="29" customFormat="1" spans="2:5">
      <c r="B817" s="19" t="s">
        <v>1241</v>
      </c>
      <c r="C817" s="16" t="s">
        <v>183</v>
      </c>
      <c r="D817" s="23">
        <v>12</v>
      </c>
      <c r="E817" s="24">
        <v>1027027.027026</v>
      </c>
    </row>
    <row r="818" s="29" customFormat="1" ht="41" spans="2:5">
      <c r="B818" s="19" t="s">
        <v>502</v>
      </c>
      <c r="C818" s="20" t="s">
        <v>182</v>
      </c>
      <c r="D818" s="21">
        <v>22</v>
      </c>
      <c r="E818" s="22">
        <v>2432432.43243</v>
      </c>
    </row>
    <row r="819" s="29" customFormat="1" ht="28" spans="2:5">
      <c r="B819" s="19" t="s">
        <v>502</v>
      </c>
      <c r="C819" s="20" t="s">
        <v>804</v>
      </c>
      <c r="D819" s="21">
        <v>32</v>
      </c>
      <c r="E819" s="22">
        <v>3783784.108106</v>
      </c>
    </row>
    <row r="820" s="29" customFormat="1" ht="28" spans="2:5">
      <c r="B820" s="19" t="s">
        <v>502</v>
      </c>
      <c r="C820" s="16" t="s">
        <v>183</v>
      </c>
      <c r="D820" s="23">
        <v>54</v>
      </c>
      <c r="E820" s="24">
        <v>6216216.540536</v>
      </c>
    </row>
    <row r="821" s="29" customFormat="1" ht="28" spans="2:5">
      <c r="B821" s="19" t="s">
        <v>1242</v>
      </c>
      <c r="C821" s="20" t="s">
        <v>804</v>
      </c>
      <c r="D821" s="21">
        <v>2</v>
      </c>
      <c r="E821" s="22">
        <v>7184684.891892</v>
      </c>
    </row>
    <row r="822" s="29" customFormat="1" ht="28" spans="2:5">
      <c r="B822" s="19" t="s">
        <v>1242</v>
      </c>
      <c r="C822" s="16" t="s">
        <v>183</v>
      </c>
      <c r="D822" s="23">
        <v>2</v>
      </c>
      <c r="E822" s="24">
        <v>7184684.891892</v>
      </c>
    </row>
    <row r="823" s="29" customFormat="1" ht="28" spans="2:5">
      <c r="B823" s="19" t="s">
        <v>1243</v>
      </c>
      <c r="C823" s="20" t="s">
        <v>804</v>
      </c>
      <c r="D823" s="21">
        <v>2</v>
      </c>
      <c r="E823" s="22">
        <v>10581081.081081</v>
      </c>
    </row>
    <row r="824" s="29" customFormat="1" ht="28.75" spans="2:5">
      <c r="B824" s="19" t="s">
        <v>1243</v>
      </c>
      <c r="C824" s="16" t="s">
        <v>183</v>
      </c>
      <c r="D824" s="23">
        <v>2</v>
      </c>
      <c r="E824" s="24">
        <v>10581081.081081</v>
      </c>
    </row>
    <row r="825" s="29" customFormat="1" spans="2:5">
      <c r="B825" s="25"/>
      <c r="C825" s="25"/>
      <c r="D825" s="25"/>
      <c r="E825" s="25"/>
    </row>
    <row r="826" s="29" customFormat="1" ht="36" spans="2:5">
      <c r="B826" s="26" t="s">
        <v>189</v>
      </c>
      <c r="C826" s="26" t="s">
        <v>189</v>
      </c>
      <c r="D826" s="26" t="s">
        <v>189</v>
      </c>
      <c r="E826" s="26" t="s">
        <v>189</v>
      </c>
    </row>
    <row r="827" s="29" customFormat="1" spans="2:5">
      <c r="B827" s="26"/>
      <c r="C827" s="26"/>
      <c r="D827" s="26"/>
      <c r="E827" s="26"/>
    </row>
    <row r="828" s="29" customFormat="1" ht="36" spans="2:5">
      <c r="B828" s="26" t="s">
        <v>958</v>
      </c>
      <c r="C828" s="26" t="s">
        <v>958</v>
      </c>
      <c r="D828" s="26" t="s">
        <v>958</v>
      </c>
      <c r="E828" s="26" t="s">
        <v>958</v>
      </c>
    </row>
    <row r="829" s="29" customFormat="1" spans="2:5">
      <c r="B829" s="26" t="s">
        <v>652</v>
      </c>
      <c r="C829" s="26" t="s">
        <v>652</v>
      </c>
      <c r="D829" s="26" t="s">
        <v>652</v>
      </c>
      <c r="E829" s="26" t="s">
        <v>652</v>
      </c>
    </row>
    <row r="830" s="29" customFormat="1" ht="124" spans="2:5">
      <c r="B830" s="11" t="s">
        <v>173</v>
      </c>
      <c r="C830" s="11" t="s">
        <v>173</v>
      </c>
      <c r="D830" s="11" t="s">
        <v>173</v>
      </c>
      <c r="E830" s="11" t="s">
        <v>173</v>
      </c>
    </row>
    <row r="831" s="29" customFormat="1" ht="156" spans="2:5">
      <c r="B831" s="12" t="s">
        <v>174</v>
      </c>
      <c r="C831" s="12" t="s">
        <v>174</v>
      </c>
      <c r="D831" s="12" t="s">
        <v>174</v>
      </c>
      <c r="E831" s="12" t="s">
        <v>174</v>
      </c>
    </row>
    <row r="832" s="29" customFormat="1" ht="68" spans="2:5">
      <c r="B832" s="13" t="s">
        <v>1155</v>
      </c>
      <c r="C832" s="13" t="s">
        <v>1155</v>
      </c>
      <c r="D832" s="13" t="s">
        <v>1155</v>
      </c>
      <c r="E832" s="13" t="s">
        <v>1155</v>
      </c>
    </row>
    <row r="833" s="29" customFormat="1" ht="22" spans="2:5">
      <c r="B833" s="14" t="s">
        <v>176</v>
      </c>
      <c r="C833" s="14" t="s">
        <v>176</v>
      </c>
      <c r="D833" s="14" t="s">
        <v>176</v>
      </c>
      <c r="E833" s="14" t="s">
        <v>176</v>
      </c>
    </row>
    <row r="834" s="29" customFormat="1" spans="2:5">
      <c r="B834" s="15" t="s">
        <v>177</v>
      </c>
      <c r="C834" s="16" t="s">
        <v>178</v>
      </c>
      <c r="D834" s="17" t="s">
        <v>179</v>
      </c>
      <c r="E834" s="18" t="s">
        <v>180</v>
      </c>
    </row>
    <row r="835" s="29" customFormat="1" ht="28" spans="2:5">
      <c r="B835" s="19" t="s">
        <v>1244</v>
      </c>
      <c r="C835" s="20" t="s">
        <v>804</v>
      </c>
      <c r="D835" s="21">
        <v>1</v>
      </c>
      <c r="E835" s="22">
        <v>90090.09009</v>
      </c>
    </row>
    <row r="836" s="29" customFormat="1" spans="2:5">
      <c r="B836" s="19" t="s">
        <v>1244</v>
      </c>
      <c r="C836" s="16" t="s">
        <v>183</v>
      </c>
      <c r="D836" s="23">
        <v>1</v>
      </c>
      <c r="E836" s="24">
        <v>90090.09009</v>
      </c>
    </row>
    <row r="837" s="29" customFormat="1" ht="28" spans="2:5">
      <c r="B837" s="19" t="s">
        <v>1245</v>
      </c>
      <c r="C837" s="20" t="s">
        <v>804</v>
      </c>
      <c r="D837" s="21">
        <v>1</v>
      </c>
      <c r="E837" s="22">
        <v>261261.261261</v>
      </c>
    </row>
    <row r="838" s="29" customFormat="1" spans="2:5">
      <c r="B838" s="19" t="s">
        <v>1245</v>
      </c>
      <c r="C838" s="16" t="s">
        <v>183</v>
      </c>
      <c r="D838" s="23">
        <v>1</v>
      </c>
      <c r="E838" s="24">
        <v>261261.261261</v>
      </c>
    </row>
    <row r="839" s="29" customFormat="1" ht="41" spans="2:5">
      <c r="B839" s="19" t="s">
        <v>1246</v>
      </c>
      <c r="C839" s="20" t="s">
        <v>182</v>
      </c>
      <c r="D839" s="21">
        <v>1</v>
      </c>
      <c r="E839" s="22">
        <v>135135.135135</v>
      </c>
    </row>
    <row r="840" s="29" customFormat="1" spans="2:5">
      <c r="B840" s="19" t="s">
        <v>1246</v>
      </c>
      <c r="C840" s="16" t="s">
        <v>183</v>
      </c>
      <c r="D840" s="23">
        <v>1</v>
      </c>
      <c r="E840" s="24">
        <v>135135.135135</v>
      </c>
    </row>
    <row r="841" s="29" customFormat="1" ht="28" spans="2:5">
      <c r="B841" s="19" t="s">
        <v>985</v>
      </c>
      <c r="C841" s="20" t="s">
        <v>804</v>
      </c>
      <c r="D841" s="21">
        <v>10</v>
      </c>
      <c r="E841" s="22">
        <v>1054054.054055</v>
      </c>
    </row>
    <row r="842" s="29" customFormat="1" ht="28" spans="2:5">
      <c r="B842" s="19" t="s">
        <v>985</v>
      </c>
      <c r="C842" s="16" t="s">
        <v>183</v>
      </c>
      <c r="D842" s="23">
        <v>10</v>
      </c>
      <c r="E842" s="24">
        <v>1054054.054055</v>
      </c>
    </row>
    <row r="843" s="29" customFormat="1" ht="28" spans="2:5">
      <c r="B843" s="19" t="s">
        <v>1247</v>
      </c>
      <c r="C843" s="20" t="s">
        <v>804</v>
      </c>
      <c r="D843" s="21">
        <v>2</v>
      </c>
      <c r="E843" s="22">
        <v>360360.36036</v>
      </c>
    </row>
    <row r="844" s="29" customFormat="1" ht="28" spans="2:5">
      <c r="B844" s="19" t="s">
        <v>1247</v>
      </c>
      <c r="C844" s="16" t="s">
        <v>183</v>
      </c>
      <c r="D844" s="23">
        <v>2</v>
      </c>
      <c r="E844" s="24">
        <v>360360.36036</v>
      </c>
    </row>
    <row r="845" s="29" customFormat="1" ht="28" spans="2:5">
      <c r="B845" s="19" t="s">
        <v>1248</v>
      </c>
      <c r="C845" s="20" t="s">
        <v>804</v>
      </c>
      <c r="D845" s="21">
        <v>2</v>
      </c>
      <c r="E845" s="22">
        <v>277477.477477</v>
      </c>
    </row>
    <row r="846" s="29" customFormat="1" spans="2:5">
      <c r="B846" s="19" t="s">
        <v>1248</v>
      </c>
      <c r="C846" s="16" t="s">
        <v>183</v>
      </c>
      <c r="D846" s="23">
        <v>2</v>
      </c>
      <c r="E846" s="24">
        <v>277477.477477</v>
      </c>
    </row>
    <row r="847" s="29" customFormat="1" ht="28" spans="2:5">
      <c r="B847" s="19" t="s">
        <v>1249</v>
      </c>
      <c r="C847" s="20" t="s">
        <v>804</v>
      </c>
      <c r="D847" s="21">
        <v>4</v>
      </c>
      <c r="E847" s="22">
        <v>389189.18919</v>
      </c>
    </row>
    <row r="848" s="29" customFormat="1" spans="2:5">
      <c r="B848" s="19" t="s">
        <v>1249</v>
      </c>
      <c r="C848" s="16" t="s">
        <v>183</v>
      </c>
      <c r="D848" s="23">
        <v>4</v>
      </c>
      <c r="E848" s="24">
        <v>389189.18919</v>
      </c>
    </row>
    <row r="849" s="29" customFormat="1" ht="41" spans="2:5">
      <c r="B849" s="19" t="s">
        <v>1250</v>
      </c>
      <c r="C849" s="20" t="s">
        <v>182</v>
      </c>
      <c r="D849" s="21">
        <v>2</v>
      </c>
      <c r="E849" s="22">
        <v>304504.504505</v>
      </c>
    </row>
    <row r="850" s="29" customFormat="1" ht="17.55" spans="2:5">
      <c r="B850" s="19" t="s">
        <v>1250</v>
      </c>
      <c r="C850" s="16" t="s">
        <v>183</v>
      </c>
      <c r="D850" s="23">
        <v>2</v>
      </c>
      <c r="E850" s="24">
        <v>304504.504505</v>
      </c>
    </row>
    <row r="851" s="29" customFormat="1" spans="2:5">
      <c r="B851" s="25"/>
      <c r="C851" s="25"/>
      <c r="D851" s="25"/>
      <c r="E851" s="25"/>
    </row>
    <row r="852" s="29" customFormat="1" ht="36" spans="2:5">
      <c r="B852" s="26" t="s">
        <v>189</v>
      </c>
      <c r="C852" s="26" t="s">
        <v>189</v>
      </c>
      <c r="D852" s="26" t="s">
        <v>189</v>
      </c>
      <c r="E852" s="26" t="s">
        <v>189</v>
      </c>
    </row>
    <row r="853" s="29" customFormat="1" spans="2:5">
      <c r="B853" s="26"/>
      <c r="C853" s="26"/>
      <c r="D853" s="26"/>
      <c r="E853" s="26"/>
    </row>
    <row r="854" s="29" customFormat="1" ht="36" spans="2:5">
      <c r="B854" s="26" t="s">
        <v>958</v>
      </c>
      <c r="C854" s="26" t="s">
        <v>958</v>
      </c>
      <c r="D854" s="26" t="s">
        <v>958</v>
      </c>
      <c r="E854" s="26" t="s">
        <v>958</v>
      </c>
    </row>
    <row r="855" s="29" customFormat="1" spans="2:5">
      <c r="B855" s="26" t="s">
        <v>659</v>
      </c>
      <c r="C855" s="26" t="s">
        <v>659</v>
      </c>
      <c r="D855" s="26" t="s">
        <v>659</v>
      </c>
      <c r="E855" s="26" t="s">
        <v>659</v>
      </c>
    </row>
    <row r="856" s="29" customFormat="1" ht="124" spans="2:5">
      <c r="B856" s="11" t="s">
        <v>173</v>
      </c>
      <c r="C856" s="11" t="s">
        <v>173</v>
      </c>
      <c r="D856" s="11" t="s">
        <v>173</v>
      </c>
      <c r="E856" s="11" t="s">
        <v>173</v>
      </c>
    </row>
    <row r="857" s="29" customFormat="1" ht="156" spans="2:5">
      <c r="B857" s="12" t="s">
        <v>174</v>
      </c>
      <c r="C857" s="12" t="s">
        <v>174</v>
      </c>
      <c r="D857" s="12" t="s">
        <v>174</v>
      </c>
      <c r="E857" s="12" t="s">
        <v>174</v>
      </c>
    </row>
    <row r="858" s="29" customFormat="1" ht="68" spans="2:5">
      <c r="B858" s="13" t="s">
        <v>1155</v>
      </c>
      <c r="C858" s="13" t="s">
        <v>1155</v>
      </c>
      <c r="D858" s="13" t="s">
        <v>1155</v>
      </c>
      <c r="E858" s="13" t="s">
        <v>1155</v>
      </c>
    </row>
    <row r="859" s="29" customFormat="1" ht="22" spans="2:5">
      <c r="B859" s="14" t="s">
        <v>176</v>
      </c>
      <c r="C859" s="14" t="s">
        <v>176</v>
      </c>
      <c r="D859" s="14" t="s">
        <v>176</v>
      </c>
      <c r="E859" s="14" t="s">
        <v>176</v>
      </c>
    </row>
    <row r="860" s="29" customFormat="1" spans="2:5">
      <c r="B860" s="15" t="s">
        <v>177</v>
      </c>
      <c r="C860" s="16" t="s">
        <v>178</v>
      </c>
      <c r="D860" s="17" t="s">
        <v>179</v>
      </c>
      <c r="E860" s="18" t="s">
        <v>180</v>
      </c>
    </row>
    <row r="861" s="29" customFormat="1" ht="28" spans="2:5">
      <c r="B861" s="19" t="s">
        <v>700</v>
      </c>
      <c r="C861" s="20" t="s">
        <v>804</v>
      </c>
      <c r="D861" s="21">
        <v>6</v>
      </c>
      <c r="E861" s="22">
        <v>1172972.972973</v>
      </c>
    </row>
    <row r="862" s="29" customFormat="1" spans="2:5">
      <c r="B862" s="19" t="s">
        <v>700</v>
      </c>
      <c r="C862" s="16" t="s">
        <v>183</v>
      </c>
      <c r="D862" s="23">
        <v>6</v>
      </c>
      <c r="E862" s="24">
        <v>1172972.972973</v>
      </c>
    </row>
    <row r="863" s="29" customFormat="1" ht="41" spans="2:5">
      <c r="B863" s="19" t="s">
        <v>1251</v>
      </c>
      <c r="C863" s="20" t="s">
        <v>182</v>
      </c>
      <c r="D863" s="21">
        <v>2</v>
      </c>
      <c r="E863" s="22">
        <v>192792.792793</v>
      </c>
    </row>
    <row r="864" s="29" customFormat="1" ht="28" spans="2:5">
      <c r="B864" s="19" t="s">
        <v>1251</v>
      </c>
      <c r="C864" s="20" t="s">
        <v>804</v>
      </c>
      <c r="D864" s="21">
        <v>2</v>
      </c>
      <c r="E864" s="22">
        <v>192792.792793</v>
      </c>
    </row>
    <row r="865" s="29" customFormat="1" spans="2:5">
      <c r="B865" s="19" t="s">
        <v>1251</v>
      </c>
      <c r="C865" s="16" t="s">
        <v>183</v>
      </c>
      <c r="D865" s="23">
        <v>4</v>
      </c>
      <c r="E865" s="24">
        <v>385585.585586</v>
      </c>
    </row>
    <row r="866" s="29" customFormat="1" ht="41" spans="2:5">
      <c r="B866" s="19" t="s">
        <v>1252</v>
      </c>
      <c r="C866" s="20" t="s">
        <v>182</v>
      </c>
      <c r="D866" s="21">
        <v>1</v>
      </c>
      <c r="E866" s="22">
        <v>0</v>
      </c>
    </row>
    <row r="867" s="29" customFormat="1" spans="2:5">
      <c r="B867" s="19" t="s">
        <v>1252</v>
      </c>
      <c r="C867" s="16" t="s">
        <v>183</v>
      </c>
      <c r="D867" s="23">
        <v>1</v>
      </c>
      <c r="E867" s="24">
        <v>0</v>
      </c>
    </row>
    <row r="868" s="29" customFormat="1" ht="28" spans="2:5">
      <c r="B868" s="19" t="s">
        <v>1253</v>
      </c>
      <c r="C868" s="20" t="s">
        <v>804</v>
      </c>
      <c r="D868" s="21">
        <v>1</v>
      </c>
      <c r="E868" s="22">
        <v>130630.630631</v>
      </c>
    </row>
    <row r="869" s="29" customFormat="1" spans="2:5">
      <c r="B869" s="19" t="s">
        <v>1253</v>
      </c>
      <c r="C869" s="16" t="s">
        <v>183</v>
      </c>
      <c r="D869" s="23">
        <v>1</v>
      </c>
      <c r="E869" s="24">
        <v>130630.630631</v>
      </c>
    </row>
    <row r="870" s="29" customFormat="1" ht="28" spans="2:5">
      <c r="B870" s="19" t="s">
        <v>1254</v>
      </c>
      <c r="C870" s="20" t="s">
        <v>804</v>
      </c>
      <c r="D870" s="21">
        <v>1</v>
      </c>
      <c r="E870" s="22">
        <v>500000</v>
      </c>
    </row>
    <row r="871" s="29" customFormat="1" spans="2:5">
      <c r="B871" s="19" t="s">
        <v>1254</v>
      </c>
      <c r="C871" s="16" t="s">
        <v>183</v>
      </c>
      <c r="D871" s="23">
        <v>1</v>
      </c>
      <c r="E871" s="24">
        <v>500000</v>
      </c>
    </row>
    <row r="872" s="29" customFormat="1" ht="28" spans="2:5">
      <c r="B872" s="19" t="s">
        <v>1255</v>
      </c>
      <c r="C872" s="20" t="s">
        <v>804</v>
      </c>
      <c r="D872" s="21">
        <v>1</v>
      </c>
      <c r="E872" s="22">
        <v>463963.963964</v>
      </c>
    </row>
    <row r="873" s="29" customFormat="1" ht="28" spans="2:5">
      <c r="B873" s="19" t="s">
        <v>1255</v>
      </c>
      <c r="C873" s="16" t="s">
        <v>183</v>
      </c>
      <c r="D873" s="23">
        <v>1</v>
      </c>
      <c r="E873" s="24">
        <v>463963.963964</v>
      </c>
    </row>
    <row r="874" s="29" customFormat="1" ht="41" spans="2:5">
      <c r="B874" s="19" t="s">
        <v>1256</v>
      </c>
      <c r="C874" s="20" t="s">
        <v>182</v>
      </c>
      <c r="D874" s="21">
        <v>1</v>
      </c>
      <c r="E874" s="22">
        <v>94832.432432</v>
      </c>
    </row>
    <row r="875" s="29" customFormat="1" ht="28.75" spans="2:5">
      <c r="B875" s="19" t="s">
        <v>1256</v>
      </c>
      <c r="C875" s="16" t="s">
        <v>183</v>
      </c>
      <c r="D875" s="23">
        <v>1</v>
      </c>
      <c r="E875" s="24">
        <v>94832.432432</v>
      </c>
    </row>
    <row r="876" s="29" customFormat="1" spans="2:5">
      <c r="B876" s="25"/>
      <c r="C876" s="25"/>
      <c r="D876" s="25"/>
      <c r="E876" s="25"/>
    </row>
    <row r="877" s="29" customFormat="1" ht="36" spans="2:5">
      <c r="B877" s="26" t="s">
        <v>189</v>
      </c>
      <c r="C877" s="26" t="s">
        <v>189</v>
      </c>
      <c r="D877" s="26" t="s">
        <v>189</v>
      </c>
      <c r="E877" s="26" t="s">
        <v>189</v>
      </c>
    </row>
    <row r="878" s="29" customFormat="1" spans="2:5">
      <c r="B878" s="26"/>
      <c r="C878" s="26"/>
      <c r="D878" s="26"/>
      <c r="E878" s="26"/>
    </row>
    <row r="879" s="29" customFormat="1" ht="36" spans="2:5">
      <c r="B879" s="26" t="s">
        <v>958</v>
      </c>
      <c r="C879" s="26" t="s">
        <v>958</v>
      </c>
      <c r="D879" s="26" t="s">
        <v>958</v>
      </c>
      <c r="E879" s="26" t="s">
        <v>958</v>
      </c>
    </row>
    <row r="880" s="29" customFormat="1" spans="2:5">
      <c r="B880" s="26" t="s">
        <v>662</v>
      </c>
      <c r="C880" s="26" t="s">
        <v>662</v>
      </c>
      <c r="D880" s="26" t="s">
        <v>662</v>
      </c>
      <c r="E880" s="26" t="s">
        <v>662</v>
      </c>
    </row>
    <row r="881" s="29" customFormat="1" ht="124" spans="2:5">
      <c r="B881" s="11" t="s">
        <v>173</v>
      </c>
      <c r="C881" s="11" t="s">
        <v>173</v>
      </c>
      <c r="D881" s="11" t="s">
        <v>173</v>
      </c>
      <c r="E881" s="11" t="s">
        <v>173</v>
      </c>
    </row>
    <row r="882" s="29" customFormat="1" ht="156" spans="2:5">
      <c r="B882" s="12" t="s">
        <v>174</v>
      </c>
      <c r="C882" s="12" t="s">
        <v>174</v>
      </c>
      <c r="D882" s="12" t="s">
        <v>174</v>
      </c>
      <c r="E882" s="12" t="s">
        <v>174</v>
      </c>
    </row>
    <row r="883" s="29" customFormat="1" ht="68" spans="2:5">
      <c r="B883" s="13" t="s">
        <v>1155</v>
      </c>
      <c r="C883" s="13" t="s">
        <v>1155</v>
      </c>
      <c r="D883" s="13" t="s">
        <v>1155</v>
      </c>
      <c r="E883" s="13" t="s">
        <v>1155</v>
      </c>
    </row>
    <row r="884" s="29" customFormat="1" ht="22" spans="2:5">
      <c r="B884" s="14" t="s">
        <v>176</v>
      </c>
      <c r="C884" s="14" t="s">
        <v>176</v>
      </c>
      <c r="D884" s="14" t="s">
        <v>176</v>
      </c>
      <c r="E884" s="14" t="s">
        <v>176</v>
      </c>
    </row>
    <row r="885" s="29" customFormat="1" spans="2:5">
      <c r="B885" s="15" t="s">
        <v>177</v>
      </c>
      <c r="C885" s="16" t="s">
        <v>178</v>
      </c>
      <c r="D885" s="17" t="s">
        <v>179</v>
      </c>
      <c r="E885" s="18" t="s">
        <v>180</v>
      </c>
    </row>
    <row r="886" s="29" customFormat="1" ht="41" spans="2:5">
      <c r="B886" s="19" t="s">
        <v>299</v>
      </c>
      <c r="C886" s="20" t="s">
        <v>182</v>
      </c>
      <c r="D886" s="21">
        <v>305</v>
      </c>
      <c r="E886" s="22">
        <v>0</v>
      </c>
    </row>
    <row r="887" s="29" customFormat="1" ht="28" spans="2:5">
      <c r="B887" s="19" t="s">
        <v>299</v>
      </c>
      <c r="C887" s="20" t="s">
        <v>804</v>
      </c>
      <c r="D887" s="21">
        <v>211</v>
      </c>
      <c r="E887" s="22">
        <v>37837.837838</v>
      </c>
    </row>
    <row r="888" s="29" customFormat="1" ht="28" spans="2:5">
      <c r="B888" s="19" t="s">
        <v>299</v>
      </c>
      <c r="C888" s="16" t="s">
        <v>183</v>
      </c>
      <c r="D888" s="23">
        <v>516</v>
      </c>
      <c r="E888" s="24">
        <v>37837.837838</v>
      </c>
    </row>
    <row r="889" s="29" customFormat="1" ht="41" spans="2:5">
      <c r="B889" s="19" t="s">
        <v>371</v>
      </c>
      <c r="C889" s="20" t="s">
        <v>182</v>
      </c>
      <c r="D889" s="21">
        <v>297</v>
      </c>
      <c r="E889" s="22">
        <v>0</v>
      </c>
    </row>
    <row r="890" s="29" customFormat="1" ht="28" spans="2:5">
      <c r="B890" s="19" t="s">
        <v>371</v>
      </c>
      <c r="C890" s="20" t="s">
        <v>804</v>
      </c>
      <c r="D890" s="21">
        <v>209</v>
      </c>
      <c r="E890" s="22">
        <v>0</v>
      </c>
    </row>
    <row r="891" s="29" customFormat="1" ht="28" spans="2:5">
      <c r="B891" s="19" t="s">
        <v>371</v>
      </c>
      <c r="C891" s="16" t="s">
        <v>183</v>
      </c>
      <c r="D891" s="23">
        <v>506</v>
      </c>
      <c r="E891" s="24">
        <v>0</v>
      </c>
    </row>
    <row r="892" s="29" customFormat="1" ht="41" spans="2:5">
      <c r="B892" s="19" t="s">
        <v>373</v>
      </c>
      <c r="C892" s="20" t="s">
        <v>182</v>
      </c>
      <c r="D892" s="21">
        <v>130</v>
      </c>
      <c r="E892" s="22">
        <v>0</v>
      </c>
    </row>
    <row r="893" s="29" customFormat="1" ht="28" spans="2:5">
      <c r="B893" s="19" t="s">
        <v>373</v>
      </c>
      <c r="C893" s="20" t="s">
        <v>804</v>
      </c>
      <c r="D893" s="21">
        <v>60</v>
      </c>
      <c r="E893" s="22">
        <v>0</v>
      </c>
    </row>
    <row r="894" s="29" customFormat="1" ht="28" spans="2:5">
      <c r="B894" s="19" t="s">
        <v>373</v>
      </c>
      <c r="C894" s="16" t="s">
        <v>183</v>
      </c>
      <c r="D894" s="23">
        <v>190</v>
      </c>
      <c r="E894" s="24">
        <v>0</v>
      </c>
    </row>
    <row r="895" s="29" customFormat="1" ht="41" spans="2:5">
      <c r="B895" s="19" t="s">
        <v>374</v>
      </c>
      <c r="C895" s="20" t="s">
        <v>182</v>
      </c>
      <c r="D895" s="21">
        <v>3</v>
      </c>
      <c r="E895" s="22">
        <v>0</v>
      </c>
    </row>
    <row r="896" s="29" customFormat="1" ht="28" spans="2:5">
      <c r="B896" s="19" t="s">
        <v>374</v>
      </c>
      <c r="C896" s="20" t="s">
        <v>804</v>
      </c>
      <c r="D896" s="21">
        <v>8</v>
      </c>
      <c r="E896" s="22">
        <v>0</v>
      </c>
    </row>
    <row r="897" s="29" customFormat="1" ht="28" spans="2:5">
      <c r="B897" s="19" t="s">
        <v>374</v>
      </c>
      <c r="C897" s="16" t="s">
        <v>183</v>
      </c>
      <c r="D897" s="23">
        <v>11</v>
      </c>
      <c r="E897" s="24">
        <v>0</v>
      </c>
    </row>
    <row r="898" s="29" customFormat="1" ht="41.75" spans="2:5">
      <c r="B898" s="20" t="s">
        <v>300</v>
      </c>
      <c r="C898" s="20" t="s">
        <v>182</v>
      </c>
      <c r="D898" s="21">
        <v>3</v>
      </c>
      <c r="E898" s="22">
        <v>0</v>
      </c>
    </row>
    <row r="899" s="29" customFormat="1" spans="2:5">
      <c r="B899" s="25"/>
      <c r="C899" s="25"/>
      <c r="D899" s="25"/>
      <c r="E899" s="25"/>
    </row>
    <row r="900" s="29" customFormat="1" ht="36" spans="2:5">
      <c r="B900" s="26" t="s">
        <v>189</v>
      </c>
      <c r="C900" s="26" t="s">
        <v>189</v>
      </c>
      <c r="D900" s="26" t="s">
        <v>189</v>
      </c>
      <c r="E900" s="26" t="s">
        <v>189</v>
      </c>
    </row>
    <row r="901" s="29" customFormat="1" spans="2:5">
      <c r="B901" s="26"/>
      <c r="C901" s="26"/>
      <c r="D901" s="26"/>
      <c r="E901" s="26"/>
    </row>
    <row r="902" s="29" customFormat="1" ht="36" spans="2:5">
      <c r="B902" s="26" t="s">
        <v>958</v>
      </c>
      <c r="C902" s="26" t="s">
        <v>958</v>
      </c>
      <c r="D902" s="26" t="s">
        <v>958</v>
      </c>
      <c r="E902" s="26" t="s">
        <v>958</v>
      </c>
    </row>
    <row r="903" s="29" customFormat="1" spans="2:5">
      <c r="B903" s="26" t="s">
        <v>758</v>
      </c>
      <c r="C903" s="26" t="s">
        <v>758</v>
      </c>
      <c r="D903" s="26" t="s">
        <v>758</v>
      </c>
      <c r="E903" s="26" t="s">
        <v>758</v>
      </c>
    </row>
    <row r="904" s="29" customFormat="1" ht="124" spans="2:5">
      <c r="B904" s="11" t="s">
        <v>173</v>
      </c>
      <c r="C904" s="11" t="s">
        <v>173</v>
      </c>
      <c r="D904" s="11" t="s">
        <v>173</v>
      </c>
      <c r="E904" s="11" t="s">
        <v>173</v>
      </c>
    </row>
    <row r="905" s="29" customFormat="1" ht="156" spans="2:5">
      <c r="B905" s="12" t="s">
        <v>174</v>
      </c>
      <c r="C905" s="12" t="s">
        <v>174</v>
      </c>
      <c r="D905" s="12" t="s">
        <v>174</v>
      </c>
      <c r="E905" s="12" t="s">
        <v>174</v>
      </c>
    </row>
    <row r="906" s="29" customFormat="1" ht="68" spans="2:5">
      <c r="B906" s="13" t="s">
        <v>1155</v>
      </c>
      <c r="C906" s="13" t="s">
        <v>1155</v>
      </c>
      <c r="D906" s="13" t="s">
        <v>1155</v>
      </c>
      <c r="E906" s="13" t="s">
        <v>1155</v>
      </c>
    </row>
    <row r="907" s="29" customFormat="1" ht="22" spans="2:5">
      <c r="B907" s="14" t="s">
        <v>176</v>
      </c>
      <c r="C907" s="14" t="s">
        <v>176</v>
      </c>
      <c r="D907" s="14" t="s">
        <v>176</v>
      </c>
      <c r="E907" s="14" t="s">
        <v>176</v>
      </c>
    </row>
    <row r="908" s="29" customFormat="1" spans="2:5">
      <c r="B908" s="15" t="s">
        <v>177</v>
      </c>
      <c r="C908" s="16" t="s">
        <v>178</v>
      </c>
      <c r="D908" s="17" t="s">
        <v>179</v>
      </c>
      <c r="E908" s="18" t="s">
        <v>180</v>
      </c>
    </row>
    <row r="909" s="29" customFormat="1" ht="28" spans="2:5">
      <c r="B909" s="19" t="s">
        <v>300</v>
      </c>
      <c r="C909" s="20" t="s">
        <v>804</v>
      </c>
      <c r="D909" s="21">
        <v>8</v>
      </c>
      <c r="E909" s="22">
        <v>0</v>
      </c>
    </row>
    <row r="910" s="29" customFormat="1" spans="2:5">
      <c r="B910" s="19" t="s">
        <v>300</v>
      </c>
      <c r="C910" s="16" t="s">
        <v>183</v>
      </c>
      <c r="D910" s="23">
        <v>11</v>
      </c>
      <c r="E910" s="24">
        <v>0</v>
      </c>
    </row>
    <row r="911" s="29" customFormat="1" ht="41" spans="2:5">
      <c r="B911" s="19" t="s">
        <v>375</v>
      </c>
      <c r="C911" s="20" t="s">
        <v>182</v>
      </c>
      <c r="D911" s="21">
        <v>130</v>
      </c>
      <c r="E911" s="22">
        <v>0</v>
      </c>
    </row>
    <row r="912" s="29" customFormat="1" ht="28" spans="2:5">
      <c r="B912" s="19" t="s">
        <v>375</v>
      </c>
      <c r="C912" s="20" t="s">
        <v>804</v>
      </c>
      <c r="D912" s="21">
        <v>60</v>
      </c>
      <c r="E912" s="22">
        <v>0</v>
      </c>
    </row>
    <row r="913" s="29" customFormat="1" spans="2:5">
      <c r="B913" s="19" t="s">
        <v>375</v>
      </c>
      <c r="C913" s="16" t="s">
        <v>183</v>
      </c>
      <c r="D913" s="23">
        <v>190</v>
      </c>
      <c r="E913" s="24">
        <v>0</v>
      </c>
    </row>
    <row r="914" s="29" customFormat="1" ht="41" spans="2:5">
      <c r="B914" s="19" t="s">
        <v>302</v>
      </c>
      <c r="C914" s="20" t="s">
        <v>182</v>
      </c>
      <c r="D914" s="21">
        <v>70</v>
      </c>
      <c r="E914" s="22">
        <v>76913.513513</v>
      </c>
    </row>
    <row r="915" s="29" customFormat="1" ht="28" spans="2:5">
      <c r="B915" s="19" t="s">
        <v>302</v>
      </c>
      <c r="C915" s="20" t="s">
        <v>804</v>
      </c>
      <c r="D915" s="21">
        <v>48</v>
      </c>
      <c r="E915" s="22">
        <v>97297.297296</v>
      </c>
    </row>
    <row r="916" s="29" customFormat="1" spans="2:5">
      <c r="B916" s="19" t="s">
        <v>302</v>
      </c>
      <c r="C916" s="16" t="s">
        <v>183</v>
      </c>
      <c r="D916" s="23">
        <v>118</v>
      </c>
      <c r="E916" s="24">
        <v>174210.810809</v>
      </c>
    </row>
    <row r="917" s="29" customFormat="1" ht="41" spans="2:5">
      <c r="B917" s="19" t="s">
        <v>1257</v>
      </c>
      <c r="C917" s="20" t="s">
        <v>182</v>
      </c>
      <c r="D917" s="21">
        <v>1</v>
      </c>
      <c r="E917" s="22">
        <v>0</v>
      </c>
    </row>
    <row r="918" s="29" customFormat="1" spans="2:5">
      <c r="B918" s="19" t="s">
        <v>1257</v>
      </c>
      <c r="C918" s="16" t="s">
        <v>183</v>
      </c>
      <c r="D918" s="23">
        <v>1</v>
      </c>
      <c r="E918" s="24">
        <v>0</v>
      </c>
    </row>
    <row r="919" s="29" customFormat="1" ht="41" spans="2:5">
      <c r="B919" s="19" t="s">
        <v>1258</v>
      </c>
      <c r="C919" s="20" t="s">
        <v>182</v>
      </c>
      <c r="D919" s="21">
        <v>1</v>
      </c>
      <c r="E919" s="22">
        <v>0</v>
      </c>
    </row>
    <row r="920" s="29" customFormat="1" ht="28" spans="2:5">
      <c r="B920" s="19" t="s">
        <v>1258</v>
      </c>
      <c r="C920" s="16" t="s">
        <v>183</v>
      </c>
      <c r="D920" s="23">
        <v>1</v>
      </c>
      <c r="E920" s="24">
        <v>0</v>
      </c>
    </row>
    <row r="921" s="29" customFormat="1" ht="41.75" spans="2:5">
      <c r="B921" s="20" t="s">
        <v>1259</v>
      </c>
      <c r="C921" s="20" t="s">
        <v>182</v>
      </c>
      <c r="D921" s="21">
        <v>5</v>
      </c>
      <c r="E921" s="22">
        <v>190540.855856</v>
      </c>
    </row>
    <row r="922" s="29" customFormat="1" spans="2:5">
      <c r="B922" s="25"/>
      <c r="C922" s="25"/>
      <c r="D922" s="25"/>
      <c r="E922" s="25"/>
    </row>
    <row r="923" s="29" customFormat="1" ht="36" spans="2:5">
      <c r="B923" s="26" t="s">
        <v>189</v>
      </c>
      <c r="C923" s="26" t="s">
        <v>189</v>
      </c>
      <c r="D923" s="26" t="s">
        <v>189</v>
      </c>
      <c r="E923" s="26" t="s">
        <v>189</v>
      </c>
    </row>
    <row r="924" s="29" customFormat="1" spans="2:5">
      <c r="B924" s="26"/>
      <c r="C924" s="26"/>
      <c r="D924" s="26"/>
      <c r="E924" s="26"/>
    </row>
    <row r="925" s="29" customFormat="1" ht="36" spans="2:5">
      <c r="B925" s="26" t="s">
        <v>958</v>
      </c>
      <c r="C925" s="26" t="s">
        <v>958</v>
      </c>
      <c r="D925" s="26" t="s">
        <v>958</v>
      </c>
      <c r="E925" s="26" t="s">
        <v>958</v>
      </c>
    </row>
    <row r="926" s="29" customFormat="1" spans="2:5">
      <c r="B926" s="26" t="s">
        <v>760</v>
      </c>
      <c r="C926" s="26" t="s">
        <v>760</v>
      </c>
      <c r="D926" s="26" t="s">
        <v>760</v>
      </c>
      <c r="E926" s="26" t="s">
        <v>760</v>
      </c>
    </row>
    <row r="927" s="29" customFormat="1" ht="124" spans="2:5">
      <c r="B927" s="11" t="s">
        <v>173</v>
      </c>
      <c r="C927" s="11" t="s">
        <v>173</v>
      </c>
      <c r="D927" s="11" t="s">
        <v>173</v>
      </c>
      <c r="E927" s="11" t="s">
        <v>173</v>
      </c>
    </row>
    <row r="928" s="29" customFormat="1" ht="156" spans="2:5">
      <c r="B928" s="12" t="s">
        <v>174</v>
      </c>
      <c r="C928" s="12" t="s">
        <v>174</v>
      </c>
      <c r="D928" s="12" t="s">
        <v>174</v>
      </c>
      <c r="E928" s="12" t="s">
        <v>174</v>
      </c>
    </row>
    <row r="929" s="29" customFormat="1" ht="68" spans="2:5">
      <c r="B929" s="13" t="s">
        <v>1155</v>
      </c>
      <c r="C929" s="13" t="s">
        <v>1155</v>
      </c>
      <c r="D929" s="13" t="s">
        <v>1155</v>
      </c>
      <c r="E929" s="13" t="s">
        <v>1155</v>
      </c>
    </row>
    <row r="930" s="29" customFormat="1" ht="22" spans="2:5">
      <c r="B930" s="14" t="s">
        <v>176</v>
      </c>
      <c r="C930" s="14" t="s">
        <v>176</v>
      </c>
      <c r="D930" s="14" t="s">
        <v>176</v>
      </c>
      <c r="E930" s="14" t="s">
        <v>176</v>
      </c>
    </row>
    <row r="931" s="29" customFormat="1" spans="2:5">
      <c r="B931" s="15" t="s">
        <v>177</v>
      </c>
      <c r="C931" s="16" t="s">
        <v>178</v>
      </c>
      <c r="D931" s="17" t="s">
        <v>179</v>
      </c>
      <c r="E931" s="18" t="s">
        <v>180</v>
      </c>
    </row>
    <row r="932" s="29" customFormat="1" ht="28" spans="2:5">
      <c r="B932" s="19" t="s">
        <v>1259</v>
      </c>
      <c r="C932" s="20" t="s">
        <v>804</v>
      </c>
      <c r="D932" s="21">
        <v>1</v>
      </c>
      <c r="E932" s="22">
        <v>42342.342342</v>
      </c>
    </row>
    <row r="933" s="29" customFormat="1" ht="28" spans="2:5">
      <c r="B933" s="19" t="s">
        <v>1259</v>
      </c>
      <c r="C933" s="16" t="s">
        <v>183</v>
      </c>
      <c r="D933" s="23">
        <v>6</v>
      </c>
      <c r="E933" s="24">
        <v>232883.198198</v>
      </c>
    </row>
    <row r="934" s="29" customFormat="1" ht="41" spans="2:5">
      <c r="B934" s="19" t="s">
        <v>1260</v>
      </c>
      <c r="C934" s="20" t="s">
        <v>182</v>
      </c>
      <c r="D934" s="21">
        <v>2</v>
      </c>
      <c r="E934" s="22">
        <v>63063.063064</v>
      </c>
    </row>
    <row r="935" s="29" customFormat="1" ht="41" spans="2:5">
      <c r="B935" s="19" t="s">
        <v>1260</v>
      </c>
      <c r="C935" s="16" t="s">
        <v>183</v>
      </c>
      <c r="D935" s="23">
        <v>2</v>
      </c>
      <c r="E935" s="24">
        <v>63063.063064</v>
      </c>
    </row>
    <row r="936" s="29" customFormat="1" ht="41" spans="2:5">
      <c r="B936" s="19" t="s">
        <v>1261</v>
      </c>
      <c r="C936" s="20" t="s">
        <v>182</v>
      </c>
      <c r="D936" s="21">
        <v>2</v>
      </c>
      <c r="E936" s="22">
        <v>43243.243244</v>
      </c>
    </row>
    <row r="937" s="29" customFormat="1" ht="28" spans="2:5">
      <c r="B937" s="19" t="s">
        <v>1261</v>
      </c>
      <c r="C937" s="16" t="s">
        <v>183</v>
      </c>
      <c r="D937" s="23">
        <v>2</v>
      </c>
      <c r="E937" s="24">
        <v>43243.243244</v>
      </c>
    </row>
    <row r="938" s="29" customFormat="1" ht="28" spans="2:5">
      <c r="B938" s="19" t="s">
        <v>848</v>
      </c>
      <c r="C938" s="20" t="s">
        <v>804</v>
      </c>
      <c r="D938" s="21">
        <v>1</v>
      </c>
      <c r="E938" s="22">
        <v>53153.153153</v>
      </c>
    </row>
    <row r="939" s="29" customFormat="1" ht="28" spans="2:5">
      <c r="B939" s="19" t="s">
        <v>848</v>
      </c>
      <c r="C939" s="16" t="s">
        <v>183</v>
      </c>
      <c r="D939" s="23">
        <v>1</v>
      </c>
      <c r="E939" s="24">
        <v>53153.153153</v>
      </c>
    </row>
    <row r="940" s="29" customFormat="1" ht="41" spans="2:5">
      <c r="B940" s="19" t="s">
        <v>1262</v>
      </c>
      <c r="C940" s="20" t="s">
        <v>182</v>
      </c>
      <c r="D940" s="21">
        <v>4</v>
      </c>
      <c r="E940" s="22">
        <v>146396.837837</v>
      </c>
    </row>
    <row r="941" s="29" customFormat="1" ht="28" spans="2:5">
      <c r="B941" s="19" t="s">
        <v>1262</v>
      </c>
      <c r="C941" s="16" t="s">
        <v>183</v>
      </c>
      <c r="D941" s="23">
        <v>4</v>
      </c>
      <c r="E941" s="24">
        <v>146396.837837</v>
      </c>
    </row>
    <row r="942" s="29" customFormat="1" ht="41" spans="2:5">
      <c r="B942" s="19" t="s">
        <v>992</v>
      </c>
      <c r="C942" s="20" t="s">
        <v>182</v>
      </c>
      <c r="D942" s="21">
        <v>8</v>
      </c>
      <c r="E942" s="22">
        <v>205405.783783</v>
      </c>
    </row>
    <row r="943" s="29" customFormat="1" ht="28" spans="2:5">
      <c r="B943" s="19" t="s">
        <v>992</v>
      </c>
      <c r="C943" s="16" t="s">
        <v>183</v>
      </c>
      <c r="D943" s="23">
        <v>8</v>
      </c>
      <c r="E943" s="24">
        <v>205405.783783</v>
      </c>
    </row>
    <row r="944" s="29" customFormat="1" ht="28" spans="2:5">
      <c r="B944" s="19" t="s">
        <v>850</v>
      </c>
      <c r="C944" s="20" t="s">
        <v>804</v>
      </c>
      <c r="D944" s="21">
        <v>2</v>
      </c>
      <c r="E944" s="22">
        <v>0</v>
      </c>
    </row>
    <row r="945" s="29" customFormat="1" ht="28.75" spans="2:5">
      <c r="B945" s="19" t="s">
        <v>850</v>
      </c>
      <c r="C945" s="16" t="s">
        <v>183</v>
      </c>
      <c r="D945" s="23">
        <v>2</v>
      </c>
      <c r="E945" s="24">
        <v>0</v>
      </c>
    </row>
    <row r="946" s="29" customFormat="1" spans="2:5">
      <c r="B946" s="25"/>
      <c r="C946" s="25"/>
      <c r="D946" s="25"/>
      <c r="E946" s="25"/>
    </row>
    <row r="947" s="29" customFormat="1" ht="36" spans="2:5">
      <c r="B947" s="26" t="s">
        <v>189</v>
      </c>
      <c r="C947" s="26" t="s">
        <v>189</v>
      </c>
      <c r="D947" s="26" t="s">
        <v>189</v>
      </c>
      <c r="E947" s="26" t="s">
        <v>189</v>
      </c>
    </row>
    <row r="948" s="29" customFormat="1" spans="2:5">
      <c r="B948" s="26"/>
      <c r="C948" s="26"/>
      <c r="D948" s="26"/>
      <c r="E948" s="26"/>
    </row>
    <row r="949" s="29" customFormat="1" ht="36" spans="2:5">
      <c r="B949" s="26" t="s">
        <v>958</v>
      </c>
      <c r="C949" s="26" t="s">
        <v>958</v>
      </c>
      <c r="D949" s="26" t="s">
        <v>958</v>
      </c>
      <c r="E949" s="26" t="s">
        <v>958</v>
      </c>
    </row>
    <row r="950" s="29" customFormat="1" spans="2:5">
      <c r="B950" s="26" t="s">
        <v>767</v>
      </c>
      <c r="C950" s="26" t="s">
        <v>767</v>
      </c>
      <c r="D950" s="26" t="s">
        <v>767</v>
      </c>
      <c r="E950" s="26" t="s">
        <v>767</v>
      </c>
    </row>
    <row r="951" s="29" customFormat="1" ht="124" spans="2:5">
      <c r="B951" s="11" t="s">
        <v>173</v>
      </c>
      <c r="C951" s="11" t="s">
        <v>173</v>
      </c>
      <c r="D951" s="11" t="s">
        <v>173</v>
      </c>
      <c r="E951" s="11" t="s">
        <v>173</v>
      </c>
    </row>
    <row r="952" s="29" customFormat="1" ht="156" spans="2:5">
      <c r="B952" s="12" t="s">
        <v>174</v>
      </c>
      <c r="C952" s="12" t="s">
        <v>174</v>
      </c>
      <c r="D952" s="12" t="s">
        <v>174</v>
      </c>
      <c r="E952" s="12" t="s">
        <v>174</v>
      </c>
    </row>
    <row r="953" s="29" customFormat="1" ht="68" spans="2:5">
      <c r="B953" s="13" t="s">
        <v>1155</v>
      </c>
      <c r="C953" s="13" t="s">
        <v>1155</v>
      </c>
      <c r="D953" s="13" t="s">
        <v>1155</v>
      </c>
      <c r="E953" s="13" t="s">
        <v>1155</v>
      </c>
    </row>
    <row r="954" s="29" customFormat="1" ht="22" spans="2:5">
      <c r="B954" s="14" t="s">
        <v>176</v>
      </c>
      <c r="C954" s="14" t="s">
        <v>176</v>
      </c>
      <c r="D954" s="14" t="s">
        <v>176</v>
      </c>
      <c r="E954" s="14" t="s">
        <v>176</v>
      </c>
    </row>
    <row r="955" s="29" customFormat="1" spans="2:5">
      <c r="B955" s="15" t="s">
        <v>177</v>
      </c>
      <c r="C955" s="16" t="s">
        <v>178</v>
      </c>
      <c r="D955" s="17" t="s">
        <v>179</v>
      </c>
      <c r="E955" s="18" t="s">
        <v>180</v>
      </c>
    </row>
    <row r="956" s="29" customFormat="1" ht="41" spans="2:5">
      <c r="B956" s="19" t="s">
        <v>851</v>
      </c>
      <c r="C956" s="20" t="s">
        <v>182</v>
      </c>
      <c r="D956" s="21">
        <v>4</v>
      </c>
      <c r="E956" s="22">
        <v>154266.066773</v>
      </c>
    </row>
    <row r="957" s="29" customFormat="1" ht="28" spans="2:5">
      <c r="B957" s="19" t="s">
        <v>851</v>
      </c>
      <c r="C957" s="16" t="s">
        <v>183</v>
      </c>
      <c r="D957" s="23">
        <v>4</v>
      </c>
      <c r="E957" s="24">
        <v>154266.066773</v>
      </c>
    </row>
    <row r="958" s="29" customFormat="1" ht="41" spans="2:5">
      <c r="B958" s="19" t="s">
        <v>852</v>
      </c>
      <c r="C958" s="20" t="s">
        <v>182</v>
      </c>
      <c r="D958" s="21">
        <v>3</v>
      </c>
      <c r="E958" s="22">
        <v>178378.18919</v>
      </c>
    </row>
    <row r="959" s="29" customFormat="1" ht="28" spans="2:5">
      <c r="B959" s="19" t="s">
        <v>852</v>
      </c>
      <c r="C959" s="16" t="s">
        <v>183</v>
      </c>
      <c r="D959" s="23">
        <v>3</v>
      </c>
      <c r="E959" s="24">
        <v>178378.18919</v>
      </c>
    </row>
    <row r="960" s="29" customFormat="1" ht="41" spans="2:5">
      <c r="B960" s="19" t="s">
        <v>1263</v>
      </c>
      <c r="C960" s="20" t="s">
        <v>182</v>
      </c>
      <c r="D960" s="21">
        <v>1</v>
      </c>
      <c r="E960" s="22">
        <v>25225.225225</v>
      </c>
    </row>
    <row r="961" s="29" customFormat="1" ht="28" spans="2:5">
      <c r="B961" s="19" t="s">
        <v>1263</v>
      </c>
      <c r="C961" s="16" t="s">
        <v>183</v>
      </c>
      <c r="D961" s="23">
        <v>1</v>
      </c>
      <c r="E961" s="24">
        <v>25225.225225</v>
      </c>
    </row>
    <row r="962" s="29" customFormat="1" ht="41" spans="2:5">
      <c r="B962" s="19" t="s">
        <v>853</v>
      </c>
      <c r="C962" s="20" t="s">
        <v>182</v>
      </c>
      <c r="D962" s="21">
        <v>6</v>
      </c>
      <c r="E962" s="22">
        <v>279246.61679</v>
      </c>
    </row>
    <row r="963" s="29" customFormat="1" ht="28" spans="2:5">
      <c r="B963" s="19" t="s">
        <v>853</v>
      </c>
      <c r="C963" s="20" t="s">
        <v>804</v>
      </c>
      <c r="D963" s="21">
        <v>1</v>
      </c>
      <c r="E963" s="22">
        <v>71171.171171</v>
      </c>
    </row>
    <row r="964" s="29" customFormat="1" ht="28" spans="2:5">
      <c r="B964" s="19" t="s">
        <v>853</v>
      </c>
      <c r="C964" s="16" t="s">
        <v>183</v>
      </c>
      <c r="D964" s="23">
        <v>7</v>
      </c>
      <c r="E964" s="24">
        <v>350417.787961</v>
      </c>
    </row>
    <row r="965" s="29" customFormat="1" ht="41" spans="2:5">
      <c r="B965" s="19" t="s">
        <v>854</v>
      </c>
      <c r="C965" s="20" t="s">
        <v>182</v>
      </c>
      <c r="D965" s="21">
        <v>5</v>
      </c>
      <c r="E965" s="22">
        <v>227156.49463</v>
      </c>
    </row>
    <row r="966" s="29" customFormat="1" ht="28" spans="2:5">
      <c r="B966" s="19" t="s">
        <v>854</v>
      </c>
      <c r="C966" s="16" t="s">
        <v>183</v>
      </c>
      <c r="D966" s="23">
        <v>5</v>
      </c>
      <c r="E966" s="24">
        <v>227156.49463</v>
      </c>
    </row>
    <row r="967" s="29" customFormat="1" ht="41" spans="2:5">
      <c r="B967" s="19" t="s">
        <v>1264</v>
      </c>
      <c r="C967" s="20" t="s">
        <v>182</v>
      </c>
      <c r="D967" s="21">
        <v>1</v>
      </c>
      <c r="E967" s="22">
        <v>1118880</v>
      </c>
    </row>
    <row r="968" s="29" customFormat="1" ht="17.55" spans="2:5">
      <c r="B968" s="19" t="s">
        <v>1264</v>
      </c>
      <c r="C968" s="16" t="s">
        <v>183</v>
      </c>
      <c r="D968" s="23">
        <v>1</v>
      </c>
      <c r="E968" s="24">
        <v>1118880</v>
      </c>
    </row>
    <row r="969" s="29" customFormat="1" spans="2:5">
      <c r="B969" s="25"/>
      <c r="C969" s="25"/>
      <c r="D969" s="25"/>
      <c r="E969" s="25"/>
    </row>
    <row r="970" s="29" customFormat="1" ht="36" spans="2:5">
      <c r="B970" s="26" t="s">
        <v>189</v>
      </c>
      <c r="C970" s="26" t="s">
        <v>189</v>
      </c>
      <c r="D970" s="26" t="s">
        <v>189</v>
      </c>
      <c r="E970" s="26" t="s">
        <v>189</v>
      </c>
    </row>
    <row r="971" s="29" customFormat="1" spans="2:5">
      <c r="B971" s="26"/>
      <c r="C971" s="26"/>
      <c r="D971" s="26"/>
      <c r="E971" s="26"/>
    </row>
    <row r="972" s="29" customFormat="1" ht="36" spans="2:5">
      <c r="B972" s="26" t="s">
        <v>958</v>
      </c>
      <c r="C972" s="26" t="s">
        <v>958</v>
      </c>
      <c r="D972" s="26" t="s">
        <v>958</v>
      </c>
      <c r="E972" s="26" t="s">
        <v>958</v>
      </c>
    </row>
    <row r="973" s="29" customFormat="1" spans="2:5">
      <c r="B973" s="26" t="s">
        <v>773</v>
      </c>
      <c r="C973" s="26" t="s">
        <v>773</v>
      </c>
      <c r="D973" s="26" t="s">
        <v>773</v>
      </c>
      <c r="E973" s="26" t="s">
        <v>773</v>
      </c>
    </row>
    <row r="974" s="29" customFormat="1" ht="124" spans="2:5">
      <c r="B974" s="11" t="s">
        <v>173</v>
      </c>
      <c r="C974" s="11" t="s">
        <v>173</v>
      </c>
      <c r="D974" s="11" t="s">
        <v>173</v>
      </c>
      <c r="E974" s="11" t="s">
        <v>173</v>
      </c>
    </row>
    <row r="975" s="29" customFormat="1" ht="156" spans="2:5">
      <c r="B975" s="12" t="s">
        <v>174</v>
      </c>
      <c r="C975" s="12" t="s">
        <v>174</v>
      </c>
      <c r="D975" s="12" t="s">
        <v>174</v>
      </c>
      <c r="E975" s="12" t="s">
        <v>174</v>
      </c>
    </row>
    <row r="976" s="29" customFormat="1" ht="68" spans="2:5">
      <c r="B976" s="13" t="s">
        <v>1155</v>
      </c>
      <c r="C976" s="13" t="s">
        <v>1155</v>
      </c>
      <c r="D976" s="13" t="s">
        <v>1155</v>
      </c>
      <c r="E976" s="13" t="s">
        <v>1155</v>
      </c>
    </row>
    <row r="977" s="29" customFormat="1" ht="22" spans="2:5">
      <c r="B977" s="14" t="s">
        <v>176</v>
      </c>
      <c r="C977" s="14" t="s">
        <v>176</v>
      </c>
      <c r="D977" s="14" t="s">
        <v>176</v>
      </c>
      <c r="E977" s="14" t="s">
        <v>176</v>
      </c>
    </row>
    <row r="978" s="29" customFormat="1" spans="2:5">
      <c r="B978" s="15" t="s">
        <v>177</v>
      </c>
      <c r="C978" s="16" t="s">
        <v>178</v>
      </c>
      <c r="D978" s="17" t="s">
        <v>179</v>
      </c>
      <c r="E978" s="18" t="s">
        <v>180</v>
      </c>
    </row>
    <row r="979" s="29" customFormat="1" ht="28" spans="2:5">
      <c r="B979" s="19" t="s">
        <v>1265</v>
      </c>
      <c r="C979" s="20" t="s">
        <v>804</v>
      </c>
      <c r="D979" s="21">
        <v>2</v>
      </c>
      <c r="E979" s="22">
        <v>200000</v>
      </c>
    </row>
    <row r="980" s="29" customFormat="1" ht="28" spans="2:5">
      <c r="B980" s="19" t="s">
        <v>1265</v>
      </c>
      <c r="C980" s="16" t="s">
        <v>183</v>
      </c>
      <c r="D980" s="23">
        <v>2</v>
      </c>
      <c r="E980" s="24">
        <v>200000</v>
      </c>
    </row>
    <row r="981" s="29" customFormat="1" ht="41" spans="2:5">
      <c r="B981" s="19" t="s">
        <v>1266</v>
      </c>
      <c r="C981" s="20" t="s">
        <v>182</v>
      </c>
      <c r="D981" s="21">
        <v>1</v>
      </c>
      <c r="E981" s="22">
        <v>173874</v>
      </c>
    </row>
    <row r="982" s="29" customFormat="1" ht="28" spans="2:5">
      <c r="B982" s="19" t="s">
        <v>1266</v>
      </c>
      <c r="C982" s="16" t="s">
        <v>183</v>
      </c>
      <c r="D982" s="23">
        <v>1</v>
      </c>
      <c r="E982" s="24">
        <v>173874</v>
      </c>
    </row>
    <row r="983" s="29" customFormat="1" ht="28" spans="2:5">
      <c r="B983" s="19" t="s">
        <v>1267</v>
      </c>
      <c r="C983" s="20" t="s">
        <v>804</v>
      </c>
      <c r="D983" s="21">
        <v>2</v>
      </c>
      <c r="E983" s="22">
        <v>1572522.522523</v>
      </c>
    </row>
    <row r="984" s="29" customFormat="1" ht="28" spans="2:5">
      <c r="B984" s="19" t="s">
        <v>1267</v>
      </c>
      <c r="C984" s="16" t="s">
        <v>183</v>
      </c>
      <c r="D984" s="23">
        <v>2</v>
      </c>
      <c r="E984" s="24">
        <v>1572522.522523</v>
      </c>
    </row>
    <row r="985" s="29" customFormat="1" ht="41" spans="2:5">
      <c r="B985" s="19" t="s">
        <v>1268</v>
      </c>
      <c r="C985" s="20" t="s">
        <v>182</v>
      </c>
      <c r="D985" s="21">
        <v>2</v>
      </c>
      <c r="E985" s="22">
        <v>1625225.225225</v>
      </c>
    </row>
    <row r="986" s="29" customFormat="1" ht="28" spans="2:5">
      <c r="B986" s="19" t="s">
        <v>1268</v>
      </c>
      <c r="C986" s="16" t="s">
        <v>183</v>
      </c>
      <c r="D986" s="23">
        <v>2</v>
      </c>
      <c r="E986" s="24">
        <v>1625225.225225</v>
      </c>
    </row>
    <row r="987" s="29" customFormat="1" ht="28" spans="2:5">
      <c r="B987" s="19" t="s">
        <v>1269</v>
      </c>
      <c r="C987" s="20" t="s">
        <v>804</v>
      </c>
      <c r="D987" s="21">
        <v>2</v>
      </c>
      <c r="E987" s="22">
        <v>1432432.279279</v>
      </c>
    </row>
    <row r="988" s="29" customFormat="1" ht="28" spans="2:5">
      <c r="B988" s="19" t="s">
        <v>1269</v>
      </c>
      <c r="C988" s="16" t="s">
        <v>183</v>
      </c>
      <c r="D988" s="23">
        <v>2</v>
      </c>
      <c r="E988" s="24">
        <v>1432432.279279</v>
      </c>
    </row>
    <row r="989" s="29" customFormat="1" ht="28" spans="2:5">
      <c r="B989" s="19" t="s">
        <v>1270</v>
      </c>
      <c r="C989" s="20" t="s">
        <v>804</v>
      </c>
      <c r="D989" s="21">
        <v>1</v>
      </c>
      <c r="E989" s="22">
        <v>1327027</v>
      </c>
    </row>
    <row r="990" s="29" customFormat="1" spans="2:5">
      <c r="B990" s="19" t="s">
        <v>1270</v>
      </c>
      <c r="C990" s="16" t="s">
        <v>183</v>
      </c>
      <c r="D990" s="23">
        <v>1</v>
      </c>
      <c r="E990" s="24">
        <v>1327027</v>
      </c>
    </row>
    <row r="991" s="29" customFormat="1" ht="41" spans="2:5">
      <c r="B991" s="19" t="s">
        <v>1271</v>
      </c>
      <c r="C991" s="20" t="s">
        <v>182</v>
      </c>
      <c r="D991" s="21">
        <v>1</v>
      </c>
      <c r="E991" s="22">
        <v>0</v>
      </c>
    </row>
    <row r="992" s="29" customFormat="1" ht="28.75" spans="2:5">
      <c r="B992" s="19" t="s">
        <v>1271</v>
      </c>
      <c r="C992" s="16" t="s">
        <v>183</v>
      </c>
      <c r="D992" s="23">
        <v>1</v>
      </c>
      <c r="E992" s="24">
        <v>0</v>
      </c>
    </row>
    <row r="993" s="29" customFormat="1" spans="2:5">
      <c r="B993" s="25"/>
      <c r="C993" s="25"/>
      <c r="D993" s="25"/>
      <c r="E993" s="25"/>
    </row>
    <row r="994" s="29" customFormat="1" ht="36" spans="2:5">
      <c r="B994" s="26" t="s">
        <v>189</v>
      </c>
      <c r="C994" s="26" t="s">
        <v>189</v>
      </c>
      <c r="D994" s="26" t="s">
        <v>189</v>
      </c>
      <c r="E994" s="26" t="s">
        <v>189</v>
      </c>
    </row>
    <row r="995" s="29" customFormat="1" spans="2:5">
      <c r="B995" s="26"/>
      <c r="C995" s="26"/>
      <c r="D995" s="26"/>
      <c r="E995" s="26"/>
    </row>
    <row r="996" s="29" customFormat="1" ht="36" spans="2:5">
      <c r="B996" s="26" t="s">
        <v>958</v>
      </c>
      <c r="C996" s="26" t="s">
        <v>958</v>
      </c>
      <c r="D996" s="26" t="s">
        <v>958</v>
      </c>
      <c r="E996" s="26" t="s">
        <v>958</v>
      </c>
    </row>
    <row r="997" s="29" customFormat="1" spans="2:5">
      <c r="B997" s="26" t="s">
        <v>780</v>
      </c>
      <c r="C997" s="26" t="s">
        <v>780</v>
      </c>
      <c r="D997" s="26" t="s">
        <v>780</v>
      </c>
      <c r="E997" s="26" t="s">
        <v>780</v>
      </c>
    </row>
    <row r="998" s="29" customFormat="1" ht="124" spans="2:5">
      <c r="B998" s="11" t="s">
        <v>173</v>
      </c>
      <c r="C998" s="11" t="s">
        <v>173</v>
      </c>
      <c r="D998" s="11" t="s">
        <v>173</v>
      </c>
      <c r="E998" s="11" t="s">
        <v>173</v>
      </c>
    </row>
    <row r="999" s="29" customFormat="1" ht="156" spans="2:5">
      <c r="B999" s="12" t="s">
        <v>174</v>
      </c>
      <c r="C999" s="12" t="s">
        <v>174</v>
      </c>
      <c r="D999" s="12" t="s">
        <v>174</v>
      </c>
      <c r="E999" s="12" t="s">
        <v>174</v>
      </c>
    </row>
    <row r="1000" s="29" customFormat="1" ht="68" spans="2:5">
      <c r="B1000" s="13" t="s">
        <v>1155</v>
      </c>
      <c r="C1000" s="13" t="s">
        <v>1155</v>
      </c>
      <c r="D1000" s="13" t="s">
        <v>1155</v>
      </c>
      <c r="E1000" s="13" t="s">
        <v>1155</v>
      </c>
    </row>
    <row r="1001" s="29" customFormat="1" ht="22" spans="2:5">
      <c r="B1001" s="14" t="s">
        <v>176</v>
      </c>
      <c r="C1001" s="14" t="s">
        <v>176</v>
      </c>
      <c r="D1001" s="14" t="s">
        <v>176</v>
      </c>
      <c r="E1001" s="14" t="s">
        <v>176</v>
      </c>
    </row>
    <row r="1002" s="29" customFormat="1" spans="2:5">
      <c r="B1002" s="15" t="s">
        <v>177</v>
      </c>
      <c r="C1002" s="16" t="s">
        <v>178</v>
      </c>
      <c r="D1002" s="17" t="s">
        <v>179</v>
      </c>
      <c r="E1002" s="18" t="s">
        <v>180</v>
      </c>
    </row>
    <row r="1003" s="29" customFormat="1" ht="41" spans="2:5">
      <c r="B1003" s="19" t="s">
        <v>1272</v>
      </c>
      <c r="C1003" s="20" t="s">
        <v>182</v>
      </c>
      <c r="D1003" s="21">
        <v>1</v>
      </c>
      <c r="E1003" s="22">
        <v>0</v>
      </c>
    </row>
    <row r="1004" s="29" customFormat="1" ht="28" spans="2:5">
      <c r="B1004" s="19" t="s">
        <v>1272</v>
      </c>
      <c r="C1004" s="16" t="s">
        <v>183</v>
      </c>
      <c r="D1004" s="23">
        <v>1</v>
      </c>
      <c r="E1004" s="24">
        <v>0</v>
      </c>
    </row>
    <row r="1005" s="29" customFormat="1" ht="41" spans="2:5">
      <c r="B1005" s="19" t="s">
        <v>1273</v>
      </c>
      <c r="C1005" s="20" t="s">
        <v>182</v>
      </c>
      <c r="D1005" s="21">
        <v>1</v>
      </c>
      <c r="E1005" s="22">
        <v>3370216.297787</v>
      </c>
    </row>
    <row r="1006" s="29" customFormat="1" ht="28" spans="2:5">
      <c r="B1006" s="19" t="s">
        <v>1273</v>
      </c>
      <c r="C1006" s="16" t="s">
        <v>183</v>
      </c>
      <c r="D1006" s="23">
        <v>1</v>
      </c>
      <c r="E1006" s="24">
        <v>3370216.297787</v>
      </c>
    </row>
    <row r="1007" s="29" customFormat="1" ht="41" spans="2:5">
      <c r="B1007" s="19" t="s">
        <v>1274</v>
      </c>
      <c r="C1007" s="20" t="s">
        <v>182</v>
      </c>
      <c r="D1007" s="21">
        <v>1</v>
      </c>
      <c r="E1007" s="22">
        <v>312163</v>
      </c>
    </row>
    <row r="1008" s="29" customFormat="1" ht="28" spans="2:5">
      <c r="B1008" s="19" t="s">
        <v>1274</v>
      </c>
      <c r="C1008" s="16" t="s">
        <v>183</v>
      </c>
      <c r="D1008" s="23">
        <v>1</v>
      </c>
      <c r="E1008" s="24">
        <v>312163</v>
      </c>
    </row>
    <row r="1009" s="29" customFormat="1" ht="41" spans="2:5">
      <c r="B1009" s="19" t="s">
        <v>1275</v>
      </c>
      <c r="C1009" s="20" t="s">
        <v>182</v>
      </c>
      <c r="D1009" s="21">
        <v>1</v>
      </c>
      <c r="E1009" s="22">
        <v>302163</v>
      </c>
    </row>
    <row r="1010" s="29" customFormat="1" ht="28" spans="2:5">
      <c r="B1010" s="19" t="s">
        <v>1275</v>
      </c>
      <c r="C1010" s="16" t="s">
        <v>183</v>
      </c>
      <c r="D1010" s="23">
        <v>1</v>
      </c>
      <c r="E1010" s="24">
        <v>302163</v>
      </c>
    </row>
    <row r="1011" s="29" customFormat="1" ht="28" spans="2:5">
      <c r="B1011" s="19" t="s">
        <v>1276</v>
      </c>
      <c r="C1011" s="20" t="s">
        <v>804</v>
      </c>
      <c r="D1011" s="21">
        <v>1</v>
      </c>
      <c r="E1011" s="22">
        <v>5000000</v>
      </c>
    </row>
    <row r="1012" s="29" customFormat="1" ht="28" spans="2:5">
      <c r="B1012" s="19" t="s">
        <v>1276</v>
      </c>
      <c r="C1012" s="16" t="s">
        <v>183</v>
      </c>
      <c r="D1012" s="23">
        <v>1</v>
      </c>
      <c r="E1012" s="24">
        <v>5000000</v>
      </c>
    </row>
    <row r="1013" s="29" customFormat="1" ht="41" spans="2:5">
      <c r="B1013" s="19" t="s">
        <v>454</v>
      </c>
      <c r="C1013" s="20" t="s">
        <v>182</v>
      </c>
      <c r="D1013" s="21">
        <v>1</v>
      </c>
      <c r="E1013" s="22">
        <v>0</v>
      </c>
    </row>
    <row r="1014" s="29" customFormat="1" ht="28" spans="2:5">
      <c r="B1014" s="19" t="s">
        <v>454</v>
      </c>
      <c r="C1014" s="16" t="s">
        <v>183</v>
      </c>
      <c r="D1014" s="23">
        <v>1</v>
      </c>
      <c r="E1014" s="24">
        <v>0</v>
      </c>
    </row>
    <row r="1015" s="29" customFormat="1" ht="41" spans="2:5">
      <c r="B1015" s="19" t="s">
        <v>721</v>
      </c>
      <c r="C1015" s="20" t="s">
        <v>182</v>
      </c>
      <c r="D1015" s="21">
        <v>2</v>
      </c>
      <c r="E1015" s="22">
        <v>0</v>
      </c>
    </row>
    <row r="1016" s="29" customFormat="1" ht="28.75" spans="2:5">
      <c r="B1016" s="19" t="s">
        <v>721</v>
      </c>
      <c r="C1016" s="16" t="s">
        <v>183</v>
      </c>
      <c r="D1016" s="23">
        <v>2</v>
      </c>
      <c r="E1016" s="24">
        <v>0</v>
      </c>
    </row>
    <row r="1017" s="29" customFormat="1" spans="2:5">
      <c r="B1017" s="25"/>
      <c r="C1017" s="25"/>
      <c r="D1017" s="25"/>
      <c r="E1017" s="25"/>
    </row>
    <row r="1018" s="29" customFormat="1" ht="36" spans="2:5">
      <c r="B1018" s="26" t="s">
        <v>189</v>
      </c>
      <c r="C1018" s="26" t="s">
        <v>189</v>
      </c>
      <c r="D1018" s="26" t="s">
        <v>189</v>
      </c>
      <c r="E1018" s="26" t="s">
        <v>189</v>
      </c>
    </row>
    <row r="1019" s="29" customFormat="1" spans="2:5">
      <c r="B1019" s="26"/>
      <c r="C1019" s="26"/>
      <c r="D1019" s="26"/>
      <c r="E1019" s="26"/>
    </row>
    <row r="1020" s="29" customFormat="1" ht="36" spans="2:5">
      <c r="B1020" s="26" t="s">
        <v>958</v>
      </c>
      <c r="C1020" s="26" t="s">
        <v>958</v>
      </c>
      <c r="D1020" s="26" t="s">
        <v>958</v>
      </c>
      <c r="E1020" s="26" t="s">
        <v>958</v>
      </c>
    </row>
    <row r="1021" s="29" customFormat="1" spans="2:5">
      <c r="B1021" s="26" t="s">
        <v>787</v>
      </c>
      <c r="C1021" s="26" t="s">
        <v>787</v>
      </c>
      <c r="D1021" s="26" t="s">
        <v>787</v>
      </c>
      <c r="E1021" s="26" t="s">
        <v>787</v>
      </c>
    </row>
    <row r="1022" s="29" customFormat="1" ht="124" spans="2:5">
      <c r="B1022" s="11" t="s">
        <v>173</v>
      </c>
      <c r="C1022" s="11" t="s">
        <v>173</v>
      </c>
      <c r="D1022" s="11" t="s">
        <v>173</v>
      </c>
      <c r="E1022" s="11" t="s">
        <v>173</v>
      </c>
    </row>
    <row r="1023" s="29" customFormat="1" ht="156" spans="2:5">
      <c r="B1023" s="12" t="s">
        <v>174</v>
      </c>
      <c r="C1023" s="12" t="s">
        <v>174</v>
      </c>
      <c r="D1023" s="12" t="s">
        <v>174</v>
      </c>
      <c r="E1023" s="12" t="s">
        <v>174</v>
      </c>
    </row>
    <row r="1024" s="29" customFormat="1" ht="68" spans="2:5">
      <c r="B1024" s="13" t="s">
        <v>1155</v>
      </c>
      <c r="C1024" s="13" t="s">
        <v>1155</v>
      </c>
      <c r="D1024" s="13" t="s">
        <v>1155</v>
      </c>
      <c r="E1024" s="13" t="s">
        <v>1155</v>
      </c>
    </row>
    <row r="1025" s="29" customFormat="1" ht="22" spans="2:5">
      <c r="B1025" s="14" t="s">
        <v>176</v>
      </c>
      <c r="C1025" s="14" t="s">
        <v>176</v>
      </c>
      <c r="D1025" s="14" t="s">
        <v>176</v>
      </c>
      <c r="E1025" s="14" t="s">
        <v>176</v>
      </c>
    </row>
    <row r="1026" s="29" customFormat="1" spans="2:5">
      <c r="B1026" s="15" t="s">
        <v>177</v>
      </c>
      <c r="C1026" s="16" t="s">
        <v>178</v>
      </c>
      <c r="D1026" s="17" t="s">
        <v>179</v>
      </c>
      <c r="E1026" s="18" t="s">
        <v>180</v>
      </c>
    </row>
    <row r="1027" s="29" customFormat="1" ht="41" spans="2:5">
      <c r="B1027" s="19" t="s">
        <v>513</v>
      </c>
      <c r="C1027" s="20" t="s">
        <v>182</v>
      </c>
      <c r="D1027" s="21">
        <v>177</v>
      </c>
      <c r="E1027" s="22">
        <v>51351.351351</v>
      </c>
    </row>
    <row r="1028" s="29" customFormat="1" ht="28" spans="2:5">
      <c r="B1028" s="19" t="s">
        <v>513</v>
      </c>
      <c r="C1028" s="20" t="s">
        <v>804</v>
      </c>
      <c r="D1028" s="21">
        <v>69</v>
      </c>
      <c r="E1028" s="22">
        <v>0</v>
      </c>
    </row>
    <row r="1029" s="29" customFormat="1" spans="2:5">
      <c r="B1029" s="19" t="s">
        <v>513</v>
      </c>
      <c r="C1029" s="16" t="s">
        <v>183</v>
      </c>
      <c r="D1029" s="23">
        <v>246</v>
      </c>
      <c r="E1029" s="24">
        <v>51351.351351</v>
      </c>
    </row>
    <row r="1030" s="29" customFormat="1" ht="41" spans="2:5">
      <c r="B1030" s="19" t="s">
        <v>514</v>
      </c>
      <c r="C1030" s="20" t="s">
        <v>182</v>
      </c>
      <c r="D1030" s="21">
        <v>115</v>
      </c>
      <c r="E1030" s="22">
        <v>4884761.949311</v>
      </c>
    </row>
    <row r="1031" s="29" customFormat="1" ht="28" spans="2:5">
      <c r="B1031" s="19" t="s">
        <v>514</v>
      </c>
      <c r="C1031" s="20" t="s">
        <v>804</v>
      </c>
      <c r="D1031" s="21">
        <v>52</v>
      </c>
      <c r="E1031" s="22">
        <v>42342.342342</v>
      </c>
    </row>
    <row r="1032" s="29" customFormat="1" ht="28" spans="2:5">
      <c r="B1032" s="19" t="s">
        <v>514</v>
      </c>
      <c r="C1032" s="16" t="s">
        <v>183</v>
      </c>
      <c r="D1032" s="23">
        <v>167</v>
      </c>
      <c r="E1032" s="24">
        <v>4927104.291653</v>
      </c>
    </row>
    <row r="1033" s="29" customFormat="1" ht="28" spans="2:5">
      <c r="B1033" s="19" t="s">
        <v>1277</v>
      </c>
      <c r="C1033" s="20" t="s">
        <v>804</v>
      </c>
      <c r="D1033" s="21">
        <v>4</v>
      </c>
      <c r="E1033" s="22">
        <v>10000000</v>
      </c>
    </row>
    <row r="1034" s="29" customFormat="1" spans="2:5">
      <c r="B1034" s="19" t="s">
        <v>1277</v>
      </c>
      <c r="C1034" s="16" t="s">
        <v>183</v>
      </c>
      <c r="D1034" s="23">
        <v>4</v>
      </c>
      <c r="E1034" s="24">
        <v>10000000</v>
      </c>
    </row>
    <row r="1035" s="29" customFormat="1" ht="28" spans="2:5">
      <c r="B1035" s="19" t="s">
        <v>1278</v>
      </c>
      <c r="C1035" s="20" t="s">
        <v>804</v>
      </c>
      <c r="D1035" s="21">
        <v>2</v>
      </c>
      <c r="E1035" s="22">
        <v>1959459.459459</v>
      </c>
    </row>
    <row r="1036" s="29" customFormat="1" ht="28" spans="2:5">
      <c r="B1036" s="19" t="s">
        <v>1278</v>
      </c>
      <c r="C1036" s="16" t="s">
        <v>183</v>
      </c>
      <c r="D1036" s="23">
        <v>2</v>
      </c>
      <c r="E1036" s="24">
        <v>1959459.459459</v>
      </c>
    </row>
    <row r="1037" s="29" customFormat="1" ht="28" spans="2:5">
      <c r="B1037" s="19" t="s">
        <v>1279</v>
      </c>
      <c r="C1037" s="20" t="s">
        <v>804</v>
      </c>
      <c r="D1037" s="21">
        <v>2</v>
      </c>
      <c r="E1037" s="22">
        <v>7903603.603604</v>
      </c>
    </row>
    <row r="1038" s="29" customFormat="1" ht="28" spans="2:5">
      <c r="B1038" s="19" t="s">
        <v>1279</v>
      </c>
      <c r="C1038" s="16" t="s">
        <v>183</v>
      </c>
      <c r="D1038" s="23">
        <v>2</v>
      </c>
      <c r="E1038" s="24">
        <v>7903603.603604</v>
      </c>
    </row>
    <row r="1039" s="29" customFormat="1" ht="28" spans="2:5">
      <c r="B1039" s="19" t="s">
        <v>1280</v>
      </c>
      <c r="C1039" s="20" t="s">
        <v>804</v>
      </c>
      <c r="D1039" s="21">
        <v>2</v>
      </c>
      <c r="E1039" s="22">
        <v>100000</v>
      </c>
    </row>
    <row r="1040" s="29" customFormat="1" ht="28.75" spans="2:5">
      <c r="B1040" s="19" t="s">
        <v>1280</v>
      </c>
      <c r="C1040" s="16" t="s">
        <v>183</v>
      </c>
      <c r="D1040" s="23">
        <v>2</v>
      </c>
      <c r="E1040" s="24">
        <v>100000</v>
      </c>
    </row>
    <row r="1041" s="29" customFormat="1" spans="2:5">
      <c r="B1041" s="25"/>
      <c r="C1041" s="25"/>
      <c r="D1041" s="25"/>
      <c r="E1041" s="25"/>
    </row>
    <row r="1042" s="29" customFormat="1" ht="36" spans="2:5">
      <c r="B1042" s="26" t="s">
        <v>189</v>
      </c>
      <c r="C1042" s="26" t="s">
        <v>189</v>
      </c>
      <c r="D1042" s="26" t="s">
        <v>189</v>
      </c>
      <c r="E1042" s="26" t="s">
        <v>189</v>
      </c>
    </row>
    <row r="1043" s="29" customFormat="1" spans="2:5">
      <c r="B1043" s="26"/>
      <c r="C1043" s="26"/>
      <c r="D1043" s="26"/>
      <c r="E1043" s="26"/>
    </row>
    <row r="1044" s="29" customFormat="1" ht="36" spans="2:5">
      <c r="B1044" s="26" t="s">
        <v>958</v>
      </c>
      <c r="C1044" s="26" t="s">
        <v>958</v>
      </c>
      <c r="D1044" s="26" t="s">
        <v>958</v>
      </c>
      <c r="E1044" s="26" t="s">
        <v>958</v>
      </c>
    </row>
    <row r="1045" s="29" customFormat="1" spans="2:5">
      <c r="B1045" s="26" t="s">
        <v>794</v>
      </c>
      <c r="C1045" s="26" t="s">
        <v>794</v>
      </c>
      <c r="D1045" s="26" t="s">
        <v>794</v>
      </c>
      <c r="E1045" s="26" t="s">
        <v>794</v>
      </c>
    </row>
    <row r="1046" s="29" customFormat="1" ht="124" spans="2:5">
      <c r="B1046" s="11" t="s">
        <v>173</v>
      </c>
      <c r="C1046" s="11" t="s">
        <v>173</v>
      </c>
      <c r="D1046" s="11" t="s">
        <v>173</v>
      </c>
      <c r="E1046" s="11" t="s">
        <v>173</v>
      </c>
    </row>
    <row r="1047" s="29" customFormat="1" ht="156" spans="2:5">
      <c r="B1047" s="12" t="s">
        <v>174</v>
      </c>
      <c r="C1047" s="12" t="s">
        <v>174</v>
      </c>
      <c r="D1047" s="12" t="s">
        <v>174</v>
      </c>
      <c r="E1047" s="12" t="s">
        <v>174</v>
      </c>
    </row>
    <row r="1048" s="29" customFormat="1" ht="68" spans="2:5">
      <c r="B1048" s="13" t="s">
        <v>1155</v>
      </c>
      <c r="C1048" s="13" t="s">
        <v>1155</v>
      </c>
      <c r="D1048" s="13" t="s">
        <v>1155</v>
      </c>
      <c r="E1048" s="13" t="s">
        <v>1155</v>
      </c>
    </row>
    <row r="1049" s="29" customFormat="1" ht="22" spans="2:5">
      <c r="B1049" s="14" t="s">
        <v>176</v>
      </c>
      <c r="C1049" s="14" t="s">
        <v>176</v>
      </c>
      <c r="D1049" s="14" t="s">
        <v>176</v>
      </c>
      <c r="E1049" s="14" t="s">
        <v>176</v>
      </c>
    </row>
    <row r="1050" s="29" customFormat="1" spans="2:5">
      <c r="B1050" s="15" t="s">
        <v>177</v>
      </c>
      <c r="C1050" s="16" t="s">
        <v>178</v>
      </c>
      <c r="D1050" s="17" t="s">
        <v>179</v>
      </c>
      <c r="E1050" s="18" t="s">
        <v>180</v>
      </c>
    </row>
    <row r="1051" s="29" customFormat="1" ht="28" spans="2:5">
      <c r="B1051" s="19" t="s">
        <v>1281</v>
      </c>
      <c r="C1051" s="20" t="s">
        <v>804</v>
      </c>
      <c r="D1051" s="21">
        <v>2</v>
      </c>
      <c r="E1051" s="22">
        <v>930000</v>
      </c>
    </row>
    <row r="1052" s="29" customFormat="1" spans="2:5">
      <c r="B1052" s="19" t="s">
        <v>1281</v>
      </c>
      <c r="C1052" s="16" t="s">
        <v>183</v>
      </c>
      <c r="D1052" s="23">
        <v>2</v>
      </c>
      <c r="E1052" s="24">
        <v>930000</v>
      </c>
    </row>
    <row r="1053" s="29" customFormat="1" ht="28" spans="2:5">
      <c r="B1053" s="19" t="s">
        <v>1282</v>
      </c>
      <c r="C1053" s="20" t="s">
        <v>804</v>
      </c>
      <c r="D1053" s="21">
        <v>1</v>
      </c>
      <c r="E1053" s="22">
        <v>55000</v>
      </c>
    </row>
    <row r="1054" s="29" customFormat="1" spans="2:5">
      <c r="B1054" s="19" t="s">
        <v>1282</v>
      </c>
      <c r="C1054" s="16" t="s">
        <v>183</v>
      </c>
      <c r="D1054" s="23">
        <v>1</v>
      </c>
      <c r="E1054" s="24">
        <v>55000</v>
      </c>
    </row>
    <row r="1055" s="29" customFormat="1" ht="41" spans="2:5">
      <c r="B1055" s="19" t="s">
        <v>1283</v>
      </c>
      <c r="C1055" s="20" t="s">
        <v>182</v>
      </c>
      <c r="D1055" s="21">
        <v>2</v>
      </c>
      <c r="E1055" s="22">
        <v>246000</v>
      </c>
    </row>
    <row r="1056" s="29" customFormat="1" spans="2:5">
      <c r="B1056" s="19" t="s">
        <v>1283</v>
      </c>
      <c r="C1056" s="16" t="s">
        <v>183</v>
      </c>
      <c r="D1056" s="23">
        <v>2</v>
      </c>
      <c r="E1056" s="24">
        <v>246000</v>
      </c>
    </row>
    <row r="1057" s="29" customFormat="1" ht="41" spans="2:5">
      <c r="B1057" s="19" t="s">
        <v>1284</v>
      </c>
      <c r="C1057" s="20" t="s">
        <v>182</v>
      </c>
      <c r="D1057" s="21">
        <v>1</v>
      </c>
      <c r="E1057" s="22">
        <v>130000</v>
      </c>
    </row>
    <row r="1058" s="29" customFormat="1" spans="2:5">
      <c r="B1058" s="19" t="s">
        <v>1284</v>
      </c>
      <c r="C1058" s="16" t="s">
        <v>183</v>
      </c>
      <c r="D1058" s="23">
        <v>1</v>
      </c>
      <c r="E1058" s="24">
        <v>130000</v>
      </c>
    </row>
    <row r="1059" s="29" customFormat="1" ht="41" spans="2:5">
      <c r="B1059" s="19" t="s">
        <v>1285</v>
      </c>
      <c r="C1059" s="20" t="s">
        <v>182</v>
      </c>
      <c r="D1059" s="21">
        <v>1</v>
      </c>
      <c r="E1059" s="22">
        <v>125000</v>
      </c>
    </row>
    <row r="1060" s="29" customFormat="1" spans="2:5">
      <c r="B1060" s="19" t="s">
        <v>1285</v>
      </c>
      <c r="C1060" s="16" t="s">
        <v>183</v>
      </c>
      <c r="D1060" s="23">
        <v>1</v>
      </c>
      <c r="E1060" s="24">
        <v>125000</v>
      </c>
    </row>
    <row r="1061" s="29" customFormat="1" ht="28" spans="2:5">
      <c r="B1061" s="19" t="s">
        <v>1286</v>
      </c>
      <c r="C1061" s="20" t="s">
        <v>804</v>
      </c>
      <c r="D1061" s="21">
        <v>2</v>
      </c>
      <c r="E1061" s="22">
        <v>435000</v>
      </c>
    </row>
    <row r="1062" s="29" customFormat="1" spans="2:5">
      <c r="B1062" s="19" t="s">
        <v>1286</v>
      </c>
      <c r="C1062" s="16" t="s">
        <v>183</v>
      </c>
      <c r="D1062" s="23">
        <v>2</v>
      </c>
      <c r="E1062" s="24">
        <v>435000</v>
      </c>
    </row>
    <row r="1063" s="29" customFormat="1" ht="28" spans="2:5">
      <c r="B1063" s="19" t="s">
        <v>1287</v>
      </c>
      <c r="C1063" s="20" t="s">
        <v>804</v>
      </c>
      <c r="D1063" s="21">
        <v>2</v>
      </c>
      <c r="E1063" s="22">
        <v>780000</v>
      </c>
    </row>
    <row r="1064" s="29" customFormat="1" ht="28.75" spans="2:5">
      <c r="B1064" s="19" t="s">
        <v>1287</v>
      </c>
      <c r="C1064" s="16" t="s">
        <v>183</v>
      </c>
      <c r="D1064" s="23">
        <v>2</v>
      </c>
      <c r="E1064" s="24">
        <v>780000</v>
      </c>
    </row>
    <row r="1065" s="29" customFormat="1" spans="2:5">
      <c r="B1065" s="25"/>
      <c r="C1065" s="25"/>
      <c r="D1065" s="25"/>
      <c r="E1065" s="25"/>
    </row>
    <row r="1066" s="29" customFormat="1" ht="36" spans="2:5">
      <c r="B1066" s="26" t="s">
        <v>189</v>
      </c>
      <c r="C1066" s="26" t="s">
        <v>189</v>
      </c>
      <c r="D1066" s="26" t="s">
        <v>189</v>
      </c>
      <c r="E1066" s="26" t="s">
        <v>189</v>
      </c>
    </row>
    <row r="1067" s="29" customFormat="1" spans="2:5">
      <c r="B1067" s="26"/>
      <c r="C1067" s="26"/>
      <c r="D1067" s="26"/>
      <c r="E1067" s="26"/>
    </row>
    <row r="1068" s="29" customFormat="1" ht="36" spans="2:5">
      <c r="B1068" s="26" t="s">
        <v>958</v>
      </c>
      <c r="C1068" s="26" t="s">
        <v>958</v>
      </c>
      <c r="D1068" s="26" t="s">
        <v>958</v>
      </c>
      <c r="E1068" s="26" t="s">
        <v>958</v>
      </c>
    </row>
    <row r="1069" s="29" customFormat="1" spans="2:5">
      <c r="B1069" s="26" t="s">
        <v>797</v>
      </c>
      <c r="C1069" s="26" t="s">
        <v>797</v>
      </c>
      <c r="D1069" s="26" t="s">
        <v>797</v>
      </c>
      <c r="E1069" s="26" t="s">
        <v>797</v>
      </c>
    </row>
    <row r="1070" s="29" customFormat="1" ht="124" spans="2:5">
      <c r="B1070" s="11" t="s">
        <v>173</v>
      </c>
      <c r="C1070" s="11" t="s">
        <v>173</v>
      </c>
      <c r="D1070" s="11" t="s">
        <v>173</v>
      </c>
      <c r="E1070" s="11" t="s">
        <v>173</v>
      </c>
    </row>
    <row r="1071" s="29" customFormat="1" ht="156" spans="2:5">
      <c r="B1071" s="12" t="s">
        <v>174</v>
      </c>
      <c r="C1071" s="12" t="s">
        <v>174</v>
      </c>
      <c r="D1071" s="12" t="s">
        <v>174</v>
      </c>
      <c r="E1071" s="12" t="s">
        <v>174</v>
      </c>
    </row>
    <row r="1072" s="29" customFormat="1" ht="68" spans="2:5">
      <c r="B1072" s="13" t="s">
        <v>1155</v>
      </c>
      <c r="C1072" s="13" t="s">
        <v>1155</v>
      </c>
      <c r="D1072" s="13" t="s">
        <v>1155</v>
      </c>
      <c r="E1072" s="13" t="s">
        <v>1155</v>
      </c>
    </row>
    <row r="1073" s="29" customFormat="1" ht="22" spans="2:5">
      <c r="B1073" s="14" t="s">
        <v>176</v>
      </c>
      <c r="C1073" s="14" t="s">
        <v>176</v>
      </c>
      <c r="D1073" s="14" t="s">
        <v>176</v>
      </c>
      <c r="E1073" s="14" t="s">
        <v>176</v>
      </c>
    </row>
    <row r="1074" s="29" customFormat="1" spans="2:5">
      <c r="B1074" s="15" t="s">
        <v>177</v>
      </c>
      <c r="C1074" s="16" t="s">
        <v>178</v>
      </c>
      <c r="D1074" s="17" t="s">
        <v>179</v>
      </c>
      <c r="E1074" s="18" t="s">
        <v>180</v>
      </c>
    </row>
    <row r="1075" s="29" customFormat="1" ht="28" spans="2:5">
      <c r="B1075" s="19" t="s">
        <v>1288</v>
      </c>
      <c r="C1075" s="20" t="s">
        <v>804</v>
      </c>
      <c r="D1075" s="21">
        <v>1</v>
      </c>
      <c r="E1075" s="22">
        <v>703500</v>
      </c>
    </row>
    <row r="1076" s="29" customFormat="1" spans="2:5">
      <c r="B1076" s="19" t="s">
        <v>1288</v>
      </c>
      <c r="C1076" s="16" t="s">
        <v>183</v>
      </c>
      <c r="D1076" s="23">
        <v>1</v>
      </c>
      <c r="E1076" s="24">
        <v>703500</v>
      </c>
    </row>
    <row r="1077" s="29" customFormat="1" ht="28" spans="2:5">
      <c r="B1077" s="19" t="s">
        <v>1289</v>
      </c>
      <c r="C1077" s="20" t="s">
        <v>804</v>
      </c>
      <c r="D1077" s="21">
        <v>1</v>
      </c>
      <c r="E1077" s="22">
        <v>703500</v>
      </c>
    </row>
    <row r="1078" s="29" customFormat="1" spans="2:5">
      <c r="B1078" s="19" t="s">
        <v>1289</v>
      </c>
      <c r="C1078" s="16" t="s">
        <v>183</v>
      </c>
      <c r="D1078" s="23">
        <v>1</v>
      </c>
      <c r="E1078" s="24">
        <v>703500</v>
      </c>
    </row>
    <row r="1079" s="29" customFormat="1" ht="28" spans="2:5">
      <c r="B1079" s="19" t="s">
        <v>1290</v>
      </c>
      <c r="C1079" s="20" t="s">
        <v>804</v>
      </c>
      <c r="D1079" s="21">
        <v>2</v>
      </c>
      <c r="E1079" s="22">
        <v>1885000</v>
      </c>
    </row>
    <row r="1080" s="29" customFormat="1" ht="28" spans="2:5">
      <c r="B1080" s="19" t="s">
        <v>1290</v>
      </c>
      <c r="C1080" s="16" t="s">
        <v>183</v>
      </c>
      <c r="D1080" s="23">
        <v>2</v>
      </c>
      <c r="E1080" s="24">
        <v>1885000</v>
      </c>
    </row>
    <row r="1081" s="29" customFormat="1" ht="28" spans="2:5">
      <c r="B1081" s="19" t="s">
        <v>1291</v>
      </c>
      <c r="C1081" s="20" t="s">
        <v>804</v>
      </c>
      <c r="D1081" s="21">
        <v>1</v>
      </c>
      <c r="E1081" s="22">
        <v>849099.099099</v>
      </c>
    </row>
    <row r="1082" s="29" customFormat="1" spans="2:5">
      <c r="B1082" s="19" t="s">
        <v>1291</v>
      </c>
      <c r="C1082" s="16" t="s">
        <v>183</v>
      </c>
      <c r="D1082" s="23">
        <v>1</v>
      </c>
      <c r="E1082" s="24">
        <v>849099.099099</v>
      </c>
    </row>
    <row r="1083" s="29" customFormat="1" ht="41" spans="2:5">
      <c r="B1083" s="19" t="s">
        <v>1292</v>
      </c>
      <c r="C1083" s="20" t="s">
        <v>182</v>
      </c>
      <c r="D1083" s="21">
        <v>1</v>
      </c>
      <c r="E1083" s="22">
        <v>0</v>
      </c>
    </row>
    <row r="1084" s="29" customFormat="1" spans="2:5">
      <c r="B1084" s="19" t="s">
        <v>1292</v>
      </c>
      <c r="C1084" s="16" t="s">
        <v>183</v>
      </c>
      <c r="D1084" s="23">
        <v>1</v>
      </c>
      <c r="E1084" s="24">
        <v>0</v>
      </c>
    </row>
    <row r="1085" s="29" customFormat="1" ht="41" spans="2:5">
      <c r="B1085" s="19" t="s">
        <v>1293</v>
      </c>
      <c r="C1085" s="20" t="s">
        <v>182</v>
      </c>
      <c r="D1085" s="21">
        <v>1</v>
      </c>
      <c r="E1085" s="22">
        <v>0</v>
      </c>
    </row>
    <row r="1086" s="29" customFormat="1" spans="2:5">
      <c r="B1086" s="19" t="s">
        <v>1293</v>
      </c>
      <c r="C1086" s="16" t="s">
        <v>183</v>
      </c>
      <c r="D1086" s="23">
        <v>1</v>
      </c>
      <c r="E1086" s="24">
        <v>0</v>
      </c>
    </row>
    <row r="1087" s="29" customFormat="1" ht="41" spans="2:5">
      <c r="B1087" s="19" t="s">
        <v>1294</v>
      </c>
      <c r="C1087" s="20" t="s">
        <v>182</v>
      </c>
      <c r="D1087" s="21">
        <v>2</v>
      </c>
      <c r="E1087" s="22">
        <v>0</v>
      </c>
    </row>
    <row r="1088" s="29" customFormat="1" ht="17.55" spans="2:5">
      <c r="B1088" s="19" t="s">
        <v>1294</v>
      </c>
      <c r="C1088" s="16" t="s">
        <v>183</v>
      </c>
      <c r="D1088" s="23">
        <v>2</v>
      </c>
      <c r="E1088" s="24">
        <v>0</v>
      </c>
    </row>
    <row r="1089" s="29" customFormat="1" spans="2:5">
      <c r="B1089" s="25"/>
      <c r="C1089" s="25"/>
      <c r="D1089" s="25"/>
      <c r="E1089" s="25"/>
    </row>
    <row r="1090" s="29" customFormat="1" ht="36" spans="2:5">
      <c r="B1090" s="26" t="s">
        <v>189</v>
      </c>
      <c r="C1090" s="26" t="s">
        <v>189</v>
      </c>
      <c r="D1090" s="26" t="s">
        <v>189</v>
      </c>
      <c r="E1090" s="26" t="s">
        <v>189</v>
      </c>
    </row>
    <row r="1091" s="29" customFormat="1" spans="2:5">
      <c r="B1091" s="26"/>
      <c r="C1091" s="26"/>
      <c r="D1091" s="26"/>
      <c r="E1091" s="26"/>
    </row>
    <row r="1092" s="29" customFormat="1" ht="36" spans="2:5">
      <c r="B1092" s="26" t="s">
        <v>958</v>
      </c>
      <c r="C1092" s="26" t="s">
        <v>958</v>
      </c>
      <c r="D1092" s="26" t="s">
        <v>958</v>
      </c>
      <c r="E1092" s="26" t="s">
        <v>958</v>
      </c>
    </row>
    <row r="1093" s="29" customFormat="1" spans="2:5">
      <c r="B1093" s="26" t="s">
        <v>928</v>
      </c>
      <c r="C1093" s="26" t="s">
        <v>928</v>
      </c>
      <c r="D1093" s="26" t="s">
        <v>928</v>
      </c>
      <c r="E1093" s="26" t="s">
        <v>928</v>
      </c>
    </row>
    <row r="1094" s="29" customFormat="1" ht="124" spans="2:5">
      <c r="B1094" s="11" t="s">
        <v>173</v>
      </c>
      <c r="C1094" s="11" t="s">
        <v>173</v>
      </c>
      <c r="D1094" s="11" t="s">
        <v>173</v>
      </c>
      <c r="E1094" s="11" t="s">
        <v>173</v>
      </c>
    </row>
    <row r="1095" s="29" customFormat="1" ht="156" spans="2:5">
      <c r="B1095" s="12" t="s">
        <v>174</v>
      </c>
      <c r="C1095" s="12" t="s">
        <v>174</v>
      </c>
      <c r="D1095" s="12" t="s">
        <v>174</v>
      </c>
      <c r="E1095" s="12" t="s">
        <v>174</v>
      </c>
    </row>
    <row r="1096" s="29" customFormat="1" ht="68" spans="2:5">
      <c r="B1096" s="13" t="s">
        <v>1155</v>
      </c>
      <c r="C1096" s="13" t="s">
        <v>1155</v>
      </c>
      <c r="D1096" s="13" t="s">
        <v>1155</v>
      </c>
      <c r="E1096" s="13" t="s">
        <v>1155</v>
      </c>
    </row>
    <row r="1097" s="29" customFormat="1" ht="22" spans="2:5">
      <c r="B1097" s="14" t="s">
        <v>176</v>
      </c>
      <c r="C1097" s="14" t="s">
        <v>176</v>
      </c>
      <c r="D1097" s="14" t="s">
        <v>176</v>
      </c>
      <c r="E1097" s="14" t="s">
        <v>176</v>
      </c>
    </row>
    <row r="1098" s="29" customFormat="1" spans="2:5">
      <c r="B1098" s="15" t="s">
        <v>177</v>
      </c>
      <c r="C1098" s="16" t="s">
        <v>178</v>
      </c>
      <c r="D1098" s="17" t="s">
        <v>179</v>
      </c>
      <c r="E1098" s="18" t="s">
        <v>180</v>
      </c>
    </row>
    <row r="1099" s="29" customFormat="1" ht="28" spans="2:5">
      <c r="B1099" s="19" t="s">
        <v>616</v>
      </c>
      <c r="C1099" s="20" t="s">
        <v>804</v>
      </c>
      <c r="D1099" s="21">
        <v>1</v>
      </c>
      <c r="E1099" s="22">
        <v>744595</v>
      </c>
    </row>
    <row r="1100" s="29" customFormat="1" ht="28" spans="2:5">
      <c r="B1100" s="19" t="s">
        <v>616</v>
      </c>
      <c r="C1100" s="16" t="s">
        <v>183</v>
      </c>
      <c r="D1100" s="23">
        <v>1</v>
      </c>
      <c r="E1100" s="24">
        <v>744595</v>
      </c>
    </row>
    <row r="1101" s="29" customFormat="1" ht="28" spans="2:5">
      <c r="B1101" s="19" t="s">
        <v>1295</v>
      </c>
      <c r="C1101" s="20" t="s">
        <v>804</v>
      </c>
      <c r="D1101" s="21">
        <v>1</v>
      </c>
      <c r="E1101" s="22">
        <v>760360</v>
      </c>
    </row>
    <row r="1102" s="29" customFormat="1" ht="28" spans="2:5">
      <c r="B1102" s="19" t="s">
        <v>1295</v>
      </c>
      <c r="C1102" s="16" t="s">
        <v>183</v>
      </c>
      <c r="D1102" s="23">
        <v>1</v>
      </c>
      <c r="E1102" s="24">
        <v>760360</v>
      </c>
    </row>
    <row r="1103" s="29" customFormat="1" ht="41" spans="2:5">
      <c r="B1103" s="19" t="s">
        <v>382</v>
      </c>
      <c r="C1103" s="20" t="s">
        <v>182</v>
      </c>
      <c r="D1103" s="21">
        <v>1</v>
      </c>
      <c r="E1103" s="22">
        <v>108108.108108</v>
      </c>
    </row>
    <row r="1104" s="29" customFormat="1" ht="41" spans="2:5">
      <c r="B1104" s="19" t="s">
        <v>382</v>
      </c>
      <c r="C1104" s="16" t="s">
        <v>183</v>
      </c>
      <c r="D1104" s="23">
        <v>1</v>
      </c>
      <c r="E1104" s="24">
        <v>108108.108108</v>
      </c>
    </row>
    <row r="1105" s="29" customFormat="1" ht="41" spans="2:5">
      <c r="B1105" s="19" t="s">
        <v>316</v>
      </c>
      <c r="C1105" s="20" t="s">
        <v>182</v>
      </c>
      <c r="D1105" s="21">
        <v>9</v>
      </c>
      <c r="E1105" s="22">
        <v>745946.063064</v>
      </c>
    </row>
    <row r="1106" s="29" customFormat="1" ht="28" spans="2:5">
      <c r="B1106" s="19" t="s">
        <v>316</v>
      </c>
      <c r="C1106" s="20" t="s">
        <v>804</v>
      </c>
      <c r="D1106" s="21">
        <v>6</v>
      </c>
      <c r="E1106" s="22">
        <v>497297.081082</v>
      </c>
    </row>
    <row r="1107" s="29" customFormat="1" ht="28" spans="2:5">
      <c r="B1107" s="19" t="s">
        <v>316</v>
      </c>
      <c r="C1107" s="16" t="s">
        <v>183</v>
      </c>
      <c r="D1107" s="23">
        <v>15</v>
      </c>
      <c r="E1107" s="24">
        <v>1243243.144146</v>
      </c>
    </row>
    <row r="1108" s="29" customFormat="1" ht="41" spans="2:5">
      <c r="B1108" s="19" t="s">
        <v>383</v>
      </c>
      <c r="C1108" s="20" t="s">
        <v>182</v>
      </c>
      <c r="D1108" s="21">
        <v>9</v>
      </c>
      <c r="E1108" s="22">
        <v>283784.567571</v>
      </c>
    </row>
    <row r="1109" s="29" customFormat="1" ht="28" spans="2:5">
      <c r="B1109" s="19" t="s">
        <v>383</v>
      </c>
      <c r="C1109" s="20" t="s">
        <v>804</v>
      </c>
      <c r="D1109" s="21">
        <v>12</v>
      </c>
      <c r="E1109" s="22">
        <v>378378.783788</v>
      </c>
    </row>
    <row r="1110" s="29" customFormat="1" ht="28" spans="2:5">
      <c r="B1110" s="19" t="s">
        <v>383</v>
      </c>
      <c r="C1110" s="16" t="s">
        <v>183</v>
      </c>
      <c r="D1110" s="23">
        <v>21</v>
      </c>
      <c r="E1110" s="24">
        <v>662163.351359</v>
      </c>
    </row>
    <row r="1111" s="29" customFormat="1" ht="41.75" spans="2:5">
      <c r="B1111" s="20" t="s">
        <v>384</v>
      </c>
      <c r="C1111" s="20" t="s">
        <v>182</v>
      </c>
      <c r="D1111" s="21">
        <v>7</v>
      </c>
      <c r="E1111" s="22">
        <v>581009.648649</v>
      </c>
    </row>
    <row r="1112" s="29" customFormat="1" spans="2:5">
      <c r="B1112" s="25"/>
      <c r="C1112" s="25"/>
      <c r="D1112" s="25"/>
      <c r="E1112" s="25"/>
    </row>
    <row r="1113" s="29" customFormat="1" ht="36" spans="2:5">
      <c r="B1113" s="26" t="s">
        <v>189</v>
      </c>
      <c r="C1113" s="26" t="s">
        <v>189</v>
      </c>
      <c r="D1113" s="26" t="s">
        <v>189</v>
      </c>
      <c r="E1113" s="26" t="s">
        <v>189</v>
      </c>
    </row>
    <row r="1114" s="29" customFormat="1" spans="2:5">
      <c r="B1114" s="26"/>
      <c r="C1114" s="26"/>
      <c r="D1114" s="26"/>
      <c r="E1114" s="26"/>
    </row>
    <row r="1115" s="29" customFormat="1" ht="36" spans="2:5">
      <c r="B1115" s="26" t="s">
        <v>958</v>
      </c>
      <c r="C1115" s="26" t="s">
        <v>958</v>
      </c>
      <c r="D1115" s="26" t="s">
        <v>958</v>
      </c>
      <c r="E1115" s="26" t="s">
        <v>958</v>
      </c>
    </row>
    <row r="1116" s="29" customFormat="1" spans="2:5">
      <c r="B1116" s="26" t="s">
        <v>935</v>
      </c>
      <c r="C1116" s="26" t="s">
        <v>935</v>
      </c>
      <c r="D1116" s="26" t="s">
        <v>935</v>
      </c>
      <c r="E1116" s="26" t="s">
        <v>935</v>
      </c>
    </row>
    <row r="1117" s="29" customFormat="1" ht="124" spans="2:5">
      <c r="B1117" s="11" t="s">
        <v>173</v>
      </c>
      <c r="C1117" s="11" t="s">
        <v>173</v>
      </c>
      <c r="D1117" s="11" t="s">
        <v>173</v>
      </c>
      <c r="E1117" s="11" t="s">
        <v>173</v>
      </c>
    </row>
    <row r="1118" s="29" customFormat="1" ht="156" spans="2:5">
      <c r="B1118" s="12" t="s">
        <v>174</v>
      </c>
      <c r="C1118" s="12" t="s">
        <v>174</v>
      </c>
      <c r="D1118" s="12" t="s">
        <v>174</v>
      </c>
      <c r="E1118" s="12" t="s">
        <v>174</v>
      </c>
    </row>
    <row r="1119" s="29" customFormat="1" ht="68" spans="2:5">
      <c r="B1119" s="13" t="s">
        <v>1155</v>
      </c>
      <c r="C1119" s="13" t="s">
        <v>1155</v>
      </c>
      <c r="D1119" s="13" t="s">
        <v>1155</v>
      </c>
      <c r="E1119" s="13" t="s">
        <v>1155</v>
      </c>
    </row>
    <row r="1120" s="29" customFormat="1" ht="22" spans="2:5">
      <c r="B1120" s="14" t="s">
        <v>176</v>
      </c>
      <c r="C1120" s="14" t="s">
        <v>176</v>
      </c>
      <c r="D1120" s="14" t="s">
        <v>176</v>
      </c>
      <c r="E1120" s="14" t="s">
        <v>176</v>
      </c>
    </row>
    <row r="1121" s="29" customFormat="1" spans="2:5">
      <c r="B1121" s="15" t="s">
        <v>177</v>
      </c>
      <c r="C1121" s="16" t="s">
        <v>178</v>
      </c>
      <c r="D1121" s="17" t="s">
        <v>179</v>
      </c>
      <c r="E1121" s="18" t="s">
        <v>180</v>
      </c>
    </row>
    <row r="1122" s="29" customFormat="1" ht="28" spans="2:5">
      <c r="B1122" s="19" t="s">
        <v>384</v>
      </c>
      <c r="C1122" s="20" t="s">
        <v>804</v>
      </c>
      <c r="D1122" s="21">
        <v>3</v>
      </c>
      <c r="E1122" s="22">
        <v>248648.648649</v>
      </c>
    </row>
    <row r="1123" s="29" customFormat="1" ht="28" spans="2:5">
      <c r="B1123" s="19" t="s">
        <v>384</v>
      </c>
      <c r="C1123" s="16" t="s">
        <v>183</v>
      </c>
      <c r="D1123" s="23">
        <v>10</v>
      </c>
      <c r="E1123" s="24">
        <v>829658.297298</v>
      </c>
    </row>
    <row r="1124" s="29" customFormat="1" ht="41" spans="2:5">
      <c r="B1124" s="19" t="s">
        <v>518</v>
      </c>
      <c r="C1124" s="20" t="s">
        <v>182</v>
      </c>
      <c r="D1124" s="21">
        <v>6</v>
      </c>
      <c r="E1124" s="22">
        <v>189189.189192</v>
      </c>
    </row>
    <row r="1125" s="29" customFormat="1" ht="28" spans="2:5">
      <c r="B1125" s="19" t="s">
        <v>518</v>
      </c>
      <c r="C1125" s="20" t="s">
        <v>804</v>
      </c>
      <c r="D1125" s="21">
        <v>5</v>
      </c>
      <c r="E1125" s="22">
        <v>157658.126128</v>
      </c>
    </row>
    <row r="1126" s="29" customFormat="1" ht="28" spans="2:5">
      <c r="B1126" s="19" t="s">
        <v>518</v>
      </c>
      <c r="C1126" s="16" t="s">
        <v>183</v>
      </c>
      <c r="D1126" s="23">
        <v>11</v>
      </c>
      <c r="E1126" s="24">
        <v>346847.31532</v>
      </c>
    </row>
    <row r="1127" s="29" customFormat="1" ht="41" spans="2:5">
      <c r="B1127" s="19" t="s">
        <v>1296</v>
      </c>
      <c r="C1127" s="20" t="s">
        <v>182</v>
      </c>
      <c r="D1127" s="21">
        <v>1</v>
      </c>
      <c r="E1127" s="22">
        <v>0</v>
      </c>
    </row>
    <row r="1128" s="29" customFormat="1" ht="28" spans="2:5">
      <c r="B1128" s="19" t="s">
        <v>1296</v>
      </c>
      <c r="C1128" s="16" t="s">
        <v>183</v>
      </c>
      <c r="D1128" s="23">
        <v>1</v>
      </c>
      <c r="E1128" s="24">
        <v>0</v>
      </c>
    </row>
    <row r="1129" s="29" customFormat="1" ht="41" spans="2:5">
      <c r="B1129" s="19" t="s">
        <v>1297</v>
      </c>
      <c r="C1129" s="20" t="s">
        <v>182</v>
      </c>
      <c r="D1129" s="21">
        <v>2</v>
      </c>
      <c r="E1129" s="22">
        <v>1205405.405405</v>
      </c>
    </row>
    <row r="1130" s="29" customFormat="1" ht="28" spans="2:5">
      <c r="B1130" s="19" t="s">
        <v>1297</v>
      </c>
      <c r="C1130" s="16" t="s">
        <v>183</v>
      </c>
      <c r="D1130" s="23">
        <v>2</v>
      </c>
      <c r="E1130" s="24">
        <v>1205405.405405</v>
      </c>
    </row>
    <row r="1131" s="29" customFormat="1" ht="28" spans="2:5">
      <c r="B1131" s="19" t="s">
        <v>1298</v>
      </c>
      <c r="C1131" s="20" t="s">
        <v>804</v>
      </c>
      <c r="D1131" s="21">
        <v>4</v>
      </c>
      <c r="E1131" s="22">
        <v>1200000</v>
      </c>
    </row>
    <row r="1132" s="29" customFormat="1" ht="28" spans="2:5">
      <c r="B1132" s="19" t="s">
        <v>1298</v>
      </c>
      <c r="C1132" s="16" t="s">
        <v>183</v>
      </c>
      <c r="D1132" s="23">
        <v>4</v>
      </c>
      <c r="E1132" s="24">
        <v>1200000</v>
      </c>
    </row>
    <row r="1133" s="29" customFormat="1" ht="41" spans="2:5">
      <c r="B1133" s="19" t="s">
        <v>1299</v>
      </c>
      <c r="C1133" s="20" t="s">
        <v>182</v>
      </c>
      <c r="D1133" s="21">
        <v>1</v>
      </c>
      <c r="E1133" s="22">
        <v>178000</v>
      </c>
    </row>
    <row r="1134" s="29" customFormat="1" ht="28" spans="2:5">
      <c r="B1134" s="19" t="s">
        <v>1299</v>
      </c>
      <c r="C1134" s="16" t="s">
        <v>183</v>
      </c>
      <c r="D1134" s="23">
        <v>1</v>
      </c>
      <c r="E1134" s="24">
        <v>178000</v>
      </c>
    </row>
    <row r="1135" s="29" customFormat="1" ht="28" spans="2:5">
      <c r="B1135" s="19" t="s">
        <v>1300</v>
      </c>
      <c r="C1135" s="20" t="s">
        <v>804</v>
      </c>
      <c r="D1135" s="21">
        <v>8</v>
      </c>
      <c r="E1135" s="22">
        <v>2960000</v>
      </c>
    </row>
    <row r="1136" s="29" customFormat="1" ht="28.75" spans="2:5">
      <c r="B1136" s="19" t="s">
        <v>1300</v>
      </c>
      <c r="C1136" s="16" t="s">
        <v>183</v>
      </c>
      <c r="D1136" s="23">
        <v>8</v>
      </c>
      <c r="E1136" s="24">
        <v>2960000</v>
      </c>
    </row>
    <row r="1137" s="29" customFormat="1" spans="2:5">
      <c r="B1137" s="25"/>
      <c r="C1137" s="25"/>
      <c r="D1137" s="25"/>
      <c r="E1137" s="25"/>
    </row>
    <row r="1138" s="29" customFormat="1" ht="36" spans="2:5">
      <c r="B1138" s="26" t="s">
        <v>189</v>
      </c>
      <c r="C1138" s="26" t="s">
        <v>189</v>
      </c>
      <c r="D1138" s="26" t="s">
        <v>189</v>
      </c>
      <c r="E1138" s="26" t="s">
        <v>189</v>
      </c>
    </row>
    <row r="1139" s="29" customFormat="1" spans="2:5">
      <c r="B1139" s="26"/>
      <c r="C1139" s="26"/>
      <c r="D1139" s="26"/>
      <c r="E1139" s="26"/>
    </row>
    <row r="1140" s="29" customFormat="1" ht="36" spans="2:5">
      <c r="B1140" s="26" t="s">
        <v>958</v>
      </c>
      <c r="C1140" s="26" t="s">
        <v>958</v>
      </c>
      <c r="D1140" s="26" t="s">
        <v>958</v>
      </c>
      <c r="E1140" s="26" t="s">
        <v>958</v>
      </c>
    </row>
    <row r="1141" s="29" customFormat="1" spans="2:5">
      <c r="B1141" s="26" t="s">
        <v>942</v>
      </c>
      <c r="C1141" s="26" t="s">
        <v>942</v>
      </c>
      <c r="D1141" s="26" t="s">
        <v>942</v>
      </c>
      <c r="E1141" s="26" t="s">
        <v>942</v>
      </c>
    </row>
    <row r="1142" s="29" customFormat="1" ht="124" spans="2:5">
      <c r="B1142" s="11" t="s">
        <v>173</v>
      </c>
      <c r="C1142" s="11" t="s">
        <v>173</v>
      </c>
      <c r="D1142" s="11" t="s">
        <v>173</v>
      </c>
      <c r="E1142" s="11" t="s">
        <v>173</v>
      </c>
    </row>
    <row r="1143" s="29" customFormat="1" ht="156" spans="2:5">
      <c r="B1143" s="12" t="s">
        <v>174</v>
      </c>
      <c r="C1143" s="12" t="s">
        <v>174</v>
      </c>
      <c r="D1143" s="12" t="s">
        <v>174</v>
      </c>
      <c r="E1143" s="12" t="s">
        <v>174</v>
      </c>
    </row>
    <row r="1144" s="29" customFormat="1" ht="68" spans="2:5">
      <c r="B1144" s="13" t="s">
        <v>1155</v>
      </c>
      <c r="C1144" s="13" t="s">
        <v>1155</v>
      </c>
      <c r="D1144" s="13" t="s">
        <v>1155</v>
      </c>
      <c r="E1144" s="13" t="s">
        <v>1155</v>
      </c>
    </row>
    <row r="1145" s="29" customFormat="1" ht="22" spans="2:5">
      <c r="B1145" s="14" t="s">
        <v>176</v>
      </c>
      <c r="C1145" s="14" t="s">
        <v>176</v>
      </c>
      <c r="D1145" s="14" t="s">
        <v>176</v>
      </c>
      <c r="E1145" s="14" t="s">
        <v>176</v>
      </c>
    </row>
    <row r="1146" s="29" customFormat="1" spans="2:5">
      <c r="B1146" s="15" t="s">
        <v>177</v>
      </c>
      <c r="C1146" s="16" t="s">
        <v>178</v>
      </c>
      <c r="D1146" s="17" t="s">
        <v>179</v>
      </c>
      <c r="E1146" s="18" t="s">
        <v>180</v>
      </c>
    </row>
    <row r="1147" s="29" customFormat="1" ht="28" spans="2:5">
      <c r="B1147" s="19" t="s">
        <v>1301</v>
      </c>
      <c r="C1147" s="20" t="s">
        <v>804</v>
      </c>
      <c r="D1147" s="21">
        <v>1</v>
      </c>
      <c r="E1147" s="22">
        <v>415000</v>
      </c>
    </row>
    <row r="1148" s="29" customFormat="1" ht="28" spans="2:5">
      <c r="B1148" s="19" t="s">
        <v>1301</v>
      </c>
      <c r="C1148" s="16" t="s">
        <v>183</v>
      </c>
      <c r="D1148" s="23">
        <v>1</v>
      </c>
      <c r="E1148" s="24">
        <v>415000</v>
      </c>
    </row>
    <row r="1149" s="29" customFormat="1" ht="41" spans="2:5">
      <c r="B1149" s="19" t="s">
        <v>1302</v>
      </c>
      <c r="C1149" s="20" t="s">
        <v>182</v>
      </c>
      <c r="D1149" s="21">
        <v>1</v>
      </c>
      <c r="E1149" s="22">
        <v>312000</v>
      </c>
    </row>
    <row r="1150" s="29" customFormat="1" ht="28" spans="2:5">
      <c r="B1150" s="19" t="s">
        <v>1302</v>
      </c>
      <c r="C1150" s="16" t="s">
        <v>183</v>
      </c>
      <c r="D1150" s="23">
        <v>1</v>
      </c>
      <c r="E1150" s="24">
        <v>312000</v>
      </c>
    </row>
    <row r="1151" s="29" customFormat="1" ht="41" spans="2:5">
      <c r="B1151" s="19" t="s">
        <v>1303</v>
      </c>
      <c r="C1151" s="20" t="s">
        <v>182</v>
      </c>
      <c r="D1151" s="21">
        <v>1</v>
      </c>
      <c r="E1151" s="22">
        <v>1305000</v>
      </c>
    </row>
    <row r="1152" s="29" customFormat="1" ht="28" spans="2:5">
      <c r="B1152" s="19" t="s">
        <v>1303</v>
      </c>
      <c r="C1152" s="16" t="s">
        <v>183</v>
      </c>
      <c r="D1152" s="23">
        <v>1</v>
      </c>
      <c r="E1152" s="24">
        <v>1305000</v>
      </c>
    </row>
    <row r="1153" s="29" customFormat="1" ht="41" spans="2:5">
      <c r="B1153" s="19" t="s">
        <v>1304</v>
      </c>
      <c r="C1153" s="20" t="s">
        <v>182</v>
      </c>
      <c r="D1153" s="21">
        <v>1</v>
      </c>
      <c r="E1153" s="22">
        <v>3154000</v>
      </c>
    </row>
    <row r="1154" s="29" customFormat="1" ht="41" spans="2:5">
      <c r="B1154" s="19" t="s">
        <v>1304</v>
      </c>
      <c r="C1154" s="16" t="s">
        <v>183</v>
      </c>
      <c r="D1154" s="23">
        <v>1</v>
      </c>
      <c r="E1154" s="24">
        <v>3154000</v>
      </c>
    </row>
    <row r="1155" s="29" customFormat="1" ht="41" spans="2:5">
      <c r="B1155" s="19" t="s">
        <v>1305</v>
      </c>
      <c r="C1155" s="20" t="s">
        <v>182</v>
      </c>
      <c r="D1155" s="21">
        <v>1</v>
      </c>
      <c r="E1155" s="22">
        <v>22000</v>
      </c>
    </row>
    <row r="1156" s="29" customFormat="1" ht="28" spans="2:5">
      <c r="B1156" s="19" t="s">
        <v>1305</v>
      </c>
      <c r="C1156" s="16" t="s">
        <v>183</v>
      </c>
      <c r="D1156" s="23">
        <v>1</v>
      </c>
      <c r="E1156" s="24">
        <v>22000</v>
      </c>
    </row>
    <row r="1157" s="29" customFormat="1" ht="41" spans="2:5">
      <c r="B1157" s="19" t="s">
        <v>1306</v>
      </c>
      <c r="C1157" s="20" t="s">
        <v>182</v>
      </c>
      <c r="D1157" s="21">
        <v>1</v>
      </c>
      <c r="E1157" s="22">
        <v>2284000</v>
      </c>
    </row>
    <row r="1158" s="29" customFormat="1" ht="28" spans="2:5">
      <c r="B1158" s="19" t="s">
        <v>1306</v>
      </c>
      <c r="C1158" s="16" t="s">
        <v>183</v>
      </c>
      <c r="D1158" s="23">
        <v>1</v>
      </c>
      <c r="E1158" s="24">
        <v>2284000</v>
      </c>
    </row>
    <row r="1159" s="29" customFormat="1" ht="41" spans="2:5">
      <c r="B1159" s="19" t="s">
        <v>1307</v>
      </c>
      <c r="C1159" s="20" t="s">
        <v>182</v>
      </c>
      <c r="D1159" s="21">
        <v>1</v>
      </c>
      <c r="E1159" s="22">
        <v>80000</v>
      </c>
    </row>
    <row r="1160" s="29" customFormat="1" ht="28.75" spans="2:5">
      <c r="B1160" s="19" t="s">
        <v>1307</v>
      </c>
      <c r="C1160" s="16" t="s">
        <v>183</v>
      </c>
      <c r="D1160" s="23">
        <v>1</v>
      </c>
      <c r="E1160" s="24">
        <v>80000</v>
      </c>
    </row>
    <row r="1161" s="29" customFormat="1" spans="2:5">
      <c r="B1161" s="25"/>
      <c r="C1161" s="25"/>
      <c r="D1161" s="25"/>
      <c r="E1161" s="25"/>
    </row>
    <row r="1162" s="29" customFormat="1" ht="36" spans="2:5">
      <c r="B1162" s="26" t="s">
        <v>189</v>
      </c>
      <c r="C1162" s="26" t="s">
        <v>189</v>
      </c>
      <c r="D1162" s="26" t="s">
        <v>189</v>
      </c>
      <c r="E1162" s="26" t="s">
        <v>189</v>
      </c>
    </row>
    <row r="1163" s="29" customFormat="1" spans="2:5">
      <c r="B1163" s="26"/>
      <c r="C1163" s="26"/>
      <c r="D1163" s="26"/>
      <c r="E1163" s="26"/>
    </row>
    <row r="1164" s="29" customFormat="1" ht="36" spans="2:5">
      <c r="B1164" s="26" t="s">
        <v>958</v>
      </c>
      <c r="C1164" s="26" t="s">
        <v>958</v>
      </c>
      <c r="D1164" s="26" t="s">
        <v>958</v>
      </c>
      <c r="E1164" s="26" t="s">
        <v>958</v>
      </c>
    </row>
    <row r="1165" s="29" customFormat="1" spans="2:5">
      <c r="B1165" s="26" t="s">
        <v>949</v>
      </c>
      <c r="C1165" s="26" t="s">
        <v>949</v>
      </c>
      <c r="D1165" s="26" t="s">
        <v>949</v>
      </c>
      <c r="E1165" s="26" t="s">
        <v>949</v>
      </c>
    </row>
    <row r="1166" s="29" customFormat="1" ht="124" spans="2:5">
      <c r="B1166" s="11" t="s">
        <v>173</v>
      </c>
      <c r="C1166" s="11" t="s">
        <v>173</v>
      </c>
      <c r="D1166" s="11" t="s">
        <v>173</v>
      </c>
      <c r="E1166" s="11" t="s">
        <v>173</v>
      </c>
    </row>
    <row r="1167" s="29" customFormat="1" ht="156" spans="2:5">
      <c r="B1167" s="12" t="s">
        <v>174</v>
      </c>
      <c r="C1167" s="12" t="s">
        <v>174</v>
      </c>
      <c r="D1167" s="12" t="s">
        <v>174</v>
      </c>
      <c r="E1167" s="12" t="s">
        <v>174</v>
      </c>
    </row>
    <row r="1168" s="29" customFormat="1" ht="68" spans="2:5">
      <c r="B1168" s="13" t="s">
        <v>1155</v>
      </c>
      <c r="C1168" s="13" t="s">
        <v>1155</v>
      </c>
      <c r="D1168" s="13" t="s">
        <v>1155</v>
      </c>
      <c r="E1168" s="13" t="s">
        <v>1155</v>
      </c>
    </row>
    <row r="1169" s="29" customFormat="1" ht="22" spans="2:5">
      <c r="B1169" s="14" t="s">
        <v>176</v>
      </c>
      <c r="C1169" s="14" t="s">
        <v>176</v>
      </c>
      <c r="D1169" s="14" t="s">
        <v>176</v>
      </c>
      <c r="E1169" s="14" t="s">
        <v>176</v>
      </c>
    </row>
    <row r="1170" s="29" customFormat="1" spans="2:5">
      <c r="B1170" s="15" t="s">
        <v>177</v>
      </c>
      <c r="C1170" s="16" t="s">
        <v>178</v>
      </c>
      <c r="D1170" s="17" t="s">
        <v>179</v>
      </c>
      <c r="E1170" s="18" t="s">
        <v>180</v>
      </c>
    </row>
    <row r="1171" s="29" customFormat="1" ht="41" spans="2:5">
      <c r="B1171" s="19" t="s">
        <v>1308</v>
      </c>
      <c r="C1171" s="20" t="s">
        <v>182</v>
      </c>
      <c r="D1171" s="21">
        <v>4</v>
      </c>
      <c r="E1171" s="22">
        <v>800000</v>
      </c>
    </row>
    <row r="1172" s="29" customFormat="1" ht="28" spans="2:5">
      <c r="B1172" s="19" t="s">
        <v>1308</v>
      </c>
      <c r="C1172" s="16" t="s">
        <v>183</v>
      </c>
      <c r="D1172" s="23">
        <v>4</v>
      </c>
      <c r="E1172" s="24">
        <v>800000</v>
      </c>
    </row>
    <row r="1173" s="29" customFormat="1" ht="41" spans="2:5">
      <c r="B1173" s="19" t="s">
        <v>1309</v>
      </c>
      <c r="C1173" s="20" t="s">
        <v>182</v>
      </c>
      <c r="D1173" s="21">
        <v>1</v>
      </c>
      <c r="E1173" s="22">
        <v>876000</v>
      </c>
    </row>
    <row r="1174" s="29" customFormat="1" ht="28" spans="2:5">
      <c r="B1174" s="19" t="s">
        <v>1309</v>
      </c>
      <c r="C1174" s="16" t="s">
        <v>183</v>
      </c>
      <c r="D1174" s="23">
        <v>1</v>
      </c>
      <c r="E1174" s="24">
        <v>876000</v>
      </c>
    </row>
    <row r="1175" s="29" customFormat="1" ht="41" spans="2:5">
      <c r="B1175" s="19" t="s">
        <v>733</v>
      </c>
      <c r="C1175" s="20" t="s">
        <v>182</v>
      </c>
      <c r="D1175" s="21">
        <v>3</v>
      </c>
      <c r="E1175" s="22">
        <v>218919</v>
      </c>
    </row>
    <row r="1176" s="29" customFormat="1" ht="28" spans="2:5">
      <c r="B1176" s="19" t="s">
        <v>733</v>
      </c>
      <c r="C1176" s="20" t="s">
        <v>804</v>
      </c>
      <c r="D1176" s="21">
        <v>9</v>
      </c>
      <c r="E1176" s="22">
        <v>656756.774775</v>
      </c>
    </row>
    <row r="1177" s="29" customFormat="1" ht="28" spans="2:5">
      <c r="B1177" s="19" t="s">
        <v>733</v>
      </c>
      <c r="C1177" s="16" t="s">
        <v>183</v>
      </c>
      <c r="D1177" s="23">
        <v>12</v>
      </c>
      <c r="E1177" s="24">
        <v>875675.774775</v>
      </c>
    </row>
    <row r="1178" s="29" customFormat="1" ht="28" spans="2:5">
      <c r="B1178" s="19" t="s">
        <v>318</v>
      </c>
      <c r="C1178" s="20" t="s">
        <v>804</v>
      </c>
      <c r="D1178" s="21">
        <v>4</v>
      </c>
      <c r="E1178" s="22">
        <v>0</v>
      </c>
    </row>
    <row r="1179" s="29" customFormat="1" ht="28" spans="2:5">
      <c r="B1179" s="19" t="s">
        <v>318</v>
      </c>
      <c r="C1179" s="16" t="s">
        <v>183</v>
      </c>
      <c r="D1179" s="23">
        <v>4</v>
      </c>
      <c r="E1179" s="24">
        <v>0</v>
      </c>
    </row>
    <row r="1180" s="29" customFormat="1" ht="41" spans="2:5">
      <c r="B1180" s="19" t="s">
        <v>457</v>
      </c>
      <c r="C1180" s="20" t="s">
        <v>182</v>
      </c>
      <c r="D1180" s="21">
        <v>7</v>
      </c>
      <c r="E1180" s="22">
        <v>1126126.126126</v>
      </c>
    </row>
    <row r="1181" s="29" customFormat="1" ht="28" spans="2:5">
      <c r="B1181" s="19" t="s">
        <v>457</v>
      </c>
      <c r="C1181" s="20" t="s">
        <v>804</v>
      </c>
      <c r="D1181" s="21">
        <v>2</v>
      </c>
      <c r="E1181" s="22">
        <v>481080.603604</v>
      </c>
    </row>
    <row r="1182" s="29" customFormat="1" spans="2:5">
      <c r="B1182" s="19" t="s">
        <v>457</v>
      </c>
      <c r="C1182" s="16" t="s">
        <v>183</v>
      </c>
      <c r="D1182" s="23">
        <v>9</v>
      </c>
      <c r="E1182" s="24">
        <v>1607206.72973</v>
      </c>
    </row>
    <row r="1183" s="29" customFormat="1" ht="41.75" spans="2:5">
      <c r="B1183" s="20" t="s">
        <v>458</v>
      </c>
      <c r="C1183" s="20" t="s">
        <v>182</v>
      </c>
      <c r="D1183" s="21">
        <v>6</v>
      </c>
      <c r="E1183" s="22">
        <v>919819.63964</v>
      </c>
    </row>
    <row r="1184" s="29" customFormat="1" spans="2:5">
      <c r="B1184" s="25"/>
      <c r="C1184" s="25"/>
      <c r="D1184" s="25"/>
      <c r="E1184" s="25"/>
    </row>
    <row r="1185" s="29" customFormat="1" ht="36" spans="2:5">
      <c r="B1185" s="26" t="s">
        <v>189</v>
      </c>
      <c r="C1185" s="26" t="s">
        <v>189</v>
      </c>
      <c r="D1185" s="26" t="s">
        <v>189</v>
      </c>
      <c r="E1185" s="26" t="s">
        <v>189</v>
      </c>
    </row>
    <row r="1186" s="29" customFormat="1" spans="2:5">
      <c r="B1186" s="26"/>
      <c r="C1186" s="26"/>
      <c r="D1186" s="26"/>
      <c r="E1186" s="26"/>
    </row>
    <row r="1187" s="29" customFormat="1" ht="36" spans="2:5">
      <c r="B1187" s="26" t="s">
        <v>958</v>
      </c>
      <c r="C1187" s="26" t="s">
        <v>958</v>
      </c>
      <c r="D1187" s="26" t="s">
        <v>958</v>
      </c>
      <c r="E1187" s="26" t="s">
        <v>958</v>
      </c>
    </row>
    <row r="1188" s="29" customFormat="1" spans="2:5">
      <c r="B1188" s="26" t="s">
        <v>950</v>
      </c>
      <c r="C1188" s="26" t="s">
        <v>950</v>
      </c>
      <c r="D1188" s="26" t="s">
        <v>950</v>
      </c>
      <c r="E1188" s="26" t="s">
        <v>950</v>
      </c>
    </row>
    <row r="1189" s="29" customFormat="1" ht="124" spans="2:5">
      <c r="B1189" s="11" t="s">
        <v>173</v>
      </c>
      <c r="C1189" s="11" t="s">
        <v>173</v>
      </c>
      <c r="D1189" s="11" t="s">
        <v>173</v>
      </c>
      <c r="E1189" s="11" t="s">
        <v>173</v>
      </c>
    </row>
    <row r="1190" s="29" customFormat="1" ht="156" spans="2:5">
      <c r="B1190" s="12" t="s">
        <v>174</v>
      </c>
      <c r="C1190" s="12" t="s">
        <v>174</v>
      </c>
      <c r="D1190" s="12" t="s">
        <v>174</v>
      </c>
      <c r="E1190" s="12" t="s">
        <v>174</v>
      </c>
    </row>
    <row r="1191" s="29" customFormat="1" ht="68" spans="2:5">
      <c r="B1191" s="13" t="s">
        <v>1155</v>
      </c>
      <c r="C1191" s="13" t="s">
        <v>1155</v>
      </c>
      <c r="D1191" s="13" t="s">
        <v>1155</v>
      </c>
      <c r="E1191" s="13" t="s">
        <v>1155</v>
      </c>
    </row>
    <row r="1192" s="29" customFormat="1" ht="22" spans="2:5">
      <c r="B1192" s="14" t="s">
        <v>176</v>
      </c>
      <c r="C1192" s="14" t="s">
        <v>176</v>
      </c>
      <c r="D1192" s="14" t="s">
        <v>176</v>
      </c>
      <c r="E1192" s="14" t="s">
        <v>176</v>
      </c>
    </row>
    <row r="1193" s="29" customFormat="1" spans="2:5">
      <c r="B1193" s="15" t="s">
        <v>177</v>
      </c>
      <c r="C1193" s="16" t="s">
        <v>178</v>
      </c>
      <c r="D1193" s="17" t="s">
        <v>179</v>
      </c>
      <c r="E1193" s="18" t="s">
        <v>180</v>
      </c>
    </row>
    <row r="1194" s="29" customFormat="1" ht="28" spans="2:5">
      <c r="B1194" s="19" t="s">
        <v>458</v>
      </c>
      <c r="C1194" s="20" t="s">
        <v>804</v>
      </c>
      <c r="D1194" s="21">
        <v>1</v>
      </c>
      <c r="E1194" s="22">
        <v>0</v>
      </c>
    </row>
    <row r="1195" s="29" customFormat="1" spans="2:5">
      <c r="B1195" s="19" t="s">
        <v>458</v>
      </c>
      <c r="C1195" s="16" t="s">
        <v>183</v>
      </c>
      <c r="D1195" s="23">
        <v>7</v>
      </c>
      <c r="E1195" s="24">
        <v>919819.63964</v>
      </c>
    </row>
    <row r="1196" s="29" customFormat="1" ht="41" spans="2:5">
      <c r="B1196" s="19" t="s">
        <v>459</v>
      </c>
      <c r="C1196" s="20" t="s">
        <v>182</v>
      </c>
      <c r="D1196" s="21">
        <v>5</v>
      </c>
      <c r="E1196" s="22">
        <v>200000</v>
      </c>
    </row>
    <row r="1197" s="29" customFormat="1" ht="28" spans="2:5">
      <c r="B1197" s="19" t="s">
        <v>459</v>
      </c>
      <c r="C1197" s="20" t="s">
        <v>804</v>
      </c>
      <c r="D1197" s="21">
        <v>1</v>
      </c>
      <c r="E1197" s="22">
        <v>200000</v>
      </c>
    </row>
    <row r="1198" s="29" customFormat="1" spans="2:5">
      <c r="B1198" s="19" t="s">
        <v>459</v>
      </c>
      <c r="C1198" s="16" t="s">
        <v>183</v>
      </c>
      <c r="D1198" s="23">
        <v>6</v>
      </c>
      <c r="E1198" s="24">
        <v>400000</v>
      </c>
    </row>
    <row r="1199" s="29" customFormat="1" ht="41" spans="2:5">
      <c r="B1199" s="19" t="s">
        <v>319</v>
      </c>
      <c r="C1199" s="20" t="s">
        <v>182</v>
      </c>
      <c r="D1199" s="21">
        <v>2</v>
      </c>
      <c r="E1199" s="22">
        <v>0</v>
      </c>
    </row>
    <row r="1200" s="29" customFormat="1" ht="28" spans="2:5">
      <c r="B1200" s="19" t="s">
        <v>319</v>
      </c>
      <c r="C1200" s="20" t="s">
        <v>804</v>
      </c>
      <c r="D1200" s="21">
        <v>3</v>
      </c>
      <c r="E1200" s="22">
        <v>0</v>
      </c>
    </row>
    <row r="1201" s="29" customFormat="1" spans="2:5">
      <c r="B1201" s="19" t="s">
        <v>319</v>
      </c>
      <c r="C1201" s="16" t="s">
        <v>183</v>
      </c>
      <c r="D1201" s="23">
        <v>5</v>
      </c>
      <c r="E1201" s="24">
        <v>0</v>
      </c>
    </row>
    <row r="1202" s="29" customFormat="1" ht="41" spans="2:5">
      <c r="B1202" s="19" t="s">
        <v>320</v>
      </c>
      <c r="C1202" s="20" t="s">
        <v>182</v>
      </c>
      <c r="D1202" s="21">
        <v>29</v>
      </c>
      <c r="E1202" s="22">
        <v>0</v>
      </c>
    </row>
    <row r="1203" s="29" customFormat="1" ht="28" spans="2:5">
      <c r="B1203" s="19" t="s">
        <v>320</v>
      </c>
      <c r="C1203" s="20" t="s">
        <v>804</v>
      </c>
      <c r="D1203" s="21">
        <v>13</v>
      </c>
      <c r="E1203" s="22">
        <v>100901.135135</v>
      </c>
    </row>
    <row r="1204" s="29" customFormat="1" ht="28" spans="2:5">
      <c r="B1204" s="19" t="s">
        <v>320</v>
      </c>
      <c r="C1204" s="16" t="s">
        <v>183</v>
      </c>
      <c r="D1204" s="23">
        <v>42</v>
      </c>
      <c r="E1204" s="24">
        <v>100901.135135</v>
      </c>
    </row>
    <row r="1205" s="29" customFormat="1" ht="41" spans="2:5">
      <c r="B1205" s="19" t="s">
        <v>894</v>
      </c>
      <c r="C1205" s="20" t="s">
        <v>182</v>
      </c>
      <c r="D1205" s="21">
        <v>7</v>
      </c>
      <c r="E1205" s="22">
        <v>261000</v>
      </c>
    </row>
    <row r="1206" s="29" customFormat="1" ht="28" spans="2:5">
      <c r="B1206" s="19" t="s">
        <v>894</v>
      </c>
      <c r="C1206" s="20" t="s">
        <v>804</v>
      </c>
      <c r="D1206" s="21">
        <v>9</v>
      </c>
      <c r="E1206" s="22">
        <v>78378.378378</v>
      </c>
    </row>
    <row r="1207" s="29" customFormat="1" ht="28.75" spans="2:5">
      <c r="B1207" s="19" t="s">
        <v>894</v>
      </c>
      <c r="C1207" s="16" t="s">
        <v>183</v>
      </c>
      <c r="D1207" s="23">
        <v>16</v>
      </c>
      <c r="E1207" s="24">
        <v>339378.378378</v>
      </c>
    </row>
    <row r="1208" s="29" customFormat="1" spans="2:5">
      <c r="B1208" s="25"/>
      <c r="C1208" s="25"/>
      <c r="D1208" s="25"/>
      <c r="E1208" s="25"/>
    </row>
    <row r="1209" s="29" customFormat="1" ht="36" spans="2:5">
      <c r="B1209" s="26" t="s">
        <v>189</v>
      </c>
      <c r="C1209" s="26" t="s">
        <v>189</v>
      </c>
      <c r="D1209" s="26" t="s">
        <v>189</v>
      </c>
      <c r="E1209" s="26" t="s">
        <v>189</v>
      </c>
    </row>
    <row r="1210" s="29" customFormat="1" spans="2:5">
      <c r="B1210" s="26"/>
      <c r="C1210" s="26"/>
      <c r="D1210" s="26"/>
      <c r="E1210" s="26"/>
    </row>
    <row r="1211" s="29" customFormat="1" ht="36" spans="2:5">
      <c r="B1211" s="26" t="s">
        <v>958</v>
      </c>
      <c r="C1211" s="26" t="s">
        <v>958</v>
      </c>
      <c r="D1211" s="26" t="s">
        <v>958</v>
      </c>
      <c r="E1211" s="26" t="s">
        <v>958</v>
      </c>
    </row>
    <row r="1212" s="29" customFormat="1" spans="2:5">
      <c r="B1212" s="26" t="s">
        <v>1090</v>
      </c>
      <c r="C1212" s="26" t="s">
        <v>1090</v>
      </c>
      <c r="D1212" s="26" t="s">
        <v>1090</v>
      </c>
      <c r="E1212" s="26" t="s">
        <v>1090</v>
      </c>
    </row>
    <row r="1213" s="29" customFormat="1" ht="124" spans="2:5">
      <c r="B1213" s="11" t="s">
        <v>173</v>
      </c>
      <c r="C1213" s="11" t="s">
        <v>173</v>
      </c>
      <c r="D1213" s="11" t="s">
        <v>173</v>
      </c>
      <c r="E1213" s="11" t="s">
        <v>173</v>
      </c>
    </row>
    <row r="1214" s="29" customFormat="1" ht="156" spans="2:5">
      <c r="B1214" s="12" t="s">
        <v>174</v>
      </c>
      <c r="C1214" s="12" t="s">
        <v>174</v>
      </c>
      <c r="D1214" s="12" t="s">
        <v>174</v>
      </c>
      <c r="E1214" s="12" t="s">
        <v>174</v>
      </c>
    </row>
    <row r="1215" s="29" customFormat="1" ht="68" spans="2:5">
      <c r="B1215" s="13" t="s">
        <v>1155</v>
      </c>
      <c r="C1215" s="13" t="s">
        <v>1155</v>
      </c>
      <c r="D1215" s="13" t="s">
        <v>1155</v>
      </c>
      <c r="E1215" s="13" t="s">
        <v>1155</v>
      </c>
    </row>
    <row r="1216" s="29" customFormat="1" ht="22" spans="2:5">
      <c r="B1216" s="14" t="s">
        <v>176</v>
      </c>
      <c r="C1216" s="14" t="s">
        <v>176</v>
      </c>
      <c r="D1216" s="14" t="s">
        <v>176</v>
      </c>
      <c r="E1216" s="14" t="s">
        <v>176</v>
      </c>
    </row>
    <row r="1217" s="29" customFormat="1" spans="2:5">
      <c r="B1217" s="15" t="s">
        <v>177</v>
      </c>
      <c r="C1217" s="16" t="s">
        <v>178</v>
      </c>
      <c r="D1217" s="17" t="s">
        <v>179</v>
      </c>
      <c r="E1217" s="18" t="s">
        <v>180</v>
      </c>
    </row>
    <row r="1218" s="29" customFormat="1" ht="41" spans="2:5">
      <c r="B1218" s="19" t="s">
        <v>321</v>
      </c>
      <c r="C1218" s="20" t="s">
        <v>182</v>
      </c>
      <c r="D1218" s="21">
        <v>12</v>
      </c>
      <c r="E1218" s="22">
        <v>0</v>
      </c>
    </row>
    <row r="1219" s="29" customFormat="1" ht="28" spans="2:5">
      <c r="B1219" s="19" t="s">
        <v>321</v>
      </c>
      <c r="C1219" s="20" t="s">
        <v>804</v>
      </c>
      <c r="D1219" s="21">
        <v>7</v>
      </c>
      <c r="E1219" s="22">
        <v>0</v>
      </c>
    </row>
    <row r="1220" s="29" customFormat="1" ht="28" spans="2:5">
      <c r="B1220" s="19" t="s">
        <v>321</v>
      </c>
      <c r="C1220" s="16" t="s">
        <v>183</v>
      </c>
      <c r="D1220" s="23">
        <v>19</v>
      </c>
      <c r="E1220" s="24">
        <v>0</v>
      </c>
    </row>
    <row r="1221" s="29" customFormat="1" ht="41" spans="2:5">
      <c r="B1221" s="19" t="s">
        <v>322</v>
      </c>
      <c r="C1221" s="20" t="s">
        <v>182</v>
      </c>
      <c r="D1221" s="21">
        <v>10</v>
      </c>
      <c r="E1221" s="22">
        <v>196396.045045</v>
      </c>
    </row>
    <row r="1222" s="29" customFormat="1" ht="28" spans="2:5">
      <c r="B1222" s="19" t="s">
        <v>322</v>
      </c>
      <c r="C1222" s="20" t="s">
        <v>804</v>
      </c>
      <c r="D1222" s="21">
        <v>4</v>
      </c>
      <c r="E1222" s="22">
        <v>392792.396396</v>
      </c>
    </row>
    <row r="1223" s="29" customFormat="1" ht="28" spans="2:5">
      <c r="B1223" s="19" t="s">
        <v>322</v>
      </c>
      <c r="C1223" s="16" t="s">
        <v>183</v>
      </c>
      <c r="D1223" s="23">
        <v>14</v>
      </c>
      <c r="E1223" s="24">
        <v>589188.441441</v>
      </c>
    </row>
    <row r="1224" s="29" customFormat="1" ht="41" spans="2:5">
      <c r="B1224" s="19" t="s">
        <v>323</v>
      </c>
      <c r="C1224" s="20" t="s">
        <v>182</v>
      </c>
      <c r="D1224" s="21">
        <v>28</v>
      </c>
      <c r="E1224" s="22">
        <v>0</v>
      </c>
    </row>
    <row r="1225" s="29" customFormat="1" ht="28" spans="2:5">
      <c r="B1225" s="19" t="s">
        <v>323</v>
      </c>
      <c r="C1225" s="20" t="s">
        <v>804</v>
      </c>
      <c r="D1225" s="21">
        <v>8</v>
      </c>
      <c r="E1225" s="22">
        <v>0</v>
      </c>
    </row>
    <row r="1226" s="29" customFormat="1" ht="28" spans="2:5">
      <c r="B1226" s="19" t="s">
        <v>323</v>
      </c>
      <c r="C1226" s="16" t="s">
        <v>183</v>
      </c>
      <c r="D1226" s="23">
        <v>36</v>
      </c>
      <c r="E1226" s="24">
        <v>0</v>
      </c>
    </row>
    <row r="1227" s="29" customFormat="1" ht="41" spans="2:5">
      <c r="B1227" s="19" t="s">
        <v>325</v>
      </c>
      <c r="C1227" s="20" t="s">
        <v>182</v>
      </c>
      <c r="D1227" s="21">
        <v>4</v>
      </c>
      <c r="E1227" s="22">
        <v>353153.153153</v>
      </c>
    </row>
    <row r="1228" s="29" customFormat="1" ht="28" spans="2:5">
      <c r="B1228" s="19" t="s">
        <v>325</v>
      </c>
      <c r="C1228" s="16" t="s">
        <v>183</v>
      </c>
      <c r="D1228" s="23">
        <v>4</v>
      </c>
      <c r="E1228" s="24">
        <v>353153.153153</v>
      </c>
    </row>
    <row r="1229" s="29" customFormat="1" ht="41.75" spans="2:5">
      <c r="B1229" s="20" t="s">
        <v>895</v>
      </c>
      <c r="C1229" s="20" t="s">
        <v>182</v>
      </c>
      <c r="D1229" s="21">
        <v>28</v>
      </c>
      <c r="E1229" s="22">
        <v>3567567.954957</v>
      </c>
    </row>
    <row r="1230" s="29" customFormat="1" spans="2:5">
      <c r="B1230" s="25"/>
      <c r="C1230" s="25"/>
      <c r="D1230" s="25"/>
      <c r="E1230" s="25"/>
    </row>
    <row r="1231" s="29" customFormat="1" ht="36" spans="2:5">
      <c r="B1231" s="26" t="s">
        <v>189</v>
      </c>
      <c r="C1231" s="26" t="s">
        <v>189</v>
      </c>
      <c r="D1231" s="26" t="s">
        <v>189</v>
      </c>
      <c r="E1231" s="26" t="s">
        <v>189</v>
      </c>
    </row>
    <row r="1232" s="29" customFormat="1" spans="2:5">
      <c r="B1232" s="26"/>
      <c r="C1232" s="26"/>
      <c r="D1232" s="26"/>
      <c r="E1232" s="26"/>
    </row>
    <row r="1233" s="29" customFormat="1" ht="36" spans="2:5">
      <c r="B1233" s="26" t="s">
        <v>958</v>
      </c>
      <c r="C1233" s="26" t="s">
        <v>958</v>
      </c>
      <c r="D1233" s="26" t="s">
        <v>958</v>
      </c>
      <c r="E1233" s="26" t="s">
        <v>958</v>
      </c>
    </row>
    <row r="1234" s="29" customFormat="1" spans="2:5">
      <c r="B1234" s="26" t="s">
        <v>1096</v>
      </c>
      <c r="C1234" s="26" t="s">
        <v>1096</v>
      </c>
      <c r="D1234" s="26" t="s">
        <v>1096</v>
      </c>
      <c r="E1234" s="26" t="s">
        <v>1096</v>
      </c>
    </row>
    <row r="1235" s="29" customFormat="1" ht="124" spans="2:5">
      <c r="B1235" s="11" t="s">
        <v>173</v>
      </c>
      <c r="C1235" s="11" t="s">
        <v>173</v>
      </c>
      <c r="D1235" s="11" t="s">
        <v>173</v>
      </c>
      <c r="E1235" s="11" t="s">
        <v>173</v>
      </c>
    </row>
    <row r="1236" s="29" customFormat="1" ht="156" spans="2:5">
      <c r="B1236" s="12" t="s">
        <v>174</v>
      </c>
      <c r="C1236" s="12" t="s">
        <v>174</v>
      </c>
      <c r="D1236" s="12" t="s">
        <v>174</v>
      </c>
      <c r="E1236" s="12" t="s">
        <v>174</v>
      </c>
    </row>
    <row r="1237" s="29" customFormat="1" ht="68" spans="2:5">
      <c r="B1237" s="13" t="s">
        <v>1155</v>
      </c>
      <c r="C1237" s="13" t="s">
        <v>1155</v>
      </c>
      <c r="D1237" s="13" t="s">
        <v>1155</v>
      </c>
      <c r="E1237" s="13" t="s">
        <v>1155</v>
      </c>
    </row>
    <row r="1238" s="29" customFormat="1" ht="22" spans="2:5">
      <c r="B1238" s="14" t="s">
        <v>176</v>
      </c>
      <c r="C1238" s="14" t="s">
        <v>176</v>
      </c>
      <c r="D1238" s="14" t="s">
        <v>176</v>
      </c>
      <c r="E1238" s="14" t="s">
        <v>176</v>
      </c>
    </row>
    <row r="1239" s="29" customFormat="1" spans="2:5">
      <c r="B1239" s="15" t="s">
        <v>177</v>
      </c>
      <c r="C1239" s="16" t="s">
        <v>178</v>
      </c>
      <c r="D1239" s="17" t="s">
        <v>179</v>
      </c>
      <c r="E1239" s="18" t="s">
        <v>180</v>
      </c>
    </row>
    <row r="1240" s="29" customFormat="1" ht="28" spans="2:5">
      <c r="B1240" s="19" t="s">
        <v>895</v>
      </c>
      <c r="C1240" s="20" t="s">
        <v>804</v>
      </c>
      <c r="D1240" s="21">
        <v>18</v>
      </c>
      <c r="E1240" s="22">
        <v>2351351.729732</v>
      </c>
    </row>
    <row r="1241" s="29" customFormat="1" ht="28" spans="2:5">
      <c r="B1241" s="19" t="s">
        <v>895</v>
      </c>
      <c r="C1241" s="16" t="s">
        <v>183</v>
      </c>
      <c r="D1241" s="23">
        <v>46</v>
      </c>
      <c r="E1241" s="24">
        <v>5918919.684689</v>
      </c>
    </row>
    <row r="1242" s="29" customFormat="1" ht="41" spans="2:5">
      <c r="B1242" s="19" t="s">
        <v>326</v>
      </c>
      <c r="C1242" s="20" t="s">
        <v>182</v>
      </c>
      <c r="D1242" s="21">
        <v>17</v>
      </c>
      <c r="E1242" s="22">
        <v>1901117.081081</v>
      </c>
    </row>
    <row r="1243" s="29" customFormat="1" ht="28" spans="2:5">
      <c r="B1243" s="19" t="s">
        <v>326</v>
      </c>
      <c r="C1243" s="20" t="s">
        <v>804</v>
      </c>
      <c r="D1243" s="21">
        <v>66</v>
      </c>
      <c r="E1243" s="22">
        <v>7015303.706494</v>
      </c>
    </row>
    <row r="1244" s="29" customFormat="1" ht="28" spans="2:5">
      <c r="B1244" s="19" t="s">
        <v>326</v>
      </c>
      <c r="C1244" s="16" t="s">
        <v>183</v>
      </c>
      <c r="D1244" s="23">
        <v>83</v>
      </c>
      <c r="E1244" s="24">
        <v>8916420.787575</v>
      </c>
    </row>
    <row r="1245" s="29" customFormat="1" ht="41" spans="2:5">
      <c r="B1245" s="19" t="s">
        <v>734</v>
      </c>
      <c r="C1245" s="20" t="s">
        <v>182</v>
      </c>
      <c r="D1245" s="21">
        <v>6</v>
      </c>
      <c r="E1245" s="22">
        <v>2086455.041901</v>
      </c>
    </row>
    <row r="1246" s="29" customFormat="1" ht="28" spans="2:5">
      <c r="B1246" s="19" t="s">
        <v>734</v>
      </c>
      <c r="C1246" s="20" t="s">
        <v>804</v>
      </c>
      <c r="D1246" s="21">
        <v>6</v>
      </c>
      <c r="E1246" s="22">
        <v>2277837.837837</v>
      </c>
    </row>
    <row r="1247" s="29" customFormat="1" ht="28" spans="2:5">
      <c r="B1247" s="19" t="s">
        <v>734</v>
      </c>
      <c r="C1247" s="16" t="s">
        <v>183</v>
      </c>
      <c r="D1247" s="23">
        <v>12</v>
      </c>
      <c r="E1247" s="24">
        <v>4364292.879738</v>
      </c>
    </row>
    <row r="1248" s="29" customFormat="1" ht="41" spans="2:5">
      <c r="B1248" s="19" t="s">
        <v>622</v>
      </c>
      <c r="C1248" s="20" t="s">
        <v>182</v>
      </c>
      <c r="D1248" s="21">
        <v>2</v>
      </c>
      <c r="E1248" s="22">
        <v>759279.279279</v>
      </c>
    </row>
    <row r="1249" s="29" customFormat="1" ht="28" spans="2:5">
      <c r="B1249" s="19" t="s">
        <v>622</v>
      </c>
      <c r="C1249" s="20" t="s">
        <v>804</v>
      </c>
      <c r="D1249" s="21">
        <v>2</v>
      </c>
      <c r="E1249" s="22">
        <v>759279.225225</v>
      </c>
    </row>
    <row r="1250" s="29" customFormat="1" ht="28" spans="2:5">
      <c r="B1250" s="19" t="s">
        <v>622</v>
      </c>
      <c r="C1250" s="16" t="s">
        <v>183</v>
      </c>
      <c r="D1250" s="23">
        <v>4</v>
      </c>
      <c r="E1250" s="24">
        <v>1518558.504504</v>
      </c>
    </row>
    <row r="1251" s="29" customFormat="1" ht="41" spans="2:5">
      <c r="B1251" s="19" t="s">
        <v>460</v>
      </c>
      <c r="C1251" s="20" t="s">
        <v>182</v>
      </c>
      <c r="D1251" s="21">
        <v>2</v>
      </c>
      <c r="E1251" s="22">
        <v>739099.189189</v>
      </c>
    </row>
    <row r="1252" s="29" customFormat="1" ht="28.75" spans="2:5">
      <c r="B1252" s="19" t="s">
        <v>460</v>
      </c>
      <c r="C1252" s="16" t="s">
        <v>183</v>
      </c>
      <c r="D1252" s="23">
        <v>2</v>
      </c>
      <c r="E1252" s="24">
        <v>739099.189189</v>
      </c>
    </row>
    <row r="1253" s="29" customFormat="1" spans="2:5">
      <c r="B1253" s="25"/>
      <c r="C1253" s="25"/>
      <c r="D1253" s="25"/>
      <c r="E1253" s="25"/>
    </row>
    <row r="1254" s="29" customFormat="1" ht="36" spans="2:5">
      <c r="B1254" s="26" t="s">
        <v>189</v>
      </c>
      <c r="C1254" s="26" t="s">
        <v>189</v>
      </c>
      <c r="D1254" s="26" t="s">
        <v>189</v>
      </c>
      <c r="E1254" s="26" t="s">
        <v>189</v>
      </c>
    </row>
    <row r="1255" s="29" customFormat="1" spans="2:5">
      <c r="B1255" s="26"/>
      <c r="C1255" s="26"/>
      <c r="D1255" s="26"/>
      <c r="E1255" s="26"/>
    </row>
    <row r="1256" s="29" customFormat="1" ht="36" spans="2:5">
      <c r="B1256" s="26" t="s">
        <v>958</v>
      </c>
      <c r="C1256" s="26" t="s">
        <v>958</v>
      </c>
      <c r="D1256" s="26" t="s">
        <v>958</v>
      </c>
      <c r="E1256" s="26" t="s">
        <v>958</v>
      </c>
    </row>
    <row r="1257" s="29" customFormat="1" spans="2:5">
      <c r="B1257" s="26" t="s">
        <v>1100</v>
      </c>
      <c r="C1257" s="26" t="s">
        <v>1100</v>
      </c>
      <c r="D1257" s="26" t="s">
        <v>1100</v>
      </c>
      <c r="E1257" s="26" t="s">
        <v>1100</v>
      </c>
    </row>
    <row r="1258" s="29" customFormat="1" ht="124" spans="2:5">
      <c r="B1258" s="11" t="s">
        <v>173</v>
      </c>
      <c r="C1258" s="11" t="s">
        <v>173</v>
      </c>
      <c r="D1258" s="11" t="s">
        <v>173</v>
      </c>
      <c r="E1258" s="11" t="s">
        <v>173</v>
      </c>
    </row>
    <row r="1259" s="29" customFormat="1" ht="156" spans="2:5">
      <c r="B1259" s="12" t="s">
        <v>174</v>
      </c>
      <c r="C1259" s="12" t="s">
        <v>174</v>
      </c>
      <c r="D1259" s="12" t="s">
        <v>174</v>
      </c>
      <c r="E1259" s="12" t="s">
        <v>174</v>
      </c>
    </row>
    <row r="1260" s="29" customFormat="1" ht="68" spans="2:5">
      <c r="B1260" s="13" t="s">
        <v>1155</v>
      </c>
      <c r="C1260" s="13" t="s">
        <v>1155</v>
      </c>
      <c r="D1260" s="13" t="s">
        <v>1155</v>
      </c>
      <c r="E1260" s="13" t="s">
        <v>1155</v>
      </c>
    </row>
    <row r="1261" s="29" customFormat="1" ht="22" spans="2:5">
      <c r="B1261" s="14" t="s">
        <v>176</v>
      </c>
      <c r="C1261" s="14" t="s">
        <v>176</v>
      </c>
      <c r="D1261" s="14" t="s">
        <v>176</v>
      </c>
      <c r="E1261" s="14" t="s">
        <v>176</v>
      </c>
    </row>
    <row r="1262" s="29" customFormat="1" spans="2:5">
      <c r="B1262" s="15" t="s">
        <v>177</v>
      </c>
      <c r="C1262" s="16" t="s">
        <v>178</v>
      </c>
      <c r="D1262" s="17" t="s">
        <v>179</v>
      </c>
      <c r="E1262" s="18" t="s">
        <v>180</v>
      </c>
    </row>
    <row r="1263" s="29" customFormat="1" ht="28" spans="2:5">
      <c r="B1263" s="19" t="s">
        <v>1310</v>
      </c>
      <c r="C1263" s="20" t="s">
        <v>804</v>
      </c>
      <c r="D1263" s="21">
        <v>4</v>
      </c>
      <c r="E1263" s="22">
        <v>1596756.378378</v>
      </c>
    </row>
    <row r="1264" s="29" customFormat="1" ht="28" spans="2:5">
      <c r="B1264" s="19" t="s">
        <v>1310</v>
      </c>
      <c r="C1264" s="16" t="s">
        <v>183</v>
      </c>
      <c r="D1264" s="23">
        <v>4</v>
      </c>
      <c r="E1264" s="24">
        <v>1596756.378378</v>
      </c>
    </row>
    <row r="1265" s="29" customFormat="1" ht="28" spans="2:5">
      <c r="B1265" s="19" t="s">
        <v>896</v>
      </c>
      <c r="C1265" s="20" t="s">
        <v>804</v>
      </c>
      <c r="D1265" s="21">
        <v>2</v>
      </c>
      <c r="E1265" s="22">
        <v>874054.054054</v>
      </c>
    </row>
    <row r="1266" s="29" customFormat="1" ht="28" spans="2:5">
      <c r="B1266" s="19" t="s">
        <v>896</v>
      </c>
      <c r="C1266" s="16" t="s">
        <v>183</v>
      </c>
      <c r="D1266" s="23">
        <v>2</v>
      </c>
      <c r="E1266" s="24">
        <v>874054.054054</v>
      </c>
    </row>
    <row r="1267" s="29" customFormat="1" ht="41" spans="2:5">
      <c r="B1267" s="19" t="s">
        <v>1311</v>
      </c>
      <c r="C1267" s="20" t="s">
        <v>182</v>
      </c>
      <c r="D1267" s="21">
        <v>6</v>
      </c>
      <c r="E1267" s="22">
        <v>2822703.189189</v>
      </c>
    </row>
    <row r="1268" s="29" customFormat="1" ht="28" spans="2:5">
      <c r="B1268" s="19" t="s">
        <v>1311</v>
      </c>
      <c r="C1268" s="16" t="s">
        <v>183</v>
      </c>
      <c r="D1268" s="23">
        <v>6</v>
      </c>
      <c r="E1268" s="24">
        <v>2822703.189189</v>
      </c>
    </row>
    <row r="1269" s="29" customFormat="1" ht="28" spans="2:5">
      <c r="B1269" s="19" t="s">
        <v>1312</v>
      </c>
      <c r="C1269" s="20" t="s">
        <v>804</v>
      </c>
      <c r="D1269" s="21">
        <v>2</v>
      </c>
      <c r="E1269" s="22">
        <v>901802.279279</v>
      </c>
    </row>
    <row r="1270" s="29" customFormat="1" ht="28" spans="2:5">
      <c r="B1270" s="19" t="s">
        <v>1312</v>
      </c>
      <c r="C1270" s="16" t="s">
        <v>183</v>
      </c>
      <c r="D1270" s="23">
        <v>2</v>
      </c>
      <c r="E1270" s="24">
        <v>901802.279279</v>
      </c>
    </row>
    <row r="1271" s="29" customFormat="1" ht="28" spans="2:5">
      <c r="B1271" s="19" t="s">
        <v>735</v>
      </c>
      <c r="C1271" s="20" t="s">
        <v>804</v>
      </c>
      <c r="D1271" s="21">
        <v>2</v>
      </c>
      <c r="E1271" s="22">
        <v>940900.900901</v>
      </c>
    </row>
    <row r="1272" s="29" customFormat="1" ht="28" spans="2:5">
      <c r="B1272" s="19" t="s">
        <v>735</v>
      </c>
      <c r="C1272" s="16" t="s">
        <v>183</v>
      </c>
      <c r="D1272" s="23">
        <v>2</v>
      </c>
      <c r="E1272" s="24">
        <v>940900.900901</v>
      </c>
    </row>
    <row r="1273" s="29" customFormat="1" ht="41" spans="2:5">
      <c r="B1273" s="19" t="s">
        <v>1313</v>
      </c>
      <c r="C1273" s="20" t="s">
        <v>182</v>
      </c>
      <c r="D1273" s="21">
        <v>2</v>
      </c>
      <c r="E1273" s="22">
        <v>1040540.540541</v>
      </c>
    </row>
    <row r="1274" s="29" customFormat="1" ht="28" spans="2:5">
      <c r="B1274" s="19" t="s">
        <v>1313</v>
      </c>
      <c r="C1274" s="16" t="s">
        <v>183</v>
      </c>
      <c r="D1274" s="23">
        <v>2</v>
      </c>
      <c r="E1274" s="24">
        <v>1040540.540541</v>
      </c>
    </row>
    <row r="1275" s="29" customFormat="1" ht="28" spans="2:5">
      <c r="B1275" s="19" t="s">
        <v>1052</v>
      </c>
      <c r="C1275" s="20" t="s">
        <v>804</v>
      </c>
      <c r="D1275" s="21">
        <v>2</v>
      </c>
      <c r="E1275" s="22">
        <v>901801.801802</v>
      </c>
    </row>
    <row r="1276" s="29" customFormat="1" ht="28" spans="2:5">
      <c r="B1276" s="19" t="s">
        <v>1052</v>
      </c>
      <c r="C1276" s="16" t="s">
        <v>183</v>
      </c>
      <c r="D1276" s="23">
        <v>2</v>
      </c>
      <c r="E1276" s="24">
        <v>901801.801802</v>
      </c>
    </row>
    <row r="1277" s="29" customFormat="1" ht="41.75" spans="2:5">
      <c r="B1277" s="20" t="s">
        <v>461</v>
      </c>
      <c r="C1277" s="20" t="s">
        <v>182</v>
      </c>
      <c r="D1277" s="21">
        <v>2</v>
      </c>
      <c r="E1277" s="22">
        <v>759279.279279</v>
      </c>
    </row>
    <row r="1278" s="29" customFormat="1" spans="2:5">
      <c r="B1278" s="25"/>
      <c r="C1278" s="25"/>
      <c r="D1278" s="25"/>
      <c r="E1278" s="25"/>
    </row>
    <row r="1279" s="29" customFormat="1" ht="36" spans="2:5">
      <c r="B1279" s="26" t="s">
        <v>189</v>
      </c>
      <c r="C1279" s="26" t="s">
        <v>189</v>
      </c>
      <c r="D1279" s="26" t="s">
        <v>189</v>
      </c>
      <c r="E1279" s="26" t="s">
        <v>189</v>
      </c>
    </row>
    <row r="1280" s="29" customFormat="1" spans="2:5">
      <c r="B1280" s="26"/>
      <c r="C1280" s="26"/>
      <c r="D1280" s="26"/>
      <c r="E1280" s="26"/>
    </row>
    <row r="1281" s="29" customFormat="1" ht="36" spans="2:5">
      <c r="B1281" s="26" t="s">
        <v>958</v>
      </c>
      <c r="C1281" s="26" t="s">
        <v>958</v>
      </c>
      <c r="D1281" s="26" t="s">
        <v>958</v>
      </c>
      <c r="E1281" s="26" t="s">
        <v>958</v>
      </c>
    </row>
    <row r="1282" s="29" customFormat="1" spans="2:5">
      <c r="B1282" s="26" t="s">
        <v>1103</v>
      </c>
      <c r="C1282" s="26" t="s">
        <v>1103</v>
      </c>
      <c r="D1282" s="26" t="s">
        <v>1103</v>
      </c>
      <c r="E1282" s="26" t="s">
        <v>1103</v>
      </c>
    </row>
    <row r="1283" s="29" customFormat="1" ht="124" spans="2:5">
      <c r="B1283" s="11" t="s">
        <v>173</v>
      </c>
      <c r="C1283" s="11" t="s">
        <v>173</v>
      </c>
      <c r="D1283" s="11" t="s">
        <v>173</v>
      </c>
      <c r="E1283" s="11" t="s">
        <v>173</v>
      </c>
    </row>
    <row r="1284" s="29" customFormat="1" ht="156" spans="2:5">
      <c r="B1284" s="12" t="s">
        <v>174</v>
      </c>
      <c r="C1284" s="12" t="s">
        <v>174</v>
      </c>
      <c r="D1284" s="12" t="s">
        <v>174</v>
      </c>
      <c r="E1284" s="12" t="s">
        <v>174</v>
      </c>
    </row>
    <row r="1285" s="29" customFormat="1" ht="68" spans="2:5">
      <c r="B1285" s="13" t="s">
        <v>1155</v>
      </c>
      <c r="C1285" s="13" t="s">
        <v>1155</v>
      </c>
      <c r="D1285" s="13" t="s">
        <v>1155</v>
      </c>
      <c r="E1285" s="13" t="s">
        <v>1155</v>
      </c>
    </row>
    <row r="1286" s="29" customFormat="1" ht="22" spans="2:5">
      <c r="B1286" s="14" t="s">
        <v>176</v>
      </c>
      <c r="C1286" s="14" t="s">
        <v>176</v>
      </c>
      <c r="D1286" s="14" t="s">
        <v>176</v>
      </c>
      <c r="E1286" s="14" t="s">
        <v>176</v>
      </c>
    </row>
    <row r="1287" s="29" customFormat="1" spans="2:5">
      <c r="B1287" s="15" t="s">
        <v>177</v>
      </c>
      <c r="C1287" s="16" t="s">
        <v>178</v>
      </c>
      <c r="D1287" s="17" t="s">
        <v>179</v>
      </c>
      <c r="E1287" s="18" t="s">
        <v>180</v>
      </c>
    </row>
    <row r="1288" s="29" customFormat="1" ht="28" spans="2:5">
      <c r="B1288" s="19" t="s">
        <v>461</v>
      </c>
      <c r="C1288" s="20" t="s">
        <v>804</v>
      </c>
      <c r="D1288" s="21">
        <v>2</v>
      </c>
      <c r="E1288" s="22">
        <v>759279.279279</v>
      </c>
    </row>
    <row r="1289" s="29" customFormat="1" ht="28" spans="2:5">
      <c r="B1289" s="19" t="s">
        <v>461</v>
      </c>
      <c r="C1289" s="16" t="s">
        <v>183</v>
      </c>
      <c r="D1289" s="23">
        <v>4</v>
      </c>
      <c r="E1289" s="24">
        <v>1518558.558558</v>
      </c>
    </row>
    <row r="1290" s="29" customFormat="1" ht="41" spans="2:5">
      <c r="B1290" s="19" t="s">
        <v>1314</v>
      </c>
      <c r="C1290" s="20" t="s">
        <v>182</v>
      </c>
      <c r="D1290" s="21">
        <v>2</v>
      </c>
      <c r="E1290" s="22">
        <v>945945.945946</v>
      </c>
    </row>
    <row r="1291" s="29" customFormat="1" ht="28" spans="2:5">
      <c r="B1291" s="19" t="s">
        <v>1314</v>
      </c>
      <c r="C1291" s="20" t="s">
        <v>804</v>
      </c>
      <c r="D1291" s="21">
        <v>2</v>
      </c>
      <c r="E1291" s="22">
        <v>945946</v>
      </c>
    </row>
    <row r="1292" s="29" customFormat="1" ht="28" spans="2:5">
      <c r="B1292" s="19" t="s">
        <v>1314</v>
      </c>
      <c r="C1292" s="16" t="s">
        <v>183</v>
      </c>
      <c r="D1292" s="23">
        <v>4</v>
      </c>
      <c r="E1292" s="24">
        <v>1891891.945946</v>
      </c>
    </row>
    <row r="1293" s="29" customFormat="1" ht="41" spans="2:5">
      <c r="B1293" s="19" t="s">
        <v>1053</v>
      </c>
      <c r="C1293" s="20" t="s">
        <v>182</v>
      </c>
      <c r="D1293" s="21">
        <v>2</v>
      </c>
      <c r="E1293" s="22">
        <v>826126</v>
      </c>
    </row>
    <row r="1294" s="29" customFormat="1" ht="28" spans="2:5">
      <c r="B1294" s="19" t="s">
        <v>1053</v>
      </c>
      <c r="C1294" s="20" t="s">
        <v>804</v>
      </c>
      <c r="D1294" s="21">
        <v>2</v>
      </c>
      <c r="E1294" s="22">
        <v>826125.702703</v>
      </c>
    </row>
    <row r="1295" s="29" customFormat="1" ht="28" spans="2:5">
      <c r="B1295" s="19" t="s">
        <v>1053</v>
      </c>
      <c r="C1295" s="16" t="s">
        <v>183</v>
      </c>
      <c r="D1295" s="23">
        <v>4</v>
      </c>
      <c r="E1295" s="24">
        <v>1652251.702703</v>
      </c>
    </row>
    <row r="1296" s="29" customFormat="1" ht="41" spans="2:5">
      <c r="B1296" s="19" t="s">
        <v>1054</v>
      </c>
      <c r="C1296" s="20" t="s">
        <v>182</v>
      </c>
      <c r="D1296" s="21">
        <v>2</v>
      </c>
      <c r="E1296" s="22">
        <v>993873.873874</v>
      </c>
    </row>
    <row r="1297" s="29" customFormat="1" ht="28" spans="2:5">
      <c r="B1297" s="19" t="s">
        <v>1054</v>
      </c>
      <c r="C1297" s="20" t="s">
        <v>804</v>
      </c>
      <c r="D1297" s="21">
        <v>2</v>
      </c>
      <c r="E1297" s="22">
        <v>993873.873874</v>
      </c>
    </row>
    <row r="1298" s="29" customFormat="1" ht="28" spans="2:5">
      <c r="B1298" s="19" t="s">
        <v>1054</v>
      </c>
      <c r="C1298" s="16" t="s">
        <v>183</v>
      </c>
      <c r="D1298" s="23">
        <v>4</v>
      </c>
      <c r="E1298" s="24">
        <v>1987747.747748</v>
      </c>
    </row>
    <row r="1299" s="29" customFormat="1" ht="41" spans="2:5">
      <c r="B1299" s="19" t="s">
        <v>1315</v>
      </c>
      <c r="C1299" s="20" t="s">
        <v>182</v>
      </c>
      <c r="D1299" s="21">
        <v>2</v>
      </c>
      <c r="E1299" s="22">
        <v>930810.810811</v>
      </c>
    </row>
    <row r="1300" s="29" customFormat="1" ht="28" spans="2:5">
      <c r="B1300" s="19" t="s">
        <v>1315</v>
      </c>
      <c r="C1300" s="20" t="s">
        <v>804</v>
      </c>
      <c r="D1300" s="21">
        <v>2</v>
      </c>
      <c r="E1300" s="22">
        <v>930810.810811</v>
      </c>
    </row>
    <row r="1301" s="29" customFormat="1" ht="28.75" spans="2:5">
      <c r="B1301" s="19" t="s">
        <v>1315</v>
      </c>
      <c r="C1301" s="16" t="s">
        <v>183</v>
      </c>
      <c r="D1301" s="23">
        <v>4</v>
      </c>
      <c r="E1301" s="24">
        <v>1861621.621622</v>
      </c>
    </row>
    <row r="1302" s="29" customFormat="1" spans="2:5">
      <c r="B1302" s="25"/>
      <c r="C1302" s="25"/>
      <c r="D1302" s="25"/>
      <c r="E1302" s="25"/>
    </row>
    <row r="1303" s="29" customFormat="1" ht="36" spans="2:5">
      <c r="B1303" s="26" t="s">
        <v>189</v>
      </c>
      <c r="C1303" s="26" t="s">
        <v>189</v>
      </c>
      <c r="D1303" s="26" t="s">
        <v>189</v>
      </c>
      <c r="E1303" s="26" t="s">
        <v>189</v>
      </c>
    </row>
    <row r="1304" s="29" customFormat="1" spans="2:5">
      <c r="B1304" s="26"/>
      <c r="C1304" s="26"/>
      <c r="D1304" s="26"/>
      <c r="E1304" s="26"/>
    </row>
    <row r="1305" s="29" customFormat="1" ht="36" spans="2:5">
      <c r="B1305" s="26" t="s">
        <v>958</v>
      </c>
      <c r="C1305" s="26" t="s">
        <v>958</v>
      </c>
      <c r="D1305" s="26" t="s">
        <v>958</v>
      </c>
      <c r="E1305" s="26" t="s">
        <v>958</v>
      </c>
    </row>
    <row r="1306" s="29" customFormat="1" spans="2:5">
      <c r="B1306" s="26" t="s">
        <v>1105</v>
      </c>
      <c r="C1306" s="26" t="s">
        <v>1105</v>
      </c>
      <c r="D1306" s="26" t="s">
        <v>1105</v>
      </c>
      <c r="E1306" s="26" t="s">
        <v>1105</v>
      </c>
    </row>
    <row r="1307" s="29" customFormat="1" ht="124" spans="2:5">
      <c r="B1307" s="11" t="s">
        <v>173</v>
      </c>
      <c r="C1307" s="11" t="s">
        <v>173</v>
      </c>
      <c r="D1307" s="11" t="s">
        <v>173</v>
      </c>
      <c r="E1307" s="11" t="s">
        <v>173</v>
      </c>
    </row>
    <row r="1308" s="29" customFormat="1" ht="156" spans="2:5">
      <c r="B1308" s="12" t="s">
        <v>174</v>
      </c>
      <c r="C1308" s="12" t="s">
        <v>174</v>
      </c>
      <c r="D1308" s="12" t="s">
        <v>174</v>
      </c>
      <c r="E1308" s="12" t="s">
        <v>174</v>
      </c>
    </row>
    <row r="1309" s="29" customFormat="1" ht="68" spans="2:5">
      <c r="B1309" s="13" t="s">
        <v>1155</v>
      </c>
      <c r="C1309" s="13" t="s">
        <v>1155</v>
      </c>
      <c r="D1309" s="13" t="s">
        <v>1155</v>
      </c>
      <c r="E1309" s="13" t="s">
        <v>1155</v>
      </c>
    </row>
    <row r="1310" s="29" customFormat="1" ht="22" spans="2:5">
      <c r="B1310" s="14" t="s">
        <v>176</v>
      </c>
      <c r="C1310" s="14" t="s">
        <v>176</v>
      </c>
      <c r="D1310" s="14" t="s">
        <v>176</v>
      </c>
      <c r="E1310" s="14" t="s">
        <v>176</v>
      </c>
    </row>
    <row r="1311" s="29" customFormat="1" spans="2:5">
      <c r="B1311" s="15" t="s">
        <v>177</v>
      </c>
      <c r="C1311" s="16" t="s">
        <v>178</v>
      </c>
      <c r="D1311" s="17" t="s">
        <v>179</v>
      </c>
      <c r="E1311" s="18" t="s">
        <v>180</v>
      </c>
    </row>
    <row r="1312" s="29" customFormat="1" ht="41" spans="2:5">
      <c r="B1312" s="19" t="s">
        <v>736</v>
      </c>
      <c r="C1312" s="20" t="s">
        <v>182</v>
      </c>
      <c r="D1312" s="21">
        <v>3</v>
      </c>
      <c r="E1312" s="22">
        <v>1547568.099099</v>
      </c>
    </row>
    <row r="1313" s="29" customFormat="1" ht="28" spans="2:5">
      <c r="B1313" s="19" t="s">
        <v>736</v>
      </c>
      <c r="C1313" s="20" t="s">
        <v>804</v>
      </c>
      <c r="D1313" s="21">
        <v>1</v>
      </c>
      <c r="E1313" s="22">
        <v>515855.855856</v>
      </c>
    </row>
    <row r="1314" s="29" customFormat="1" ht="28" spans="2:5">
      <c r="B1314" s="19" t="s">
        <v>736</v>
      </c>
      <c r="C1314" s="16" t="s">
        <v>183</v>
      </c>
      <c r="D1314" s="23">
        <v>4</v>
      </c>
      <c r="E1314" s="24">
        <v>2063423.954955</v>
      </c>
    </row>
    <row r="1315" s="29" customFormat="1" ht="41" spans="2:5">
      <c r="B1315" s="19" t="s">
        <v>737</v>
      </c>
      <c r="C1315" s="20" t="s">
        <v>182</v>
      </c>
      <c r="D1315" s="21">
        <v>3</v>
      </c>
      <c r="E1315" s="22">
        <v>1547567.567568</v>
      </c>
    </row>
    <row r="1316" s="29" customFormat="1" ht="28" spans="2:5">
      <c r="B1316" s="19" t="s">
        <v>737</v>
      </c>
      <c r="C1316" s="20" t="s">
        <v>804</v>
      </c>
      <c r="D1316" s="21">
        <v>1</v>
      </c>
      <c r="E1316" s="22">
        <v>515855.855856</v>
      </c>
    </row>
    <row r="1317" s="29" customFormat="1" ht="28" spans="2:5">
      <c r="B1317" s="19" t="s">
        <v>737</v>
      </c>
      <c r="C1317" s="16" t="s">
        <v>183</v>
      </c>
      <c r="D1317" s="23">
        <v>4</v>
      </c>
      <c r="E1317" s="24">
        <v>2063423.423424</v>
      </c>
    </row>
    <row r="1318" s="29" customFormat="1" ht="41" spans="2:5">
      <c r="B1318" s="19" t="s">
        <v>899</v>
      </c>
      <c r="C1318" s="20" t="s">
        <v>182</v>
      </c>
      <c r="D1318" s="21">
        <v>1</v>
      </c>
      <c r="E1318" s="22">
        <v>462252.747748</v>
      </c>
    </row>
    <row r="1319" s="29" customFormat="1" ht="28" spans="2:5">
      <c r="B1319" s="19" t="s">
        <v>899</v>
      </c>
      <c r="C1319" s="16" t="s">
        <v>183</v>
      </c>
      <c r="D1319" s="23">
        <v>1</v>
      </c>
      <c r="E1319" s="24">
        <v>462252.747748</v>
      </c>
    </row>
    <row r="1320" s="29" customFormat="1" ht="41" spans="2:5">
      <c r="B1320" s="19" t="s">
        <v>900</v>
      </c>
      <c r="C1320" s="20" t="s">
        <v>182</v>
      </c>
      <c r="D1320" s="21">
        <v>1</v>
      </c>
      <c r="E1320" s="22">
        <v>462252.252252</v>
      </c>
    </row>
    <row r="1321" s="29" customFormat="1" ht="28" spans="2:5">
      <c r="B1321" s="19" t="s">
        <v>900</v>
      </c>
      <c r="C1321" s="16" t="s">
        <v>183</v>
      </c>
      <c r="D1321" s="23">
        <v>1</v>
      </c>
      <c r="E1321" s="24">
        <v>462252.252252</v>
      </c>
    </row>
    <row r="1322" s="29" customFormat="1" ht="28" spans="2:5">
      <c r="B1322" s="19" t="s">
        <v>1316</v>
      </c>
      <c r="C1322" s="20" t="s">
        <v>804</v>
      </c>
      <c r="D1322" s="21">
        <v>2</v>
      </c>
      <c r="E1322" s="22">
        <v>1141441.441441</v>
      </c>
    </row>
    <row r="1323" s="29" customFormat="1" ht="28" spans="2:5">
      <c r="B1323" s="19" t="s">
        <v>1316</v>
      </c>
      <c r="C1323" s="16" t="s">
        <v>183</v>
      </c>
      <c r="D1323" s="23">
        <v>2</v>
      </c>
      <c r="E1323" s="24">
        <v>1141441.441441</v>
      </c>
    </row>
    <row r="1324" s="29" customFormat="1" ht="41.75" spans="2:5">
      <c r="B1324" s="20" t="s">
        <v>520</v>
      </c>
      <c r="C1324" s="20" t="s">
        <v>182</v>
      </c>
      <c r="D1324" s="21">
        <v>1</v>
      </c>
      <c r="E1324" s="22">
        <v>570721</v>
      </c>
    </row>
    <row r="1325" s="29" customFormat="1" spans="2:5">
      <c r="B1325" s="25"/>
      <c r="C1325" s="25"/>
      <c r="D1325" s="25"/>
      <c r="E1325" s="25"/>
    </row>
    <row r="1326" s="29" customFormat="1" ht="36" spans="2:5">
      <c r="B1326" s="26" t="s">
        <v>189</v>
      </c>
      <c r="C1326" s="26" t="s">
        <v>189</v>
      </c>
      <c r="D1326" s="26" t="s">
        <v>189</v>
      </c>
      <c r="E1326" s="26" t="s">
        <v>189</v>
      </c>
    </row>
    <row r="1327" s="29" customFormat="1" spans="2:5">
      <c r="B1327" s="26"/>
      <c r="C1327" s="26"/>
      <c r="D1327" s="26"/>
      <c r="E1327" s="26"/>
    </row>
    <row r="1328" s="29" customFormat="1" ht="36" spans="2:5">
      <c r="B1328" s="26" t="s">
        <v>958</v>
      </c>
      <c r="C1328" s="26" t="s">
        <v>958</v>
      </c>
      <c r="D1328" s="26" t="s">
        <v>958</v>
      </c>
      <c r="E1328" s="26" t="s">
        <v>958</v>
      </c>
    </row>
    <row r="1329" s="29" customFormat="1" spans="2:5">
      <c r="B1329" s="26" t="s">
        <v>1106</v>
      </c>
      <c r="C1329" s="26" t="s">
        <v>1106</v>
      </c>
      <c r="D1329" s="26" t="s">
        <v>1106</v>
      </c>
      <c r="E1329" s="26" t="s">
        <v>1106</v>
      </c>
    </row>
    <row r="1330" s="29" customFormat="1" ht="124" spans="2:5">
      <c r="B1330" s="11" t="s">
        <v>173</v>
      </c>
      <c r="C1330" s="11" t="s">
        <v>173</v>
      </c>
      <c r="D1330" s="11" t="s">
        <v>173</v>
      </c>
      <c r="E1330" s="11" t="s">
        <v>173</v>
      </c>
    </row>
    <row r="1331" s="29" customFormat="1" ht="156" spans="2:5">
      <c r="B1331" s="12" t="s">
        <v>174</v>
      </c>
      <c r="C1331" s="12" t="s">
        <v>174</v>
      </c>
      <c r="D1331" s="12" t="s">
        <v>174</v>
      </c>
      <c r="E1331" s="12" t="s">
        <v>174</v>
      </c>
    </row>
    <row r="1332" s="29" customFormat="1" ht="68" spans="2:5">
      <c r="B1332" s="13" t="s">
        <v>1155</v>
      </c>
      <c r="C1332" s="13" t="s">
        <v>1155</v>
      </c>
      <c r="D1332" s="13" t="s">
        <v>1155</v>
      </c>
      <c r="E1332" s="13" t="s">
        <v>1155</v>
      </c>
    </row>
    <row r="1333" s="29" customFormat="1" ht="22" spans="2:5">
      <c r="B1333" s="14" t="s">
        <v>176</v>
      </c>
      <c r="C1333" s="14" t="s">
        <v>176</v>
      </c>
      <c r="D1333" s="14" t="s">
        <v>176</v>
      </c>
      <c r="E1333" s="14" t="s">
        <v>176</v>
      </c>
    </row>
    <row r="1334" s="29" customFormat="1" spans="2:5">
      <c r="B1334" s="15" t="s">
        <v>177</v>
      </c>
      <c r="C1334" s="16" t="s">
        <v>178</v>
      </c>
      <c r="D1334" s="17" t="s">
        <v>179</v>
      </c>
      <c r="E1334" s="18" t="s">
        <v>180</v>
      </c>
    </row>
    <row r="1335" s="29" customFormat="1" ht="28" spans="2:5">
      <c r="B1335" s="19" t="s">
        <v>520</v>
      </c>
      <c r="C1335" s="20" t="s">
        <v>804</v>
      </c>
      <c r="D1335" s="21">
        <v>1</v>
      </c>
      <c r="E1335" s="22">
        <v>570720.720721</v>
      </c>
    </row>
    <row r="1336" s="29" customFormat="1" ht="28" spans="2:5">
      <c r="B1336" s="19" t="s">
        <v>520</v>
      </c>
      <c r="C1336" s="16" t="s">
        <v>183</v>
      </c>
      <c r="D1336" s="23">
        <v>2</v>
      </c>
      <c r="E1336" s="24">
        <v>1141441.720721</v>
      </c>
    </row>
    <row r="1337" s="29" customFormat="1" ht="41" spans="2:5">
      <c r="B1337" s="19" t="s">
        <v>1317</v>
      </c>
      <c r="C1337" s="20" t="s">
        <v>182</v>
      </c>
      <c r="D1337" s="21">
        <v>1</v>
      </c>
      <c r="E1337" s="22">
        <v>570720.720721</v>
      </c>
    </row>
    <row r="1338" s="29" customFormat="1" ht="28" spans="2:5">
      <c r="B1338" s="19" t="s">
        <v>1317</v>
      </c>
      <c r="C1338" s="20" t="s">
        <v>804</v>
      </c>
      <c r="D1338" s="21">
        <v>1</v>
      </c>
      <c r="E1338" s="22">
        <v>570720.720721</v>
      </c>
    </row>
    <row r="1339" s="29" customFormat="1" ht="28" spans="2:5">
      <c r="B1339" s="19" t="s">
        <v>1317</v>
      </c>
      <c r="C1339" s="16" t="s">
        <v>183</v>
      </c>
      <c r="D1339" s="23">
        <v>2</v>
      </c>
      <c r="E1339" s="24">
        <v>1141441.441442</v>
      </c>
    </row>
    <row r="1340" s="29" customFormat="1" ht="28" spans="2:5">
      <c r="B1340" s="19" t="s">
        <v>901</v>
      </c>
      <c r="C1340" s="20" t="s">
        <v>804</v>
      </c>
      <c r="D1340" s="21">
        <v>1</v>
      </c>
      <c r="E1340" s="22">
        <v>628108.108108</v>
      </c>
    </row>
    <row r="1341" s="29" customFormat="1" ht="28" spans="2:5">
      <c r="B1341" s="19" t="s">
        <v>901</v>
      </c>
      <c r="C1341" s="16" t="s">
        <v>183</v>
      </c>
      <c r="D1341" s="23">
        <v>1</v>
      </c>
      <c r="E1341" s="24">
        <v>628108.108108</v>
      </c>
    </row>
    <row r="1342" s="29" customFormat="1" ht="28" spans="2:5">
      <c r="B1342" s="19" t="s">
        <v>902</v>
      </c>
      <c r="C1342" s="20" t="s">
        <v>804</v>
      </c>
      <c r="D1342" s="21">
        <v>1</v>
      </c>
      <c r="E1342" s="22">
        <v>628108.108108</v>
      </c>
    </row>
    <row r="1343" s="29" customFormat="1" ht="28" spans="2:5">
      <c r="B1343" s="19" t="s">
        <v>902</v>
      </c>
      <c r="C1343" s="16" t="s">
        <v>183</v>
      </c>
      <c r="D1343" s="23">
        <v>1</v>
      </c>
      <c r="E1343" s="24">
        <v>628108.108108</v>
      </c>
    </row>
    <row r="1344" s="29" customFormat="1" ht="41" spans="2:5">
      <c r="B1344" s="19" t="s">
        <v>1059</v>
      </c>
      <c r="C1344" s="20" t="s">
        <v>182</v>
      </c>
      <c r="D1344" s="21">
        <v>2</v>
      </c>
      <c r="E1344" s="22">
        <v>1272612.612612</v>
      </c>
    </row>
    <row r="1345" s="29" customFormat="1" ht="28" spans="2:5">
      <c r="B1345" s="19" t="s">
        <v>1059</v>
      </c>
      <c r="C1345" s="20" t="s">
        <v>804</v>
      </c>
      <c r="D1345" s="21">
        <v>1</v>
      </c>
      <c r="E1345" s="22">
        <v>636306.306306</v>
      </c>
    </row>
    <row r="1346" s="29" customFormat="1" ht="28" spans="2:5">
      <c r="B1346" s="19" t="s">
        <v>1059</v>
      </c>
      <c r="C1346" s="16" t="s">
        <v>183</v>
      </c>
      <c r="D1346" s="23">
        <v>3</v>
      </c>
      <c r="E1346" s="24">
        <v>1908918.918918</v>
      </c>
    </row>
    <row r="1347" s="29" customFormat="1" ht="41" spans="2:5">
      <c r="B1347" s="19" t="s">
        <v>1060</v>
      </c>
      <c r="C1347" s="20" t="s">
        <v>182</v>
      </c>
      <c r="D1347" s="21">
        <v>2</v>
      </c>
      <c r="E1347" s="22">
        <v>1272612.612612</v>
      </c>
    </row>
    <row r="1348" s="29" customFormat="1" ht="28" spans="2:5">
      <c r="B1348" s="19" t="s">
        <v>1060</v>
      </c>
      <c r="C1348" s="20" t="s">
        <v>804</v>
      </c>
      <c r="D1348" s="21">
        <v>1</v>
      </c>
      <c r="E1348" s="22">
        <v>636306.306306</v>
      </c>
    </row>
    <row r="1349" s="29" customFormat="1" ht="28.75" spans="2:5">
      <c r="B1349" s="19" t="s">
        <v>1060</v>
      </c>
      <c r="C1349" s="16" t="s">
        <v>183</v>
      </c>
      <c r="D1349" s="23">
        <v>3</v>
      </c>
      <c r="E1349" s="24">
        <v>1908918.918918</v>
      </c>
    </row>
    <row r="1350" s="29" customFormat="1" spans="2:5">
      <c r="B1350" s="25"/>
      <c r="C1350" s="25"/>
      <c r="D1350" s="25"/>
      <c r="E1350" s="25"/>
    </row>
    <row r="1351" s="29" customFormat="1" ht="36" spans="2:5">
      <c r="B1351" s="26" t="s">
        <v>189</v>
      </c>
      <c r="C1351" s="26" t="s">
        <v>189</v>
      </c>
      <c r="D1351" s="26" t="s">
        <v>189</v>
      </c>
      <c r="E1351" s="26" t="s">
        <v>189</v>
      </c>
    </row>
    <row r="1352" s="29" customFormat="1" spans="2:5">
      <c r="B1352" s="26"/>
      <c r="C1352" s="26"/>
      <c r="D1352" s="26"/>
      <c r="E1352" s="26"/>
    </row>
    <row r="1353" s="29" customFormat="1" ht="36" spans="2:5">
      <c r="B1353" s="26" t="s">
        <v>958</v>
      </c>
      <c r="C1353" s="26" t="s">
        <v>958</v>
      </c>
      <c r="D1353" s="26" t="s">
        <v>958</v>
      </c>
      <c r="E1353" s="26" t="s">
        <v>958</v>
      </c>
    </row>
    <row r="1354" s="29" customFormat="1" spans="2:5">
      <c r="B1354" s="26" t="s">
        <v>1109</v>
      </c>
      <c r="C1354" s="26" t="s">
        <v>1109</v>
      </c>
      <c r="D1354" s="26" t="s">
        <v>1109</v>
      </c>
      <c r="E1354" s="26" t="s">
        <v>1109</v>
      </c>
    </row>
    <row r="1355" s="29" customFormat="1" ht="124" spans="2:5">
      <c r="B1355" s="11" t="s">
        <v>173</v>
      </c>
      <c r="C1355" s="11" t="s">
        <v>173</v>
      </c>
      <c r="D1355" s="11" t="s">
        <v>173</v>
      </c>
      <c r="E1355" s="11" t="s">
        <v>173</v>
      </c>
    </row>
    <row r="1356" s="29" customFormat="1" ht="156" spans="2:5">
      <c r="B1356" s="12" t="s">
        <v>174</v>
      </c>
      <c r="C1356" s="12" t="s">
        <v>174</v>
      </c>
      <c r="D1356" s="12" t="s">
        <v>174</v>
      </c>
      <c r="E1356" s="12" t="s">
        <v>174</v>
      </c>
    </row>
    <row r="1357" s="29" customFormat="1" ht="68" spans="2:5">
      <c r="B1357" s="13" t="s">
        <v>1155</v>
      </c>
      <c r="C1357" s="13" t="s">
        <v>1155</v>
      </c>
      <c r="D1357" s="13" t="s">
        <v>1155</v>
      </c>
      <c r="E1357" s="13" t="s">
        <v>1155</v>
      </c>
    </row>
    <row r="1358" s="29" customFormat="1" ht="22" spans="2:5">
      <c r="B1358" s="14" t="s">
        <v>176</v>
      </c>
      <c r="C1358" s="14" t="s">
        <v>176</v>
      </c>
      <c r="D1358" s="14" t="s">
        <v>176</v>
      </c>
      <c r="E1358" s="14" t="s">
        <v>176</v>
      </c>
    </row>
    <row r="1359" s="29" customFormat="1" spans="2:5">
      <c r="B1359" s="15" t="s">
        <v>177</v>
      </c>
      <c r="C1359" s="16" t="s">
        <v>178</v>
      </c>
      <c r="D1359" s="17" t="s">
        <v>179</v>
      </c>
      <c r="E1359" s="18" t="s">
        <v>180</v>
      </c>
    </row>
    <row r="1360" s="29" customFormat="1" ht="28" spans="2:5">
      <c r="B1360" s="19" t="s">
        <v>1318</v>
      </c>
      <c r="C1360" s="20" t="s">
        <v>804</v>
      </c>
      <c r="D1360" s="21">
        <v>1</v>
      </c>
      <c r="E1360" s="22">
        <v>584594.594595</v>
      </c>
    </row>
    <row r="1361" s="29" customFormat="1" ht="28" spans="2:5">
      <c r="B1361" s="19" t="s">
        <v>1318</v>
      </c>
      <c r="C1361" s="16" t="s">
        <v>183</v>
      </c>
      <c r="D1361" s="23">
        <v>1</v>
      </c>
      <c r="E1361" s="24">
        <v>584594.594595</v>
      </c>
    </row>
    <row r="1362" s="29" customFormat="1" ht="28" spans="2:5">
      <c r="B1362" s="19" t="s">
        <v>1319</v>
      </c>
      <c r="C1362" s="20" t="s">
        <v>804</v>
      </c>
      <c r="D1362" s="21">
        <v>1</v>
      </c>
      <c r="E1362" s="22">
        <v>584594.594595</v>
      </c>
    </row>
    <row r="1363" s="29" customFormat="1" ht="28" spans="2:5">
      <c r="B1363" s="19" t="s">
        <v>1319</v>
      </c>
      <c r="C1363" s="16" t="s">
        <v>183</v>
      </c>
      <c r="D1363" s="23">
        <v>1</v>
      </c>
      <c r="E1363" s="24">
        <v>584594.594595</v>
      </c>
    </row>
    <row r="1364" s="29" customFormat="1" ht="41" spans="2:5">
      <c r="B1364" s="19" t="s">
        <v>1320</v>
      </c>
      <c r="C1364" s="20" t="s">
        <v>182</v>
      </c>
      <c r="D1364" s="21">
        <v>2</v>
      </c>
      <c r="E1364" s="22">
        <v>1126306.207207</v>
      </c>
    </row>
    <row r="1365" s="29" customFormat="1" ht="28" spans="2:5">
      <c r="B1365" s="19" t="s">
        <v>1320</v>
      </c>
      <c r="C1365" s="16" t="s">
        <v>183</v>
      </c>
      <c r="D1365" s="23">
        <v>2</v>
      </c>
      <c r="E1365" s="24">
        <v>1126306.207207</v>
      </c>
    </row>
    <row r="1366" s="29" customFormat="1" ht="28" spans="2:5">
      <c r="B1366" s="19" t="s">
        <v>1061</v>
      </c>
      <c r="C1366" s="20" t="s">
        <v>804</v>
      </c>
      <c r="D1366" s="21">
        <v>1</v>
      </c>
      <c r="E1366" s="22">
        <v>565675.675676</v>
      </c>
    </row>
    <row r="1367" s="29" customFormat="1" ht="28" spans="2:5">
      <c r="B1367" s="19" t="s">
        <v>1061</v>
      </c>
      <c r="C1367" s="16" t="s">
        <v>183</v>
      </c>
      <c r="D1367" s="23">
        <v>1</v>
      </c>
      <c r="E1367" s="24">
        <v>565675.675676</v>
      </c>
    </row>
    <row r="1368" s="29" customFormat="1" ht="28" spans="2:5">
      <c r="B1368" s="19" t="s">
        <v>1062</v>
      </c>
      <c r="C1368" s="20" t="s">
        <v>804</v>
      </c>
      <c r="D1368" s="21">
        <v>1</v>
      </c>
      <c r="E1368" s="22">
        <v>565675.945946</v>
      </c>
    </row>
    <row r="1369" s="29" customFormat="1" ht="28" spans="2:5">
      <c r="B1369" s="19" t="s">
        <v>1062</v>
      </c>
      <c r="C1369" s="16" t="s">
        <v>183</v>
      </c>
      <c r="D1369" s="23">
        <v>1</v>
      </c>
      <c r="E1369" s="24">
        <v>565675.945946</v>
      </c>
    </row>
    <row r="1370" s="29" customFormat="1" ht="28" spans="2:5">
      <c r="B1370" s="19" t="s">
        <v>1321</v>
      </c>
      <c r="C1370" s="20" t="s">
        <v>804</v>
      </c>
      <c r="D1370" s="21">
        <v>1</v>
      </c>
      <c r="E1370" s="22">
        <v>739730.153153</v>
      </c>
    </row>
    <row r="1371" s="29" customFormat="1" ht="28" spans="2:5">
      <c r="B1371" s="19" t="s">
        <v>1321</v>
      </c>
      <c r="C1371" s="16" t="s">
        <v>183</v>
      </c>
      <c r="D1371" s="23">
        <v>1</v>
      </c>
      <c r="E1371" s="24">
        <v>739730.153153</v>
      </c>
    </row>
    <row r="1372" s="29" customFormat="1" ht="28" spans="2:5">
      <c r="B1372" s="19" t="s">
        <v>1322</v>
      </c>
      <c r="C1372" s="20" t="s">
        <v>804</v>
      </c>
      <c r="D1372" s="21">
        <v>1</v>
      </c>
      <c r="E1372" s="22">
        <v>739729.72973</v>
      </c>
    </row>
    <row r="1373" s="29" customFormat="1" ht="28" spans="2:5">
      <c r="B1373" s="19" t="s">
        <v>1322</v>
      </c>
      <c r="C1373" s="16" t="s">
        <v>183</v>
      </c>
      <c r="D1373" s="23">
        <v>1</v>
      </c>
      <c r="E1373" s="24">
        <v>739729.72973</v>
      </c>
    </row>
    <row r="1374" s="29" customFormat="1" ht="28" spans="2:5">
      <c r="B1374" s="19" t="s">
        <v>1063</v>
      </c>
      <c r="C1374" s="20" t="s">
        <v>804</v>
      </c>
      <c r="D1374" s="21">
        <v>2</v>
      </c>
      <c r="E1374" s="22">
        <v>1040540.540541</v>
      </c>
    </row>
    <row r="1375" s="29" customFormat="1" ht="28.75" spans="2:5">
      <c r="B1375" s="19" t="s">
        <v>1063</v>
      </c>
      <c r="C1375" s="16" t="s">
        <v>183</v>
      </c>
      <c r="D1375" s="23">
        <v>2</v>
      </c>
      <c r="E1375" s="24">
        <v>1040540.540541</v>
      </c>
    </row>
    <row r="1376" s="29" customFormat="1" spans="2:5">
      <c r="B1376" s="25"/>
      <c r="C1376" s="25"/>
      <c r="D1376" s="25"/>
      <c r="E1376" s="25"/>
    </row>
    <row r="1377" s="29" customFormat="1" ht="36" spans="2:5">
      <c r="B1377" s="26" t="s">
        <v>189</v>
      </c>
      <c r="C1377" s="26" t="s">
        <v>189</v>
      </c>
      <c r="D1377" s="26" t="s">
        <v>189</v>
      </c>
      <c r="E1377" s="26" t="s">
        <v>189</v>
      </c>
    </row>
    <row r="1378" s="29" customFormat="1" spans="2:5">
      <c r="B1378" s="26"/>
      <c r="C1378" s="26"/>
      <c r="D1378" s="26"/>
      <c r="E1378" s="26"/>
    </row>
    <row r="1379" s="29" customFormat="1" ht="36" spans="2:5">
      <c r="B1379" s="26" t="s">
        <v>958</v>
      </c>
      <c r="C1379" s="26" t="s">
        <v>958</v>
      </c>
      <c r="D1379" s="26" t="s">
        <v>958</v>
      </c>
      <c r="E1379" s="26" t="s">
        <v>958</v>
      </c>
    </row>
    <row r="1380" s="29" customFormat="1" spans="2:5">
      <c r="B1380" s="26" t="s">
        <v>1117</v>
      </c>
      <c r="C1380" s="26" t="s">
        <v>1117</v>
      </c>
      <c r="D1380" s="26" t="s">
        <v>1117</v>
      </c>
      <c r="E1380" s="26" t="s">
        <v>1117</v>
      </c>
    </row>
    <row r="1381" s="29" customFormat="1" ht="124" spans="2:5">
      <c r="B1381" s="11" t="s">
        <v>173</v>
      </c>
      <c r="C1381" s="11" t="s">
        <v>173</v>
      </c>
      <c r="D1381" s="11" t="s">
        <v>173</v>
      </c>
      <c r="E1381" s="11" t="s">
        <v>173</v>
      </c>
    </row>
    <row r="1382" s="29" customFormat="1" ht="156" spans="2:5">
      <c r="B1382" s="12" t="s">
        <v>174</v>
      </c>
      <c r="C1382" s="12" t="s">
        <v>174</v>
      </c>
      <c r="D1382" s="12" t="s">
        <v>174</v>
      </c>
      <c r="E1382" s="12" t="s">
        <v>174</v>
      </c>
    </row>
    <row r="1383" s="29" customFormat="1" ht="68" spans="2:5">
      <c r="B1383" s="13" t="s">
        <v>1155</v>
      </c>
      <c r="C1383" s="13" t="s">
        <v>1155</v>
      </c>
      <c r="D1383" s="13" t="s">
        <v>1155</v>
      </c>
      <c r="E1383" s="13" t="s">
        <v>1155</v>
      </c>
    </row>
    <row r="1384" s="29" customFormat="1" ht="22" spans="2:5">
      <c r="B1384" s="14" t="s">
        <v>176</v>
      </c>
      <c r="C1384" s="14" t="s">
        <v>176</v>
      </c>
      <c r="D1384" s="14" t="s">
        <v>176</v>
      </c>
      <c r="E1384" s="14" t="s">
        <v>176</v>
      </c>
    </row>
    <row r="1385" s="29" customFormat="1" spans="2:5">
      <c r="B1385" s="15" t="s">
        <v>177</v>
      </c>
      <c r="C1385" s="16" t="s">
        <v>178</v>
      </c>
      <c r="D1385" s="17" t="s">
        <v>179</v>
      </c>
      <c r="E1385" s="18" t="s">
        <v>180</v>
      </c>
    </row>
    <row r="1386" s="29" customFormat="1" ht="41" spans="2:5">
      <c r="B1386" s="19" t="s">
        <v>1323</v>
      </c>
      <c r="C1386" s="20" t="s">
        <v>182</v>
      </c>
      <c r="D1386" s="21">
        <v>1</v>
      </c>
      <c r="E1386" s="22">
        <v>780720.720721</v>
      </c>
    </row>
    <row r="1387" s="29" customFormat="1" ht="28" spans="2:5">
      <c r="B1387" s="19" t="s">
        <v>1323</v>
      </c>
      <c r="C1387" s="16" t="s">
        <v>183</v>
      </c>
      <c r="D1387" s="23">
        <v>1</v>
      </c>
      <c r="E1387" s="24">
        <v>780720.720721</v>
      </c>
    </row>
    <row r="1388" s="29" customFormat="1" ht="41" spans="2:5">
      <c r="B1388" s="19" t="s">
        <v>1324</v>
      </c>
      <c r="C1388" s="20" t="s">
        <v>182</v>
      </c>
      <c r="D1388" s="21">
        <v>1</v>
      </c>
      <c r="E1388" s="22">
        <v>780720.720721</v>
      </c>
    </row>
    <row r="1389" s="29" customFormat="1" ht="28" spans="2:5">
      <c r="B1389" s="19" t="s">
        <v>1324</v>
      </c>
      <c r="C1389" s="16" t="s">
        <v>183</v>
      </c>
      <c r="D1389" s="23">
        <v>1</v>
      </c>
      <c r="E1389" s="24">
        <v>780720.720721</v>
      </c>
    </row>
    <row r="1390" s="29" customFormat="1" ht="41" spans="2:5">
      <c r="B1390" s="19" t="s">
        <v>1325</v>
      </c>
      <c r="C1390" s="20" t="s">
        <v>182</v>
      </c>
      <c r="D1390" s="21">
        <v>2</v>
      </c>
      <c r="E1390" s="22">
        <v>1107387.387387</v>
      </c>
    </row>
    <row r="1391" s="29" customFormat="1" ht="28" spans="2:5">
      <c r="B1391" s="19" t="s">
        <v>1325</v>
      </c>
      <c r="C1391" s="16" t="s">
        <v>183</v>
      </c>
      <c r="D1391" s="23">
        <v>2</v>
      </c>
      <c r="E1391" s="24">
        <v>1107387.387387</v>
      </c>
    </row>
    <row r="1392" s="29" customFormat="1" ht="41" spans="2:5">
      <c r="B1392" s="19" t="s">
        <v>1326</v>
      </c>
      <c r="C1392" s="20" t="s">
        <v>182</v>
      </c>
      <c r="D1392" s="21">
        <v>1</v>
      </c>
      <c r="E1392" s="22">
        <v>747927.531531</v>
      </c>
    </row>
    <row r="1393" s="29" customFormat="1" ht="28" spans="2:5">
      <c r="B1393" s="19" t="s">
        <v>1326</v>
      </c>
      <c r="C1393" s="16" t="s">
        <v>183</v>
      </c>
      <c r="D1393" s="23">
        <v>1</v>
      </c>
      <c r="E1393" s="24">
        <v>747927.531531</v>
      </c>
    </row>
    <row r="1394" s="29" customFormat="1" ht="41" spans="2:5">
      <c r="B1394" s="19" t="s">
        <v>1327</v>
      </c>
      <c r="C1394" s="20" t="s">
        <v>182</v>
      </c>
      <c r="D1394" s="21">
        <v>1</v>
      </c>
      <c r="E1394" s="22">
        <v>747927.927928</v>
      </c>
    </row>
    <row r="1395" s="29" customFormat="1" ht="28" spans="2:5">
      <c r="B1395" s="19" t="s">
        <v>1327</v>
      </c>
      <c r="C1395" s="16" t="s">
        <v>183</v>
      </c>
      <c r="D1395" s="23">
        <v>1</v>
      </c>
      <c r="E1395" s="24">
        <v>747927.927928</v>
      </c>
    </row>
    <row r="1396" s="29" customFormat="1" ht="41" spans="2:5">
      <c r="B1396" s="19" t="s">
        <v>1068</v>
      </c>
      <c r="C1396" s="20" t="s">
        <v>182</v>
      </c>
      <c r="D1396" s="21">
        <v>2</v>
      </c>
      <c r="E1396" s="22">
        <v>1088468.468468</v>
      </c>
    </row>
    <row r="1397" s="29" customFormat="1" ht="28" spans="2:5">
      <c r="B1397" s="19" t="s">
        <v>1068</v>
      </c>
      <c r="C1397" s="20" t="s">
        <v>804</v>
      </c>
      <c r="D1397" s="21">
        <v>2</v>
      </c>
      <c r="E1397" s="22">
        <v>1088468.468468</v>
      </c>
    </row>
    <row r="1398" s="29" customFormat="1" ht="28.75" spans="2:5">
      <c r="B1398" s="19" t="s">
        <v>1068</v>
      </c>
      <c r="C1398" s="16" t="s">
        <v>183</v>
      </c>
      <c r="D1398" s="23">
        <v>4</v>
      </c>
      <c r="E1398" s="24">
        <v>2176936.936936</v>
      </c>
    </row>
    <row r="1399" s="29" customFormat="1" spans="2:5">
      <c r="B1399" s="25"/>
      <c r="C1399" s="25"/>
      <c r="D1399" s="25"/>
      <c r="E1399" s="25"/>
    </row>
    <row r="1400" s="29" customFormat="1" ht="36" spans="2:5">
      <c r="B1400" s="26" t="s">
        <v>189</v>
      </c>
      <c r="C1400" s="26" t="s">
        <v>189</v>
      </c>
      <c r="D1400" s="26" t="s">
        <v>189</v>
      </c>
      <c r="E1400" s="26" t="s">
        <v>189</v>
      </c>
    </row>
    <row r="1401" s="29" customFormat="1" spans="2:5">
      <c r="B1401" s="26"/>
      <c r="C1401" s="26"/>
      <c r="D1401" s="26"/>
      <c r="E1401" s="26"/>
    </row>
    <row r="1402" s="29" customFormat="1" ht="36" spans="2:5">
      <c r="B1402" s="26" t="s">
        <v>958</v>
      </c>
      <c r="C1402" s="26" t="s">
        <v>958</v>
      </c>
      <c r="D1402" s="26" t="s">
        <v>958</v>
      </c>
      <c r="E1402" s="26" t="s">
        <v>958</v>
      </c>
    </row>
    <row r="1403" s="29" customFormat="1" spans="2:5">
      <c r="B1403" s="26" t="s">
        <v>1121</v>
      </c>
      <c r="C1403" s="26" t="s">
        <v>1121</v>
      </c>
      <c r="D1403" s="26" t="s">
        <v>1121</v>
      </c>
      <c r="E1403" s="26" t="s">
        <v>1121</v>
      </c>
    </row>
    <row r="1404" s="29" customFormat="1" ht="124" spans="2:5">
      <c r="B1404" s="11" t="s">
        <v>173</v>
      </c>
      <c r="C1404" s="11" t="s">
        <v>173</v>
      </c>
      <c r="D1404" s="11" t="s">
        <v>173</v>
      </c>
      <c r="E1404" s="11" t="s">
        <v>173</v>
      </c>
    </row>
    <row r="1405" s="29" customFormat="1" ht="156" spans="2:5">
      <c r="B1405" s="12" t="s">
        <v>174</v>
      </c>
      <c r="C1405" s="12" t="s">
        <v>174</v>
      </c>
      <c r="D1405" s="12" t="s">
        <v>174</v>
      </c>
      <c r="E1405" s="12" t="s">
        <v>174</v>
      </c>
    </row>
    <row r="1406" s="29" customFormat="1" ht="68" spans="2:5">
      <c r="B1406" s="13" t="s">
        <v>1155</v>
      </c>
      <c r="C1406" s="13" t="s">
        <v>1155</v>
      </c>
      <c r="D1406" s="13" t="s">
        <v>1155</v>
      </c>
      <c r="E1406" s="13" t="s">
        <v>1155</v>
      </c>
    </row>
    <row r="1407" s="29" customFormat="1" ht="22" spans="2:5">
      <c r="B1407" s="14" t="s">
        <v>176</v>
      </c>
      <c r="C1407" s="14" t="s">
        <v>176</v>
      </c>
      <c r="D1407" s="14" t="s">
        <v>176</v>
      </c>
      <c r="E1407" s="14" t="s">
        <v>176</v>
      </c>
    </row>
    <row r="1408" s="29" customFormat="1" spans="2:5">
      <c r="B1408" s="15" t="s">
        <v>177</v>
      </c>
      <c r="C1408" s="16" t="s">
        <v>178</v>
      </c>
      <c r="D1408" s="17" t="s">
        <v>179</v>
      </c>
      <c r="E1408" s="18" t="s">
        <v>180</v>
      </c>
    </row>
    <row r="1409" s="29" customFormat="1" ht="41" spans="2:5">
      <c r="B1409" s="19" t="s">
        <v>1069</v>
      </c>
      <c r="C1409" s="20" t="s">
        <v>182</v>
      </c>
      <c r="D1409" s="21">
        <v>2</v>
      </c>
      <c r="E1409" s="22">
        <v>1088468.891892</v>
      </c>
    </row>
    <row r="1410" s="29" customFormat="1" ht="28" spans="2:5">
      <c r="B1410" s="19" t="s">
        <v>1069</v>
      </c>
      <c r="C1410" s="20" t="s">
        <v>804</v>
      </c>
      <c r="D1410" s="21">
        <v>2</v>
      </c>
      <c r="E1410" s="22">
        <v>1088468.468468</v>
      </c>
    </row>
    <row r="1411" s="29" customFormat="1" ht="28" spans="2:5">
      <c r="B1411" s="19" t="s">
        <v>1069</v>
      </c>
      <c r="C1411" s="16" t="s">
        <v>183</v>
      </c>
      <c r="D1411" s="23">
        <v>4</v>
      </c>
      <c r="E1411" s="24">
        <v>2176937.36036</v>
      </c>
    </row>
    <row r="1412" s="29" customFormat="1" ht="28" spans="2:5">
      <c r="B1412" s="19" t="s">
        <v>462</v>
      </c>
      <c r="C1412" s="20" t="s">
        <v>804</v>
      </c>
      <c r="D1412" s="21">
        <v>1</v>
      </c>
      <c r="E1412" s="22">
        <v>544234.234234</v>
      </c>
    </row>
    <row r="1413" s="29" customFormat="1" ht="28" spans="2:5">
      <c r="B1413" s="19" t="s">
        <v>462</v>
      </c>
      <c r="C1413" s="16" t="s">
        <v>183</v>
      </c>
      <c r="D1413" s="23">
        <v>1</v>
      </c>
      <c r="E1413" s="24">
        <v>544234.234234</v>
      </c>
    </row>
    <row r="1414" s="29" customFormat="1" ht="28" spans="2:5">
      <c r="B1414" s="19" t="s">
        <v>463</v>
      </c>
      <c r="C1414" s="20" t="s">
        <v>804</v>
      </c>
      <c r="D1414" s="21">
        <v>1</v>
      </c>
      <c r="E1414" s="22">
        <v>544234.234234</v>
      </c>
    </row>
    <row r="1415" s="29" customFormat="1" ht="28" spans="2:5">
      <c r="B1415" s="19" t="s">
        <v>463</v>
      </c>
      <c r="C1415" s="16" t="s">
        <v>183</v>
      </c>
      <c r="D1415" s="23">
        <v>1</v>
      </c>
      <c r="E1415" s="24">
        <v>544234.234234</v>
      </c>
    </row>
    <row r="1416" s="29" customFormat="1" ht="41" spans="2:5">
      <c r="B1416" s="19" t="s">
        <v>1070</v>
      </c>
      <c r="C1416" s="20" t="s">
        <v>182</v>
      </c>
      <c r="D1416" s="21">
        <v>1</v>
      </c>
      <c r="E1416" s="22">
        <v>520270.27027</v>
      </c>
    </row>
    <row r="1417" s="29" customFormat="1" ht="28" spans="2:5">
      <c r="B1417" s="19" t="s">
        <v>1070</v>
      </c>
      <c r="C1417" s="16" t="s">
        <v>183</v>
      </c>
      <c r="D1417" s="23">
        <v>1</v>
      </c>
      <c r="E1417" s="24">
        <v>520270.27027</v>
      </c>
    </row>
    <row r="1418" s="29" customFormat="1" ht="41" spans="2:5">
      <c r="B1418" s="19" t="s">
        <v>1071</v>
      </c>
      <c r="C1418" s="20" t="s">
        <v>182</v>
      </c>
      <c r="D1418" s="21">
        <v>1</v>
      </c>
      <c r="E1418" s="22">
        <v>520270.27027</v>
      </c>
    </row>
    <row r="1419" s="29" customFormat="1" ht="28" spans="2:5">
      <c r="B1419" s="19" t="s">
        <v>1071</v>
      </c>
      <c r="C1419" s="16" t="s">
        <v>183</v>
      </c>
      <c r="D1419" s="23">
        <v>1</v>
      </c>
      <c r="E1419" s="24">
        <v>520270.27027</v>
      </c>
    </row>
    <row r="1420" s="29" customFormat="1" ht="41" spans="2:5">
      <c r="B1420" s="19" t="s">
        <v>1072</v>
      </c>
      <c r="C1420" s="20" t="s">
        <v>182</v>
      </c>
      <c r="D1420" s="21">
        <v>2</v>
      </c>
      <c r="E1420" s="22">
        <v>1160360.126126</v>
      </c>
    </row>
    <row r="1421" s="29" customFormat="1" ht="28" spans="2:5">
      <c r="B1421" s="19" t="s">
        <v>1072</v>
      </c>
      <c r="C1421" s="20" t="s">
        <v>804</v>
      </c>
      <c r="D1421" s="21">
        <v>1</v>
      </c>
      <c r="E1421" s="22">
        <v>580180.351351</v>
      </c>
    </row>
    <row r="1422" s="29" customFormat="1" ht="28.75" spans="2:5">
      <c r="B1422" s="19" t="s">
        <v>1072</v>
      </c>
      <c r="C1422" s="16" t="s">
        <v>183</v>
      </c>
      <c r="D1422" s="23">
        <v>3</v>
      </c>
      <c r="E1422" s="24">
        <v>1740540.477477</v>
      </c>
    </row>
    <row r="1423" s="29" customFormat="1" spans="2:5">
      <c r="B1423" s="25"/>
      <c r="C1423" s="25"/>
      <c r="D1423" s="25"/>
      <c r="E1423" s="25"/>
    </row>
    <row r="1424" s="29" customFormat="1" ht="36" spans="2:5">
      <c r="B1424" s="26" t="s">
        <v>189</v>
      </c>
      <c r="C1424" s="26" t="s">
        <v>189</v>
      </c>
      <c r="D1424" s="26" t="s">
        <v>189</v>
      </c>
      <c r="E1424" s="26" t="s">
        <v>189</v>
      </c>
    </row>
    <row r="1425" s="29" customFormat="1" spans="2:5">
      <c r="B1425" s="26"/>
      <c r="C1425" s="26"/>
      <c r="D1425" s="26"/>
      <c r="E1425" s="26"/>
    </row>
    <row r="1426" s="29" customFormat="1" ht="36" spans="2:5">
      <c r="B1426" s="26" t="s">
        <v>958</v>
      </c>
      <c r="C1426" s="26" t="s">
        <v>958</v>
      </c>
      <c r="D1426" s="26" t="s">
        <v>958</v>
      </c>
      <c r="E1426" s="26" t="s">
        <v>958</v>
      </c>
    </row>
    <row r="1427" s="29" customFormat="1" spans="2:5">
      <c r="B1427" s="26" t="s">
        <v>1129</v>
      </c>
      <c r="C1427" s="26" t="s">
        <v>1129</v>
      </c>
      <c r="D1427" s="26" t="s">
        <v>1129</v>
      </c>
      <c r="E1427" s="26" t="s">
        <v>1129</v>
      </c>
    </row>
    <row r="1428" s="29" customFormat="1" ht="124" spans="2:5">
      <c r="B1428" s="11" t="s">
        <v>173</v>
      </c>
      <c r="C1428" s="11" t="s">
        <v>173</v>
      </c>
      <c r="D1428" s="11" t="s">
        <v>173</v>
      </c>
      <c r="E1428" s="11" t="s">
        <v>173</v>
      </c>
    </row>
    <row r="1429" s="29" customFormat="1" ht="156" spans="2:5">
      <c r="B1429" s="12" t="s">
        <v>174</v>
      </c>
      <c r="C1429" s="12" t="s">
        <v>174</v>
      </c>
      <c r="D1429" s="12" t="s">
        <v>174</v>
      </c>
      <c r="E1429" s="12" t="s">
        <v>174</v>
      </c>
    </row>
    <row r="1430" s="29" customFormat="1" ht="68" spans="2:5">
      <c r="B1430" s="13" t="s">
        <v>1155</v>
      </c>
      <c r="C1430" s="13" t="s">
        <v>1155</v>
      </c>
      <c r="D1430" s="13" t="s">
        <v>1155</v>
      </c>
      <c r="E1430" s="13" t="s">
        <v>1155</v>
      </c>
    </row>
    <row r="1431" s="29" customFormat="1" ht="22" spans="2:5">
      <c r="B1431" s="14" t="s">
        <v>176</v>
      </c>
      <c r="C1431" s="14" t="s">
        <v>176</v>
      </c>
      <c r="D1431" s="14" t="s">
        <v>176</v>
      </c>
      <c r="E1431" s="14" t="s">
        <v>176</v>
      </c>
    </row>
    <row r="1432" s="29" customFormat="1" spans="2:5">
      <c r="B1432" s="15" t="s">
        <v>177</v>
      </c>
      <c r="C1432" s="16" t="s">
        <v>178</v>
      </c>
      <c r="D1432" s="17" t="s">
        <v>179</v>
      </c>
      <c r="E1432" s="18" t="s">
        <v>180</v>
      </c>
    </row>
    <row r="1433" s="29" customFormat="1" ht="41" spans="2:5">
      <c r="B1433" s="19" t="s">
        <v>1073</v>
      </c>
      <c r="C1433" s="20" t="s">
        <v>182</v>
      </c>
      <c r="D1433" s="21">
        <v>2</v>
      </c>
      <c r="E1433" s="22">
        <v>1160360</v>
      </c>
    </row>
    <row r="1434" s="29" customFormat="1" ht="28" spans="2:5">
      <c r="B1434" s="19" t="s">
        <v>1073</v>
      </c>
      <c r="C1434" s="20" t="s">
        <v>804</v>
      </c>
      <c r="D1434" s="21">
        <v>1</v>
      </c>
      <c r="E1434" s="22">
        <v>580180.18018</v>
      </c>
    </row>
    <row r="1435" s="29" customFormat="1" ht="28" spans="2:5">
      <c r="B1435" s="19" t="s">
        <v>1073</v>
      </c>
      <c r="C1435" s="16" t="s">
        <v>183</v>
      </c>
      <c r="D1435" s="23">
        <v>3</v>
      </c>
      <c r="E1435" s="24">
        <v>1740540.18018</v>
      </c>
    </row>
    <row r="1436" s="29" customFormat="1" ht="41" spans="2:5">
      <c r="B1436" s="19" t="s">
        <v>1328</v>
      </c>
      <c r="C1436" s="20" t="s">
        <v>182</v>
      </c>
      <c r="D1436" s="21">
        <v>1</v>
      </c>
      <c r="E1436" s="22">
        <v>685495.045045</v>
      </c>
    </row>
    <row r="1437" s="29" customFormat="1" ht="28" spans="2:5">
      <c r="B1437" s="19" t="s">
        <v>1328</v>
      </c>
      <c r="C1437" s="16" t="s">
        <v>183</v>
      </c>
      <c r="D1437" s="23">
        <v>1</v>
      </c>
      <c r="E1437" s="24">
        <v>685495.045045</v>
      </c>
    </row>
    <row r="1438" s="29" customFormat="1" ht="41" spans="2:5">
      <c r="B1438" s="19" t="s">
        <v>1329</v>
      </c>
      <c r="C1438" s="20" t="s">
        <v>182</v>
      </c>
      <c r="D1438" s="21">
        <v>1</v>
      </c>
      <c r="E1438" s="22">
        <v>685495.495495</v>
      </c>
    </row>
    <row r="1439" s="29" customFormat="1" ht="28" spans="2:5">
      <c r="B1439" s="19" t="s">
        <v>1329</v>
      </c>
      <c r="C1439" s="16" t="s">
        <v>183</v>
      </c>
      <c r="D1439" s="23">
        <v>1</v>
      </c>
      <c r="E1439" s="24">
        <v>685495.495495</v>
      </c>
    </row>
    <row r="1440" s="29" customFormat="1" ht="28" spans="2:5">
      <c r="B1440" s="19" t="s">
        <v>1330</v>
      </c>
      <c r="C1440" s="20" t="s">
        <v>804</v>
      </c>
      <c r="D1440" s="21">
        <v>2</v>
      </c>
      <c r="E1440" s="22">
        <v>1200000</v>
      </c>
    </row>
    <row r="1441" s="29" customFormat="1" ht="28" spans="2:5">
      <c r="B1441" s="19" t="s">
        <v>1330</v>
      </c>
      <c r="C1441" s="16" t="s">
        <v>183</v>
      </c>
      <c r="D1441" s="23">
        <v>2</v>
      </c>
      <c r="E1441" s="24">
        <v>1200000</v>
      </c>
    </row>
    <row r="1442" s="29" customFormat="1" ht="28" spans="2:5">
      <c r="B1442" s="19" t="s">
        <v>1331</v>
      </c>
      <c r="C1442" s="20" t="s">
        <v>804</v>
      </c>
      <c r="D1442" s="21">
        <v>1</v>
      </c>
      <c r="E1442" s="22">
        <v>1200000</v>
      </c>
    </row>
    <row r="1443" s="29" customFormat="1" ht="28" spans="2:5">
      <c r="B1443" s="19" t="s">
        <v>1331</v>
      </c>
      <c r="C1443" s="16" t="s">
        <v>183</v>
      </c>
      <c r="D1443" s="23">
        <v>1</v>
      </c>
      <c r="E1443" s="24">
        <v>1200000</v>
      </c>
    </row>
    <row r="1444" s="29" customFormat="1" ht="41" spans="2:5">
      <c r="B1444" s="19" t="s">
        <v>329</v>
      </c>
      <c r="C1444" s="20" t="s">
        <v>182</v>
      </c>
      <c r="D1444" s="21">
        <v>2</v>
      </c>
      <c r="E1444" s="22">
        <v>0</v>
      </c>
    </row>
    <row r="1445" s="29" customFormat="1" ht="28" spans="2:5">
      <c r="B1445" s="19" t="s">
        <v>329</v>
      </c>
      <c r="C1445" s="16" t="s">
        <v>183</v>
      </c>
      <c r="D1445" s="23">
        <v>2</v>
      </c>
      <c r="E1445" s="24">
        <v>0</v>
      </c>
    </row>
    <row r="1446" s="29" customFormat="1" ht="41.75" spans="2:5">
      <c r="B1446" s="20" t="s">
        <v>464</v>
      </c>
      <c r="C1446" s="20" t="s">
        <v>182</v>
      </c>
      <c r="D1446" s="21">
        <v>4</v>
      </c>
      <c r="E1446" s="22">
        <v>0</v>
      </c>
    </row>
    <row r="1447" s="29" customFormat="1" spans="2:5">
      <c r="B1447" s="25"/>
      <c r="C1447" s="25"/>
      <c r="D1447" s="25"/>
      <c r="E1447" s="25"/>
    </row>
    <row r="1448" s="29" customFormat="1" ht="36" spans="2:5">
      <c r="B1448" s="26" t="s">
        <v>189</v>
      </c>
      <c r="C1448" s="26" t="s">
        <v>189</v>
      </c>
      <c r="D1448" s="26" t="s">
        <v>189</v>
      </c>
      <c r="E1448" s="26" t="s">
        <v>189</v>
      </c>
    </row>
    <row r="1449" s="29" customFormat="1" spans="2:5">
      <c r="B1449" s="26"/>
      <c r="C1449" s="26"/>
      <c r="D1449" s="26"/>
      <c r="E1449" s="26"/>
    </row>
    <row r="1450" s="29" customFormat="1" ht="36" spans="2:5">
      <c r="B1450" s="26" t="s">
        <v>958</v>
      </c>
      <c r="C1450" s="26" t="s">
        <v>958</v>
      </c>
      <c r="D1450" s="26" t="s">
        <v>958</v>
      </c>
      <c r="E1450" s="26" t="s">
        <v>958</v>
      </c>
    </row>
    <row r="1451" s="29" customFormat="1" spans="2:5">
      <c r="B1451" s="26" t="s">
        <v>1137</v>
      </c>
      <c r="C1451" s="26" t="s">
        <v>1137</v>
      </c>
      <c r="D1451" s="26" t="s">
        <v>1137</v>
      </c>
      <c r="E1451" s="26" t="s">
        <v>1137</v>
      </c>
    </row>
    <row r="1452" s="29" customFormat="1" ht="124" spans="2:5">
      <c r="B1452" s="11" t="s">
        <v>173</v>
      </c>
      <c r="C1452" s="11" t="s">
        <v>173</v>
      </c>
      <c r="D1452" s="11" t="s">
        <v>173</v>
      </c>
      <c r="E1452" s="11" t="s">
        <v>173</v>
      </c>
    </row>
    <row r="1453" s="29" customFormat="1" ht="156" spans="2:5">
      <c r="B1453" s="12" t="s">
        <v>174</v>
      </c>
      <c r="C1453" s="12" t="s">
        <v>174</v>
      </c>
      <c r="D1453" s="12" t="s">
        <v>174</v>
      </c>
      <c r="E1453" s="12" t="s">
        <v>174</v>
      </c>
    </row>
    <row r="1454" s="29" customFormat="1" ht="68" spans="2:5">
      <c r="B1454" s="13" t="s">
        <v>1155</v>
      </c>
      <c r="C1454" s="13" t="s">
        <v>1155</v>
      </c>
      <c r="D1454" s="13" t="s">
        <v>1155</v>
      </c>
      <c r="E1454" s="13" t="s">
        <v>1155</v>
      </c>
    </row>
    <row r="1455" s="29" customFormat="1" ht="22" spans="2:5">
      <c r="B1455" s="14" t="s">
        <v>176</v>
      </c>
      <c r="C1455" s="14" t="s">
        <v>176</v>
      </c>
      <c r="D1455" s="14" t="s">
        <v>176</v>
      </c>
      <c r="E1455" s="14" t="s">
        <v>176</v>
      </c>
    </row>
    <row r="1456" s="29" customFormat="1" spans="2:5">
      <c r="B1456" s="15" t="s">
        <v>177</v>
      </c>
      <c r="C1456" s="16" t="s">
        <v>178</v>
      </c>
      <c r="D1456" s="17" t="s">
        <v>179</v>
      </c>
      <c r="E1456" s="18" t="s">
        <v>180</v>
      </c>
    </row>
    <row r="1457" s="29" customFormat="1" ht="28" spans="2:5">
      <c r="B1457" s="19" t="s">
        <v>464</v>
      </c>
      <c r="C1457" s="20" t="s">
        <v>804</v>
      </c>
      <c r="D1457" s="21">
        <v>6</v>
      </c>
      <c r="E1457" s="22">
        <v>381981.891892</v>
      </c>
    </row>
    <row r="1458" s="29" customFormat="1" ht="28" spans="2:5">
      <c r="B1458" s="19" t="s">
        <v>464</v>
      </c>
      <c r="C1458" s="16" t="s">
        <v>183</v>
      </c>
      <c r="D1458" s="23">
        <v>10</v>
      </c>
      <c r="E1458" s="24">
        <v>381981.891892</v>
      </c>
    </row>
    <row r="1459" s="29" customFormat="1" ht="28" spans="2:5">
      <c r="B1459" s="19" t="s">
        <v>330</v>
      </c>
      <c r="C1459" s="20" t="s">
        <v>804</v>
      </c>
      <c r="D1459" s="21">
        <v>12</v>
      </c>
      <c r="E1459" s="22">
        <v>0</v>
      </c>
    </row>
    <row r="1460" s="29" customFormat="1" ht="28" spans="2:5">
      <c r="B1460" s="19" t="s">
        <v>330</v>
      </c>
      <c r="C1460" s="16" t="s">
        <v>183</v>
      </c>
      <c r="D1460" s="23">
        <v>12</v>
      </c>
      <c r="E1460" s="24">
        <v>0</v>
      </c>
    </row>
    <row r="1461" s="29" customFormat="1" ht="28" spans="2:5">
      <c r="B1461" s="19" t="s">
        <v>1332</v>
      </c>
      <c r="C1461" s="20" t="s">
        <v>804</v>
      </c>
      <c r="D1461" s="21">
        <v>5</v>
      </c>
      <c r="E1461" s="22">
        <v>0</v>
      </c>
    </row>
    <row r="1462" s="29" customFormat="1" ht="28" spans="2:5">
      <c r="B1462" s="19" t="s">
        <v>1332</v>
      </c>
      <c r="C1462" s="16" t="s">
        <v>183</v>
      </c>
      <c r="D1462" s="23">
        <v>5</v>
      </c>
      <c r="E1462" s="24">
        <v>0</v>
      </c>
    </row>
    <row r="1463" s="29" customFormat="1" ht="41" spans="2:5">
      <c r="B1463" s="19" t="s">
        <v>333</v>
      </c>
      <c r="C1463" s="20" t="s">
        <v>182</v>
      </c>
      <c r="D1463" s="21">
        <v>4</v>
      </c>
      <c r="E1463" s="22">
        <v>980180.18018</v>
      </c>
    </row>
    <row r="1464" s="29" customFormat="1" ht="28" spans="2:5">
      <c r="B1464" s="19" t="s">
        <v>333</v>
      </c>
      <c r="C1464" s="16" t="s">
        <v>183</v>
      </c>
      <c r="D1464" s="23">
        <v>4</v>
      </c>
      <c r="E1464" s="24">
        <v>980180.18018</v>
      </c>
    </row>
    <row r="1465" s="29" customFormat="1" ht="41" spans="2:5">
      <c r="B1465" s="19" t="s">
        <v>1333</v>
      </c>
      <c r="C1465" s="20" t="s">
        <v>182</v>
      </c>
      <c r="D1465" s="21">
        <v>4</v>
      </c>
      <c r="E1465" s="22">
        <v>160000</v>
      </c>
    </row>
    <row r="1466" s="29" customFormat="1" ht="28" spans="2:5">
      <c r="B1466" s="19" t="s">
        <v>1333</v>
      </c>
      <c r="C1466" s="16" t="s">
        <v>183</v>
      </c>
      <c r="D1466" s="23">
        <v>4</v>
      </c>
      <c r="E1466" s="24">
        <v>160000</v>
      </c>
    </row>
    <row r="1467" s="29" customFormat="1" ht="41" spans="2:5">
      <c r="B1467" s="19" t="s">
        <v>1334</v>
      </c>
      <c r="C1467" s="20" t="s">
        <v>182</v>
      </c>
      <c r="D1467" s="21">
        <v>4</v>
      </c>
      <c r="E1467" s="22">
        <v>630630.630631</v>
      </c>
    </row>
    <row r="1468" s="29" customFormat="1" ht="28" spans="2:5">
      <c r="B1468" s="19" t="s">
        <v>1334</v>
      </c>
      <c r="C1468" s="16" t="s">
        <v>183</v>
      </c>
      <c r="D1468" s="23">
        <v>4</v>
      </c>
      <c r="E1468" s="24">
        <v>630630.630631</v>
      </c>
    </row>
    <row r="1469" s="29" customFormat="1" ht="28" spans="2:5">
      <c r="B1469" s="19" t="s">
        <v>1335</v>
      </c>
      <c r="C1469" s="20" t="s">
        <v>804</v>
      </c>
      <c r="D1469" s="21">
        <v>1</v>
      </c>
      <c r="E1469" s="22">
        <v>300000</v>
      </c>
    </row>
    <row r="1470" s="29" customFormat="1" ht="28.75" spans="2:5">
      <c r="B1470" s="19" t="s">
        <v>1335</v>
      </c>
      <c r="C1470" s="16" t="s">
        <v>183</v>
      </c>
      <c r="D1470" s="23">
        <v>1</v>
      </c>
      <c r="E1470" s="24">
        <v>300000</v>
      </c>
    </row>
    <row r="1471" s="29" customFormat="1" spans="2:5">
      <c r="B1471" s="25"/>
      <c r="C1471" s="25"/>
      <c r="D1471" s="25"/>
      <c r="E1471" s="25"/>
    </row>
    <row r="1472" s="29" customFormat="1" ht="36" spans="2:5">
      <c r="B1472" s="26" t="s">
        <v>189</v>
      </c>
      <c r="C1472" s="26" t="s">
        <v>189</v>
      </c>
      <c r="D1472" s="26" t="s">
        <v>189</v>
      </c>
      <c r="E1472" s="26" t="s">
        <v>189</v>
      </c>
    </row>
    <row r="1473" s="29" customFormat="1" spans="2:5">
      <c r="B1473" s="26"/>
      <c r="C1473" s="26"/>
      <c r="D1473" s="26"/>
      <c r="E1473" s="26"/>
    </row>
    <row r="1474" s="29" customFormat="1" ht="36" spans="2:5">
      <c r="B1474" s="26" t="s">
        <v>958</v>
      </c>
      <c r="C1474" s="26" t="s">
        <v>958</v>
      </c>
      <c r="D1474" s="26" t="s">
        <v>958</v>
      </c>
      <c r="E1474" s="26" t="s">
        <v>958</v>
      </c>
    </row>
    <row r="1475" s="29" customFormat="1" spans="2:5">
      <c r="B1475" s="26" t="s">
        <v>1144</v>
      </c>
      <c r="C1475" s="26" t="s">
        <v>1144</v>
      </c>
      <c r="D1475" s="26" t="s">
        <v>1144</v>
      </c>
      <c r="E1475" s="26" t="s">
        <v>1144</v>
      </c>
    </row>
    <row r="1476" s="29" customFormat="1" ht="124" spans="2:5">
      <c r="B1476" s="11" t="s">
        <v>173</v>
      </c>
      <c r="C1476" s="11" t="s">
        <v>173</v>
      </c>
      <c r="D1476" s="11" t="s">
        <v>173</v>
      </c>
      <c r="E1476" s="11" t="s">
        <v>173</v>
      </c>
    </row>
    <row r="1477" s="29" customFormat="1" ht="156" spans="2:5">
      <c r="B1477" s="12" t="s">
        <v>174</v>
      </c>
      <c r="C1477" s="12" t="s">
        <v>174</v>
      </c>
      <c r="D1477" s="12" t="s">
        <v>174</v>
      </c>
      <c r="E1477" s="12" t="s">
        <v>174</v>
      </c>
    </row>
    <row r="1478" s="29" customFormat="1" ht="68" spans="2:5">
      <c r="B1478" s="13" t="s">
        <v>1155</v>
      </c>
      <c r="C1478" s="13" t="s">
        <v>1155</v>
      </c>
      <c r="D1478" s="13" t="s">
        <v>1155</v>
      </c>
      <c r="E1478" s="13" t="s">
        <v>1155</v>
      </c>
    </row>
    <row r="1479" s="29" customFormat="1" ht="22" spans="2:5">
      <c r="B1479" s="14" t="s">
        <v>176</v>
      </c>
      <c r="C1479" s="14" t="s">
        <v>176</v>
      </c>
      <c r="D1479" s="14" t="s">
        <v>176</v>
      </c>
      <c r="E1479" s="14" t="s">
        <v>176</v>
      </c>
    </row>
    <row r="1480" s="29" customFormat="1" spans="2:5">
      <c r="B1480" s="15" t="s">
        <v>177</v>
      </c>
      <c r="C1480" s="16" t="s">
        <v>178</v>
      </c>
      <c r="D1480" s="17" t="s">
        <v>179</v>
      </c>
      <c r="E1480" s="18" t="s">
        <v>180</v>
      </c>
    </row>
    <row r="1481" s="29" customFormat="1" ht="41" spans="2:5">
      <c r="B1481" s="19" t="s">
        <v>1336</v>
      </c>
      <c r="C1481" s="20" t="s">
        <v>182</v>
      </c>
      <c r="D1481" s="21">
        <v>2</v>
      </c>
      <c r="E1481" s="22">
        <v>464864.864865</v>
      </c>
    </row>
    <row r="1482" s="29" customFormat="1" ht="28" spans="2:5">
      <c r="B1482" s="19" t="s">
        <v>1336</v>
      </c>
      <c r="C1482" s="16" t="s">
        <v>183</v>
      </c>
      <c r="D1482" s="23">
        <v>2</v>
      </c>
      <c r="E1482" s="24">
        <v>464864.864865</v>
      </c>
    </row>
    <row r="1483" s="29" customFormat="1" ht="41" spans="2:5">
      <c r="B1483" s="19" t="s">
        <v>1337</v>
      </c>
      <c r="C1483" s="20" t="s">
        <v>182</v>
      </c>
      <c r="D1483" s="21">
        <v>2</v>
      </c>
      <c r="E1483" s="22">
        <v>550000</v>
      </c>
    </row>
    <row r="1484" s="29" customFormat="1" ht="28" spans="2:5">
      <c r="B1484" s="19" t="s">
        <v>1337</v>
      </c>
      <c r="C1484" s="16" t="s">
        <v>183</v>
      </c>
      <c r="D1484" s="23">
        <v>2</v>
      </c>
      <c r="E1484" s="24">
        <v>550000</v>
      </c>
    </row>
    <row r="1485" s="29" customFormat="1" ht="41" spans="2:5">
      <c r="B1485" s="19" t="s">
        <v>1080</v>
      </c>
      <c r="C1485" s="20" t="s">
        <v>182</v>
      </c>
      <c r="D1485" s="21">
        <v>4</v>
      </c>
      <c r="E1485" s="22">
        <v>630630.630631</v>
      </c>
    </row>
    <row r="1486" s="29" customFormat="1" ht="28" spans="2:5">
      <c r="B1486" s="19" t="s">
        <v>1080</v>
      </c>
      <c r="C1486" s="16" t="s">
        <v>183</v>
      </c>
      <c r="D1486" s="23">
        <v>4</v>
      </c>
      <c r="E1486" s="24">
        <v>630630.630631</v>
      </c>
    </row>
    <row r="1487" s="29" customFormat="1" ht="41" spans="2:5">
      <c r="B1487" s="19" t="s">
        <v>1338</v>
      </c>
      <c r="C1487" s="20" t="s">
        <v>182</v>
      </c>
      <c r="D1487" s="21">
        <v>1</v>
      </c>
      <c r="E1487" s="22">
        <v>79200</v>
      </c>
    </row>
    <row r="1488" s="29" customFormat="1" ht="28" spans="2:5">
      <c r="B1488" s="19" t="s">
        <v>1338</v>
      </c>
      <c r="C1488" s="16" t="s">
        <v>183</v>
      </c>
      <c r="D1488" s="23">
        <v>1</v>
      </c>
      <c r="E1488" s="24">
        <v>79200</v>
      </c>
    </row>
    <row r="1489" s="29" customFormat="1" ht="41" spans="2:5">
      <c r="B1489" s="19" t="s">
        <v>1339</v>
      </c>
      <c r="C1489" s="20" t="s">
        <v>182</v>
      </c>
      <c r="D1489" s="21">
        <v>1</v>
      </c>
      <c r="E1489" s="22">
        <v>100000</v>
      </c>
    </row>
    <row r="1490" s="29" customFormat="1" spans="2:5">
      <c r="B1490" s="19" t="s">
        <v>1339</v>
      </c>
      <c r="C1490" s="16" t="s">
        <v>183</v>
      </c>
      <c r="D1490" s="23">
        <v>1</v>
      </c>
      <c r="E1490" s="24">
        <v>100000</v>
      </c>
    </row>
    <row r="1491" s="29" customFormat="1" ht="28" spans="2:5">
      <c r="B1491" s="19" t="s">
        <v>1340</v>
      </c>
      <c r="C1491" s="20" t="s">
        <v>804</v>
      </c>
      <c r="D1491" s="21">
        <v>1</v>
      </c>
      <c r="E1491" s="22">
        <v>13513.513514</v>
      </c>
    </row>
    <row r="1492" s="29" customFormat="1" spans="2:5">
      <c r="B1492" s="19" t="s">
        <v>1340</v>
      </c>
      <c r="C1492" s="16" t="s">
        <v>183</v>
      </c>
      <c r="D1492" s="23">
        <v>1</v>
      </c>
      <c r="E1492" s="24">
        <v>13513.513514</v>
      </c>
    </row>
    <row r="1493" s="29" customFormat="1" ht="28" spans="2:5">
      <c r="B1493" s="19" t="s">
        <v>1341</v>
      </c>
      <c r="C1493" s="20" t="s">
        <v>804</v>
      </c>
      <c r="D1493" s="21">
        <v>1</v>
      </c>
      <c r="E1493" s="22">
        <v>13513.513514</v>
      </c>
    </row>
    <row r="1494" s="29" customFormat="1" ht="17.55" spans="2:5">
      <c r="B1494" s="19" t="s">
        <v>1341</v>
      </c>
      <c r="C1494" s="16" t="s">
        <v>183</v>
      </c>
      <c r="D1494" s="23">
        <v>1</v>
      </c>
      <c r="E1494" s="24">
        <v>13513.513514</v>
      </c>
    </row>
    <row r="1495" s="29" customFormat="1" spans="2:5">
      <c r="B1495" s="25"/>
      <c r="C1495" s="25"/>
      <c r="D1495" s="25"/>
      <c r="E1495" s="25"/>
    </row>
    <row r="1496" s="29" customFormat="1" ht="36" spans="2:5">
      <c r="B1496" s="26" t="s">
        <v>189</v>
      </c>
      <c r="C1496" s="26" t="s">
        <v>189</v>
      </c>
      <c r="D1496" s="26" t="s">
        <v>189</v>
      </c>
      <c r="E1496" s="26" t="s">
        <v>189</v>
      </c>
    </row>
    <row r="1497" s="29" customFormat="1" spans="2:5">
      <c r="B1497" s="26"/>
      <c r="C1497" s="26"/>
      <c r="D1497" s="26"/>
      <c r="E1497" s="26"/>
    </row>
    <row r="1498" s="29" customFormat="1" ht="36" spans="2:5">
      <c r="B1498" s="26" t="s">
        <v>958</v>
      </c>
      <c r="C1498" s="26" t="s">
        <v>958</v>
      </c>
      <c r="D1498" s="26" t="s">
        <v>958</v>
      </c>
      <c r="E1498" s="26" t="s">
        <v>958</v>
      </c>
    </row>
    <row r="1499" s="29" customFormat="1" spans="2:5">
      <c r="B1499" s="26" t="s">
        <v>1152</v>
      </c>
      <c r="C1499" s="26" t="s">
        <v>1152</v>
      </c>
      <c r="D1499" s="26" t="s">
        <v>1152</v>
      </c>
      <c r="E1499" s="26" t="s">
        <v>1152</v>
      </c>
    </row>
    <row r="1500" s="29" customFormat="1" ht="124" spans="2:5">
      <c r="B1500" s="11" t="s">
        <v>173</v>
      </c>
      <c r="C1500" s="11" t="s">
        <v>173</v>
      </c>
      <c r="D1500" s="11" t="s">
        <v>173</v>
      </c>
      <c r="E1500" s="11" t="s">
        <v>173</v>
      </c>
    </row>
    <row r="1501" s="29" customFormat="1" ht="156" spans="2:5">
      <c r="B1501" s="12" t="s">
        <v>174</v>
      </c>
      <c r="C1501" s="12" t="s">
        <v>174</v>
      </c>
      <c r="D1501" s="12" t="s">
        <v>174</v>
      </c>
      <c r="E1501" s="12" t="s">
        <v>174</v>
      </c>
    </row>
    <row r="1502" s="29" customFormat="1" ht="68" spans="2:5">
      <c r="B1502" s="13" t="s">
        <v>1155</v>
      </c>
      <c r="C1502" s="13" t="s">
        <v>1155</v>
      </c>
      <c r="D1502" s="13" t="s">
        <v>1155</v>
      </c>
      <c r="E1502" s="13" t="s">
        <v>1155</v>
      </c>
    </row>
    <row r="1503" s="29" customFormat="1" ht="22" spans="2:5">
      <c r="B1503" s="14" t="s">
        <v>176</v>
      </c>
      <c r="C1503" s="14" t="s">
        <v>176</v>
      </c>
      <c r="D1503" s="14" t="s">
        <v>176</v>
      </c>
      <c r="E1503" s="14" t="s">
        <v>176</v>
      </c>
    </row>
    <row r="1504" s="29" customFormat="1" spans="2:5">
      <c r="B1504" s="15" t="s">
        <v>177</v>
      </c>
      <c r="C1504" s="16" t="s">
        <v>178</v>
      </c>
      <c r="D1504" s="17" t="s">
        <v>179</v>
      </c>
      <c r="E1504" s="18" t="s">
        <v>180</v>
      </c>
    </row>
    <row r="1505" s="29" customFormat="1" ht="28" spans="2:5">
      <c r="B1505" s="19" t="s">
        <v>1342</v>
      </c>
      <c r="C1505" s="20" t="s">
        <v>804</v>
      </c>
      <c r="D1505" s="21">
        <v>1</v>
      </c>
      <c r="E1505" s="22">
        <v>13513.513514</v>
      </c>
    </row>
    <row r="1506" s="29" customFormat="1" spans="2:5">
      <c r="B1506" s="19" t="s">
        <v>1342</v>
      </c>
      <c r="C1506" s="16" t="s">
        <v>183</v>
      </c>
      <c r="D1506" s="23">
        <v>1</v>
      </c>
      <c r="E1506" s="24">
        <v>13513.513514</v>
      </c>
    </row>
    <row r="1507" s="29" customFormat="1" ht="28" spans="2:5">
      <c r="B1507" s="19" t="s">
        <v>1343</v>
      </c>
      <c r="C1507" s="20" t="s">
        <v>804</v>
      </c>
      <c r="D1507" s="21">
        <v>1</v>
      </c>
      <c r="E1507" s="22">
        <v>200000</v>
      </c>
    </row>
    <row r="1508" s="29" customFormat="1" spans="2:5">
      <c r="B1508" s="19" t="s">
        <v>1343</v>
      </c>
      <c r="C1508" s="16" t="s">
        <v>183</v>
      </c>
      <c r="D1508" s="23">
        <v>1</v>
      </c>
      <c r="E1508" s="24">
        <v>200000</v>
      </c>
    </row>
    <row r="1509" s="29" customFormat="1" ht="28" spans="2:5">
      <c r="B1509" s="19" t="s">
        <v>1344</v>
      </c>
      <c r="C1509" s="20" t="s">
        <v>804</v>
      </c>
      <c r="D1509" s="21">
        <v>1</v>
      </c>
      <c r="E1509" s="22">
        <v>145000</v>
      </c>
    </row>
    <row r="1510" s="29" customFormat="1" spans="2:5">
      <c r="B1510" s="19" t="s">
        <v>1344</v>
      </c>
      <c r="C1510" s="16" t="s">
        <v>183</v>
      </c>
      <c r="D1510" s="23">
        <v>1</v>
      </c>
      <c r="E1510" s="24">
        <v>145000</v>
      </c>
    </row>
    <row r="1511" s="29" customFormat="1" ht="41" spans="2:5">
      <c r="B1511" s="19" t="s">
        <v>1345</v>
      </c>
      <c r="C1511" s="20" t="s">
        <v>182</v>
      </c>
      <c r="D1511" s="21">
        <v>3</v>
      </c>
      <c r="E1511" s="22">
        <v>108000</v>
      </c>
    </row>
    <row r="1512" s="29" customFormat="1" spans="2:5">
      <c r="B1512" s="19" t="s">
        <v>1345</v>
      </c>
      <c r="C1512" s="16" t="s">
        <v>183</v>
      </c>
      <c r="D1512" s="23">
        <v>3</v>
      </c>
      <c r="E1512" s="24">
        <v>108000</v>
      </c>
    </row>
    <row r="1513" s="29" customFormat="1" ht="41" spans="2:5">
      <c r="B1513" s="19" t="s">
        <v>628</v>
      </c>
      <c r="C1513" s="20" t="s">
        <v>182</v>
      </c>
      <c r="D1513" s="21">
        <v>1</v>
      </c>
      <c r="E1513" s="22">
        <v>6306.306306</v>
      </c>
    </row>
    <row r="1514" s="29" customFormat="1" spans="2:5">
      <c r="B1514" s="19" t="s">
        <v>628</v>
      </c>
      <c r="C1514" s="16" t="s">
        <v>183</v>
      </c>
      <c r="D1514" s="23">
        <v>1</v>
      </c>
      <c r="E1514" s="24">
        <v>6306.306306</v>
      </c>
    </row>
    <row r="1515" s="29" customFormat="1" ht="41" spans="2:5">
      <c r="B1515" s="19" t="s">
        <v>1346</v>
      </c>
      <c r="C1515" s="20" t="s">
        <v>182</v>
      </c>
      <c r="D1515" s="21">
        <v>1</v>
      </c>
      <c r="E1515" s="22">
        <v>754800</v>
      </c>
    </row>
    <row r="1516" s="29" customFormat="1" ht="28" spans="2:5">
      <c r="B1516" s="19" t="s">
        <v>1346</v>
      </c>
      <c r="C1516" s="16" t="s">
        <v>183</v>
      </c>
      <c r="D1516" s="23">
        <v>1</v>
      </c>
      <c r="E1516" s="24">
        <v>754800</v>
      </c>
    </row>
    <row r="1517" s="29" customFormat="1" ht="41" spans="2:5">
      <c r="B1517" s="19" t="s">
        <v>1347</v>
      </c>
      <c r="C1517" s="20" t="s">
        <v>182</v>
      </c>
      <c r="D1517" s="21">
        <v>1</v>
      </c>
      <c r="E1517" s="22">
        <v>876000</v>
      </c>
    </row>
    <row r="1518" s="29" customFormat="1" ht="28.75" spans="2:5">
      <c r="B1518" s="19" t="s">
        <v>1347</v>
      </c>
      <c r="C1518" s="16" t="s">
        <v>183</v>
      </c>
      <c r="D1518" s="23">
        <v>1</v>
      </c>
      <c r="E1518" s="24">
        <v>876000</v>
      </c>
    </row>
    <row r="1519" s="29" customFormat="1" spans="2:5">
      <c r="B1519" s="25"/>
      <c r="C1519" s="25"/>
      <c r="D1519" s="25"/>
      <c r="E1519" s="25"/>
    </row>
    <row r="1520" s="29" customFormat="1" ht="36" spans="2:5">
      <c r="B1520" s="26" t="s">
        <v>189</v>
      </c>
      <c r="C1520" s="26" t="s">
        <v>189</v>
      </c>
      <c r="D1520" s="26" t="s">
        <v>189</v>
      </c>
      <c r="E1520" s="26" t="s">
        <v>189</v>
      </c>
    </row>
    <row r="1521" s="29" customFormat="1" spans="2:5">
      <c r="B1521" s="26"/>
      <c r="C1521" s="26"/>
      <c r="D1521" s="26"/>
      <c r="E1521" s="26"/>
    </row>
    <row r="1522" s="29" customFormat="1" ht="36" spans="2:5">
      <c r="B1522" s="26" t="s">
        <v>958</v>
      </c>
      <c r="C1522" s="26" t="s">
        <v>958</v>
      </c>
      <c r="D1522" s="26" t="s">
        <v>958</v>
      </c>
      <c r="E1522" s="26" t="s">
        <v>958</v>
      </c>
    </row>
    <row r="1523" s="29" customFormat="1" spans="2:5">
      <c r="B1523" s="26" t="s">
        <v>1154</v>
      </c>
      <c r="C1523" s="26" t="s">
        <v>1154</v>
      </c>
      <c r="D1523" s="26" t="s">
        <v>1154</v>
      </c>
      <c r="E1523" s="26" t="s">
        <v>1154</v>
      </c>
    </row>
    <row r="1524" s="29" customFormat="1" ht="124" spans="2:5">
      <c r="B1524" s="11" t="s">
        <v>173</v>
      </c>
      <c r="C1524" s="11" t="s">
        <v>173</v>
      </c>
      <c r="D1524" s="11" t="s">
        <v>173</v>
      </c>
      <c r="E1524" s="11" t="s">
        <v>173</v>
      </c>
    </row>
    <row r="1525" s="29" customFormat="1" ht="156" spans="2:5">
      <c r="B1525" s="12" t="s">
        <v>174</v>
      </c>
      <c r="C1525" s="12" t="s">
        <v>174</v>
      </c>
      <c r="D1525" s="12" t="s">
        <v>174</v>
      </c>
      <c r="E1525" s="12" t="s">
        <v>174</v>
      </c>
    </row>
    <row r="1526" s="29" customFormat="1" ht="68" spans="2:5">
      <c r="B1526" s="13" t="s">
        <v>1155</v>
      </c>
      <c r="C1526" s="13" t="s">
        <v>1155</v>
      </c>
      <c r="D1526" s="13" t="s">
        <v>1155</v>
      </c>
      <c r="E1526" s="13" t="s">
        <v>1155</v>
      </c>
    </row>
    <row r="1527" s="29" customFormat="1" ht="22" spans="2:5">
      <c r="B1527" s="14" t="s">
        <v>176</v>
      </c>
      <c r="C1527" s="14" t="s">
        <v>176</v>
      </c>
      <c r="D1527" s="14" t="s">
        <v>176</v>
      </c>
      <c r="E1527" s="14" t="s">
        <v>176</v>
      </c>
    </row>
    <row r="1528" s="29" customFormat="1" spans="2:5">
      <c r="B1528" s="15" t="s">
        <v>177</v>
      </c>
      <c r="C1528" s="16" t="s">
        <v>178</v>
      </c>
      <c r="D1528" s="17" t="s">
        <v>179</v>
      </c>
      <c r="E1528" s="18" t="s">
        <v>180</v>
      </c>
    </row>
    <row r="1529" s="29" customFormat="1" ht="28" spans="2:5">
      <c r="B1529" s="19" t="s">
        <v>1348</v>
      </c>
      <c r="C1529" s="20" t="s">
        <v>804</v>
      </c>
      <c r="D1529" s="21">
        <v>1</v>
      </c>
      <c r="E1529" s="22">
        <v>550000</v>
      </c>
    </row>
    <row r="1530" s="29" customFormat="1" spans="2:5">
      <c r="B1530" s="19" t="s">
        <v>1348</v>
      </c>
      <c r="C1530" s="16" t="s">
        <v>183</v>
      </c>
      <c r="D1530" s="23">
        <v>1</v>
      </c>
      <c r="E1530" s="24">
        <v>550000</v>
      </c>
    </row>
    <row r="1531" s="29" customFormat="1" ht="28" spans="2:5">
      <c r="B1531" s="19" t="s">
        <v>336</v>
      </c>
      <c r="C1531" s="20" t="s">
        <v>804</v>
      </c>
      <c r="D1531" s="21">
        <v>2</v>
      </c>
      <c r="E1531" s="22">
        <v>0</v>
      </c>
    </row>
    <row r="1532" s="29" customFormat="1" spans="2:5">
      <c r="B1532" s="19" t="s">
        <v>336</v>
      </c>
      <c r="C1532" s="16" t="s">
        <v>183</v>
      </c>
      <c r="D1532" s="23">
        <v>2</v>
      </c>
      <c r="E1532" s="24">
        <v>0</v>
      </c>
    </row>
    <row r="1533" s="29" customFormat="1" ht="28" spans="2:5">
      <c r="B1533" s="19" t="s">
        <v>1349</v>
      </c>
      <c r="C1533" s="20" t="s">
        <v>804</v>
      </c>
      <c r="D1533" s="21">
        <v>2</v>
      </c>
      <c r="E1533" s="22">
        <v>235135.135135</v>
      </c>
    </row>
    <row r="1534" s="29" customFormat="1" ht="28" spans="2:5">
      <c r="B1534" s="19" t="s">
        <v>1349</v>
      </c>
      <c r="C1534" s="16" t="s">
        <v>183</v>
      </c>
      <c r="D1534" s="23">
        <v>2</v>
      </c>
      <c r="E1534" s="24">
        <v>235135.135135</v>
      </c>
    </row>
    <row r="1535" s="29" customFormat="1" ht="28" spans="2:5">
      <c r="B1535" s="19" t="s">
        <v>1350</v>
      </c>
      <c r="C1535" s="20" t="s">
        <v>804</v>
      </c>
      <c r="D1535" s="21">
        <v>2</v>
      </c>
      <c r="E1535" s="22">
        <v>638000</v>
      </c>
    </row>
    <row r="1536" s="29" customFormat="1" spans="2:5">
      <c r="B1536" s="19" t="s">
        <v>1350</v>
      </c>
      <c r="C1536" s="16" t="s">
        <v>183</v>
      </c>
      <c r="D1536" s="23">
        <v>2</v>
      </c>
      <c r="E1536" s="24">
        <v>638000</v>
      </c>
    </row>
    <row r="1537" s="29" customFormat="1" ht="28" spans="2:5">
      <c r="B1537" s="19" t="s">
        <v>1351</v>
      </c>
      <c r="C1537" s="20" t="s">
        <v>804</v>
      </c>
      <c r="D1537" s="21">
        <v>2</v>
      </c>
      <c r="E1537" s="22">
        <v>536500</v>
      </c>
    </row>
    <row r="1538" s="29" customFormat="1" spans="2:5">
      <c r="B1538" s="19" t="s">
        <v>1351</v>
      </c>
      <c r="C1538" s="16" t="s">
        <v>183</v>
      </c>
      <c r="D1538" s="23">
        <v>2</v>
      </c>
      <c r="E1538" s="24">
        <v>536500</v>
      </c>
    </row>
    <row r="1539" s="29" customFormat="1" ht="41" spans="2:5">
      <c r="B1539" s="19" t="s">
        <v>470</v>
      </c>
      <c r="C1539" s="20" t="s">
        <v>182</v>
      </c>
      <c r="D1539" s="21">
        <v>22</v>
      </c>
      <c r="E1539" s="22">
        <v>1184053.549549</v>
      </c>
    </row>
    <row r="1540" s="29" customFormat="1" ht="28" spans="2:5">
      <c r="B1540" s="19" t="s">
        <v>470</v>
      </c>
      <c r="C1540" s="20" t="s">
        <v>804</v>
      </c>
      <c r="D1540" s="21">
        <v>30</v>
      </c>
      <c r="E1540" s="22">
        <v>3513514.459459</v>
      </c>
    </row>
    <row r="1541" s="29" customFormat="1" ht="28" spans="2:5">
      <c r="B1541" s="19" t="s">
        <v>470</v>
      </c>
      <c r="C1541" s="16" t="s">
        <v>183</v>
      </c>
      <c r="D1541" s="23">
        <v>52</v>
      </c>
      <c r="E1541" s="24">
        <v>4697568.009008</v>
      </c>
    </row>
    <row r="1542" s="29" customFormat="1" ht="41" spans="2:5">
      <c r="B1542" s="19" t="s">
        <v>1352</v>
      </c>
      <c r="C1542" s="20" t="s">
        <v>182</v>
      </c>
      <c r="D1542" s="21">
        <v>2</v>
      </c>
      <c r="E1542" s="22">
        <v>483963.963964</v>
      </c>
    </row>
    <row r="1543" s="29" customFormat="1" ht="28.75" spans="2:5">
      <c r="B1543" s="19" t="s">
        <v>1352</v>
      </c>
      <c r="C1543" s="16" t="s">
        <v>183</v>
      </c>
      <c r="D1543" s="23">
        <v>2</v>
      </c>
      <c r="E1543" s="24">
        <v>483963.963964</v>
      </c>
    </row>
    <row r="1544" s="29" customFormat="1" spans="2:5">
      <c r="B1544" s="25"/>
      <c r="C1544" s="25"/>
      <c r="D1544" s="25"/>
      <c r="E1544" s="25"/>
    </row>
    <row r="1545" s="29" customFormat="1" ht="36" spans="2:5">
      <c r="B1545" s="26" t="s">
        <v>189</v>
      </c>
      <c r="C1545" s="26" t="s">
        <v>189</v>
      </c>
      <c r="D1545" s="26" t="s">
        <v>189</v>
      </c>
      <c r="E1545" s="26" t="s">
        <v>189</v>
      </c>
    </row>
    <row r="1546" s="29" customFormat="1" spans="2:5">
      <c r="B1546" s="26"/>
      <c r="C1546" s="26"/>
      <c r="D1546" s="26"/>
      <c r="E1546" s="26"/>
    </row>
    <row r="1547" s="29" customFormat="1" ht="36" spans="2:5">
      <c r="B1547" s="26" t="s">
        <v>958</v>
      </c>
      <c r="C1547" s="26" t="s">
        <v>958</v>
      </c>
      <c r="D1547" s="26" t="s">
        <v>958</v>
      </c>
      <c r="E1547" s="26" t="s">
        <v>958</v>
      </c>
    </row>
    <row r="1548" s="29" customFormat="1" spans="2:5">
      <c r="B1548" s="26" t="s">
        <v>1353</v>
      </c>
      <c r="C1548" s="26" t="s">
        <v>1353</v>
      </c>
      <c r="D1548" s="26" t="s">
        <v>1353</v>
      </c>
      <c r="E1548" s="26" t="s">
        <v>1353</v>
      </c>
    </row>
    <row r="1549" s="29" customFormat="1" ht="124" spans="2:5">
      <c r="B1549" s="11" t="s">
        <v>173</v>
      </c>
      <c r="C1549" s="11" t="s">
        <v>173</v>
      </c>
      <c r="D1549" s="11" t="s">
        <v>173</v>
      </c>
      <c r="E1549" s="11" t="s">
        <v>173</v>
      </c>
    </row>
    <row r="1550" s="29" customFormat="1" ht="156" spans="2:5">
      <c r="B1550" s="12" t="s">
        <v>174</v>
      </c>
      <c r="C1550" s="12" t="s">
        <v>174</v>
      </c>
      <c r="D1550" s="12" t="s">
        <v>174</v>
      </c>
      <c r="E1550" s="12" t="s">
        <v>174</v>
      </c>
    </row>
    <row r="1551" s="29" customFormat="1" ht="68" spans="2:5">
      <c r="B1551" s="13" t="s">
        <v>1155</v>
      </c>
      <c r="C1551" s="13" t="s">
        <v>1155</v>
      </c>
      <c r="D1551" s="13" t="s">
        <v>1155</v>
      </c>
      <c r="E1551" s="13" t="s">
        <v>1155</v>
      </c>
    </row>
    <row r="1552" s="29" customFormat="1" ht="22" spans="2:5">
      <c r="B1552" s="14" t="s">
        <v>176</v>
      </c>
      <c r="C1552" s="14" t="s">
        <v>176</v>
      </c>
      <c r="D1552" s="14" t="s">
        <v>176</v>
      </c>
      <c r="E1552" s="14" t="s">
        <v>176</v>
      </c>
    </row>
    <row r="1553" s="29" customFormat="1" spans="2:5">
      <c r="B1553" s="15" t="s">
        <v>177</v>
      </c>
      <c r="C1553" s="16" t="s">
        <v>178</v>
      </c>
      <c r="D1553" s="17" t="s">
        <v>179</v>
      </c>
      <c r="E1553" s="18" t="s">
        <v>180</v>
      </c>
    </row>
    <row r="1554" s="29" customFormat="1" ht="41" spans="2:5">
      <c r="B1554" s="19" t="s">
        <v>1354</v>
      </c>
      <c r="C1554" s="20" t="s">
        <v>182</v>
      </c>
      <c r="D1554" s="21">
        <v>1</v>
      </c>
      <c r="E1554" s="22">
        <v>368000</v>
      </c>
    </row>
    <row r="1555" s="29" customFormat="1" ht="28" spans="2:5">
      <c r="B1555" s="19" t="s">
        <v>1354</v>
      </c>
      <c r="C1555" s="16" t="s">
        <v>183</v>
      </c>
      <c r="D1555" s="23">
        <v>1</v>
      </c>
      <c r="E1555" s="24">
        <v>368000</v>
      </c>
    </row>
    <row r="1556" s="29" customFormat="1" ht="28" spans="2:5">
      <c r="B1556" s="19" t="s">
        <v>1355</v>
      </c>
      <c r="C1556" s="20" t="s">
        <v>804</v>
      </c>
      <c r="D1556" s="21">
        <v>2</v>
      </c>
      <c r="E1556" s="22">
        <v>480000</v>
      </c>
    </row>
    <row r="1557" s="29" customFormat="1" spans="2:5">
      <c r="B1557" s="19" t="s">
        <v>1355</v>
      </c>
      <c r="C1557" s="16" t="s">
        <v>183</v>
      </c>
      <c r="D1557" s="23">
        <v>2</v>
      </c>
      <c r="E1557" s="24">
        <v>480000</v>
      </c>
    </row>
    <row r="1558" s="29" customFormat="1" ht="41" spans="2:5">
      <c r="B1558" s="19" t="s">
        <v>1356</v>
      </c>
      <c r="C1558" s="20" t="s">
        <v>182</v>
      </c>
      <c r="D1558" s="21">
        <v>1</v>
      </c>
      <c r="E1558" s="22">
        <v>300000</v>
      </c>
    </row>
    <row r="1559" s="29" customFormat="1" spans="2:5">
      <c r="B1559" s="19" t="s">
        <v>1356</v>
      </c>
      <c r="C1559" s="16" t="s">
        <v>183</v>
      </c>
      <c r="D1559" s="23">
        <v>1</v>
      </c>
      <c r="E1559" s="24">
        <v>300000</v>
      </c>
    </row>
    <row r="1560" s="29" customFormat="1" ht="28" spans="2:5">
      <c r="B1560" s="19" t="s">
        <v>1357</v>
      </c>
      <c r="C1560" s="20" t="s">
        <v>804</v>
      </c>
      <c r="D1560" s="21">
        <v>2</v>
      </c>
      <c r="E1560" s="22">
        <v>1015000</v>
      </c>
    </row>
    <row r="1561" s="29" customFormat="1" spans="2:5">
      <c r="B1561" s="19" t="s">
        <v>1357</v>
      </c>
      <c r="C1561" s="16" t="s">
        <v>183</v>
      </c>
      <c r="D1561" s="23">
        <v>2</v>
      </c>
      <c r="E1561" s="24">
        <v>1015000</v>
      </c>
    </row>
    <row r="1562" s="29" customFormat="1" ht="28" spans="2:5">
      <c r="B1562" s="19" t="s">
        <v>1358</v>
      </c>
      <c r="C1562" s="20" t="s">
        <v>804</v>
      </c>
      <c r="D1562" s="21">
        <v>2</v>
      </c>
      <c r="E1562" s="22">
        <v>551000</v>
      </c>
    </row>
    <row r="1563" s="29" customFormat="1" spans="2:5">
      <c r="B1563" s="19" t="s">
        <v>1358</v>
      </c>
      <c r="C1563" s="16" t="s">
        <v>183</v>
      </c>
      <c r="D1563" s="23">
        <v>2</v>
      </c>
      <c r="E1563" s="24">
        <v>551000</v>
      </c>
    </row>
    <row r="1564" s="29" customFormat="1" ht="41" spans="2:5">
      <c r="B1564" s="19" t="s">
        <v>1359</v>
      </c>
      <c r="C1564" s="20" t="s">
        <v>182</v>
      </c>
      <c r="D1564" s="21">
        <v>1</v>
      </c>
      <c r="E1564" s="22">
        <v>300000</v>
      </c>
    </row>
    <row r="1565" s="29" customFormat="1" spans="2:5">
      <c r="B1565" s="19" t="s">
        <v>1359</v>
      </c>
      <c r="C1565" s="16" t="s">
        <v>183</v>
      </c>
      <c r="D1565" s="23">
        <v>1</v>
      </c>
      <c r="E1565" s="24">
        <v>300000</v>
      </c>
    </row>
    <row r="1566" s="29" customFormat="1" ht="28" spans="2:5">
      <c r="B1566" s="19" t="s">
        <v>1360</v>
      </c>
      <c r="C1566" s="20" t="s">
        <v>804</v>
      </c>
      <c r="D1566" s="21">
        <v>1</v>
      </c>
      <c r="E1566" s="22">
        <v>362500</v>
      </c>
    </row>
    <row r="1567" s="29" customFormat="1" ht="17.55" spans="2:5">
      <c r="B1567" s="19" t="s">
        <v>1360</v>
      </c>
      <c r="C1567" s="16" t="s">
        <v>183</v>
      </c>
      <c r="D1567" s="23">
        <v>1</v>
      </c>
      <c r="E1567" s="24">
        <v>362500</v>
      </c>
    </row>
    <row r="1568" s="29" customFormat="1" spans="2:5">
      <c r="B1568" s="25"/>
      <c r="C1568" s="25"/>
      <c r="D1568" s="25"/>
      <c r="E1568" s="25"/>
    </row>
    <row r="1569" s="29" customFormat="1" ht="36" spans="2:5">
      <c r="B1569" s="26" t="s">
        <v>189</v>
      </c>
      <c r="C1569" s="26" t="s">
        <v>189</v>
      </c>
      <c r="D1569" s="26" t="s">
        <v>189</v>
      </c>
      <c r="E1569" s="26" t="s">
        <v>189</v>
      </c>
    </row>
    <row r="1570" s="29" customFormat="1" spans="2:5">
      <c r="B1570" s="26"/>
      <c r="C1570" s="26"/>
      <c r="D1570" s="26"/>
      <c r="E1570" s="26"/>
    </row>
    <row r="1571" s="29" customFormat="1" ht="36" spans="2:5">
      <c r="B1571" s="26" t="s">
        <v>958</v>
      </c>
      <c r="C1571" s="26" t="s">
        <v>958</v>
      </c>
      <c r="D1571" s="26" t="s">
        <v>958</v>
      </c>
      <c r="E1571" s="26" t="s">
        <v>958</v>
      </c>
    </row>
    <row r="1572" s="29" customFormat="1" spans="2:5">
      <c r="B1572" s="26" t="s">
        <v>1361</v>
      </c>
      <c r="C1572" s="26" t="s">
        <v>1361</v>
      </c>
      <c r="D1572" s="26" t="s">
        <v>1361</v>
      </c>
      <c r="E1572" s="26" t="s">
        <v>1361</v>
      </c>
    </row>
    <row r="1573" s="29" customFormat="1" ht="124" spans="2:5">
      <c r="B1573" s="11" t="s">
        <v>173</v>
      </c>
      <c r="C1573" s="11" t="s">
        <v>173</v>
      </c>
      <c r="D1573" s="11" t="s">
        <v>173</v>
      </c>
      <c r="E1573" s="11" t="s">
        <v>173</v>
      </c>
    </row>
    <row r="1574" s="29" customFormat="1" ht="156" spans="2:5">
      <c r="B1574" s="12" t="s">
        <v>174</v>
      </c>
      <c r="C1574" s="12" t="s">
        <v>174</v>
      </c>
      <c r="D1574" s="12" t="s">
        <v>174</v>
      </c>
      <c r="E1574" s="12" t="s">
        <v>174</v>
      </c>
    </row>
    <row r="1575" s="29" customFormat="1" ht="68" spans="2:5">
      <c r="B1575" s="13" t="s">
        <v>1155</v>
      </c>
      <c r="C1575" s="13" t="s">
        <v>1155</v>
      </c>
      <c r="D1575" s="13" t="s">
        <v>1155</v>
      </c>
      <c r="E1575" s="13" t="s">
        <v>1155</v>
      </c>
    </row>
    <row r="1576" s="29" customFormat="1" ht="22" spans="2:5">
      <c r="B1576" s="14" t="s">
        <v>176</v>
      </c>
      <c r="C1576" s="14" t="s">
        <v>176</v>
      </c>
      <c r="D1576" s="14" t="s">
        <v>176</v>
      </c>
      <c r="E1576" s="14" t="s">
        <v>176</v>
      </c>
    </row>
    <row r="1577" s="29" customFormat="1" spans="2:5">
      <c r="B1577" s="15" t="s">
        <v>177</v>
      </c>
      <c r="C1577" s="16" t="s">
        <v>178</v>
      </c>
      <c r="D1577" s="17" t="s">
        <v>179</v>
      </c>
      <c r="E1577" s="18" t="s">
        <v>180</v>
      </c>
    </row>
    <row r="1578" s="29" customFormat="1" ht="28" spans="2:5">
      <c r="B1578" s="19" t="s">
        <v>1362</v>
      </c>
      <c r="C1578" s="20" t="s">
        <v>804</v>
      </c>
      <c r="D1578" s="21">
        <v>1</v>
      </c>
      <c r="E1578" s="22">
        <v>196396.72973</v>
      </c>
    </row>
    <row r="1579" s="29" customFormat="1" spans="2:5">
      <c r="B1579" s="19" t="s">
        <v>1362</v>
      </c>
      <c r="C1579" s="16" t="s">
        <v>183</v>
      </c>
      <c r="D1579" s="23">
        <v>1</v>
      </c>
      <c r="E1579" s="24">
        <v>196396.72973</v>
      </c>
    </row>
    <row r="1580" s="29" customFormat="1" ht="28" spans="2:5">
      <c r="B1580" s="19" t="s">
        <v>1363</v>
      </c>
      <c r="C1580" s="20" t="s">
        <v>804</v>
      </c>
      <c r="D1580" s="21">
        <v>1</v>
      </c>
      <c r="E1580" s="22">
        <v>540540.540541</v>
      </c>
    </row>
    <row r="1581" s="29" customFormat="1" spans="2:5">
      <c r="B1581" s="19" t="s">
        <v>1363</v>
      </c>
      <c r="C1581" s="16" t="s">
        <v>183</v>
      </c>
      <c r="D1581" s="23">
        <v>1</v>
      </c>
      <c r="E1581" s="24">
        <v>540540.540541</v>
      </c>
    </row>
    <row r="1582" s="29" customFormat="1" ht="28" spans="2:5">
      <c r="B1582" s="19" t="s">
        <v>1364</v>
      </c>
      <c r="C1582" s="20" t="s">
        <v>804</v>
      </c>
      <c r="D1582" s="21">
        <v>1</v>
      </c>
      <c r="E1582" s="22">
        <v>470270.27027</v>
      </c>
    </row>
    <row r="1583" s="29" customFormat="1" ht="28" spans="2:5">
      <c r="B1583" s="19" t="s">
        <v>1364</v>
      </c>
      <c r="C1583" s="16" t="s">
        <v>183</v>
      </c>
      <c r="D1583" s="23">
        <v>1</v>
      </c>
      <c r="E1583" s="24">
        <v>470270.27027</v>
      </c>
    </row>
    <row r="1584" s="29" customFormat="1" ht="41" spans="2:5">
      <c r="B1584" s="19" t="s">
        <v>1365</v>
      </c>
      <c r="C1584" s="20" t="s">
        <v>182</v>
      </c>
      <c r="D1584" s="21">
        <v>16</v>
      </c>
      <c r="E1584" s="22">
        <v>720000</v>
      </c>
    </row>
    <row r="1585" s="29" customFormat="1" spans="2:5">
      <c r="B1585" s="19" t="s">
        <v>1365</v>
      </c>
      <c r="C1585" s="16" t="s">
        <v>183</v>
      </c>
      <c r="D1585" s="23">
        <v>16</v>
      </c>
      <c r="E1585" s="24">
        <v>720000</v>
      </c>
    </row>
    <row r="1586" s="29" customFormat="1" ht="41" spans="2:5">
      <c r="B1586" s="19" t="s">
        <v>1366</v>
      </c>
      <c r="C1586" s="20" t="s">
        <v>182</v>
      </c>
      <c r="D1586" s="21">
        <v>1</v>
      </c>
      <c r="E1586" s="22">
        <v>1000000</v>
      </c>
    </row>
    <row r="1587" s="29" customFormat="1" ht="28" spans="2:5">
      <c r="B1587" s="19" t="s">
        <v>1366</v>
      </c>
      <c r="C1587" s="16" t="s">
        <v>183</v>
      </c>
      <c r="D1587" s="23">
        <v>1</v>
      </c>
      <c r="E1587" s="24">
        <v>1000000</v>
      </c>
    </row>
    <row r="1588" s="29" customFormat="1" ht="28" spans="2:5">
      <c r="B1588" s="19" t="s">
        <v>1367</v>
      </c>
      <c r="C1588" s="20" t="s">
        <v>804</v>
      </c>
      <c r="D1588" s="21">
        <v>1</v>
      </c>
      <c r="E1588" s="22">
        <v>240000</v>
      </c>
    </row>
    <row r="1589" s="29" customFormat="1" spans="2:5">
      <c r="B1589" s="19" t="s">
        <v>1367</v>
      </c>
      <c r="C1589" s="16" t="s">
        <v>183</v>
      </c>
      <c r="D1589" s="23">
        <v>1</v>
      </c>
      <c r="E1589" s="24">
        <v>240000</v>
      </c>
    </row>
    <row r="1590" s="29" customFormat="1" ht="41" spans="2:5">
      <c r="B1590" s="19" t="s">
        <v>751</v>
      </c>
      <c r="C1590" s="20" t="s">
        <v>182</v>
      </c>
      <c r="D1590" s="21">
        <v>4</v>
      </c>
      <c r="E1590" s="22">
        <v>38018.018018</v>
      </c>
    </row>
    <row r="1591" s="29" customFormat="1" ht="28" spans="2:5">
      <c r="B1591" s="19" t="s">
        <v>751</v>
      </c>
      <c r="C1591" s="20" t="s">
        <v>804</v>
      </c>
      <c r="D1591" s="21">
        <v>4</v>
      </c>
      <c r="E1591" s="22">
        <v>38018.018018</v>
      </c>
    </row>
    <row r="1592" s="29" customFormat="1" ht="17.55" spans="2:5">
      <c r="B1592" s="19" t="s">
        <v>751</v>
      </c>
      <c r="C1592" s="16" t="s">
        <v>183</v>
      </c>
      <c r="D1592" s="23">
        <v>8</v>
      </c>
      <c r="E1592" s="24">
        <v>76036.036036</v>
      </c>
    </row>
    <row r="1593" s="29" customFormat="1" spans="2:5">
      <c r="B1593" s="25"/>
      <c r="C1593" s="25"/>
      <c r="D1593" s="25"/>
      <c r="E1593" s="25"/>
    </row>
    <row r="1594" s="29" customFormat="1" ht="36" spans="2:5">
      <c r="B1594" s="26" t="s">
        <v>189</v>
      </c>
      <c r="C1594" s="26" t="s">
        <v>189</v>
      </c>
      <c r="D1594" s="26" t="s">
        <v>189</v>
      </c>
      <c r="E1594" s="26" t="s">
        <v>189</v>
      </c>
    </row>
    <row r="1595" s="29" customFormat="1" spans="2:5">
      <c r="B1595" s="26"/>
      <c r="C1595" s="26"/>
      <c r="D1595" s="26"/>
      <c r="E1595" s="26"/>
    </row>
    <row r="1596" s="29" customFormat="1" ht="36" spans="2:5">
      <c r="B1596" s="26" t="s">
        <v>958</v>
      </c>
      <c r="C1596" s="26" t="s">
        <v>958</v>
      </c>
      <c r="D1596" s="26" t="s">
        <v>958</v>
      </c>
      <c r="E1596" s="26" t="s">
        <v>958</v>
      </c>
    </row>
    <row r="1597" s="29" customFormat="1" spans="2:5">
      <c r="B1597" s="26" t="s">
        <v>1368</v>
      </c>
      <c r="C1597" s="26" t="s">
        <v>1368</v>
      </c>
      <c r="D1597" s="26" t="s">
        <v>1368</v>
      </c>
      <c r="E1597" s="26" t="s">
        <v>1368</v>
      </c>
    </row>
    <row r="1598" s="29" customFormat="1" ht="124" spans="2:5">
      <c r="B1598" s="11" t="s">
        <v>173</v>
      </c>
      <c r="C1598" s="11" t="s">
        <v>173</v>
      </c>
      <c r="D1598" s="11" t="s">
        <v>173</v>
      </c>
      <c r="E1598" s="11" t="s">
        <v>173</v>
      </c>
    </row>
    <row r="1599" s="29" customFormat="1" ht="156" spans="2:5">
      <c r="B1599" s="12" t="s">
        <v>174</v>
      </c>
      <c r="C1599" s="12" t="s">
        <v>174</v>
      </c>
      <c r="D1599" s="12" t="s">
        <v>174</v>
      </c>
      <c r="E1599" s="12" t="s">
        <v>174</v>
      </c>
    </row>
    <row r="1600" s="29" customFormat="1" ht="68" spans="2:5">
      <c r="B1600" s="13" t="s">
        <v>1155</v>
      </c>
      <c r="C1600" s="13" t="s">
        <v>1155</v>
      </c>
      <c r="D1600" s="13" t="s">
        <v>1155</v>
      </c>
      <c r="E1600" s="13" t="s">
        <v>1155</v>
      </c>
    </row>
    <row r="1601" s="29" customFormat="1" ht="22" spans="2:5">
      <c r="B1601" s="14" t="s">
        <v>176</v>
      </c>
      <c r="C1601" s="14" t="s">
        <v>176</v>
      </c>
      <c r="D1601" s="14" t="s">
        <v>176</v>
      </c>
      <c r="E1601" s="14" t="s">
        <v>176</v>
      </c>
    </row>
    <row r="1602" s="29" customFormat="1" spans="2:5">
      <c r="B1602" s="15" t="s">
        <v>177</v>
      </c>
      <c r="C1602" s="16" t="s">
        <v>178</v>
      </c>
      <c r="D1602" s="17" t="s">
        <v>179</v>
      </c>
      <c r="E1602" s="18" t="s">
        <v>180</v>
      </c>
    </row>
    <row r="1603" s="29" customFormat="1" ht="41" spans="2:5">
      <c r="B1603" s="19" t="s">
        <v>752</v>
      </c>
      <c r="C1603" s="20" t="s">
        <v>182</v>
      </c>
      <c r="D1603" s="21">
        <v>6</v>
      </c>
      <c r="E1603" s="22">
        <v>19009.009009</v>
      </c>
    </row>
    <row r="1604" s="29" customFormat="1" ht="28" spans="2:5">
      <c r="B1604" s="19" t="s">
        <v>752</v>
      </c>
      <c r="C1604" s="20" t="s">
        <v>804</v>
      </c>
      <c r="D1604" s="21">
        <v>3</v>
      </c>
      <c r="E1604" s="22">
        <v>29009.009009</v>
      </c>
    </row>
    <row r="1605" s="29" customFormat="1" spans="2:5">
      <c r="B1605" s="19" t="s">
        <v>752</v>
      </c>
      <c r="C1605" s="16" t="s">
        <v>183</v>
      </c>
      <c r="D1605" s="23">
        <v>9</v>
      </c>
      <c r="E1605" s="24">
        <v>48018.018018</v>
      </c>
    </row>
    <row r="1606" s="29" customFormat="1" ht="41" spans="2:5">
      <c r="B1606" s="19" t="s">
        <v>753</v>
      </c>
      <c r="C1606" s="20" t="s">
        <v>182</v>
      </c>
      <c r="D1606" s="21">
        <v>2</v>
      </c>
      <c r="E1606" s="22">
        <v>19009.009009</v>
      </c>
    </row>
    <row r="1607" s="29" customFormat="1" ht="28" spans="2:5">
      <c r="B1607" s="19" t="s">
        <v>753</v>
      </c>
      <c r="C1607" s="20" t="s">
        <v>804</v>
      </c>
      <c r="D1607" s="21">
        <v>3</v>
      </c>
      <c r="E1607" s="22">
        <v>29009.009009</v>
      </c>
    </row>
    <row r="1608" s="29" customFormat="1" spans="2:5">
      <c r="B1608" s="19" t="s">
        <v>753</v>
      </c>
      <c r="C1608" s="16" t="s">
        <v>183</v>
      </c>
      <c r="D1608" s="23">
        <v>5</v>
      </c>
      <c r="E1608" s="24">
        <v>48018.018018</v>
      </c>
    </row>
    <row r="1609" s="29" customFormat="1" ht="41" spans="2:5">
      <c r="B1609" s="19" t="s">
        <v>1369</v>
      </c>
      <c r="C1609" s="20" t="s">
        <v>182</v>
      </c>
      <c r="D1609" s="21">
        <v>1</v>
      </c>
      <c r="E1609" s="22">
        <v>75000</v>
      </c>
    </row>
    <row r="1610" s="29" customFormat="1" spans="2:5">
      <c r="B1610" s="19" t="s">
        <v>1369</v>
      </c>
      <c r="C1610" s="16" t="s">
        <v>183</v>
      </c>
      <c r="D1610" s="23">
        <v>1</v>
      </c>
      <c r="E1610" s="24">
        <v>75000</v>
      </c>
    </row>
    <row r="1611" s="29" customFormat="1" ht="28" spans="2:5">
      <c r="B1611" s="19" t="s">
        <v>1370</v>
      </c>
      <c r="C1611" s="20" t="s">
        <v>804</v>
      </c>
      <c r="D1611" s="21">
        <v>2</v>
      </c>
      <c r="E1611" s="22">
        <v>300000</v>
      </c>
    </row>
    <row r="1612" s="29" customFormat="1" spans="2:5">
      <c r="B1612" s="19" t="s">
        <v>1370</v>
      </c>
      <c r="C1612" s="16" t="s">
        <v>183</v>
      </c>
      <c r="D1612" s="23">
        <v>2</v>
      </c>
      <c r="E1612" s="24">
        <v>300000</v>
      </c>
    </row>
    <row r="1613" s="29" customFormat="1" ht="28" spans="2:5">
      <c r="B1613" s="19" t="s">
        <v>1371</v>
      </c>
      <c r="C1613" s="20" t="s">
        <v>804</v>
      </c>
      <c r="D1613" s="21">
        <v>1</v>
      </c>
      <c r="E1613" s="22">
        <v>100000</v>
      </c>
    </row>
    <row r="1614" s="29" customFormat="1" spans="2:5">
      <c r="B1614" s="19" t="s">
        <v>1371</v>
      </c>
      <c r="C1614" s="16" t="s">
        <v>183</v>
      </c>
      <c r="D1614" s="23">
        <v>1</v>
      </c>
      <c r="E1614" s="24">
        <v>100000</v>
      </c>
    </row>
    <row r="1615" s="29" customFormat="1" ht="28" spans="2:5">
      <c r="B1615" s="19" t="s">
        <v>1372</v>
      </c>
      <c r="C1615" s="20" t="s">
        <v>804</v>
      </c>
      <c r="D1615" s="21">
        <v>1</v>
      </c>
      <c r="E1615" s="22">
        <v>110000</v>
      </c>
    </row>
    <row r="1616" s="29" customFormat="1" ht="17.55" spans="2:5">
      <c r="B1616" s="19" t="s">
        <v>1372</v>
      </c>
      <c r="C1616" s="16" t="s">
        <v>183</v>
      </c>
      <c r="D1616" s="23">
        <v>1</v>
      </c>
      <c r="E1616" s="24">
        <v>110000</v>
      </c>
    </row>
    <row r="1617" s="29" customFormat="1" spans="2:5">
      <c r="B1617" s="25"/>
      <c r="C1617" s="25"/>
      <c r="D1617" s="25"/>
      <c r="E1617" s="25"/>
    </row>
    <row r="1618" s="29" customFormat="1" ht="36" spans="2:5">
      <c r="B1618" s="26" t="s">
        <v>189</v>
      </c>
      <c r="C1618" s="26" t="s">
        <v>189</v>
      </c>
      <c r="D1618" s="26" t="s">
        <v>189</v>
      </c>
      <c r="E1618" s="26" t="s">
        <v>189</v>
      </c>
    </row>
    <row r="1619" s="29" customFormat="1" spans="2:5">
      <c r="B1619" s="26"/>
      <c r="C1619" s="26"/>
      <c r="D1619" s="26"/>
      <c r="E1619" s="26"/>
    </row>
    <row r="1620" s="29" customFormat="1" ht="36" spans="2:5">
      <c r="B1620" s="26" t="s">
        <v>958</v>
      </c>
      <c r="C1620" s="26" t="s">
        <v>958</v>
      </c>
      <c r="D1620" s="26" t="s">
        <v>958</v>
      </c>
      <c r="E1620" s="26" t="s">
        <v>958</v>
      </c>
    </row>
    <row r="1621" s="29" customFormat="1" spans="2:5">
      <c r="B1621" s="26" t="s">
        <v>1373</v>
      </c>
      <c r="C1621" s="26" t="s">
        <v>1373</v>
      </c>
      <c r="D1621" s="26" t="s">
        <v>1373</v>
      </c>
      <c r="E1621" s="26" t="s">
        <v>1373</v>
      </c>
    </row>
    <row r="1622" s="29" customFormat="1" ht="124" spans="2:5">
      <c r="B1622" s="11" t="s">
        <v>173</v>
      </c>
      <c r="C1622" s="11" t="s">
        <v>173</v>
      </c>
      <c r="D1622" s="11" t="s">
        <v>173</v>
      </c>
      <c r="E1622" s="11" t="s">
        <v>173</v>
      </c>
    </row>
    <row r="1623" s="29" customFormat="1" ht="156" spans="2:5">
      <c r="B1623" s="12" t="s">
        <v>174</v>
      </c>
      <c r="C1623" s="12" t="s">
        <v>174</v>
      </c>
      <c r="D1623" s="12" t="s">
        <v>174</v>
      </c>
      <c r="E1623" s="12" t="s">
        <v>174</v>
      </c>
    </row>
    <row r="1624" s="29" customFormat="1" ht="68" spans="2:5">
      <c r="B1624" s="13" t="s">
        <v>1155</v>
      </c>
      <c r="C1624" s="13" t="s">
        <v>1155</v>
      </c>
      <c r="D1624" s="13" t="s">
        <v>1155</v>
      </c>
      <c r="E1624" s="13" t="s">
        <v>1155</v>
      </c>
    </row>
    <row r="1625" s="29" customFormat="1" ht="22" spans="2:5">
      <c r="B1625" s="14" t="s">
        <v>176</v>
      </c>
      <c r="C1625" s="14" t="s">
        <v>176</v>
      </c>
      <c r="D1625" s="14" t="s">
        <v>176</v>
      </c>
      <c r="E1625" s="14" t="s">
        <v>176</v>
      </c>
    </row>
    <row r="1626" s="29" customFormat="1" spans="2:5">
      <c r="B1626" s="15" t="s">
        <v>177</v>
      </c>
      <c r="C1626" s="16" t="s">
        <v>178</v>
      </c>
      <c r="D1626" s="17" t="s">
        <v>179</v>
      </c>
      <c r="E1626" s="18" t="s">
        <v>180</v>
      </c>
    </row>
    <row r="1627" s="29" customFormat="1" ht="41" spans="2:5">
      <c r="B1627" s="19" t="s">
        <v>1374</v>
      </c>
      <c r="C1627" s="20" t="s">
        <v>182</v>
      </c>
      <c r="D1627" s="21">
        <v>1</v>
      </c>
      <c r="E1627" s="22">
        <v>65000</v>
      </c>
    </row>
    <row r="1628" s="29" customFormat="1" spans="2:5">
      <c r="B1628" s="19" t="s">
        <v>1374</v>
      </c>
      <c r="C1628" s="16" t="s">
        <v>183</v>
      </c>
      <c r="D1628" s="23">
        <v>1</v>
      </c>
      <c r="E1628" s="24">
        <v>65000</v>
      </c>
    </row>
    <row r="1629" s="29" customFormat="1" ht="28" spans="2:5">
      <c r="B1629" s="19" t="s">
        <v>1375</v>
      </c>
      <c r="C1629" s="20" t="s">
        <v>804</v>
      </c>
      <c r="D1629" s="21">
        <v>1</v>
      </c>
      <c r="E1629" s="22">
        <v>0</v>
      </c>
    </row>
    <row r="1630" s="29" customFormat="1" spans="2:5">
      <c r="B1630" s="19" t="s">
        <v>1375</v>
      </c>
      <c r="C1630" s="16" t="s">
        <v>183</v>
      </c>
      <c r="D1630" s="23">
        <v>1</v>
      </c>
      <c r="E1630" s="24">
        <v>0</v>
      </c>
    </row>
    <row r="1631" s="29" customFormat="1" ht="28" spans="2:5">
      <c r="B1631" s="19" t="s">
        <v>1376</v>
      </c>
      <c r="C1631" s="20" t="s">
        <v>804</v>
      </c>
      <c r="D1631" s="21">
        <v>1</v>
      </c>
      <c r="E1631" s="22">
        <v>942000</v>
      </c>
    </row>
    <row r="1632" s="29" customFormat="1" spans="2:5">
      <c r="B1632" s="19" t="s">
        <v>1376</v>
      </c>
      <c r="C1632" s="16" t="s">
        <v>183</v>
      </c>
      <c r="D1632" s="23">
        <v>1</v>
      </c>
      <c r="E1632" s="24">
        <v>942000</v>
      </c>
    </row>
    <row r="1633" s="29" customFormat="1" ht="41" spans="2:5">
      <c r="B1633" s="19" t="s">
        <v>631</v>
      </c>
      <c r="C1633" s="20" t="s">
        <v>182</v>
      </c>
      <c r="D1633" s="21">
        <v>1</v>
      </c>
      <c r="E1633" s="22">
        <v>0</v>
      </c>
    </row>
    <row r="1634" s="29" customFormat="1" ht="28" spans="2:5">
      <c r="B1634" s="19" t="s">
        <v>631</v>
      </c>
      <c r="C1634" s="16" t="s">
        <v>183</v>
      </c>
      <c r="D1634" s="23">
        <v>1</v>
      </c>
      <c r="E1634" s="24">
        <v>0</v>
      </c>
    </row>
    <row r="1635" s="29" customFormat="1" ht="28" spans="2:5">
      <c r="B1635" s="19" t="s">
        <v>755</v>
      </c>
      <c r="C1635" s="20" t="s">
        <v>804</v>
      </c>
      <c r="D1635" s="21">
        <v>2</v>
      </c>
      <c r="E1635" s="22">
        <v>0</v>
      </c>
    </row>
    <row r="1636" s="29" customFormat="1" spans="2:5">
      <c r="B1636" s="19" t="s">
        <v>755</v>
      </c>
      <c r="C1636" s="16" t="s">
        <v>183</v>
      </c>
      <c r="D1636" s="23">
        <v>2</v>
      </c>
      <c r="E1636" s="24">
        <v>0</v>
      </c>
    </row>
    <row r="1637" s="29" customFormat="1" ht="41" spans="2:5">
      <c r="B1637" s="19" t="s">
        <v>916</v>
      </c>
      <c r="C1637" s="20" t="s">
        <v>182</v>
      </c>
      <c r="D1637" s="21">
        <v>28</v>
      </c>
      <c r="E1637" s="22">
        <v>2281846.846848</v>
      </c>
    </row>
    <row r="1638" s="29" customFormat="1" ht="28" spans="2:5">
      <c r="B1638" s="19" t="s">
        <v>916</v>
      </c>
      <c r="C1638" s="20" t="s">
        <v>804</v>
      </c>
      <c r="D1638" s="21">
        <v>24</v>
      </c>
      <c r="E1638" s="22">
        <v>1917117.117119</v>
      </c>
    </row>
    <row r="1639" s="29" customFormat="1" ht="28" spans="2:5">
      <c r="B1639" s="19" t="s">
        <v>916</v>
      </c>
      <c r="C1639" s="16" t="s">
        <v>183</v>
      </c>
      <c r="D1639" s="23">
        <v>52</v>
      </c>
      <c r="E1639" s="24">
        <v>4198963.963967</v>
      </c>
    </row>
    <row r="1640" s="29" customFormat="1" ht="28" spans="2:5">
      <c r="B1640" s="19" t="s">
        <v>1101</v>
      </c>
      <c r="C1640" s="20" t="s">
        <v>804</v>
      </c>
      <c r="D1640" s="21">
        <v>3</v>
      </c>
      <c r="E1640" s="22">
        <v>267400</v>
      </c>
    </row>
    <row r="1641" s="29" customFormat="1" ht="28.75" spans="2:5">
      <c r="B1641" s="19" t="s">
        <v>1101</v>
      </c>
      <c r="C1641" s="16" t="s">
        <v>183</v>
      </c>
      <c r="D1641" s="23">
        <v>3</v>
      </c>
      <c r="E1641" s="24">
        <v>267400</v>
      </c>
    </row>
    <row r="1642" s="29" customFormat="1" spans="2:5">
      <c r="B1642" s="25"/>
      <c r="C1642" s="25"/>
      <c r="D1642" s="25"/>
      <c r="E1642" s="25"/>
    </row>
    <row r="1643" s="29" customFormat="1" ht="36" spans="2:5">
      <c r="B1643" s="26" t="s">
        <v>189</v>
      </c>
      <c r="C1643" s="26" t="s">
        <v>189</v>
      </c>
      <c r="D1643" s="26" t="s">
        <v>189</v>
      </c>
      <c r="E1643" s="26" t="s">
        <v>189</v>
      </c>
    </row>
    <row r="1644" s="29" customFormat="1" spans="2:5">
      <c r="B1644" s="26"/>
      <c r="C1644" s="26"/>
      <c r="D1644" s="26"/>
      <c r="E1644" s="26"/>
    </row>
    <row r="1645" s="29" customFormat="1" ht="36" spans="2:5">
      <c r="B1645" s="26" t="s">
        <v>958</v>
      </c>
      <c r="C1645" s="26" t="s">
        <v>958</v>
      </c>
      <c r="D1645" s="26" t="s">
        <v>958</v>
      </c>
      <c r="E1645" s="26" t="s">
        <v>958</v>
      </c>
    </row>
    <row r="1646" s="29" customFormat="1" spans="2:5">
      <c r="B1646" s="26" t="s">
        <v>1377</v>
      </c>
      <c r="C1646" s="26" t="s">
        <v>1377</v>
      </c>
      <c r="D1646" s="26" t="s">
        <v>1377</v>
      </c>
      <c r="E1646" s="26" t="s">
        <v>1377</v>
      </c>
    </row>
    <row r="1647" s="29" customFormat="1" ht="124" spans="2:5">
      <c r="B1647" s="11" t="s">
        <v>173</v>
      </c>
      <c r="C1647" s="11" t="s">
        <v>173</v>
      </c>
      <c r="D1647" s="11" t="s">
        <v>173</v>
      </c>
      <c r="E1647" s="11" t="s">
        <v>173</v>
      </c>
    </row>
    <row r="1648" s="29" customFormat="1" ht="156" spans="2:5">
      <c r="B1648" s="12" t="s">
        <v>174</v>
      </c>
      <c r="C1648" s="12" t="s">
        <v>174</v>
      </c>
      <c r="D1648" s="12" t="s">
        <v>174</v>
      </c>
      <c r="E1648" s="12" t="s">
        <v>174</v>
      </c>
    </row>
    <row r="1649" s="29" customFormat="1" ht="68" spans="2:5">
      <c r="B1649" s="13" t="s">
        <v>1155</v>
      </c>
      <c r="C1649" s="13" t="s">
        <v>1155</v>
      </c>
      <c r="D1649" s="13" t="s">
        <v>1155</v>
      </c>
      <c r="E1649" s="13" t="s">
        <v>1155</v>
      </c>
    </row>
    <row r="1650" s="29" customFormat="1" ht="22" spans="2:5">
      <c r="B1650" s="14" t="s">
        <v>176</v>
      </c>
      <c r="C1650" s="14" t="s">
        <v>176</v>
      </c>
      <c r="D1650" s="14" t="s">
        <v>176</v>
      </c>
      <c r="E1650" s="14" t="s">
        <v>176</v>
      </c>
    </row>
    <row r="1651" s="29" customFormat="1" spans="2:5">
      <c r="B1651" s="15" t="s">
        <v>177</v>
      </c>
      <c r="C1651" s="16" t="s">
        <v>178</v>
      </c>
      <c r="D1651" s="17" t="s">
        <v>179</v>
      </c>
      <c r="E1651" s="18" t="s">
        <v>180</v>
      </c>
    </row>
    <row r="1652" s="29" customFormat="1" ht="28" spans="2:5">
      <c r="B1652" s="19" t="s">
        <v>917</v>
      </c>
      <c r="C1652" s="20" t="s">
        <v>804</v>
      </c>
      <c r="D1652" s="21">
        <v>2</v>
      </c>
      <c r="E1652" s="22">
        <v>0</v>
      </c>
    </row>
    <row r="1653" s="29" customFormat="1" ht="28" spans="2:5">
      <c r="B1653" s="19" t="s">
        <v>917</v>
      </c>
      <c r="C1653" s="16" t="s">
        <v>183</v>
      </c>
      <c r="D1653" s="23">
        <v>2</v>
      </c>
      <c r="E1653" s="24">
        <v>0</v>
      </c>
    </row>
    <row r="1654" s="29" customFormat="1" ht="41" spans="2:5">
      <c r="B1654" s="19" t="s">
        <v>1102</v>
      </c>
      <c r="C1654" s="20" t="s">
        <v>182</v>
      </c>
      <c r="D1654" s="21">
        <v>4</v>
      </c>
      <c r="E1654" s="22">
        <v>0</v>
      </c>
    </row>
    <row r="1655" s="29" customFormat="1" ht="28" spans="2:5">
      <c r="B1655" s="19" t="s">
        <v>1102</v>
      </c>
      <c r="C1655" s="16" t="s">
        <v>183</v>
      </c>
      <c r="D1655" s="23">
        <v>4</v>
      </c>
      <c r="E1655" s="24">
        <v>0</v>
      </c>
    </row>
    <row r="1656" s="29" customFormat="1" ht="41" spans="2:5">
      <c r="B1656" s="19" t="s">
        <v>918</v>
      </c>
      <c r="C1656" s="20" t="s">
        <v>182</v>
      </c>
      <c r="D1656" s="21">
        <v>8</v>
      </c>
      <c r="E1656" s="22">
        <v>0</v>
      </c>
    </row>
    <row r="1657" s="29" customFormat="1" ht="28" spans="2:5">
      <c r="B1657" s="19" t="s">
        <v>918</v>
      </c>
      <c r="C1657" s="20" t="s">
        <v>804</v>
      </c>
      <c r="D1657" s="21">
        <v>1</v>
      </c>
      <c r="E1657" s="22">
        <v>0</v>
      </c>
    </row>
    <row r="1658" s="29" customFormat="1" ht="28" spans="2:5">
      <c r="B1658" s="19" t="s">
        <v>918</v>
      </c>
      <c r="C1658" s="16" t="s">
        <v>183</v>
      </c>
      <c r="D1658" s="23">
        <v>9</v>
      </c>
      <c r="E1658" s="24">
        <v>0</v>
      </c>
    </row>
    <row r="1659" s="29" customFormat="1" ht="41" spans="2:5">
      <c r="B1659" s="19" t="s">
        <v>919</v>
      </c>
      <c r="C1659" s="20" t="s">
        <v>182</v>
      </c>
      <c r="D1659" s="21">
        <v>32</v>
      </c>
      <c r="E1659" s="22">
        <v>0</v>
      </c>
    </row>
    <row r="1660" s="29" customFormat="1" ht="28" spans="2:5">
      <c r="B1660" s="19" t="s">
        <v>919</v>
      </c>
      <c r="C1660" s="16" t="s">
        <v>183</v>
      </c>
      <c r="D1660" s="23">
        <v>32</v>
      </c>
      <c r="E1660" s="24">
        <v>0</v>
      </c>
    </row>
    <row r="1661" s="29" customFormat="1" ht="41" spans="2:5">
      <c r="B1661" s="19" t="s">
        <v>757</v>
      </c>
      <c r="C1661" s="20" t="s">
        <v>182</v>
      </c>
      <c r="D1661" s="21">
        <v>20</v>
      </c>
      <c r="E1661" s="22">
        <v>947219.927928</v>
      </c>
    </row>
    <row r="1662" s="29" customFormat="1" ht="28" spans="2:5">
      <c r="B1662" s="19" t="s">
        <v>757</v>
      </c>
      <c r="C1662" s="20" t="s">
        <v>804</v>
      </c>
      <c r="D1662" s="21">
        <v>13</v>
      </c>
      <c r="E1662" s="22">
        <v>409909.90991</v>
      </c>
    </row>
    <row r="1663" s="29" customFormat="1" ht="28" spans="2:5">
      <c r="B1663" s="19" t="s">
        <v>757</v>
      </c>
      <c r="C1663" s="16" t="s">
        <v>183</v>
      </c>
      <c r="D1663" s="23">
        <v>33</v>
      </c>
      <c r="E1663" s="24">
        <v>1357129.837838</v>
      </c>
    </row>
    <row r="1664" s="29" customFormat="1" ht="41.75" spans="2:5">
      <c r="B1664" s="20" t="s">
        <v>632</v>
      </c>
      <c r="C1664" s="20" t="s">
        <v>182</v>
      </c>
      <c r="D1664" s="21">
        <v>28</v>
      </c>
      <c r="E1664" s="22">
        <v>0</v>
      </c>
    </row>
    <row r="1665" s="29" customFormat="1" spans="2:5">
      <c r="B1665" s="25"/>
      <c r="C1665" s="25"/>
      <c r="D1665" s="25"/>
      <c r="E1665" s="25"/>
    </row>
    <row r="1666" s="29" customFormat="1" ht="36" spans="2:5">
      <c r="B1666" s="26" t="s">
        <v>189</v>
      </c>
      <c r="C1666" s="26" t="s">
        <v>189</v>
      </c>
      <c r="D1666" s="26" t="s">
        <v>189</v>
      </c>
      <c r="E1666" s="26" t="s">
        <v>189</v>
      </c>
    </row>
    <row r="1667" s="29" customFormat="1" spans="2:5">
      <c r="B1667" s="26"/>
      <c r="C1667" s="26"/>
      <c r="D1667" s="26"/>
      <c r="E1667" s="26"/>
    </row>
    <row r="1668" s="29" customFormat="1" ht="36" spans="2:5">
      <c r="B1668" s="26" t="s">
        <v>958</v>
      </c>
      <c r="C1668" s="26" t="s">
        <v>958</v>
      </c>
      <c r="D1668" s="26" t="s">
        <v>958</v>
      </c>
      <c r="E1668" s="26" t="s">
        <v>958</v>
      </c>
    </row>
    <row r="1669" s="29" customFormat="1" spans="2:5">
      <c r="B1669" s="26" t="s">
        <v>1378</v>
      </c>
      <c r="C1669" s="26" t="s">
        <v>1378</v>
      </c>
      <c r="D1669" s="26" t="s">
        <v>1378</v>
      </c>
      <c r="E1669" s="26" t="s">
        <v>1378</v>
      </c>
    </row>
    <row r="1670" s="29" customFormat="1" ht="124" spans="2:5">
      <c r="B1670" s="11" t="s">
        <v>173</v>
      </c>
      <c r="C1670" s="11" t="s">
        <v>173</v>
      </c>
      <c r="D1670" s="11" t="s">
        <v>173</v>
      </c>
      <c r="E1670" s="11" t="s">
        <v>173</v>
      </c>
    </row>
    <row r="1671" s="29" customFormat="1" ht="156" spans="2:5">
      <c r="B1671" s="12" t="s">
        <v>174</v>
      </c>
      <c r="C1671" s="12" t="s">
        <v>174</v>
      </c>
      <c r="D1671" s="12" t="s">
        <v>174</v>
      </c>
      <c r="E1671" s="12" t="s">
        <v>174</v>
      </c>
    </row>
    <row r="1672" s="29" customFormat="1" ht="68" spans="2:5">
      <c r="B1672" s="13" t="s">
        <v>1155</v>
      </c>
      <c r="C1672" s="13" t="s">
        <v>1155</v>
      </c>
      <c r="D1672" s="13" t="s">
        <v>1155</v>
      </c>
      <c r="E1672" s="13" t="s">
        <v>1155</v>
      </c>
    </row>
    <row r="1673" s="29" customFormat="1" ht="22" spans="2:5">
      <c r="B1673" s="14" t="s">
        <v>176</v>
      </c>
      <c r="C1673" s="14" t="s">
        <v>176</v>
      </c>
      <c r="D1673" s="14" t="s">
        <v>176</v>
      </c>
      <c r="E1673" s="14" t="s">
        <v>176</v>
      </c>
    </row>
    <row r="1674" s="29" customFormat="1" spans="2:5">
      <c r="B1674" s="15" t="s">
        <v>177</v>
      </c>
      <c r="C1674" s="16" t="s">
        <v>178</v>
      </c>
      <c r="D1674" s="17" t="s">
        <v>179</v>
      </c>
      <c r="E1674" s="18" t="s">
        <v>180</v>
      </c>
    </row>
    <row r="1675" s="29" customFormat="1" ht="28" spans="2:5">
      <c r="B1675" s="19" t="s">
        <v>632</v>
      </c>
      <c r="C1675" s="20" t="s">
        <v>804</v>
      </c>
      <c r="D1675" s="21">
        <v>8</v>
      </c>
      <c r="E1675" s="22">
        <v>0</v>
      </c>
    </row>
    <row r="1676" s="29" customFormat="1" ht="28" spans="2:5">
      <c r="B1676" s="19" t="s">
        <v>632</v>
      </c>
      <c r="C1676" s="16" t="s">
        <v>183</v>
      </c>
      <c r="D1676" s="23">
        <v>36</v>
      </c>
      <c r="E1676" s="24">
        <v>0</v>
      </c>
    </row>
    <row r="1677" s="29" customFormat="1" ht="41" spans="2:5">
      <c r="B1677" s="19" t="s">
        <v>1104</v>
      </c>
      <c r="C1677" s="20" t="s">
        <v>182</v>
      </c>
      <c r="D1677" s="21">
        <v>8</v>
      </c>
      <c r="E1677" s="22">
        <v>0</v>
      </c>
    </row>
    <row r="1678" s="29" customFormat="1" ht="28" spans="2:5">
      <c r="B1678" s="19" t="s">
        <v>1104</v>
      </c>
      <c r="C1678" s="16" t="s">
        <v>183</v>
      </c>
      <c r="D1678" s="23">
        <v>8</v>
      </c>
      <c r="E1678" s="24">
        <v>0</v>
      </c>
    </row>
    <row r="1679" s="29" customFormat="1" ht="41" spans="2:5">
      <c r="B1679" s="19" t="s">
        <v>920</v>
      </c>
      <c r="C1679" s="20" t="s">
        <v>182</v>
      </c>
      <c r="D1679" s="21">
        <v>10</v>
      </c>
      <c r="E1679" s="22">
        <v>0</v>
      </c>
    </row>
    <row r="1680" s="29" customFormat="1" ht="28" spans="2:5">
      <c r="B1680" s="19" t="s">
        <v>920</v>
      </c>
      <c r="C1680" s="20" t="s">
        <v>804</v>
      </c>
      <c r="D1680" s="21">
        <v>3</v>
      </c>
      <c r="E1680" s="22">
        <v>0</v>
      </c>
    </row>
    <row r="1681" s="29" customFormat="1" ht="28" spans="2:5">
      <c r="B1681" s="19" t="s">
        <v>920</v>
      </c>
      <c r="C1681" s="16" t="s">
        <v>183</v>
      </c>
      <c r="D1681" s="23">
        <v>13</v>
      </c>
      <c r="E1681" s="24">
        <v>0</v>
      </c>
    </row>
    <row r="1682" s="29" customFormat="1" ht="41" spans="2:5">
      <c r="B1682" s="19" t="s">
        <v>633</v>
      </c>
      <c r="C1682" s="20" t="s">
        <v>182</v>
      </c>
      <c r="D1682" s="21">
        <v>18</v>
      </c>
      <c r="E1682" s="22">
        <v>908107.099099</v>
      </c>
    </row>
    <row r="1683" s="29" customFormat="1" ht="28" spans="2:5">
      <c r="B1683" s="19" t="s">
        <v>633</v>
      </c>
      <c r="C1683" s="20" t="s">
        <v>804</v>
      </c>
      <c r="D1683" s="21">
        <v>17</v>
      </c>
      <c r="E1683" s="22">
        <v>151351.351351</v>
      </c>
    </row>
    <row r="1684" s="29" customFormat="1" ht="28" spans="2:5">
      <c r="B1684" s="19" t="s">
        <v>633</v>
      </c>
      <c r="C1684" s="16" t="s">
        <v>183</v>
      </c>
      <c r="D1684" s="23">
        <v>35</v>
      </c>
      <c r="E1684" s="24">
        <v>1059458.45045</v>
      </c>
    </row>
    <row r="1685" s="29" customFormat="1" ht="41" spans="2:5">
      <c r="B1685" s="19" t="s">
        <v>634</v>
      </c>
      <c r="C1685" s="20" t="s">
        <v>182</v>
      </c>
      <c r="D1685" s="21">
        <v>27</v>
      </c>
      <c r="E1685" s="22">
        <v>0</v>
      </c>
    </row>
    <row r="1686" s="29" customFormat="1" ht="28" spans="2:5">
      <c r="B1686" s="19" t="s">
        <v>634</v>
      </c>
      <c r="C1686" s="20" t="s">
        <v>804</v>
      </c>
      <c r="D1686" s="21">
        <v>9</v>
      </c>
      <c r="E1686" s="22">
        <v>0</v>
      </c>
    </row>
    <row r="1687" s="29" customFormat="1" ht="28.75" spans="2:5">
      <c r="B1687" s="19" t="s">
        <v>634</v>
      </c>
      <c r="C1687" s="16" t="s">
        <v>183</v>
      </c>
      <c r="D1687" s="23">
        <v>36</v>
      </c>
      <c r="E1687" s="24">
        <v>0</v>
      </c>
    </row>
    <row r="1688" s="29" customFormat="1" spans="2:5">
      <c r="B1688" s="25"/>
      <c r="C1688" s="25"/>
      <c r="D1688" s="25"/>
      <c r="E1688" s="25"/>
    </row>
    <row r="1689" s="29" customFormat="1" ht="36" spans="2:5">
      <c r="B1689" s="26" t="s">
        <v>189</v>
      </c>
      <c r="C1689" s="26" t="s">
        <v>189</v>
      </c>
      <c r="D1689" s="26" t="s">
        <v>189</v>
      </c>
      <c r="E1689" s="26" t="s">
        <v>189</v>
      </c>
    </row>
    <row r="1690" s="29" customFormat="1" spans="2:5">
      <c r="B1690" s="26"/>
      <c r="C1690" s="26"/>
      <c r="D1690" s="26"/>
      <c r="E1690" s="26"/>
    </row>
    <row r="1691" s="29" customFormat="1" ht="36" spans="2:5">
      <c r="B1691" s="26" t="s">
        <v>958</v>
      </c>
      <c r="C1691" s="26" t="s">
        <v>958</v>
      </c>
      <c r="D1691" s="26" t="s">
        <v>958</v>
      </c>
      <c r="E1691" s="26" t="s">
        <v>958</v>
      </c>
    </row>
    <row r="1692" s="29" customFormat="1" spans="2:5">
      <c r="B1692" s="26" t="s">
        <v>1379</v>
      </c>
      <c r="C1692" s="26" t="s">
        <v>1379</v>
      </c>
      <c r="D1692" s="26" t="s">
        <v>1379</v>
      </c>
      <c r="E1692" s="26" t="s">
        <v>1379</v>
      </c>
    </row>
    <row r="1693" s="29" customFormat="1" ht="124" spans="2:5">
      <c r="B1693" s="11" t="s">
        <v>173</v>
      </c>
      <c r="C1693" s="11" t="s">
        <v>173</v>
      </c>
      <c r="D1693" s="11" t="s">
        <v>173</v>
      </c>
      <c r="E1693" s="11" t="s">
        <v>173</v>
      </c>
    </row>
    <row r="1694" s="29" customFormat="1" ht="156" spans="2:5">
      <c r="B1694" s="12" t="s">
        <v>174</v>
      </c>
      <c r="C1694" s="12" t="s">
        <v>174</v>
      </c>
      <c r="D1694" s="12" t="s">
        <v>174</v>
      </c>
      <c r="E1694" s="12" t="s">
        <v>174</v>
      </c>
    </row>
    <row r="1695" s="29" customFormat="1" ht="68" spans="2:5">
      <c r="B1695" s="13" t="s">
        <v>1155</v>
      </c>
      <c r="C1695" s="13" t="s">
        <v>1155</v>
      </c>
      <c r="D1695" s="13" t="s">
        <v>1155</v>
      </c>
      <c r="E1695" s="13" t="s">
        <v>1155</v>
      </c>
    </row>
    <row r="1696" s="29" customFormat="1" ht="22" spans="2:5">
      <c r="B1696" s="14" t="s">
        <v>176</v>
      </c>
      <c r="C1696" s="14" t="s">
        <v>176</v>
      </c>
      <c r="D1696" s="14" t="s">
        <v>176</v>
      </c>
      <c r="E1696" s="14" t="s">
        <v>176</v>
      </c>
    </row>
    <row r="1697" s="29" customFormat="1" spans="2:5">
      <c r="B1697" s="15" t="s">
        <v>177</v>
      </c>
      <c r="C1697" s="16" t="s">
        <v>178</v>
      </c>
      <c r="D1697" s="17" t="s">
        <v>179</v>
      </c>
      <c r="E1697" s="18" t="s">
        <v>180</v>
      </c>
    </row>
    <row r="1698" s="29" customFormat="1" ht="41" spans="2:5">
      <c r="B1698" s="19" t="s">
        <v>921</v>
      </c>
      <c r="C1698" s="20" t="s">
        <v>182</v>
      </c>
      <c r="D1698" s="21">
        <v>15</v>
      </c>
      <c r="E1698" s="22">
        <v>1255622.072073</v>
      </c>
    </row>
    <row r="1699" s="29" customFormat="1" ht="28" spans="2:5">
      <c r="B1699" s="19" t="s">
        <v>921</v>
      </c>
      <c r="C1699" s="20" t="s">
        <v>804</v>
      </c>
      <c r="D1699" s="21">
        <v>20</v>
      </c>
      <c r="E1699" s="22">
        <v>1432250.11854</v>
      </c>
    </row>
    <row r="1700" s="29" customFormat="1" ht="28" spans="2:5">
      <c r="B1700" s="19" t="s">
        <v>921</v>
      </c>
      <c r="C1700" s="16" t="s">
        <v>183</v>
      </c>
      <c r="D1700" s="23">
        <v>35</v>
      </c>
      <c r="E1700" s="24">
        <v>2687872.190613</v>
      </c>
    </row>
    <row r="1701" s="29" customFormat="1" ht="41" spans="2:5">
      <c r="B1701" s="19" t="s">
        <v>635</v>
      </c>
      <c r="C1701" s="20" t="s">
        <v>182</v>
      </c>
      <c r="D1701" s="21">
        <v>36</v>
      </c>
      <c r="E1701" s="22">
        <v>3924324.342342</v>
      </c>
    </row>
    <row r="1702" s="29" customFormat="1" ht="28" spans="2:5">
      <c r="B1702" s="19" t="s">
        <v>635</v>
      </c>
      <c r="C1702" s="20" t="s">
        <v>804</v>
      </c>
      <c r="D1702" s="21">
        <v>12</v>
      </c>
      <c r="E1702" s="22">
        <v>1209008.792793</v>
      </c>
    </row>
    <row r="1703" s="29" customFormat="1" ht="28" spans="2:5">
      <c r="B1703" s="19" t="s">
        <v>635</v>
      </c>
      <c r="C1703" s="16" t="s">
        <v>183</v>
      </c>
      <c r="D1703" s="23">
        <v>48</v>
      </c>
      <c r="E1703" s="24">
        <v>5133333.135135</v>
      </c>
    </row>
    <row r="1704" s="29" customFormat="1" ht="41" spans="2:5">
      <c r="B1704" s="19" t="s">
        <v>636</v>
      </c>
      <c r="C1704" s="20" t="s">
        <v>182</v>
      </c>
      <c r="D1704" s="21">
        <v>25</v>
      </c>
      <c r="E1704" s="22">
        <v>3220720.567566</v>
      </c>
    </row>
    <row r="1705" s="29" customFormat="1" ht="28" spans="2:5">
      <c r="B1705" s="19" t="s">
        <v>636</v>
      </c>
      <c r="C1705" s="20" t="s">
        <v>804</v>
      </c>
      <c r="D1705" s="21">
        <v>8</v>
      </c>
      <c r="E1705" s="22">
        <v>1030630.315315</v>
      </c>
    </row>
    <row r="1706" s="29" customFormat="1" ht="28" spans="2:5">
      <c r="B1706" s="19" t="s">
        <v>636</v>
      </c>
      <c r="C1706" s="16" t="s">
        <v>183</v>
      </c>
      <c r="D1706" s="23">
        <v>33</v>
      </c>
      <c r="E1706" s="24">
        <v>4251350.882881</v>
      </c>
    </row>
    <row r="1707" s="29" customFormat="1" ht="28" spans="2:5">
      <c r="B1707" s="19" t="s">
        <v>1380</v>
      </c>
      <c r="C1707" s="20" t="s">
        <v>804</v>
      </c>
      <c r="D1707" s="21">
        <v>1</v>
      </c>
      <c r="E1707" s="22">
        <v>3262500</v>
      </c>
    </row>
    <row r="1708" s="29" customFormat="1" ht="28" spans="2:5">
      <c r="B1708" s="19" t="s">
        <v>1380</v>
      </c>
      <c r="C1708" s="16" t="s">
        <v>183</v>
      </c>
      <c r="D1708" s="23">
        <v>1</v>
      </c>
      <c r="E1708" s="24">
        <v>3262500</v>
      </c>
    </row>
    <row r="1709" s="29" customFormat="1" ht="28" spans="2:5">
      <c r="B1709" s="19" t="s">
        <v>1381</v>
      </c>
      <c r="C1709" s="20" t="s">
        <v>804</v>
      </c>
      <c r="D1709" s="21">
        <v>1</v>
      </c>
      <c r="E1709" s="22">
        <v>2247500</v>
      </c>
    </row>
    <row r="1710" s="29" customFormat="1" ht="28" spans="2:5">
      <c r="B1710" s="19" t="s">
        <v>1381</v>
      </c>
      <c r="C1710" s="16" t="s">
        <v>183</v>
      </c>
      <c r="D1710" s="23">
        <v>1</v>
      </c>
      <c r="E1710" s="24">
        <v>2247500</v>
      </c>
    </row>
    <row r="1711" s="29" customFormat="1" ht="28" spans="2:5">
      <c r="B1711" s="19" t="s">
        <v>1382</v>
      </c>
      <c r="C1711" s="20" t="s">
        <v>804</v>
      </c>
      <c r="D1711" s="21">
        <v>1</v>
      </c>
      <c r="E1711" s="22">
        <v>9189189</v>
      </c>
    </row>
    <row r="1712" s="29" customFormat="1" ht="17.55" spans="2:5">
      <c r="B1712" s="19" t="s">
        <v>1382</v>
      </c>
      <c r="C1712" s="16" t="s">
        <v>183</v>
      </c>
      <c r="D1712" s="23">
        <v>1</v>
      </c>
      <c r="E1712" s="24">
        <v>9189189</v>
      </c>
    </row>
    <row r="1713" s="29" customFormat="1" spans="2:5">
      <c r="B1713" s="25"/>
      <c r="C1713" s="25"/>
      <c r="D1713" s="25"/>
      <c r="E1713" s="25"/>
    </row>
    <row r="1714" s="29" customFormat="1" ht="36" spans="2:5">
      <c r="B1714" s="26" t="s">
        <v>189</v>
      </c>
      <c r="C1714" s="26" t="s">
        <v>189</v>
      </c>
      <c r="D1714" s="26" t="s">
        <v>189</v>
      </c>
      <c r="E1714" s="26" t="s">
        <v>189</v>
      </c>
    </row>
    <row r="1715" s="29" customFormat="1" spans="2:5">
      <c r="B1715" s="26"/>
      <c r="C1715" s="26"/>
      <c r="D1715" s="26"/>
      <c r="E1715" s="26"/>
    </row>
    <row r="1716" s="29" customFormat="1" ht="36" spans="2:5">
      <c r="B1716" s="26" t="s">
        <v>958</v>
      </c>
      <c r="C1716" s="26" t="s">
        <v>958</v>
      </c>
      <c r="D1716" s="26" t="s">
        <v>958</v>
      </c>
      <c r="E1716" s="26" t="s">
        <v>958</v>
      </c>
    </row>
    <row r="1717" s="29" customFormat="1" spans="2:5">
      <c r="B1717" s="26" t="s">
        <v>1383</v>
      </c>
      <c r="C1717" s="26" t="s">
        <v>1383</v>
      </c>
      <c r="D1717" s="26" t="s">
        <v>1383</v>
      </c>
      <c r="E1717" s="26" t="s">
        <v>1383</v>
      </c>
    </row>
    <row r="1718" s="29" customFormat="1" ht="124" spans="2:5">
      <c r="B1718" s="11" t="s">
        <v>173</v>
      </c>
      <c r="C1718" s="11" t="s">
        <v>173</v>
      </c>
      <c r="D1718" s="11" t="s">
        <v>173</v>
      </c>
      <c r="E1718" s="11" t="s">
        <v>173</v>
      </c>
    </row>
    <row r="1719" s="29" customFormat="1" ht="156" spans="2:5">
      <c r="B1719" s="12" t="s">
        <v>174</v>
      </c>
      <c r="C1719" s="12" t="s">
        <v>174</v>
      </c>
      <c r="D1719" s="12" t="s">
        <v>174</v>
      </c>
      <c r="E1719" s="12" t="s">
        <v>174</v>
      </c>
    </row>
    <row r="1720" s="29" customFormat="1" ht="68" spans="2:5">
      <c r="B1720" s="13" t="s">
        <v>1155</v>
      </c>
      <c r="C1720" s="13" t="s">
        <v>1155</v>
      </c>
      <c r="D1720" s="13" t="s">
        <v>1155</v>
      </c>
      <c r="E1720" s="13" t="s">
        <v>1155</v>
      </c>
    </row>
    <row r="1721" s="29" customFormat="1" ht="22" spans="2:5">
      <c r="B1721" s="14" t="s">
        <v>176</v>
      </c>
      <c r="C1721" s="14" t="s">
        <v>176</v>
      </c>
      <c r="D1721" s="14" t="s">
        <v>176</v>
      </c>
      <c r="E1721" s="14" t="s">
        <v>176</v>
      </c>
    </row>
    <row r="1722" s="29" customFormat="1" spans="2:5">
      <c r="B1722" s="15" t="s">
        <v>177</v>
      </c>
      <c r="C1722" s="16" t="s">
        <v>178</v>
      </c>
      <c r="D1722" s="17" t="s">
        <v>179</v>
      </c>
      <c r="E1722" s="18" t="s">
        <v>180</v>
      </c>
    </row>
    <row r="1723" s="29" customFormat="1" ht="28" spans="2:5">
      <c r="B1723" s="19" t="s">
        <v>1384</v>
      </c>
      <c r="C1723" s="20" t="s">
        <v>804</v>
      </c>
      <c r="D1723" s="21">
        <v>1</v>
      </c>
      <c r="E1723" s="22">
        <v>550000</v>
      </c>
    </row>
    <row r="1724" s="29" customFormat="1" ht="28" spans="2:5">
      <c r="B1724" s="19" t="s">
        <v>1384</v>
      </c>
      <c r="C1724" s="16" t="s">
        <v>183</v>
      </c>
      <c r="D1724" s="23">
        <v>1</v>
      </c>
      <c r="E1724" s="24">
        <v>550000</v>
      </c>
    </row>
    <row r="1725" s="29" customFormat="1" ht="41" spans="2:5">
      <c r="B1725" s="19" t="s">
        <v>389</v>
      </c>
      <c r="C1725" s="20" t="s">
        <v>182</v>
      </c>
      <c r="D1725" s="21">
        <v>6</v>
      </c>
      <c r="E1725" s="22">
        <v>18018.018018</v>
      </c>
    </row>
    <row r="1726" s="29" customFormat="1" ht="28" spans="2:5">
      <c r="B1726" s="19" t="s">
        <v>389</v>
      </c>
      <c r="C1726" s="20" t="s">
        <v>804</v>
      </c>
      <c r="D1726" s="21">
        <v>23</v>
      </c>
      <c r="E1726" s="22">
        <v>4505</v>
      </c>
    </row>
    <row r="1727" s="29" customFormat="1" ht="28" spans="2:5">
      <c r="B1727" s="19" t="s">
        <v>389</v>
      </c>
      <c r="C1727" s="16" t="s">
        <v>183</v>
      </c>
      <c r="D1727" s="23">
        <v>29</v>
      </c>
      <c r="E1727" s="24">
        <v>22523.018018</v>
      </c>
    </row>
    <row r="1728" s="29" customFormat="1" ht="41" spans="2:5">
      <c r="B1728" s="19" t="s">
        <v>637</v>
      </c>
      <c r="C1728" s="20" t="s">
        <v>182</v>
      </c>
      <c r="D1728" s="21">
        <v>16</v>
      </c>
      <c r="E1728" s="22">
        <v>444324.324324</v>
      </c>
    </row>
    <row r="1729" s="29" customFormat="1" spans="2:5">
      <c r="B1729" s="19" t="s">
        <v>637</v>
      </c>
      <c r="C1729" s="16" t="s">
        <v>183</v>
      </c>
      <c r="D1729" s="23">
        <v>16</v>
      </c>
      <c r="E1729" s="24">
        <v>444324.324324</v>
      </c>
    </row>
    <row r="1730" s="29" customFormat="1" ht="41" spans="2:5">
      <c r="B1730" s="19" t="s">
        <v>1385</v>
      </c>
      <c r="C1730" s="20" t="s">
        <v>182</v>
      </c>
      <c r="D1730" s="21">
        <v>1</v>
      </c>
      <c r="E1730" s="22">
        <v>400000</v>
      </c>
    </row>
    <row r="1731" s="29" customFormat="1" spans="2:5">
      <c r="B1731" s="19" t="s">
        <v>1385</v>
      </c>
      <c r="C1731" s="16" t="s">
        <v>183</v>
      </c>
      <c r="D1731" s="23">
        <v>1</v>
      </c>
      <c r="E1731" s="24">
        <v>400000</v>
      </c>
    </row>
    <row r="1732" s="29" customFormat="1" ht="28" spans="2:5">
      <c r="B1732" s="19" t="s">
        <v>1386</v>
      </c>
      <c r="C1732" s="20" t="s">
        <v>804</v>
      </c>
      <c r="D1732" s="21">
        <v>1</v>
      </c>
      <c r="E1732" s="22">
        <v>500000</v>
      </c>
    </row>
    <row r="1733" s="29" customFormat="1" ht="28" spans="2:5">
      <c r="B1733" s="19" t="s">
        <v>1386</v>
      </c>
      <c r="C1733" s="16" t="s">
        <v>183</v>
      </c>
      <c r="D1733" s="23">
        <v>1</v>
      </c>
      <c r="E1733" s="24">
        <v>500000</v>
      </c>
    </row>
    <row r="1734" s="29" customFormat="1" ht="28" spans="2:5">
      <c r="B1734" s="19" t="s">
        <v>1387</v>
      </c>
      <c r="C1734" s="20" t="s">
        <v>804</v>
      </c>
      <c r="D1734" s="21">
        <v>2</v>
      </c>
      <c r="E1734" s="22">
        <v>522000</v>
      </c>
    </row>
    <row r="1735" s="29" customFormat="1" spans="2:5">
      <c r="B1735" s="19" t="s">
        <v>1387</v>
      </c>
      <c r="C1735" s="16" t="s">
        <v>183</v>
      </c>
      <c r="D1735" s="23">
        <v>2</v>
      </c>
      <c r="E1735" s="24">
        <v>522000</v>
      </c>
    </row>
    <row r="1736" s="29" customFormat="1" ht="28" spans="2:5">
      <c r="B1736" s="19" t="s">
        <v>1388</v>
      </c>
      <c r="C1736" s="20" t="s">
        <v>804</v>
      </c>
      <c r="D1736" s="21">
        <v>2</v>
      </c>
      <c r="E1736" s="22">
        <v>400000</v>
      </c>
    </row>
    <row r="1737" s="29" customFormat="1" ht="28.75" spans="2:5">
      <c r="B1737" s="19" t="s">
        <v>1388</v>
      </c>
      <c r="C1737" s="16" t="s">
        <v>183</v>
      </c>
      <c r="D1737" s="23">
        <v>2</v>
      </c>
      <c r="E1737" s="24">
        <v>400000</v>
      </c>
    </row>
    <row r="1738" s="29" customFormat="1" spans="2:5">
      <c r="B1738" s="25"/>
      <c r="C1738" s="25"/>
      <c r="D1738" s="25"/>
      <c r="E1738" s="25"/>
    </row>
    <row r="1739" s="29" customFormat="1" ht="36" spans="2:5">
      <c r="B1739" s="26" t="s">
        <v>189</v>
      </c>
      <c r="C1739" s="26" t="s">
        <v>189</v>
      </c>
      <c r="D1739" s="26" t="s">
        <v>189</v>
      </c>
      <c r="E1739" s="26" t="s">
        <v>189</v>
      </c>
    </row>
    <row r="1740" s="29" customFormat="1" spans="2:5">
      <c r="B1740" s="26"/>
      <c r="C1740" s="26"/>
      <c r="D1740" s="26"/>
      <c r="E1740" s="26"/>
    </row>
    <row r="1741" s="29" customFormat="1" ht="36" spans="2:5">
      <c r="B1741" s="26" t="s">
        <v>958</v>
      </c>
      <c r="C1741" s="26" t="s">
        <v>958</v>
      </c>
      <c r="D1741" s="26" t="s">
        <v>958</v>
      </c>
      <c r="E1741" s="26" t="s">
        <v>958</v>
      </c>
    </row>
    <row r="1742" s="29" customFormat="1" spans="2:5">
      <c r="B1742" s="26" t="s">
        <v>1389</v>
      </c>
      <c r="C1742" s="26" t="s">
        <v>1389</v>
      </c>
      <c r="D1742" s="26" t="s">
        <v>1389</v>
      </c>
      <c r="E1742" s="26" t="s">
        <v>1389</v>
      </c>
    </row>
    <row r="1743" s="29" customFormat="1" ht="124" spans="2:5">
      <c r="B1743" s="11" t="s">
        <v>173</v>
      </c>
      <c r="C1743" s="11" t="s">
        <v>173</v>
      </c>
      <c r="D1743" s="11" t="s">
        <v>173</v>
      </c>
      <c r="E1743" s="11" t="s">
        <v>173</v>
      </c>
    </row>
    <row r="1744" s="29" customFormat="1" ht="156" spans="2:5">
      <c r="B1744" s="12" t="s">
        <v>174</v>
      </c>
      <c r="C1744" s="12" t="s">
        <v>174</v>
      </c>
      <c r="D1744" s="12" t="s">
        <v>174</v>
      </c>
      <c r="E1744" s="12" t="s">
        <v>174</v>
      </c>
    </row>
    <row r="1745" s="29" customFormat="1" ht="68" spans="2:5">
      <c r="B1745" s="13" t="s">
        <v>1155</v>
      </c>
      <c r="C1745" s="13" t="s">
        <v>1155</v>
      </c>
      <c r="D1745" s="13" t="s">
        <v>1155</v>
      </c>
      <c r="E1745" s="13" t="s">
        <v>1155</v>
      </c>
    </row>
    <row r="1746" s="29" customFormat="1" ht="22" spans="2:5">
      <c r="B1746" s="14" t="s">
        <v>176</v>
      </c>
      <c r="C1746" s="14" t="s">
        <v>176</v>
      </c>
      <c r="D1746" s="14" t="s">
        <v>176</v>
      </c>
      <c r="E1746" s="14" t="s">
        <v>176</v>
      </c>
    </row>
    <row r="1747" s="29" customFormat="1" spans="2:5">
      <c r="B1747" s="15" t="s">
        <v>177</v>
      </c>
      <c r="C1747" s="16" t="s">
        <v>178</v>
      </c>
      <c r="D1747" s="17" t="s">
        <v>179</v>
      </c>
      <c r="E1747" s="18" t="s">
        <v>180</v>
      </c>
    </row>
    <row r="1748" s="29" customFormat="1" ht="41" spans="2:5">
      <c r="B1748" s="19" t="s">
        <v>1390</v>
      </c>
      <c r="C1748" s="20" t="s">
        <v>182</v>
      </c>
      <c r="D1748" s="21">
        <v>1</v>
      </c>
      <c r="E1748" s="22">
        <v>800000</v>
      </c>
    </row>
    <row r="1749" s="29" customFormat="1" ht="28" spans="2:5">
      <c r="B1749" s="19" t="s">
        <v>1390</v>
      </c>
      <c r="C1749" s="16" t="s">
        <v>183</v>
      </c>
      <c r="D1749" s="23">
        <v>1</v>
      </c>
      <c r="E1749" s="24">
        <v>800000</v>
      </c>
    </row>
    <row r="1750" s="29" customFormat="1" ht="41" spans="2:5">
      <c r="B1750" s="19" t="s">
        <v>1111</v>
      </c>
      <c r="C1750" s="20" t="s">
        <v>182</v>
      </c>
      <c r="D1750" s="21">
        <v>1</v>
      </c>
      <c r="E1750" s="22">
        <v>0</v>
      </c>
    </row>
    <row r="1751" s="29" customFormat="1" ht="28" spans="2:5">
      <c r="B1751" s="19" t="s">
        <v>1111</v>
      </c>
      <c r="C1751" s="16" t="s">
        <v>183</v>
      </c>
      <c r="D1751" s="23">
        <v>1</v>
      </c>
      <c r="E1751" s="24">
        <v>0</v>
      </c>
    </row>
    <row r="1752" s="29" customFormat="1" ht="28" spans="2:5">
      <c r="B1752" s="19" t="s">
        <v>1391</v>
      </c>
      <c r="C1752" s="20" t="s">
        <v>804</v>
      </c>
      <c r="D1752" s="21">
        <v>1</v>
      </c>
      <c r="E1752" s="22">
        <v>268250</v>
      </c>
    </row>
    <row r="1753" s="29" customFormat="1" spans="2:5">
      <c r="B1753" s="19" t="s">
        <v>1391</v>
      </c>
      <c r="C1753" s="16" t="s">
        <v>183</v>
      </c>
      <c r="D1753" s="23">
        <v>1</v>
      </c>
      <c r="E1753" s="24">
        <v>268250</v>
      </c>
    </row>
    <row r="1754" s="29" customFormat="1" ht="28" spans="2:5">
      <c r="B1754" s="19" t="s">
        <v>1392</v>
      </c>
      <c r="C1754" s="20" t="s">
        <v>804</v>
      </c>
      <c r="D1754" s="21">
        <v>3</v>
      </c>
      <c r="E1754" s="22">
        <v>1609500</v>
      </c>
    </row>
    <row r="1755" s="29" customFormat="1" spans="2:5">
      <c r="B1755" s="19" t="s">
        <v>1392</v>
      </c>
      <c r="C1755" s="16" t="s">
        <v>183</v>
      </c>
      <c r="D1755" s="23">
        <v>3</v>
      </c>
      <c r="E1755" s="24">
        <v>1609500</v>
      </c>
    </row>
    <row r="1756" s="29" customFormat="1" ht="28" spans="2:5">
      <c r="B1756" s="19" t="s">
        <v>1393</v>
      </c>
      <c r="C1756" s="20" t="s">
        <v>804</v>
      </c>
      <c r="D1756" s="21">
        <v>1</v>
      </c>
      <c r="E1756" s="22">
        <v>1957200</v>
      </c>
    </row>
    <row r="1757" s="29" customFormat="1" spans="2:5">
      <c r="B1757" s="19" t="s">
        <v>1393</v>
      </c>
      <c r="C1757" s="16" t="s">
        <v>183</v>
      </c>
      <c r="D1757" s="23">
        <v>1</v>
      </c>
      <c r="E1757" s="24">
        <v>1957200</v>
      </c>
    </row>
    <row r="1758" s="29" customFormat="1" ht="41" spans="2:5">
      <c r="B1758" s="19" t="s">
        <v>1394</v>
      </c>
      <c r="C1758" s="20" t="s">
        <v>182</v>
      </c>
      <c r="D1758" s="21">
        <v>1</v>
      </c>
      <c r="E1758" s="22">
        <v>314936.936937</v>
      </c>
    </row>
    <row r="1759" s="29" customFormat="1" ht="28" spans="2:5">
      <c r="B1759" s="19" t="s">
        <v>1394</v>
      </c>
      <c r="C1759" s="16" t="s">
        <v>183</v>
      </c>
      <c r="D1759" s="23">
        <v>1</v>
      </c>
      <c r="E1759" s="24">
        <v>314936.936937</v>
      </c>
    </row>
    <row r="1760" s="29" customFormat="1" ht="41" spans="2:5">
      <c r="B1760" s="19" t="s">
        <v>1395</v>
      </c>
      <c r="C1760" s="20" t="s">
        <v>182</v>
      </c>
      <c r="D1760" s="21">
        <v>1</v>
      </c>
      <c r="E1760" s="22">
        <v>314936.936937</v>
      </c>
    </row>
    <row r="1761" s="29" customFormat="1" ht="28.75" spans="2:5">
      <c r="B1761" s="19" t="s">
        <v>1395</v>
      </c>
      <c r="C1761" s="16" t="s">
        <v>183</v>
      </c>
      <c r="D1761" s="23">
        <v>1</v>
      </c>
      <c r="E1761" s="24">
        <v>314936.936937</v>
      </c>
    </row>
    <row r="1762" s="29" customFormat="1" spans="2:5">
      <c r="B1762" s="25"/>
      <c r="C1762" s="25"/>
      <c r="D1762" s="25"/>
      <c r="E1762" s="25"/>
    </row>
    <row r="1763" s="29" customFormat="1" ht="36" spans="2:5">
      <c r="B1763" s="26" t="s">
        <v>189</v>
      </c>
      <c r="C1763" s="26" t="s">
        <v>189</v>
      </c>
      <c r="D1763" s="26" t="s">
        <v>189</v>
      </c>
      <c r="E1763" s="26" t="s">
        <v>189</v>
      </c>
    </row>
    <row r="1764" s="29" customFormat="1" spans="2:5">
      <c r="B1764" s="26"/>
      <c r="C1764" s="26"/>
      <c r="D1764" s="26"/>
      <c r="E1764" s="26"/>
    </row>
    <row r="1765" s="29" customFormat="1" ht="36" spans="2:5">
      <c r="B1765" s="26" t="s">
        <v>958</v>
      </c>
      <c r="C1765" s="26" t="s">
        <v>958</v>
      </c>
      <c r="D1765" s="26" t="s">
        <v>958</v>
      </c>
      <c r="E1765" s="26" t="s">
        <v>958</v>
      </c>
    </row>
    <row r="1766" s="29" customFormat="1" spans="2:5">
      <c r="B1766" s="26" t="s">
        <v>1396</v>
      </c>
      <c r="C1766" s="26" t="s">
        <v>1396</v>
      </c>
      <c r="D1766" s="26" t="s">
        <v>1396</v>
      </c>
      <c r="E1766" s="26" t="s">
        <v>1396</v>
      </c>
    </row>
    <row r="1767" s="29" customFormat="1" ht="124" spans="2:5">
      <c r="B1767" s="11" t="s">
        <v>173</v>
      </c>
      <c r="C1767" s="11" t="s">
        <v>173</v>
      </c>
      <c r="D1767" s="11" t="s">
        <v>173</v>
      </c>
      <c r="E1767" s="11" t="s">
        <v>173</v>
      </c>
    </row>
    <row r="1768" s="29" customFormat="1" ht="156" spans="2:5">
      <c r="B1768" s="12" t="s">
        <v>174</v>
      </c>
      <c r="C1768" s="12" t="s">
        <v>174</v>
      </c>
      <c r="D1768" s="12" t="s">
        <v>174</v>
      </c>
      <c r="E1768" s="12" t="s">
        <v>174</v>
      </c>
    </row>
    <row r="1769" s="29" customFormat="1" ht="68" spans="2:5">
      <c r="B1769" s="13" t="s">
        <v>1155</v>
      </c>
      <c r="C1769" s="13" t="s">
        <v>1155</v>
      </c>
      <c r="D1769" s="13" t="s">
        <v>1155</v>
      </c>
      <c r="E1769" s="13" t="s">
        <v>1155</v>
      </c>
    </row>
    <row r="1770" s="29" customFormat="1" ht="22" spans="2:5">
      <c r="B1770" s="14" t="s">
        <v>176</v>
      </c>
      <c r="C1770" s="14" t="s">
        <v>176</v>
      </c>
      <c r="D1770" s="14" t="s">
        <v>176</v>
      </c>
      <c r="E1770" s="14" t="s">
        <v>176</v>
      </c>
    </row>
    <row r="1771" s="29" customFormat="1" spans="2:5">
      <c r="B1771" s="15" t="s">
        <v>177</v>
      </c>
      <c r="C1771" s="16" t="s">
        <v>178</v>
      </c>
      <c r="D1771" s="17" t="s">
        <v>179</v>
      </c>
      <c r="E1771" s="18" t="s">
        <v>180</v>
      </c>
    </row>
    <row r="1772" s="29" customFormat="1" ht="28" spans="2:5">
      <c r="B1772" s="19" t="s">
        <v>1397</v>
      </c>
      <c r="C1772" s="20" t="s">
        <v>804</v>
      </c>
      <c r="D1772" s="21">
        <v>2</v>
      </c>
      <c r="E1772" s="22">
        <v>1377500</v>
      </c>
    </row>
    <row r="1773" s="29" customFormat="1" spans="2:5">
      <c r="B1773" s="19" t="s">
        <v>1397</v>
      </c>
      <c r="C1773" s="16" t="s">
        <v>183</v>
      </c>
      <c r="D1773" s="23">
        <v>2</v>
      </c>
      <c r="E1773" s="24">
        <v>1377500</v>
      </c>
    </row>
    <row r="1774" s="29" customFormat="1" ht="41" spans="2:5">
      <c r="B1774" s="19" t="s">
        <v>1398</v>
      </c>
      <c r="C1774" s="20" t="s">
        <v>182</v>
      </c>
      <c r="D1774" s="21">
        <v>1</v>
      </c>
      <c r="E1774" s="22">
        <v>463063.063063</v>
      </c>
    </row>
    <row r="1775" s="29" customFormat="1" ht="28" spans="2:5">
      <c r="B1775" s="19" t="s">
        <v>1398</v>
      </c>
      <c r="C1775" s="16" t="s">
        <v>183</v>
      </c>
      <c r="D1775" s="23">
        <v>1</v>
      </c>
      <c r="E1775" s="24">
        <v>463063.063063</v>
      </c>
    </row>
    <row r="1776" s="29" customFormat="1" ht="41" spans="2:5">
      <c r="B1776" s="19" t="s">
        <v>1399</v>
      </c>
      <c r="C1776" s="20" t="s">
        <v>182</v>
      </c>
      <c r="D1776" s="21">
        <v>1</v>
      </c>
      <c r="E1776" s="22">
        <v>1937000</v>
      </c>
    </row>
    <row r="1777" s="29" customFormat="1" ht="28" spans="2:5">
      <c r="B1777" s="19" t="s">
        <v>1399</v>
      </c>
      <c r="C1777" s="16" t="s">
        <v>183</v>
      </c>
      <c r="D1777" s="23">
        <v>1</v>
      </c>
      <c r="E1777" s="24">
        <v>1937000</v>
      </c>
    </row>
    <row r="1778" s="29" customFormat="1" ht="41" spans="2:5">
      <c r="B1778" s="19" t="s">
        <v>1400</v>
      </c>
      <c r="C1778" s="20" t="s">
        <v>182</v>
      </c>
      <c r="D1778" s="21">
        <v>1</v>
      </c>
      <c r="E1778" s="22">
        <v>182700</v>
      </c>
    </row>
    <row r="1779" s="29" customFormat="1" ht="28" spans="2:5">
      <c r="B1779" s="19" t="s">
        <v>1400</v>
      </c>
      <c r="C1779" s="16" t="s">
        <v>183</v>
      </c>
      <c r="D1779" s="23">
        <v>1</v>
      </c>
      <c r="E1779" s="24">
        <v>182700</v>
      </c>
    </row>
    <row r="1780" s="29" customFormat="1" ht="41" spans="2:5">
      <c r="B1780" s="19" t="s">
        <v>1120</v>
      </c>
      <c r="C1780" s="20" t="s">
        <v>182</v>
      </c>
      <c r="D1780" s="21">
        <v>3</v>
      </c>
      <c r="E1780" s="22">
        <v>174000</v>
      </c>
    </row>
    <row r="1781" s="29" customFormat="1" ht="28" spans="2:5">
      <c r="B1781" s="19" t="s">
        <v>1120</v>
      </c>
      <c r="C1781" s="16" t="s">
        <v>183</v>
      </c>
      <c r="D1781" s="23">
        <v>3</v>
      </c>
      <c r="E1781" s="24">
        <v>174000</v>
      </c>
    </row>
    <row r="1782" s="29" customFormat="1" ht="41" spans="2:5">
      <c r="B1782" s="19" t="s">
        <v>1401</v>
      </c>
      <c r="C1782" s="20" t="s">
        <v>182</v>
      </c>
      <c r="D1782" s="21">
        <v>3</v>
      </c>
      <c r="E1782" s="22">
        <v>153000</v>
      </c>
    </row>
    <row r="1783" s="29" customFormat="1" ht="28" spans="2:5">
      <c r="B1783" s="19" t="s">
        <v>1401</v>
      </c>
      <c r="C1783" s="16" t="s">
        <v>183</v>
      </c>
      <c r="D1783" s="23">
        <v>3</v>
      </c>
      <c r="E1783" s="24">
        <v>153000</v>
      </c>
    </row>
    <row r="1784" s="29" customFormat="1" ht="41" spans="2:5">
      <c r="B1784" s="19" t="s">
        <v>1402</v>
      </c>
      <c r="C1784" s="20" t="s">
        <v>182</v>
      </c>
      <c r="D1784" s="21">
        <v>1</v>
      </c>
      <c r="E1784" s="22">
        <v>1358000</v>
      </c>
    </row>
    <row r="1785" s="29" customFormat="1" ht="28.75" spans="2:5">
      <c r="B1785" s="19" t="s">
        <v>1402</v>
      </c>
      <c r="C1785" s="16" t="s">
        <v>183</v>
      </c>
      <c r="D1785" s="23">
        <v>1</v>
      </c>
      <c r="E1785" s="24">
        <v>1358000</v>
      </c>
    </row>
    <row r="1786" s="29" customFormat="1" spans="2:5">
      <c r="B1786" s="25"/>
      <c r="C1786" s="25"/>
      <c r="D1786" s="25"/>
      <c r="E1786" s="25"/>
    </row>
    <row r="1787" s="29" customFormat="1" ht="36" spans="2:5">
      <c r="B1787" s="26" t="s">
        <v>189</v>
      </c>
      <c r="C1787" s="26" t="s">
        <v>189</v>
      </c>
      <c r="D1787" s="26" t="s">
        <v>189</v>
      </c>
      <c r="E1787" s="26" t="s">
        <v>189</v>
      </c>
    </row>
    <row r="1788" s="29" customFormat="1" spans="2:5">
      <c r="B1788" s="26"/>
      <c r="C1788" s="26"/>
      <c r="D1788" s="26"/>
      <c r="E1788" s="26"/>
    </row>
    <row r="1789" s="29" customFormat="1" ht="36" spans="2:5">
      <c r="B1789" s="26" t="s">
        <v>958</v>
      </c>
      <c r="C1789" s="26" t="s">
        <v>958</v>
      </c>
      <c r="D1789" s="26" t="s">
        <v>958</v>
      </c>
      <c r="E1789" s="26" t="s">
        <v>958</v>
      </c>
    </row>
    <row r="1790" s="29" customFormat="1" spans="2:5">
      <c r="B1790" s="26" t="s">
        <v>1403</v>
      </c>
      <c r="C1790" s="26" t="s">
        <v>1403</v>
      </c>
      <c r="D1790" s="26" t="s">
        <v>1403</v>
      </c>
      <c r="E1790" s="26" t="s">
        <v>1403</v>
      </c>
    </row>
    <row r="1791" s="29" customFormat="1" ht="124" spans="2:5">
      <c r="B1791" s="11" t="s">
        <v>173</v>
      </c>
      <c r="C1791" s="11" t="s">
        <v>173</v>
      </c>
      <c r="D1791" s="11" t="s">
        <v>173</v>
      </c>
      <c r="E1791" s="11" t="s">
        <v>173</v>
      </c>
    </row>
    <row r="1792" s="29" customFormat="1" ht="156" spans="2:5">
      <c r="B1792" s="12" t="s">
        <v>174</v>
      </c>
      <c r="C1792" s="12" t="s">
        <v>174</v>
      </c>
      <c r="D1792" s="12" t="s">
        <v>174</v>
      </c>
      <c r="E1792" s="12" t="s">
        <v>174</v>
      </c>
    </row>
    <row r="1793" s="29" customFormat="1" ht="68" spans="2:5">
      <c r="B1793" s="13" t="s">
        <v>1155</v>
      </c>
      <c r="C1793" s="13" t="s">
        <v>1155</v>
      </c>
      <c r="D1793" s="13" t="s">
        <v>1155</v>
      </c>
      <c r="E1793" s="13" t="s">
        <v>1155</v>
      </c>
    </row>
    <row r="1794" s="29" customFormat="1" ht="22" spans="2:5">
      <c r="B1794" s="14" t="s">
        <v>176</v>
      </c>
      <c r="C1794" s="14" t="s">
        <v>176</v>
      </c>
      <c r="D1794" s="14" t="s">
        <v>176</v>
      </c>
      <c r="E1794" s="14" t="s">
        <v>176</v>
      </c>
    </row>
    <row r="1795" s="29" customFormat="1" spans="2:5">
      <c r="B1795" s="15" t="s">
        <v>177</v>
      </c>
      <c r="C1795" s="16" t="s">
        <v>178</v>
      </c>
      <c r="D1795" s="17" t="s">
        <v>179</v>
      </c>
      <c r="E1795" s="18" t="s">
        <v>180</v>
      </c>
    </row>
    <row r="1796" s="29" customFormat="1" ht="41" spans="2:5">
      <c r="B1796" s="19" t="s">
        <v>1404</v>
      </c>
      <c r="C1796" s="20" t="s">
        <v>182</v>
      </c>
      <c r="D1796" s="21">
        <v>1</v>
      </c>
      <c r="E1796" s="22">
        <v>1390000</v>
      </c>
    </row>
    <row r="1797" s="29" customFormat="1" ht="28" spans="2:5">
      <c r="B1797" s="19" t="s">
        <v>1404</v>
      </c>
      <c r="C1797" s="16" t="s">
        <v>183</v>
      </c>
      <c r="D1797" s="23">
        <v>1</v>
      </c>
      <c r="E1797" s="24">
        <v>1390000</v>
      </c>
    </row>
    <row r="1798" s="29" customFormat="1" ht="28" spans="2:5">
      <c r="B1798" s="19" t="s">
        <v>646</v>
      </c>
      <c r="C1798" s="20" t="s">
        <v>804</v>
      </c>
      <c r="D1798" s="21">
        <v>2</v>
      </c>
      <c r="E1798" s="22">
        <v>90090.09009</v>
      </c>
    </row>
    <row r="1799" s="29" customFormat="1" ht="28" spans="2:5">
      <c r="B1799" s="19" t="s">
        <v>646</v>
      </c>
      <c r="C1799" s="16" t="s">
        <v>183</v>
      </c>
      <c r="D1799" s="23">
        <v>2</v>
      </c>
      <c r="E1799" s="24">
        <v>90090.09009</v>
      </c>
    </row>
    <row r="1800" s="29" customFormat="1" ht="41" spans="2:5">
      <c r="B1800" s="19" t="s">
        <v>931</v>
      </c>
      <c r="C1800" s="20" t="s">
        <v>182</v>
      </c>
      <c r="D1800" s="21">
        <v>4</v>
      </c>
      <c r="E1800" s="22">
        <v>0</v>
      </c>
    </row>
    <row r="1801" s="29" customFormat="1" ht="28" spans="2:5">
      <c r="B1801" s="19" t="s">
        <v>931</v>
      </c>
      <c r="C1801" s="16" t="s">
        <v>183</v>
      </c>
      <c r="D1801" s="23">
        <v>4</v>
      </c>
      <c r="E1801" s="24">
        <v>0</v>
      </c>
    </row>
    <row r="1802" s="29" customFormat="1" ht="41" spans="2:5">
      <c r="B1802" s="19" t="s">
        <v>1405</v>
      </c>
      <c r="C1802" s="20" t="s">
        <v>182</v>
      </c>
      <c r="D1802" s="21">
        <v>1</v>
      </c>
      <c r="E1802" s="22">
        <v>264000</v>
      </c>
    </row>
    <row r="1803" s="29" customFormat="1" ht="28" spans="2:5">
      <c r="B1803" s="19" t="s">
        <v>1405</v>
      </c>
      <c r="C1803" s="16" t="s">
        <v>183</v>
      </c>
      <c r="D1803" s="23">
        <v>1</v>
      </c>
      <c r="E1803" s="24">
        <v>264000</v>
      </c>
    </row>
    <row r="1804" s="29" customFormat="1" ht="41" spans="2:5">
      <c r="B1804" s="19" t="s">
        <v>1406</v>
      </c>
      <c r="C1804" s="20" t="s">
        <v>182</v>
      </c>
      <c r="D1804" s="21">
        <v>1</v>
      </c>
      <c r="E1804" s="22">
        <v>445000</v>
      </c>
    </row>
    <row r="1805" s="29" customFormat="1" ht="28" spans="2:5">
      <c r="B1805" s="19" t="s">
        <v>1406</v>
      </c>
      <c r="C1805" s="16" t="s">
        <v>183</v>
      </c>
      <c r="D1805" s="23">
        <v>1</v>
      </c>
      <c r="E1805" s="24">
        <v>445000</v>
      </c>
    </row>
    <row r="1806" s="29" customFormat="1" ht="41" spans="2:5">
      <c r="B1806" s="19" t="s">
        <v>1407</v>
      </c>
      <c r="C1806" s="20" t="s">
        <v>182</v>
      </c>
      <c r="D1806" s="21">
        <v>1</v>
      </c>
      <c r="E1806" s="22">
        <v>592000</v>
      </c>
    </row>
    <row r="1807" s="29" customFormat="1" ht="28" spans="2:5">
      <c r="B1807" s="19" t="s">
        <v>1407</v>
      </c>
      <c r="C1807" s="16" t="s">
        <v>183</v>
      </c>
      <c r="D1807" s="23">
        <v>1</v>
      </c>
      <c r="E1807" s="24">
        <v>592000</v>
      </c>
    </row>
    <row r="1808" s="29" customFormat="1" ht="41" spans="2:5">
      <c r="B1808" s="19" t="s">
        <v>1408</v>
      </c>
      <c r="C1808" s="20" t="s">
        <v>182</v>
      </c>
      <c r="D1808" s="21">
        <v>1</v>
      </c>
      <c r="E1808" s="22">
        <v>1344000</v>
      </c>
    </row>
    <row r="1809" s="29" customFormat="1" ht="28.75" spans="2:5">
      <c r="B1809" s="19" t="s">
        <v>1408</v>
      </c>
      <c r="C1809" s="16" t="s">
        <v>183</v>
      </c>
      <c r="D1809" s="23">
        <v>1</v>
      </c>
      <c r="E1809" s="24">
        <v>1344000</v>
      </c>
    </row>
    <row r="1810" s="29" customFormat="1" spans="2:5">
      <c r="B1810" s="25"/>
      <c r="C1810" s="25"/>
      <c r="D1810" s="25"/>
      <c r="E1810" s="25"/>
    </row>
    <row r="1811" s="29" customFormat="1" ht="36" spans="2:5">
      <c r="B1811" s="26" t="s">
        <v>189</v>
      </c>
      <c r="C1811" s="26" t="s">
        <v>189</v>
      </c>
      <c r="D1811" s="26" t="s">
        <v>189</v>
      </c>
      <c r="E1811" s="26" t="s">
        <v>189</v>
      </c>
    </row>
    <row r="1812" s="29" customFormat="1" spans="2:5">
      <c r="B1812" s="26"/>
      <c r="C1812" s="26"/>
      <c r="D1812" s="26"/>
      <c r="E1812" s="26"/>
    </row>
    <row r="1813" s="29" customFormat="1" ht="36" spans="2:5">
      <c r="B1813" s="26" t="s">
        <v>958</v>
      </c>
      <c r="C1813" s="26" t="s">
        <v>958</v>
      </c>
      <c r="D1813" s="26" t="s">
        <v>958</v>
      </c>
      <c r="E1813" s="26" t="s">
        <v>958</v>
      </c>
    </row>
    <row r="1814" s="29" customFormat="1" spans="2:5">
      <c r="B1814" s="26" t="s">
        <v>1409</v>
      </c>
      <c r="C1814" s="26" t="s">
        <v>1409</v>
      </c>
      <c r="D1814" s="26" t="s">
        <v>1409</v>
      </c>
      <c r="E1814" s="26" t="s">
        <v>1409</v>
      </c>
    </row>
    <row r="1815" s="29" customFormat="1" ht="124" spans="2:5">
      <c r="B1815" s="11" t="s">
        <v>173</v>
      </c>
      <c r="C1815" s="11" t="s">
        <v>173</v>
      </c>
      <c r="D1815" s="11" t="s">
        <v>173</v>
      </c>
      <c r="E1815" s="11" t="s">
        <v>173</v>
      </c>
    </row>
    <row r="1816" s="29" customFormat="1" ht="156" spans="2:5">
      <c r="B1816" s="12" t="s">
        <v>174</v>
      </c>
      <c r="C1816" s="12" t="s">
        <v>174</v>
      </c>
      <c r="D1816" s="12" t="s">
        <v>174</v>
      </c>
      <c r="E1816" s="12" t="s">
        <v>174</v>
      </c>
    </row>
    <row r="1817" s="29" customFormat="1" ht="68" spans="2:5">
      <c r="B1817" s="13" t="s">
        <v>1155</v>
      </c>
      <c r="C1817" s="13" t="s">
        <v>1155</v>
      </c>
      <c r="D1817" s="13" t="s">
        <v>1155</v>
      </c>
      <c r="E1817" s="13" t="s">
        <v>1155</v>
      </c>
    </row>
    <row r="1818" s="29" customFormat="1" ht="22" spans="2:5">
      <c r="B1818" s="14" t="s">
        <v>176</v>
      </c>
      <c r="C1818" s="14" t="s">
        <v>176</v>
      </c>
      <c r="D1818" s="14" t="s">
        <v>176</v>
      </c>
      <c r="E1818" s="14" t="s">
        <v>176</v>
      </c>
    </row>
    <row r="1819" s="29" customFormat="1" spans="2:5">
      <c r="B1819" s="15" t="s">
        <v>177</v>
      </c>
      <c r="C1819" s="16" t="s">
        <v>178</v>
      </c>
      <c r="D1819" s="17" t="s">
        <v>179</v>
      </c>
      <c r="E1819" s="18" t="s">
        <v>180</v>
      </c>
    </row>
    <row r="1820" s="29" customFormat="1" ht="41" spans="2:5">
      <c r="B1820" s="19" t="s">
        <v>1410</v>
      </c>
      <c r="C1820" s="20" t="s">
        <v>182</v>
      </c>
      <c r="D1820" s="21">
        <v>1</v>
      </c>
      <c r="E1820" s="22">
        <v>254000</v>
      </c>
    </row>
    <row r="1821" s="29" customFormat="1" ht="28" spans="2:5">
      <c r="B1821" s="19" t="s">
        <v>1410</v>
      </c>
      <c r="C1821" s="16" t="s">
        <v>183</v>
      </c>
      <c r="D1821" s="23">
        <v>1</v>
      </c>
      <c r="E1821" s="24">
        <v>254000</v>
      </c>
    </row>
    <row r="1822" s="29" customFormat="1" ht="41" spans="2:5">
      <c r="B1822" s="19" t="s">
        <v>1411</v>
      </c>
      <c r="C1822" s="20" t="s">
        <v>182</v>
      </c>
      <c r="D1822" s="21">
        <v>1</v>
      </c>
      <c r="E1822" s="22">
        <v>346500</v>
      </c>
    </row>
    <row r="1823" s="29" customFormat="1" ht="28" spans="2:5">
      <c r="B1823" s="19" t="s">
        <v>1411</v>
      </c>
      <c r="C1823" s="16" t="s">
        <v>183</v>
      </c>
      <c r="D1823" s="23">
        <v>1</v>
      </c>
      <c r="E1823" s="24">
        <v>346500</v>
      </c>
    </row>
    <row r="1824" s="29" customFormat="1" ht="41" spans="2:5">
      <c r="B1824" s="19" t="s">
        <v>1412</v>
      </c>
      <c r="C1824" s="20" t="s">
        <v>182</v>
      </c>
      <c r="D1824" s="21">
        <v>1</v>
      </c>
      <c r="E1824" s="22">
        <v>276500</v>
      </c>
    </row>
    <row r="1825" s="29" customFormat="1" ht="28" spans="2:5">
      <c r="B1825" s="19" t="s">
        <v>1412</v>
      </c>
      <c r="C1825" s="16" t="s">
        <v>183</v>
      </c>
      <c r="D1825" s="23">
        <v>1</v>
      </c>
      <c r="E1825" s="24">
        <v>276500</v>
      </c>
    </row>
    <row r="1826" s="29" customFormat="1" ht="41" spans="2:5">
      <c r="B1826" s="19" t="s">
        <v>1413</v>
      </c>
      <c r="C1826" s="20" t="s">
        <v>182</v>
      </c>
      <c r="D1826" s="21">
        <v>1</v>
      </c>
      <c r="E1826" s="22">
        <v>5275000</v>
      </c>
    </row>
    <row r="1827" s="29" customFormat="1" ht="28" spans="2:5">
      <c r="B1827" s="19" t="s">
        <v>1413</v>
      </c>
      <c r="C1827" s="16" t="s">
        <v>183</v>
      </c>
      <c r="D1827" s="23">
        <v>1</v>
      </c>
      <c r="E1827" s="24">
        <v>5275000</v>
      </c>
    </row>
    <row r="1828" s="29" customFormat="1" ht="41" spans="2:5">
      <c r="B1828" s="19" t="s">
        <v>1414</v>
      </c>
      <c r="C1828" s="20" t="s">
        <v>182</v>
      </c>
      <c r="D1828" s="21">
        <v>1</v>
      </c>
      <c r="E1828" s="22">
        <v>949000</v>
      </c>
    </row>
    <row r="1829" s="29" customFormat="1" ht="28" spans="2:5">
      <c r="B1829" s="19" t="s">
        <v>1414</v>
      </c>
      <c r="C1829" s="16" t="s">
        <v>183</v>
      </c>
      <c r="D1829" s="23">
        <v>1</v>
      </c>
      <c r="E1829" s="24">
        <v>949000</v>
      </c>
    </row>
    <row r="1830" s="29" customFormat="1" ht="41" spans="2:5">
      <c r="B1830" s="19" t="s">
        <v>1415</v>
      </c>
      <c r="C1830" s="20" t="s">
        <v>182</v>
      </c>
      <c r="D1830" s="21">
        <v>1</v>
      </c>
      <c r="E1830" s="22">
        <v>362470.27027</v>
      </c>
    </row>
    <row r="1831" s="29" customFormat="1" ht="41.75" spans="2:5">
      <c r="B1831" s="19" t="s">
        <v>1415</v>
      </c>
      <c r="C1831" s="16" t="s">
        <v>183</v>
      </c>
      <c r="D1831" s="23">
        <v>1</v>
      </c>
      <c r="E1831" s="24">
        <v>362470.27027</v>
      </c>
    </row>
    <row r="1832" s="29" customFormat="1" spans="2:5">
      <c r="B1832" s="25"/>
      <c r="C1832" s="25"/>
      <c r="D1832" s="25"/>
      <c r="E1832" s="25"/>
    </row>
    <row r="1833" s="29" customFormat="1" ht="36" spans="2:5">
      <c r="B1833" s="26" t="s">
        <v>189</v>
      </c>
      <c r="C1833" s="26" t="s">
        <v>189</v>
      </c>
      <c r="D1833" s="26" t="s">
        <v>189</v>
      </c>
      <c r="E1833" s="26" t="s">
        <v>189</v>
      </c>
    </row>
    <row r="1834" s="29" customFormat="1" spans="2:5">
      <c r="B1834" s="26"/>
      <c r="C1834" s="26"/>
      <c r="D1834" s="26"/>
      <c r="E1834" s="26"/>
    </row>
    <row r="1835" s="29" customFormat="1" ht="36" spans="2:5">
      <c r="B1835" s="26" t="s">
        <v>958</v>
      </c>
      <c r="C1835" s="26" t="s">
        <v>958</v>
      </c>
      <c r="D1835" s="26" t="s">
        <v>958</v>
      </c>
      <c r="E1835" s="26" t="s">
        <v>958</v>
      </c>
    </row>
    <row r="1836" s="29" customFormat="1" spans="2:5">
      <c r="B1836" s="26" t="s">
        <v>1416</v>
      </c>
      <c r="C1836" s="26" t="s">
        <v>1416</v>
      </c>
      <c r="D1836" s="26" t="s">
        <v>1416</v>
      </c>
      <c r="E1836" s="26" t="s">
        <v>1416</v>
      </c>
    </row>
    <row r="1837" s="29" customFormat="1" ht="124" spans="2:5">
      <c r="B1837" s="11" t="s">
        <v>173</v>
      </c>
      <c r="C1837" s="11" t="s">
        <v>173</v>
      </c>
      <c r="D1837" s="11" t="s">
        <v>173</v>
      </c>
      <c r="E1837" s="11" t="s">
        <v>173</v>
      </c>
    </row>
    <row r="1838" s="29" customFormat="1" ht="156" spans="2:5">
      <c r="B1838" s="12" t="s">
        <v>174</v>
      </c>
      <c r="C1838" s="12" t="s">
        <v>174</v>
      </c>
      <c r="D1838" s="12" t="s">
        <v>174</v>
      </c>
      <c r="E1838" s="12" t="s">
        <v>174</v>
      </c>
    </row>
    <row r="1839" s="29" customFormat="1" ht="68" spans="2:5">
      <c r="B1839" s="13" t="s">
        <v>1155</v>
      </c>
      <c r="C1839" s="13" t="s">
        <v>1155</v>
      </c>
      <c r="D1839" s="13" t="s">
        <v>1155</v>
      </c>
      <c r="E1839" s="13" t="s">
        <v>1155</v>
      </c>
    </row>
    <row r="1840" s="29" customFormat="1" ht="22" spans="2:5">
      <c r="B1840" s="14" t="s">
        <v>176</v>
      </c>
      <c r="C1840" s="14" t="s">
        <v>176</v>
      </c>
      <c r="D1840" s="14" t="s">
        <v>176</v>
      </c>
      <c r="E1840" s="14" t="s">
        <v>176</v>
      </c>
    </row>
    <row r="1841" s="29" customFormat="1" spans="2:5">
      <c r="B1841" s="15" t="s">
        <v>177</v>
      </c>
      <c r="C1841" s="16" t="s">
        <v>178</v>
      </c>
      <c r="D1841" s="17" t="s">
        <v>179</v>
      </c>
      <c r="E1841" s="18" t="s">
        <v>180</v>
      </c>
    </row>
    <row r="1842" s="29" customFormat="1" ht="41" spans="2:5">
      <c r="B1842" s="19" t="s">
        <v>1417</v>
      </c>
      <c r="C1842" s="20" t="s">
        <v>182</v>
      </c>
      <c r="D1842" s="21">
        <v>4</v>
      </c>
      <c r="E1842" s="22">
        <v>2700000</v>
      </c>
    </row>
    <row r="1843" s="29" customFormat="1" spans="2:5">
      <c r="B1843" s="19" t="s">
        <v>1417</v>
      </c>
      <c r="C1843" s="16" t="s">
        <v>183</v>
      </c>
      <c r="D1843" s="23">
        <v>4</v>
      </c>
      <c r="E1843" s="24">
        <v>2700000</v>
      </c>
    </row>
    <row r="1844" s="29" customFormat="1" ht="41" spans="2:5">
      <c r="B1844" s="19" t="s">
        <v>1418</v>
      </c>
      <c r="C1844" s="20" t="s">
        <v>182</v>
      </c>
      <c r="D1844" s="21">
        <v>1</v>
      </c>
      <c r="E1844" s="22">
        <v>851000</v>
      </c>
    </row>
    <row r="1845" s="29" customFormat="1" ht="28" spans="2:5">
      <c r="B1845" s="19" t="s">
        <v>1418</v>
      </c>
      <c r="C1845" s="16" t="s">
        <v>183</v>
      </c>
      <c r="D1845" s="23">
        <v>1</v>
      </c>
      <c r="E1845" s="24">
        <v>851000</v>
      </c>
    </row>
    <row r="1846" s="29" customFormat="1" ht="41" spans="2:5">
      <c r="B1846" s="19" t="s">
        <v>1419</v>
      </c>
      <c r="C1846" s="20" t="s">
        <v>182</v>
      </c>
      <c r="D1846" s="21">
        <v>1</v>
      </c>
      <c r="E1846" s="22">
        <v>1243000</v>
      </c>
    </row>
    <row r="1847" s="29" customFormat="1" ht="28" spans="2:5">
      <c r="B1847" s="19" t="s">
        <v>1419</v>
      </c>
      <c r="C1847" s="16" t="s">
        <v>183</v>
      </c>
      <c r="D1847" s="23">
        <v>1</v>
      </c>
      <c r="E1847" s="24">
        <v>1243000</v>
      </c>
    </row>
    <row r="1848" s="29" customFormat="1" ht="41" spans="2:5">
      <c r="B1848" s="19" t="s">
        <v>1420</v>
      </c>
      <c r="C1848" s="20" t="s">
        <v>182</v>
      </c>
      <c r="D1848" s="21">
        <v>1</v>
      </c>
      <c r="E1848" s="22">
        <v>97718.918919</v>
      </c>
    </row>
    <row r="1849" s="29" customFormat="1" ht="28" spans="2:5">
      <c r="B1849" s="19" t="s">
        <v>1420</v>
      </c>
      <c r="C1849" s="16" t="s">
        <v>183</v>
      </c>
      <c r="D1849" s="23">
        <v>1</v>
      </c>
      <c r="E1849" s="24">
        <v>97718.918919</v>
      </c>
    </row>
    <row r="1850" s="29" customFormat="1" ht="41" spans="2:5">
      <c r="B1850" s="19" t="s">
        <v>1421</v>
      </c>
      <c r="C1850" s="20" t="s">
        <v>182</v>
      </c>
      <c r="D1850" s="21">
        <v>1</v>
      </c>
      <c r="E1850" s="22">
        <v>412465.765766</v>
      </c>
    </row>
    <row r="1851" s="29" customFormat="1" ht="28" spans="2:5">
      <c r="B1851" s="19" t="s">
        <v>1421</v>
      </c>
      <c r="C1851" s="16" t="s">
        <v>183</v>
      </c>
      <c r="D1851" s="23">
        <v>1</v>
      </c>
      <c r="E1851" s="24">
        <v>412465.765766</v>
      </c>
    </row>
    <row r="1852" s="29" customFormat="1" ht="41" spans="2:5">
      <c r="B1852" s="19" t="s">
        <v>946</v>
      </c>
      <c r="C1852" s="20" t="s">
        <v>182</v>
      </c>
      <c r="D1852" s="21">
        <v>2</v>
      </c>
      <c r="E1852" s="22">
        <v>366441.441442</v>
      </c>
    </row>
    <row r="1853" s="29" customFormat="1" ht="28" spans="2:5">
      <c r="B1853" s="19" t="s">
        <v>946</v>
      </c>
      <c r="C1853" s="20" t="s">
        <v>804</v>
      </c>
      <c r="D1853" s="21">
        <v>3</v>
      </c>
      <c r="E1853" s="22">
        <v>549662.162163</v>
      </c>
    </row>
    <row r="1854" s="29" customFormat="1" ht="28.75" spans="2:5">
      <c r="B1854" s="19" t="s">
        <v>946</v>
      </c>
      <c r="C1854" s="16" t="s">
        <v>183</v>
      </c>
      <c r="D1854" s="23">
        <v>5</v>
      </c>
      <c r="E1854" s="24">
        <v>916103.603605</v>
      </c>
    </row>
    <row r="1855" s="29" customFormat="1" spans="2:5">
      <c r="B1855" s="25"/>
      <c r="C1855" s="25"/>
      <c r="D1855" s="25"/>
      <c r="E1855" s="25"/>
    </row>
    <row r="1856" s="29" customFormat="1" ht="36" spans="2:5">
      <c r="B1856" s="26" t="s">
        <v>189</v>
      </c>
      <c r="C1856" s="26" t="s">
        <v>189</v>
      </c>
      <c r="D1856" s="26" t="s">
        <v>189</v>
      </c>
      <c r="E1856" s="26" t="s">
        <v>189</v>
      </c>
    </row>
    <row r="1857" s="29" customFormat="1" spans="2:5">
      <c r="B1857" s="26"/>
      <c r="C1857" s="26"/>
      <c r="D1857" s="26"/>
      <c r="E1857" s="26"/>
    </row>
    <row r="1858" s="29" customFormat="1" ht="36" spans="2:5">
      <c r="B1858" s="26" t="s">
        <v>958</v>
      </c>
      <c r="C1858" s="26" t="s">
        <v>958</v>
      </c>
      <c r="D1858" s="26" t="s">
        <v>958</v>
      </c>
      <c r="E1858" s="26" t="s">
        <v>958</v>
      </c>
    </row>
    <row r="1859" s="29" customFormat="1" spans="2:5">
      <c r="B1859" s="26" t="s">
        <v>1422</v>
      </c>
      <c r="C1859" s="26" t="s">
        <v>1422</v>
      </c>
      <c r="D1859" s="26" t="s">
        <v>1422</v>
      </c>
      <c r="E1859" s="26" t="s">
        <v>1422</v>
      </c>
    </row>
    <row r="1860" s="29" customFormat="1" ht="124" spans="2:5">
      <c r="B1860" s="11" t="s">
        <v>173</v>
      </c>
      <c r="C1860" s="11" t="s">
        <v>173</v>
      </c>
      <c r="D1860" s="11" t="s">
        <v>173</v>
      </c>
      <c r="E1860" s="11" t="s">
        <v>173</v>
      </c>
    </row>
    <row r="1861" s="29" customFormat="1" ht="156" spans="2:5">
      <c r="B1861" s="12" t="s">
        <v>174</v>
      </c>
      <c r="C1861" s="12" t="s">
        <v>174</v>
      </c>
      <c r="D1861" s="12" t="s">
        <v>174</v>
      </c>
      <c r="E1861" s="12" t="s">
        <v>174</v>
      </c>
    </row>
    <row r="1862" s="29" customFormat="1" ht="68" spans="2:5">
      <c r="B1862" s="13" t="s">
        <v>1155</v>
      </c>
      <c r="C1862" s="13" t="s">
        <v>1155</v>
      </c>
      <c r="D1862" s="13" t="s">
        <v>1155</v>
      </c>
      <c r="E1862" s="13" t="s">
        <v>1155</v>
      </c>
    </row>
    <row r="1863" s="29" customFormat="1" ht="22" spans="2:5">
      <c r="B1863" s="14" t="s">
        <v>176</v>
      </c>
      <c r="C1863" s="14" t="s">
        <v>176</v>
      </c>
      <c r="D1863" s="14" t="s">
        <v>176</v>
      </c>
      <c r="E1863" s="14" t="s">
        <v>176</v>
      </c>
    </row>
    <row r="1864" s="29" customFormat="1" spans="2:5">
      <c r="B1864" s="15" t="s">
        <v>177</v>
      </c>
      <c r="C1864" s="16" t="s">
        <v>178</v>
      </c>
      <c r="D1864" s="17" t="s">
        <v>179</v>
      </c>
      <c r="E1864" s="18" t="s">
        <v>180</v>
      </c>
    </row>
    <row r="1865" s="29" customFormat="1" ht="28" spans="2:5">
      <c r="B1865" s="19" t="s">
        <v>1423</v>
      </c>
      <c r="C1865" s="20" t="s">
        <v>804</v>
      </c>
      <c r="D1865" s="21">
        <v>2</v>
      </c>
      <c r="E1865" s="22">
        <v>700000</v>
      </c>
    </row>
    <row r="1866" s="29" customFormat="1" spans="2:5">
      <c r="B1866" s="19" t="s">
        <v>1423</v>
      </c>
      <c r="C1866" s="16" t="s">
        <v>183</v>
      </c>
      <c r="D1866" s="23">
        <v>2</v>
      </c>
      <c r="E1866" s="24">
        <v>700000</v>
      </c>
    </row>
    <row r="1867" s="29" customFormat="1" ht="17.55" spans="2:5">
      <c r="B1867" s="28" t="s">
        <v>341</v>
      </c>
      <c r="C1867" s="28" t="s">
        <v>341</v>
      </c>
      <c r="D1867" s="23">
        <v>5342</v>
      </c>
      <c r="E1867" s="24">
        <v>454201172.315099</v>
      </c>
    </row>
    <row r="1868" s="29" customFormat="1" spans="2:5">
      <c r="B1868" s="25"/>
      <c r="C1868" s="25"/>
      <c r="D1868" s="25"/>
      <c r="E1868" s="25"/>
    </row>
    <row r="1869" s="29" customFormat="1" ht="36" spans="2:5">
      <c r="B1869" s="26" t="s">
        <v>189</v>
      </c>
      <c r="C1869" s="26" t="s">
        <v>189</v>
      </c>
      <c r="D1869" s="26" t="s">
        <v>189</v>
      </c>
      <c r="E1869" s="26" t="s">
        <v>189</v>
      </c>
    </row>
    <row r="1870" s="29" customFormat="1" spans="2:5">
      <c r="B1870" s="26"/>
      <c r="C1870" s="26"/>
      <c r="D1870" s="26"/>
      <c r="E1870" s="26"/>
    </row>
    <row r="1871" s="29" customFormat="1" ht="36" spans="2:5">
      <c r="B1871" s="26" t="s">
        <v>958</v>
      </c>
      <c r="C1871" s="26" t="s">
        <v>958</v>
      </c>
      <c r="D1871" s="26" t="s">
        <v>958</v>
      </c>
      <c r="E1871" s="26" t="s">
        <v>958</v>
      </c>
    </row>
    <row r="1872" s="29" customFormat="1" spans="2:5">
      <c r="B1872" s="26" t="s">
        <v>1424</v>
      </c>
      <c r="C1872" s="26" t="s">
        <v>1424</v>
      </c>
      <c r="D1872" s="26" t="s">
        <v>1424</v>
      </c>
      <c r="E1872" s="26" t="s">
        <v>1424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8"/>
  <sheetViews>
    <sheetView workbookViewId="0">
      <selection activeCell="B4" sqref="B4:B925"/>
    </sheetView>
  </sheetViews>
  <sheetFormatPr defaultColWidth="8.63392857142857" defaultRowHeight="16.8" outlineLevelCol="4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16384" width="8.63392857142857" style="29"/>
  </cols>
  <sheetData>
    <row r="1" s="29" customFormat="1" ht="124" spans="1:5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</row>
    <row r="2" s="29" customFormat="1" ht="156" spans="1:5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</row>
    <row r="3" s="29" customFormat="1" ht="68" spans="1:5">
      <c r="A3" s="30" t="s">
        <v>172</v>
      </c>
      <c r="B3" s="13" t="s">
        <v>1425</v>
      </c>
      <c r="C3" s="13" t="s">
        <v>1425</v>
      </c>
      <c r="D3" s="13" t="s">
        <v>1425</v>
      </c>
      <c r="E3" s="13" t="s">
        <v>1425</v>
      </c>
    </row>
    <row r="4" s="29" customFormat="1" ht="22" spans="1:5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</row>
    <row r="5" s="29" customFormat="1" spans="1:5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</row>
    <row r="6" s="29" customFormat="1" ht="41" spans="1:5">
      <c r="A6" s="30" t="s">
        <v>172</v>
      </c>
      <c r="B6" s="19" t="s">
        <v>1426</v>
      </c>
      <c r="C6" s="20" t="s">
        <v>182</v>
      </c>
      <c r="D6" s="21">
        <v>1</v>
      </c>
      <c r="E6" s="22">
        <v>288000</v>
      </c>
    </row>
    <row r="7" s="29" customFormat="1" ht="28" spans="1:5">
      <c r="A7" s="30" t="s">
        <v>172</v>
      </c>
      <c r="B7" s="19" t="s">
        <v>1426</v>
      </c>
      <c r="C7" s="16" t="s">
        <v>183</v>
      </c>
      <c r="D7" s="23">
        <v>1</v>
      </c>
      <c r="E7" s="24">
        <v>288000</v>
      </c>
    </row>
    <row r="8" s="29" customFormat="1" ht="41" spans="1:5">
      <c r="A8" s="30" t="s">
        <v>172</v>
      </c>
      <c r="B8" s="19" t="s">
        <v>1427</v>
      </c>
      <c r="C8" s="20" t="s">
        <v>182</v>
      </c>
      <c r="D8" s="21">
        <v>1</v>
      </c>
      <c r="E8" s="22">
        <v>250000</v>
      </c>
    </row>
    <row r="9" s="29" customFormat="1" ht="28" spans="1:5">
      <c r="A9" s="30" t="s">
        <v>172</v>
      </c>
      <c r="B9" s="19" t="s">
        <v>1427</v>
      </c>
      <c r="C9" s="16" t="s">
        <v>183</v>
      </c>
      <c r="D9" s="23">
        <v>1</v>
      </c>
      <c r="E9" s="24">
        <v>250000</v>
      </c>
    </row>
    <row r="10" s="29" customFormat="1" ht="41" spans="1:5">
      <c r="A10" s="30" t="s">
        <v>172</v>
      </c>
      <c r="B10" s="19" t="s">
        <v>1428</v>
      </c>
      <c r="C10" s="20" t="s">
        <v>182</v>
      </c>
      <c r="D10" s="21">
        <v>1</v>
      </c>
      <c r="E10" s="22">
        <v>308000</v>
      </c>
    </row>
    <row r="11" s="29" customFormat="1" spans="1:5">
      <c r="A11" s="30" t="s">
        <v>172</v>
      </c>
      <c r="B11" s="19" t="s">
        <v>1428</v>
      </c>
      <c r="C11" s="16" t="s">
        <v>183</v>
      </c>
      <c r="D11" s="23">
        <v>1</v>
      </c>
      <c r="E11" s="24">
        <v>308000</v>
      </c>
    </row>
    <row r="12" s="29" customFormat="1" ht="41" spans="1:5">
      <c r="A12" s="30" t="s">
        <v>172</v>
      </c>
      <c r="B12" s="19" t="s">
        <v>1429</v>
      </c>
      <c r="C12" s="20" t="s">
        <v>182</v>
      </c>
      <c r="D12" s="21">
        <v>1</v>
      </c>
      <c r="E12" s="22">
        <v>300000</v>
      </c>
    </row>
    <row r="13" s="29" customFormat="1" ht="28" spans="1:5">
      <c r="A13" s="30" t="s">
        <v>172</v>
      </c>
      <c r="B13" s="19" t="s">
        <v>1429</v>
      </c>
      <c r="C13" s="16" t="s">
        <v>183</v>
      </c>
      <c r="D13" s="23">
        <v>1</v>
      </c>
      <c r="E13" s="24">
        <v>300000</v>
      </c>
    </row>
    <row r="14" s="29" customFormat="1" ht="41" spans="1:5">
      <c r="A14" s="30" t="s">
        <v>172</v>
      </c>
      <c r="B14" s="19" t="s">
        <v>1430</v>
      </c>
      <c r="C14" s="20" t="s">
        <v>182</v>
      </c>
      <c r="D14" s="21">
        <v>1</v>
      </c>
      <c r="E14" s="22">
        <v>300000</v>
      </c>
    </row>
    <row r="15" s="29" customFormat="1" ht="28" spans="1:5">
      <c r="A15" s="30" t="s">
        <v>172</v>
      </c>
      <c r="B15" s="19" t="s">
        <v>1430</v>
      </c>
      <c r="C15" s="16" t="s">
        <v>183</v>
      </c>
      <c r="D15" s="23">
        <v>1</v>
      </c>
      <c r="E15" s="24">
        <v>300000</v>
      </c>
    </row>
    <row r="16" s="29" customFormat="1" ht="28" spans="1:5">
      <c r="A16" s="30" t="s">
        <v>172</v>
      </c>
      <c r="B16" s="19" t="s">
        <v>1431</v>
      </c>
      <c r="C16" s="20" t="s">
        <v>804</v>
      </c>
      <c r="D16" s="21">
        <v>1</v>
      </c>
      <c r="E16" s="22">
        <v>750000</v>
      </c>
    </row>
    <row r="17" s="29" customFormat="1" ht="28" spans="1:5">
      <c r="A17" s="30" t="s">
        <v>172</v>
      </c>
      <c r="B17" s="19" t="s">
        <v>1431</v>
      </c>
      <c r="C17" s="16" t="s">
        <v>183</v>
      </c>
      <c r="D17" s="23">
        <v>1</v>
      </c>
      <c r="E17" s="24">
        <v>750000</v>
      </c>
    </row>
    <row r="18" s="29" customFormat="1" ht="41" spans="1:5">
      <c r="A18" s="30" t="s">
        <v>172</v>
      </c>
      <c r="B18" s="19" t="s">
        <v>1432</v>
      </c>
      <c r="C18" s="20" t="s">
        <v>182</v>
      </c>
      <c r="D18" s="21">
        <v>1</v>
      </c>
      <c r="E18" s="22">
        <v>0</v>
      </c>
    </row>
    <row r="19" s="29" customFormat="1" ht="28.75" spans="1:5">
      <c r="A19" s="30" t="s">
        <v>172</v>
      </c>
      <c r="B19" s="19" t="s">
        <v>1432</v>
      </c>
      <c r="C19" s="16" t="s">
        <v>183</v>
      </c>
      <c r="D19" s="23">
        <v>1</v>
      </c>
      <c r="E19" s="24">
        <v>0</v>
      </c>
    </row>
    <row r="20" s="29" customFormat="1" spans="1:5">
      <c r="A20" s="30" t="s">
        <v>172</v>
      </c>
      <c r="B20" s="25"/>
      <c r="C20" s="25"/>
      <c r="D20" s="25"/>
      <c r="E20" s="25"/>
    </row>
    <row r="21" s="29" customFormat="1" ht="36" spans="1:5">
      <c r="A21" s="30" t="s">
        <v>172</v>
      </c>
      <c r="B21" s="26" t="s">
        <v>189</v>
      </c>
      <c r="C21" s="26" t="s">
        <v>189</v>
      </c>
      <c r="D21" s="26" t="s">
        <v>189</v>
      </c>
      <c r="E21" s="26" t="s">
        <v>189</v>
      </c>
    </row>
    <row r="22" s="29" customFormat="1" spans="1:5">
      <c r="A22" s="30" t="s">
        <v>172</v>
      </c>
      <c r="B22" s="26"/>
      <c r="C22" s="26"/>
      <c r="D22" s="26"/>
      <c r="E22" s="26"/>
    </row>
    <row r="23" s="29" customFormat="1" ht="36" spans="1:5">
      <c r="A23" s="30" t="s">
        <v>172</v>
      </c>
      <c r="B23" s="26" t="s">
        <v>1433</v>
      </c>
      <c r="C23" s="26" t="s">
        <v>1433</v>
      </c>
      <c r="D23" s="26" t="s">
        <v>1433</v>
      </c>
      <c r="E23" s="26" t="s">
        <v>1433</v>
      </c>
    </row>
    <row r="24" s="29" customFormat="1" spans="1:5">
      <c r="A24" s="30" t="s">
        <v>172</v>
      </c>
      <c r="B24" s="26" t="s">
        <v>191</v>
      </c>
      <c r="C24" s="26" t="s">
        <v>191</v>
      </c>
      <c r="D24" s="26" t="s">
        <v>191</v>
      </c>
      <c r="E24" s="26" t="s">
        <v>191</v>
      </c>
    </row>
    <row r="25" s="29" customFormat="1" ht="124" spans="1:5">
      <c r="A25" s="30" t="s">
        <v>172</v>
      </c>
      <c r="B25" s="11" t="s">
        <v>173</v>
      </c>
      <c r="C25" s="11" t="s">
        <v>173</v>
      </c>
      <c r="D25" s="11" t="s">
        <v>173</v>
      </c>
      <c r="E25" s="11" t="s">
        <v>173</v>
      </c>
    </row>
    <row r="26" s="29" customFormat="1" ht="156" spans="1:5">
      <c r="A26" s="30" t="s">
        <v>172</v>
      </c>
      <c r="B26" s="12" t="s">
        <v>174</v>
      </c>
      <c r="C26" s="12" t="s">
        <v>174</v>
      </c>
      <c r="D26" s="12" t="s">
        <v>174</v>
      </c>
      <c r="E26" s="12" t="s">
        <v>174</v>
      </c>
    </row>
    <row r="27" s="29" customFormat="1" ht="68" spans="1:5">
      <c r="A27" s="30" t="s">
        <v>172</v>
      </c>
      <c r="B27" s="13" t="s">
        <v>1425</v>
      </c>
      <c r="C27" s="13" t="s">
        <v>1425</v>
      </c>
      <c r="D27" s="13" t="s">
        <v>1425</v>
      </c>
      <c r="E27" s="13" t="s">
        <v>1425</v>
      </c>
    </row>
    <row r="28" s="29" customFormat="1" ht="22" spans="1:5">
      <c r="A28" s="30" t="s">
        <v>172</v>
      </c>
      <c r="B28" s="14" t="s">
        <v>176</v>
      </c>
      <c r="C28" s="14" t="s">
        <v>176</v>
      </c>
      <c r="D28" s="14" t="s">
        <v>176</v>
      </c>
      <c r="E28" s="14" t="s">
        <v>176</v>
      </c>
    </row>
    <row r="29" s="29" customFormat="1" spans="1:5">
      <c r="A29" s="30" t="s">
        <v>172</v>
      </c>
      <c r="B29" s="15" t="s">
        <v>177</v>
      </c>
      <c r="C29" s="16" t="s">
        <v>178</v>
      </c>
      <c r="D29" s="17" t="s">
        <v>179</v>
      </c>
      <c r="E29" s="18" t="s">
        <v>180</v>
      </c>
    </row>
    <row r="30" s="29" customFormat="1" ht="28" spans="1:5">
      <c r="A30" s="30" t="s">
        <v>172</v>
      </c>
      <c r="B30" s="19" t="s">
        <v>1434</v>
      </c>
      <c r="C30" s="20" t="s">
        <v>804</v>
      </c>
      <c r="D30" s="21">
        <v>1</v>
      </c>
      <c r="E30" s="22">
        <v>0</v>
      </c>
    </row>
    <row r="31" s="29" customFormat="1" spans="1:5">
      <c r="A31" s="30" t="s">
        <v>172</v>
      </c>
      <c r="B31" s="19" t="s">
        <v>1434</v>
      </c>
      <c r="C31" s="16" t="s">
        <v>183</v>
      </c>
      <c r="D31" s="23">
        <v>1</v>
      </c>
      <c r="E31" s="24">
        <v>0</v>
      </c>
    </row>
    <row r="32" s="29" customFormat="1" ht="28" spans="1:5">
      <c r="A32" s="30" t="s">
        <v>172</v>
      </c>
      <c r="B32" s="19" t="s">
        <v>803</v>
      </c>
      <c r="C32" s="20" t="s">
        <v>804</v>
      </c>
      <c r="D32" s="21">
        <v>4</v>
      </c>
      <c r="E32" s="22">
        <v>0</v>
      </c>
    </row>
    <row r="33" s="29" customFormat="1" spans="1:5">
      <c r="A33" s="30" t="s">
        <v>172</v>
      </c>
      <c r="B33" s="19" t="s">
        <v>803</v>
      </c>
      <c r="C33" s="16" t="s">
        <v>183</v>
      </c>
      <c r="D33" s="23">
        <v>4</v>
      </c>
      <c r="E33" s="24">
        <v>0</v>
      </c>
    </row>
    <row r="34" s="29" customFormat="1" ht="28" spans="1:5">
      <c r="A34" s="30" t="s">
        <v>172</v>
      </c>
      <c r="B34" s="19" t="s">
        <v>1435</v>
      </c>
      <c r="C34" s="20" t="s">
        <v>804</v>
      </c>
      <c r="D34" s="21">
        <v>2</v>
      </c>
      <c r="E34" s="22">
        <v>522522.522523</v>
      </c>
    </row>
    <row r="35" s="29" customFormat="1" spans="1:5">
      <c r="A35" s="30" t="s">
        <v>172</v>
      </c>
      <c r="B35" s="19" t="s">
        <v>1435</v>
      </c>
      <c r="C35" s="16" t="s">
        <v>183</v>
      </c>
      <c r="D35" s="23">
        <v>2</v>
      </c>
      <c r="E35" s="24">
        <v>522522.522523</v>
      </c>
    </row>
    <row r="36" s="29" customFormat="1" ht="28" spans="1:5">
      <c r="A36" s="30" t="s">
        <v>172</v>
      </c>
      <c r="B36" s="19" t="s">
        <v>1436</v>
      </c>
      <c r="C36" s="20" t="s">
        <v>804</v>
      </c>
      <c r="D36" s="21">
        <v>2</v>
      </c>
      <c r="E36" s="22">
        <v>288288.288288</v>
      </c>
    </row>
    <row r="37" s="29" customFormat="1" ht="28" spans="1:5">
      <c r="A37" s="30" t="s">
        <v>172</v>
      </c>
      <c r="B37" s="19" t="s">
        <v>1436</v>
      </c>
      <c r="C37" s="16" t="s">
        <v>183</v>
      </c>
      <c r="D37" s="23">
        <v>2</v>
      </c>
      <c r="E37" s="24">
        <v>288288.288288</v>
      </c>
    </row>
    <row r="38" s="29" customFormat="1" ht="41" spans="1:5">
      <c r="A38" s="30" t="s">
        <v>172</v>
      </c>
      <c r="B38" s="19" t="s">
        <v>1163</v>
      </c>
      <c r="C38" s="20" t="s">
        <v>182</v>
      </c>
      <c r="D38" s="21">
        <v>1</v>
      </c>
      <c r="E38" s="22">
        <v>45000</v>
      </c>
    </row>
    <row r="39" s="29" customFormat="1" spans="1:5">
      <c r="A39" s="30" t="s">
        <v>172</v>
      </c>
      <c r="B39" s="19" t="s">
        <v>1163</v>
      </c>
      <c r="C39" s="16" t="s">
        <v>183</v>
      </c>
      <c r="D39" s="23">
        <v>1</v>
      </c>
      <c r="E39" s="24">
        <v>45000</v>
      </c>
    </row>
    <row r="40" s="29" customFormat="1" ht="41" spans="1:5">
      <c r="A40" s="30" t="s">
        <v>172</v>
      </c>
      <c r="B40" s="19" t="s">
        <v>1437</v>
      </c>
      <c r="C40" s="20" t="s">
        <v>182</v>
      </c>
      <c r="D40" s="21">
        <v>1</v>
      </c>
      <c r="E40" s="22">
        <v>870000</v>
      </c>
    </row>
    <row r="41" s="29" customFormat="1" spans="1:5">
      <c r="A41" s="30" t="s">
        <v>172</v>
      </c>
      <c r="B41" s="19" t="s">
        <v>1437</v>
      </c>
      <c r="C41" s="16" t="s">
        <v>183</v>
      </c>
      <c r="D41" s="23">
        <v>1</v>
      </c>
      <c r="E41" s="24">
        <v>870000</v>
      </c>
    </row>
    <row r="42" s="29" customFormat="1" ht="41" spans="1:5">
      <c r="A42" s="30" t="s">
        <v>172</v>
      </c>
      <c r="B42" s="19" t="s">
        <v>1438</v>
      </c>
      <c r="C42" s="20" t="s">
        <v>182</v>
      </c>
      <c r="D42" s="21">
        <v>1</v>
      </c>
      <c r="E42" s="22">
        <v>293693.693694</v>
      </c>
    </row>
    <row r="43" s="29" customFormat="1" ht="28.75" spans="1:5">
      <c r="A43" s="30" t="s">
        <v>172</v>
      </c>
      <c r="B43" s="19" t="s">
        <v>1438</v>
      </c>
      <c r="C43" s="16" t="s">
        <v>183</v>
      </c>
      <c r="D43" s="23">
        <v>1</v>
      </c>
      <c r="E43" s="24">
        <v>293693.693694</v>
      </c>
    </row>
    <row r="44" s="29" customFormat="1" spans="1:5">
      <c r="A44" s="30" t="s">
        <v>172</v>
      </c>
      <c r="B44" s="25"/>
      <c r="C44" s="25"/>
      <c r="D44" s="25"/>
      <c r="E44" s="25"/>
    </row>
    <row r="45" s="29" customFormat="1" ht="36" spans="1:5">
      <c r="A45" s="30" t="s">
        <v>172</v>
      </c>
      <c r="B45" s="26" t="s">
        <v>189</v>
      </c>
      <c r="C45" s="26" t="s">
        <v>189</v>
      </c>
      <c r="D45" s="26" t="s">
        <v>189</v>
      </c>
      <c r="E45" s="26" t="s">
        <v>189</v>
      </c>
    </row>
    <row r="46" s="29" customFormat="1" spans="1:5">
      <c r="A46" s="30" t="s">
        <v>172</v>
      </c>
      <c r="B46" s="26"/>
      <c r="C46" s="26"/>
      <c r="D46" s="26"/>
      <c r="E46" s="26"/>
    </row>
    <row r="47" s="29" customFormat="1" ht="36" spans="1:5">
      <c r="A47" s="30" t="s">
        <v>172</v>
      </c>
      <c r="B47" s="26" t="s">
        <v>1433</v>
      </c>
      <c r="C47" s="26" t="s">
        <v>1433</v>
      </c>
      <c r="D47" s="26" t="s">
        <v>1433</v>
      </c>
      <c r="E47" s="26" t="s">
        <v>1433</v>
      </c>
    </row>
    <row r="48" s="29" customFormat="1" spans="1:5">
      <c r="A48" s="30" t="s">
        <v>172</v>
      </c>
      <c r="B48" s="26" t="s">
        <v>198</v>
      </c>
      <c r="C48" s="26" t="s">
        <v>198</v>
      </c>
      <c r="D48" s="26" t="s">
        <v>198</v>
      </c>
      <c r="E48" s="26" t="s">
        <v>198</v>
      </c>
    </row>
    <row r="49" s="29" customFormat="1" ht="124" spans="1:5">
      <c r="A49" s="30" t="s">
        <v>172</v>
      </c>
      <c r="B49" s="11" t="s">
        <v>173</v>
      </c>
      <c r="C49" s="11" t="s">
        <v>173</v>
      </c>
      <c r="D49" s="11" t="s">
        <v>173</v>
      </c>
      <c r="E49" s="11" t="s">
        <v>173</v>
      </c>
    </row>
    <row r="50" s="29" customFormat="1" ht="156" spans="1:5">
      <c r="A50" s="30" t="s">
        <v>172</v>
      </c>
      <c r="B50" s="12" t="s">
        <v>174</v>
      </c>
      <c r="C50" s="12" t="s">
        <v>174</v>
      </c>
      <c r="D50" s="12" t="s">
        <v>174</v>
      </c>
      <c r="E50" s="12" t="s">
        <v>174</v>
      </c>
    </row>
    <row r="51" s="29" customFormat="1" ht="68" spans="1:5">
      <c r="B51" s="13" t="s">
        <v>1425</v>
      </c>
      <c r="C51" s="13" t="s">
        <v>1425</v>
      </c>
      <c r="D51" s="13" t="s">
        <v>1425</v>
      </c>
      <c r="E51" s="13" t="s">
        <v>1425</v>
      </c>
    </row>
    <row r="52" s="29" customFormat="1" ht="22" spans="1:5">
      <c r="B52" s="14" t="s">
        <v>176</v>
      </c>
      <c r="C52" s="14" t="s">
        <v>176</v>
      </c>
      <c r="D52" s="14" t="s">
        <v>176</v>
      </c>
      <c r="E52" s="14" t="s">
        <v>176</v>
      </c>
    </row>
    <row r="53" s="29" customFormat="1" spans="1:5">
      <c r="B53" s="15" t="s">
        <v>177</v>
      </c>
      <c r="C53" s="16" t="s">
        <v>178</v>
      </c>
      <c r="D53" s="17" t="s">
        <v>179</v>
      </c>
      <c r="E53" s="18" t="s">
        <v>180</v>
      </c>
    </row>
    <row r="54" s="29" customFormat="1" ht="28" spans="1:5">
      <c r="B54" s="19" t="s">
        <v>1172</v>
      </c>
      <c r="C54" s="20" t="s">
        <v>804</v>
      </c>
      <c r="D54" s="21">
        <v>1</v>
      </c>
      <c r="E54" s="22">
        <v>392792.792793</v>
      </c>
    </row>
    <row r="55" s="29" customFormat="1" ht="28" spans="1:5">
      <c r="B55" s="19" t="s">
        <v>1172</v>
      </c>
      <c r="C55" s="16" t="s">
        <v>183</v>
      </c>
      <c r="D55" s="23">
        <v>1</v>
      </c>
      <c r="E55" s="24">
        <v>392792.792793</v>
      </c>
    </row>
    <row r="56" s="29" customFormat="1" ht="28" spans="1:5">
      <c r="B56" s="19" t="s">
        <v>1439</v>
      </c>
      <c r="C56" s="20" t="s">
        <v>804</v>
      </c>
      <c r="D56" s="21">
        <v>1</v>
      </c>
      <c r="E56" s="22">
        <v>232432.432432</v>
      </c>
    </row>
    <row r="57" s="29" customFormat="1" spans="1:5">
      <c r="B57" s="19" t="s">
        <v>1439</v>
      </c>
      <c r="C57" s="16" t="s">
        <v>183</v>
      </c>
      <c r="D57" s="23">
        <v>1</v>
      </c>
      <c r="E57" s="24">
        <v>232432.432432</v>
      </c>
    </row>
    <row r="58" s="29" customFormat="1" ht="41" spans="1:5">
      <c r="B58" s="19" t="s">
        <v>1440</v>
      </c>
      <c r="C58" s="20" t="s">
        <v>182</v>
      </c>
      <c r="D58" s="21">
        <v>2</v>
      </c>
      <c r="E58" s="22">
        <v>798198.198198</v>
      </c>
    </row>
    <row r="59" s="29" customFormat="1" spans="1:5">
      <c r="B59" s="19" t="s">
        <v>1440</v>
      </c>
      <c r="C59" s="16" t="s">
        <v>183</v>
      </c>
      <c r="D59" s="23">
        <v>2</v>
      </c>
      <c r="E59" s="24">
        <v>798198.198198</v>
      </c>
    </row>
    <row r="60" s="29" customFormat="1" ht="41" spans="1:5">
      <c r="B60" s="19" t="s">
        <v>1441</v>
      </c>
      <c r="C60" s="20" t="s">
        <v>182</v>
      </c>
      <c r="D60" s="21">
        <v>1</v>
      </c>
      <c r="E60" s="22">
        <v>529729.72973</v>
      </c>
    </row>
    <row r="61" s="29" customFormat="1" spans="1:5">
      <c r="B61" s="19" t="s">
        <v>1441</v>
      </c>
      <c r="C61" s="16" t="s">
        <v>183</v>
      </c>
      <c r="D61" s="23">
        <v>1</v>
      </c>
      <c r="E61" s="24">
        <v>529729.72973</v>
      </c>
    </row>
    <row r="62" s="29" customFormat="1" ht="41" spans="1:5">
      <c r="B62" s="19" t="s">
        <v>1442</v>
      </c>
      <c r="C62" s="20" t="s">
        <v>182</v>
      </c>
      <c r="D62" s="21">
        <v>2</v>
      </c>
      <c r="E62" s="22">
        <v>648648.648648</v>
      </c>
    </row>
    <row r="63" s="29" customFormat="1" spans="1:5">
      <c r="B63" s="19" t="s">
        <v>1442</v>
      </c>
      <c r="C63" s="16" t="s">
        <v>183</v>
      </c>
      <c r="D63" s="23">
        <v>2</v>
      </c>
      <c r="E63" s="24">
        <v>648648.648648</v>
      </c>
    </row>
    <row r="64" s="29" customFormat="1" ht="41" spans="1:5">
      <c r="B64" s="19" t="s">
        <v>1443</v>
      </c>
      <c r="C64" s="20" t="s">
        <v>182</v>
      </c>
      <c r="D64" s="21">
        <v>1</v>
      </c>
      <c r="E64" s="22">
        <v>451351.351351</v>
      </c>
    </row>
    <row r="65" s="29" customFormat="1" spans="2:5">
      <c r="B65" s="19" t="s">
        <v>1443</v>
      </c>
      <c r="C65" s="16" t="s">
        <v>183</v>
      </c>
      <c r="D65" s="23">
        <v>1</v>
      </c>
      <c r="E65" s="24">
        <v>451351.351351</v>
      </c>
    </row>
    <row r="66" s="29" customFormat="1" ht="41" spans="2:5">
      <c r="B66" s="19" t="s">
        <v>1175</v>
      </c>
      <c r="C66" s="20" t="s">
        <v>182</v>
      </c>
      <c r="D66" s="21">
        <v>1</v>
      </c>
      <c r="E66" s="22">
        <v>463063.063063</v>
      </c>
    </row>
    <row r="67" s="29" customFormat="1" ht="17.55" spans="2:5">
      <c r="B67" s="19" t="s">
        <v>1175</v>
      </c>
      <c r="C67" s="16" t="s">
        <v>183</v>
      </c>
      <c r="D67" s="23">
        <v>1</v>
      </c>
      <c r="E67" s="24">
        <v>463063.063063</v>
      </c>
    </row>
    <row r="68" s="29" customFormat="1" spans="2:5">
      <c r="B68" s="25"/>
      <c r="C68" s="25"/>
      <c r="D68" s="25"/>
      <c r="E68" s="25"/>
    </row>
    <row r="69" s="29" customFormat="1" ht="36" spans="2:5">
      <c r="B69" s="26" t="s">
        <v>189</v>
      </c>
      <c r="C69" s="26" t="s">
        <v>189</v>
      </c>
      <c r="D69" s="26" t="s">
        <v>189</v>
      </c>
      <c r="E69" s="26" t="s">
        <v>189</v>
      </c>
    </row>
    <row r="70" s="29" customFormat="1" spans="2:5">
      <c r="B70" s="26"/>
      <c r="C70" s="26"/>
      <c r="D70" s="26"/>
      <c r="E70" s="26"/>
    </row>
    <row r="71" s="29" customFormat="1" ht="36" spans="2:5">
      <c r="B71" s="26" t="s">
        <v>1433</v>
      </c>
      <c r="C71" s="26" t="s">
        <v>1433</v>
      </c>
      <c r="D71" s="26" t="s">
        <v>1433</v>
      </c>
      <c r="E71" s="26" t="s">
        <v>1433</v>
      </c>
    </row>
    <row r="72" s="29" customFormat="1" spans="2:5">
      <c r="B72" s="26" t="s">
        <v>205</v>
      </c>
      <c r="C72" s="26" t="s">
        <v>205</v>
      </c>
      <c r="D72" s="26" t="s">
        <v>205</v>
      </c>
      <c r="E72" s="26" t="s">
        <v>205</v>
      </c>
    </row>
    <row r="73" s="29" customFormat="1" ht="124" spans="2:5">
      <c r="B73" s="11" t="s">
        <v>173</v>
      </c>
      <c r="C73" s="11" t="s">
        <v>173</v>
      </c>
      <c r="D73" s="11" t="s">
        <v>173</v>
      </c>
      <c r="E73" s="11" t="s">
        <v>173</v>
      </c>
    </row>
    <row r="74" s="29" customFormat="1" ht="156" spans="2:5">
      <c r="B74" s="12" t="s">
        <v>174</v>
      </c>
      <c r="C74" s="12" t="s">
        <v>174</v>
      </c>
      <c r="D74" s="12" t="s">
        <v>174</v>
      </c>
      <c r="E74" s="12" t="s">
        <v>174</v>
      </c>
    </row>
    <row r="75" s="29" customFormat="1" ht="68" spans="2:5">
      <c r="B75" s="13" t="s">
        <v>1425</v>
      </c>
      <c r="C75" s="13" t="s">
        <v>1425</v>
      </c>
      <c r="D75" s="13" t="s">
        <v>1425</v>
      </c>
      <c r="E75" s="13" t="s">
        <v>1425</v>
      </c>
    </row>
    <row r="76" s="29" customFormat="1" ht="22" spans="2:5">
      <c r="B76" s="14" t="s">
        <v>176</v>
      </c>
      <c r="C76" s="14" t="s">
        <v>176</v>
      </c>
      <c r="D76" s="14" t="s">
        <v>176</v>
      </c>
      <c r="E76" s="14" t="s">
        <v>176</v>
      </c>
    </row>
    <row r="77" s="29" customFormat="1" spans="2:5">
      <c r="B77" s="15" t="s">
        <v>177</v>
      </c>
      <c r="C77" s="16" t="s">
        <v>178</v>
      </c>
      <c r="D77" s="17" t="s">
        <v>179</v>
      </c>
      <c r="E77" s="18" t="s">
        <v>180</v>
      </c>
    </row>
    <row r="78" s="29" customFormat="1" ht="41" spans="2:5">
      <c r="B78" s="19" t="s">
        <v>1444</v>
      </c>
      <c r="C78" s="20" t="s">
        <v>182</v>
      </c>
      <c r="D78" s="21">
        <v>1</v>
      </c>
      <c r="E78" s="22">
        <v>406216.216216</v>
      </c>
    </row>
    <row r="79" s="29" customFormat="1" spans="2:5">
      <c r="B79" s="19" t="s">
        <v>1444</v>
      </c>
      <c r="C79" s="16" t="s">
        <v>183</v>
      </c>
      <c r="D79" s="23">
        <v>1</v>
      </c>
      <c r="E79" s="24">
        <v>406216.216216</v>
      </c>
    </row>
    <row r="80" s="29" customFormat="1" ht="28" spans="2:5">
      <c r="B80" s="19" t="s">
        <v>1445</v>
      </c>
      <c r="C80" s="20" t="s">
        <v>804</v>
      </c>
      <c r="D80" s="21">
        <v>1</v>
      </c>
      <c r="E80" s="22">
        <v>582882.414414</v>
      </c>
    </row>
    <row r="81" s="29" customFormat="1" spans="2:5">
      <c r="B81" s="19" t="s">
        <v>1445</v>
      </c>
      <c r="C81" s="16" t="s">
        <v>183</v>
      </c>
      <c r="D81" s="23">
        <v>1</v>
      </c>
      <c r="E81" s="24">
        <v>582882.414414</v>
      </c>
    </row>
    <row r="82" s="29" customFormat="1" ht="41" spans="2:5">
      <c r="B82" s="19" t="s">
        <v>1446</v>
      </c>
      <c r="C82" s="20" t="s">
        <v>182</v>
      </c>
      <c r="D82" s="21">
        <v>1</v>
      </c>
      <c r="E82" s="22">
        <v>517117.117117</v>
      </c>
    </row>
    <row r="83" s="29" customFormat="1" ht="28" spans="2:5">
      <c r="B83" s="19" t="s">
        <v>1446</v>
      </c>
      <c r="C83" s="20" t="s">
        <v>804</v>
      </c>
      <c r="D83" s="21">
        <v>1</v>
      </c>
      <c r="E83" s="22">
        <v>517117.117117</v>
      </c>
    </row>
    <row r="84" s="29" customFormat="1" spans="2:5">
      <c r="B84" s="19" t="s">
        <v>1446</v>
      </c>
      <c r="C84" s="16" t="s">
        <v>183</v>
      </c>
      <c r="D84" s="23">
        <v>2</v>
      </c>
      <c r="E84" s="24">
        <v>1034234.234234</v>
      </c>
    </row>
    <row r="85" s="29" customFormat="1" ht="41" spans="2:5">
      <c r="B85" s="19" t="s">
        <v>1447</v>
      </c>
      <c r="C85" s="20" t="s">
        <v>182</v>
      </c>
      <c r="D85" s="21">
        <v>2</v>
      </c>
      <c r="E85" s="22">
        <v>902702.702702</v>
      </c>
    </row>
    <row r="86" s="29" customFormat="1" spans="2:5">
      <c r="B86" s="19" t="s">
        <v>1447</v>
      </c>
      <c r="C86" s="16" t="s">
        <v>183</v>
      </c>
      <c r="D86" s="23">
        <v>2</v>
      </c>
      <c r="E86" s="24">
        <v>902702.702702</v>
      </c>
    </row>
    <row r="87" s="29" customFormat="1" ht="41" spans="2:5">
      <c r="B87" s="19" t="s">
        <v>1448</v>
      </c>
      <c r="C87" s="20" t="s">
        <v>182</v>
      </c>
      <c r="D87" s="21">
        <v>1</v>
      </c>
      <c r="E87" s="22">
        <v>451351.351351</v>
      </c>
    </row>
    <row r="88" s="29" customFormat="1" spans="2:5">
      <c r="B88" s="19" t="s">
        <v>1448</v>
      </c>
      <c r="C88" s="16" t="s">
        <v>183</v>
      </c>
      <c r="D88" s="23">
        <v>1</v>
      </c>
      <c r="E88" s="24">
        <v>451351.351351</v>
      </c>
    </row>
    <row r="89" s="29" customFormat="1" ht="28" spans="2:5">
      <c r="B89" s="19" t="s">
        <v>1449</v>
      </c>
      <c r="C89" s="20" t="s">
        <v>804</v>
      </c>
      <c r="D89" s="21">
        <v>2</v>
      </c>
      <c r="E89" s="22">
        <v>1009009.00901</v>
      </c>
    </row>
    <row r="90" s="29" customFormat="1" ht="17.55" spans="2:5">
      <c r="B90" s="19" t="s">
        <v>1449</v>
      </c>
      <c r="C90" s="16" t="s">
        <v>183</v>
      </c>
      <c r="D90" s="23">
        <v>2</v>
      </c>
      <c r="E90" s="24">
        <v>1009009.00901</v>
      </c>
    </row>
    <row r="91" s="29" customFormat="1" spans="2:5">
      <c r="B91" s="25"/>
      <c r="C91" s="25"/>
      <c r="D91" s="25"/>
      <c r="E91" s="25"/>
    </row>
    <row r="92" s="29" customFormat="1" ht="36" spans="2:5">
      <c r="B92" s="26" t="s">
        <v>189</v>
      </c>
      <c r="C92" s="26" t="s">
        <v>189</v>
      </c>
      <c r="D92" s="26" t="s">
        <v>189</v>
      </c>
      <c r="E92" s="26" t="s">
        <v>189</v>
      </c>
    </row>
    <row r="93" s="29" customFormat="1" spans="2:5">
      <c r="B93" s="26"/>
      <c r="C93" s="26"/>
      <c r="D93" s="26"/>
      <c r="E93" s="26"/>
    </row>
    <row r="94" s="29" customFormat="1" ht="36" spans="2:5">
      <c r="B94" s="26" t="s">
        <v>1433</v>
      </c>
      <c r="C94" s="26" t="s">
        <v>1433</v>
      </c>
      <c r="D94" s="26" t="s">
        <v>1433</v>
      </c>
      <c r="E94" s="26" t="s">
        <v>1433</v>
      </c>
    </row>
    <row r="95" s="29" customFormat="1" spans="2:5">
      <c r="B95" s="26" t="s">
        <v>212</v>
      </c>
      <c r="C95" s="26" t="s">
        <v>212</v>
      </c>
      <c r="D95" s="26" t="s">
        <v>212</v>
      </c>
      <c r="E95" s="26" t="s">
        <v>212</v>
      </c>
    </row>
    <row r="96" s="29" customFormat="1" ht="124" spans="2:5">
      <c r="B96" s="11" t="s">
        <v>173</v>
      </c>
      <c r="C96" s="11" t="s">
        <v>173</v>
      </c>
      <c r="D96" s="11" t="s">
        <v>173</v>
      </c>
      <c r="E96" s="11" t="s">
        <v>173</v>
      </c>
    </row>
    <row r="97" s="29" customFormat="1" ht="156" spans="2:5">
      <c r="B97" s="12" t="s">
        <v>174</v>
      </c>
      <c r="C97" s="12" t="s">
        <v>174</v>
      </c>
      <c r="D97" s="12" t="s">
        <v>174</v>
      </c>
      <c r="E97" s="12" t="s">
        <v>174</v>
      </c>
    </row>
    <row r="98" s="29" customFormat="1" ht="68" spans="2:5">
      <c r="B98" s="13" t="s">
        <v>1425</v>
      </c>
      <c r="C98" s="13" t="s">
        <v>1425</v>
      </c>
      <c r="D98" s="13" t="s">
        <v>1425</v>
      </c>
      <c r="E98" s="13" t="s">
        <v>1425</v>
      </c>
    </row>
    <row r="99" s="29" customFormat="1" ht="22" spans="2:5">
      <c r="B99" s="14" t="s">
        <v>176</v>
      </c>
      <c r="C99" s="14" t="s">
        <v>176</v>
      </c>
      <c r="D99" s="14" t="s">
        <v>176</v>
      </c>
      <c r="E99" s="14" t="s">
        <v>176</v>
      </c>
    </row>
    <row r="100" s="29" customFormat="1" spans="2:5">
      <c r="B100" s="15" t="s">
        <v>177</v>
      </c>
      <c r="C100" s="16" t="s">
        <v>178</v>
      </c>
      <c r="D100" s="17" t="s">
        <v>179</v>
      </c>
      <c r="E100" s="18" t="s">
        <v>180</v>
      </c>
    </row>
    <row r="101" s="29" customFormat="1" ht="41" spans="2:5">
      <c r="B101" s="19" t="s">
        <v>1450</v>
      </c>
      <c r="C101" s="20" t="s">
        <v>182</v>
      </c>
      <c r="D101" s="21">
        <v>1</v>
      </c>
      <c r="E101" s="22">
        <v>700000</v>
      </c>
    </row>
    <row r="102" s="29" customFormat="1" spans="2:5">
      <c r="B102" s="19" t="s">
        <v>1450</v>
      </c>
      <c r="C102" s="16" t="s">
        <v>183</v>
      </c>
      <c r="D102" s="23">
        <v>1</v>
      </c>
      <c r="E102" s="24">
        <v>700000</v>
      </c>
    </row>
    <row r="103" s="29" customFormat="1" ht="28" spans="2:5">
      <c r="B103" s="19" t="s">
        <v>1179</v>
      </c>
      <c r="C103" s="20" t="s">
        <v>804</v>
      </c>
      <c r="D103" s="21">
        <v>3</v>
      </c>
      <c r="E103" s="22">
        <v>1551351.351351</v>
      </c>
    </row>
    <row r="104" s="29" customFormat="1" spans="2:5">
      <c r="B104" s="19" t="s">
        <v>1179</v>
      </c>
      <c r="C104" s="16" t="s">
        <v>183</v>
      </c>
      <c r="D104" s="23">
        <v>3</v>
      </c>
      <c r="E104" s="24">
        <v>1551351.351351</v>
      </c>
    </row>
    <row r="105" s="29" customFormat="1" ht="41" spans="2:5">
      <c r="B105" s="19" t="s">
        <v>1180</v>
      </c>
      <c r="C105" s="20" t="s">
        <v>182</v>
      </c>
      <c r="D105" s="21">
        <v>1</v>
      </c>
      <c r="E105" s="22">
        <v>405405.405405</v>
      </c>
    </row>
    <row r="106" s="29" customFormat="1" ht="28" spans="2:5">
      <c r="B106" s="19" t="s">
        <v>1180</v>
      </c>
      <c r="C106" s="20" t="s">
        <v>804</v>
      </c>
      <c r="D106" s="21">
        <v>3</v>
      </c>
      <c r="E106" s="22">
        <v>1216215.81081</v>
      </c>
    </row>
    <row r="107" s="29" customFormat="1" spans="2:5">
      <c r="B107" s="19" t="s">
        <v>1180</v>
      </c>
      <c r="C107" s="16" t="s">
        <v>183</v>
      </c>
      <c r="D107" s="23">
        <v>4</v>
      </c>
      <c r="E107" s="24">
        <v>1621621.216215</v>
      </c>
    </row>
    <row r="108" s="29" customFormat="1" ht="41" spans="2:5">
      <c r="B108" s="19" t="s">
        <v>1451</v>
      </c>
      <c r="C108" s="20" t="s">
        <v>182</v>
      </c>
      <c r="D108" s="21">
        <v>1</v>
      </c>
      <c r="E108" s="22">
        <v>563963.963964</v>
      </c>
    </row>
    <row r="109" s="29" customFormat="1" spans="2:5">
      <c r="B109" s="19" t="s">
        <v>1451</v>
      </c>
      <c r="C109" s="16" t="s">
        <v>183</v>
      </c>
      <c r="D109" s="23">
        <v>1</v>
      </c>
      <c r="E109" s="24">
        <v>563963.963964</v>
      </c>
    </row>
    <row r="110" s="29" customFormat="1" ht="41" spans="2:5">
      <c r="B110" s="19" t="s">
        <v>1452</v>
      </c>
      <c r="C110" s="20" t="s">
        <v>182</v>
      </c>
      <c r="D110" s="21">
        <v>3</v>
      </c>
      <c r="E110" s="22">
        <v>1570270.270269</v>
      </c>
    </row>
    <row r="111" s="29" customFormat="1" spans="2:5">
      <c r="B111" s="19" t="s">
        <v>1452</v>
      </c>
      <c r="C111" s="16" t="s">
        <v>183</v>
      </c>
      <c r="D111" s="23">
        <v>3</v>
      </c>
      <c r="E111" s="24">
        <v>1570270.270269</v>
      </c>
    </row>
    <row r="112" s="29" customFormat="1" ht="41" spans="2:5">
      <c r="B112" s="19" t="s">
        <v>1181</v>
      </c>
      <c r="C112" s="20" t="s">
        <v>182</v>
      </c>
      <c r="D112" s="21">
        <v>1</v>
      </c>
      <c r="E112" s="22">
        <v>412612.612613</v>
      </c>
    </row>
    <row r="113" s="29" customFormat="1" ht="17.55" spans="2:5">
      <c r="B113" s="19" t="s">
        <v>1181</v>
      </c>
      <c r="C113" s="16" t="s">
        <v>183</v>
      </c>
      <c r="D113" s="23">
        <v>1</v>
      </c>
      <c r="E113" s="24">
        <v>412612.612613</v>
      </c>
    </row>
    <row r="114" s="29" customFormat="1" spans="2:5">
      <c r="B114" s="25"/>
      <c r="C114" s="25"/>
      <c r="D114" s="25"/>
      <c r="E114" s="25"/>
    </row>
    <row r="115" s="29" customFormat="1" ht="36" spans="2:5">
      <c r="B115" s="26" t="s">
        <v>189</v>
      </c>
      <c r="C115" s="26" t="s">
        <v>189</v>
      </c>
      <c r="D115" s="26" t="s">
        <v>189</v>
      </c>
      <c r="E115" s="26" t="s">
        <v>189</v>
      </c>
    </row>
    <row r="116" s="29" customFormat="1" spans="2:5">
      <c r="B116" s="26"/>
      <c r="C116" s="26"/>
      <c r="D116" s="26"/>
      <c r="E116" s="26"/>
    </row>
    <row r="117" s="29" customFormat="1" ht="36" spans="2:5">
      <c r="B117" s="26" t="s">
        <v>1433</v>
      </c>
      <c r="C117" s="26" t="s">
        <v>1433</v>
      </c>
      <c r="D117" s="26" t="s">
        <v>1433</v>
      </c>
      <c r="E117" s="26" t="s">
        <v>1433</v>
      </c>
    </row>
    <row r="118" s="29" customFormat="1" spans="2:5">
      <c r="B118" s="26" t="s">
        <v>219</v>
      </c>
      <c r="C118" s="26" t="s">
        <v>219</v>
      </c>
      <c r="D118" s="26" t="s">
        <v>219</v>
      </c>
      <c r="E118" s="26" t="s">
        <v>219</v>
      </c>
    </row>
    <row r="119" s="29" customFormat="1" ht="124" spans="2:5">
      <c r="B119" s="11" t="s">
        <v>173</v>
      </c>
      <c r="C119" s="11" t="s">
        <v>173</v>
      </c>
      <c r="D119" s="11" t="s">
        <v>173</v>
      </c>
      <c r="E119" s="11" t="s">
        <v>173</v>
      </c>
    </row>
    <row r="120" s="29" customFormat="1" ht="156" spans="2:5">
      <c r="B120" s="12" t="s">
        <v>174</v>
      </c>
      <c r="C120" s="12" t="s">
        <v>174</v>
      </c>
      <c r="D120" s="12" t="s">
        <v>174</v>
      </c>
      <c r="E120" s="12" t="s">
        <v>174</v>
      </c>
    </row>
    <row r="121" s="29" customFormat="1" ht="68" spans="2:5">
      <c r="B121" s="13" t="s">
        <v>1425</v>
      </c>
      <c r="C121" s="13" t="s">
        <v>1425</v>
      </c>
      <c r="D121" s="13" t="s">
        <v>1425</v>
      </c>
      <c r="E121" s="13" t="s">
        <v>1425</v>
      </c>
    </row>
    <row r="122" s="29" customFormat="1" ht="22" spans="2:5">
      <c r="B122" s="14" t="s">
        <v>176</v>
      </c>
      <c r="C122" s="14" t="s">
        <v>176</v>
      </c>
      <c r="D122" s="14" t="s">
        <v>176</v>
      </c>
      <c r="E122" s="14" t="s">
        <v>176</v>
      </c>
    </row>
    <row r="123" s="29" customFormat="1" spans="2:5">
      <c r="B123" s="15" t="s">
        <v>177</v>
      </c>
      <c r="C123" s="16" t="s">
        <v>178</v>
      </c>
      <c r="D123" s="17" t="s">
        <v>179</v>
      </c>
      <c r="E123" s="18" t="s">
        <v>180</v>
      </c>
    </row>
    <row r="124" s="29" customFormat="1" ht="28" spans="2:5">
      <c r="B124" s="19" t="s">
        <v>1182</v>
      </c>
      <c r="C124" s="20" t="s">
        <v>804</v>
      </c>
      <c r="D124" s="21">
        <v>1</v>
      </c>
      <c r="E124" s="22">
        <v>481081.081081</v>
      </c>
    </row>
    <row r="125" s="29" customFormat="1" spans="2:5">
      <c r="B125" s="19" t="s">
        <v>1182</v>
      </c>
      <c r="C125" s="16" t="s">
        <v>183</v>
      </c>
      <c r="D125" s="23">
        <v>1</v>
      </c>
      <c r="E125" s="24">
        <v>481081.081081</v>
      </c>
    </row>
    <row r="126" s="29" customFormat="1" ht="41" spans="2:5">
      <c r="B126" s="19" t="s">
        <v>1183</v>
      </c>
      <c r="C126" s="20" t="s">
        <v>182</v>
      </c>
      <c r="D126" s="21">
        <v>1</v>
      </c>
      <c r="E126" s="22">
        <v>490089.738739</v>
      </c>
    </row>
    <row r="127" s="29" customFormat="1" spans="2:5">
      <c r="B127" s="19" t="s">
        <v>1183</v>
      </c>
      <c r="C127" s="16" t="s">
        <v>183</v>
      </c>
      <c r="D127" s="23">
        <v>1</v>
      </c>
      <c r="E127" s="24">
        <v>490089.738739</v>
      </c>
    </row>
    <row r="128" s="29" customFormat="1" ht="28" spans="2:5">
      <c r="B128" s="19" t="s">
        <v>1453</v>
      </c>
      <c r="C128" s="20" t="s">
        <v>804</v>
      </c>
      <c r="D128" s="21">
        <v>1</v>
      </c>
      <c r="E128" s="22">
        <v>60000</v>
      </c>
    </row>
    <row r="129" s="29" customFormat="1" spans="2:5">
      <c r="B129" s="19" t="s">
        <v>1453</v>
      </c>
      <c r="C129" s="16" t="s">
        <v>183</v>
      </c>
      <c r="D129" s="23">
        <v>1</v>
      </c>
      <c r="E129" s="24">
        <v>60000</v>
      </c>
    </row>
    <row r="130" s="29" customFormat="1" ht="28" spans="2:5">
      <c r="B130" s="19" t="s">
        <v>485</v>
      </c>
      <c r="C130" s="20" t="s">
        <v>804</v>
      </c>
      <c r="D130" s="21">
        <v>1</v>
      </c>
      <c r="E130" s="22">
        <v>177927.927928</v>
      </c>
    </row>
    <row r="131" s="29" customFormat="1" spans="2:5">
      <c r="B131" s="19" t="s">
        <v>485</v>
      </c>
      <c r="C131" s="16" t="s">
        <v>183</v>
      </c>
      <c r="D131" s="23">
        <v>1</v>
      </c>
      <c r="E131" s="24">
        <v>177927.927928</v>
      </c>
    </row>
    <row r="132" s="29" customFormat="1" ht="28" spans="2:5">
      <c r="B132" s="19" t="s">
        <v>1454</v>
      </c>
      <c r="C132" s="20" t="s">
        <v>804</v>
      </c>
      <c r="D132" s="21">
        <v>1</v>
      </c>
      <c r="E132" s="22">
        <v>102252.252252</v>
      </c>
    </row>
    <row r="133" s="29" customFormat="1" spans="2:5">
      <c r="B133" s="19" t="s">
        <v>1454</v>
      </c>
      <c r="C133" s="16" t="s">
        <v>183</v>
      </c>
      <c r="D133" s="23">
        <v>1</v>
      </c>
      <c r="E133" s="24">
        <v>102252.252252</v>
      </c>
    </row>
    <row r="134" s="29" customFormat="1" ht="41" spans="2:5">
      <c r="B134" s="19" t="s">
        <v>344</v>
      </c>
      <c r="C134" s="20" t="s">
        <v>182</v>
      </c>
      <c r="D134" s="21">
        <v>1</v>
      </c>
      <c r="E134" s="22">
        <v>90990.990991</v>
      </c>
    </row>
    <row r="135" s="29" customFormat="1" ht="28" spans="2:5">
      <c r="B135" s="19" t="s">
        <v>344</v>
      </c>
      <c r="C135" s="20" t="s">
        <v>804</v>
      </c>
      <c r="D135" s="21">
        <v>9</v>
      </c>
      <c r="E135" s="22">
        <v>818918.918919</v>
      </c>
    </row>
    <row r="136" s="29" customFormat="1" spans="2:5">
      <c r="B136" s="19" t="s">
        <v>344</v>
      </c>
      <c r="C136" s="16" t="s">
        <v>183</v>
      </c>
      <c r="D136" s="23">
        <v>10</v>
      </c>
      <c r="E136" s="24">
        <v>909909.90991</v>
      </c>
    </row>
    <row r="137" s="29" customFormat="1" ht="41.75" spans="2:5">
      <c r="B137" s="20" t="s">
        <v>394</v>
      </c>
      <c r="C137" s="20" t="s">
        <v>182</v>
      </c>
      <c r="D137" s="21">
        <v>6</v>
      </c>
      <c r="E137" s="22">
        <v>808108.10811</v>
      </c>
    </row>
    <row r="138" s="29" customFormat="1" spans="2:5">
      <c r="B138" s="25"/>
      <c r="C138" s="25"/>
      <c r="D138" s="25"/>
      <c r="E138" s="25"/>
    </row>
    <row r="139" s="29" customFormat="1" ht="36" spans="2:5">
      <c r="B139" s="26" t="s">
        <v>189</v>
      </c>
      <c r="C139" s="26" t="s">
        <v>189</v>
      </c>
      <c r="D139" s="26" t="s">
        <v>189</v>
      </c>
      <c r="E139" s="26" t="s">
        <v>189</v>
      </c>
    </row>
    <row r="140" s="29" customFormat="1" spans="2:5">
      <c r="B140" s="26"/>
      <c r="C140" s="26"/>
      <c r="D140" s="26"/>
      <c r="E140" s="26"/>
    </row>
    <row r="141" s="29" customFormat="1" ht="36" spans="2:5">
      <c r="B141" s="26" t="s">
        <v>1433</v>
      </c>
      <c r="C141" s="26" t="s">
        <v>1433</v>
      </c>
      <c r="D141" s="26" t="s">
        <v>1433</v>
      </c>
      <c r="E141" s="26" t="s">
        <v>1433</v>
      </c>
    </row>
    <row r="142" s="29" customFormat="1" spans="2:5">
      <c r="B142" s="26" t="s">
        <v>226</v>
      </c>
      <c r="C142" s="26" t="s">
        <v>226</v>
      </c>
      <c r="D142" s="26" t="s">
        <v>226</v>
      </c>
      <c r="E142" s="26" t="s">
        <v>226</v>
      </c>
    </row>
    <row r="143" s="29" customFormat="1" ht="124" spans="2:5">
      <c r="B143" s="11" t="s">
        <v>173</v>
      </c>
      <c r="C143" s="11" t="s">
        <v>173</v>
      </c>
      <c r="D143" s="11" t="s">
        <v>173</v>
      </c>
      <c r="E143" s="11" t="s">
        <v>173</v>
      </c>
    </row>
    <row r="144" s="29" customFormat="1" ht="156" spans="2:5">
      <c r="B144" s="12" t="s">
        <v>174</v>
      </c>
      <c r="C144" s="12" t="s">
        <v>174</v>
      </c>
      <c r="D144" s="12" t="s">
        <v>174</v>
      </c>
      <c r="E144" s="12" t="s">
        <v>174</v>
      </c>
    </row>
    <row r="145" s="29" customFormat="1" ht="68" spans="2:5">
      <c r="B145" s="13" t="s">
        <v>1425</v>
      </c>
      <c r="C145" s="13" t="s">
        <v>1425</v>
      </c>
      <c r="D145" s="13" t="s">
        <v>1425</v>
      </c>
      <c r="E145" s="13" t="s">
        <v>1425</v>
      </c>
    </row>
    <row r="146" s="29" customFormat="1" ht="22" spans="2:5">
      <c r="B146" s="14" t="s">
        <v>176</v>
      </c>
      <c r="C146" s="14" t="s">
        <v>176</v>
      </c>
      <c r="D146" s="14" t="s">
        <v>176</v>
      </c>
      <c r="E146" s="14" t="s">
        <v>176</v>
      </c>
    </row>
    <row r="147" s="29" customFormat="1" spans="2:5">
      <c r="B147" s="15" t="s">
        <v>177</v>
      </c>
      <c r="C147" s="16" t="s">
        <v>178</v>
      </c>
      <c r="D147" s="17" t="s">
        <v>179</v>
      </c>
      <c r="E147" s="18" t="s">
        <v>180</v>
      </c>
    </row>
    <row r="148" s="29" customFormat="1" ht="28" spans="2:5">
      <c r="B148" s="19" t="s">
        <v>394</v>
      </c>
      <c r="C148" s="20" t="s">
        <v>804</v>
      </c>
      <c r="D148" s="21">
        <v>1</v>
      </c>
      <c r="E148" s="22">
        <v>134684.684685</v>
      </c>
    </row>
    <row r="149" s="29" customFormat="1" spans="2:5">
      <c r="B149" s="19" t="s">
        <v>394</v>
      </c>
      <c r="C149" s="16" t="s">
        <v>183</v>
      </c>
      <c r="D149" s="23">
        <v>7</v>
      </c>
      <c r="E149" s="24">
        <v>942792.792795</v>
      </c>
    </row>
    <row r="150" s="29" customFormat="1" ht="41" spans="2:5">
      <c r="B150" s="19" t="s">
        <v>1455</v>
      </c>
      <c r="C150" s="20" t="s">
        <v>182</v>
      </c>
      <c r="D150" s="21">
        <v>1</v>
      </c>
      <c r="E150" s="22">
        <v>1515315.810811</v>
      </c>
    </row>
    <row r="151" s="29" customFormat="1" ht="28" spans="2:5">
      <c r="B151" s="19" t="s">
        <v>1455</v>
      </c>
      <c r="C151" s="16" t="s">
        <v>183</v>
      </c>
      <c r="D151" s="23">
        <v>1</v>
      </c>
      <c r="E151" s="24">
        <v>1515315.810811</v>
      </c>
    </row>
    <row r="152" s="29" customFormat="1" ht="41" spans="2:5">
      <c r="B152" s="19" t="s">
        <v>575</v>
      </c>
      <c r="C152" s="20" t="s">
        <v>1191</v>
      </c>
      <c r="D152" s="21">
        <v>1</v>
      </c>
      <c r="E152" s="22">
        <v>617520</v>
      </c>
    </row>
    <row r="153" s="29" customFormat="1" ht="41" spans="2:5">
      <c r="B153" s="19" t="s">
        <v>575</v>
      </c>
      <c r="C153" s="20" t="s">
        <v>182</v>
      </c>
      <c r="D153" s="21">
        <v>2</v>
      </c>
      <c r="E153" s="22">
        <v>1668468.468468</v>
      </c>
    </row>
    <row r="154" s="29" customFormat="1" ht="28" spans="2:5">
      <c r="B154" s="19" t="s">
        <v>575</v>
      </c>
      <c r="C154" s="16" t="s">
        <v>183</v>
      </c>
      <c r="D154" s="23">
        <v>3</v>
      </c>
      <c r="E154" s="24">
        <v>2285988.468468</v>
      </c>
    </row>
    <row r="155" s="29" customFormat="1" ht="41" spans="2:5">
      <c r="B155" s="19" t="s">
        <v>346</v>
      </c>
      <c r="C155" s="20" t="s">
        <v>1191</v>
      </c>
      <c r="D155" s="21">
        <v>3</v>
      </c>
      <c r="E155" s="22">
        <v>1852560</v>
      </c>
    </row>
    <row r="156" s="29" customFormat="1" ht="41" spans="2:5">
      <c r="B156" s="19" t="s">
        <v>346</v>
      </c>
      <c r="C156" s="20" t="s">
        <v>182</v>
      </c>
      <c r="D156" s="21">
        <v>4</v>
      </c>
      <c r="E156" s="22">
        <v>3336936.702702</v>
      </c>
    </row>
    <row r="157" s="29" customFormat="1" ht="28" spans="2:5">
      <c r="B157" s="19" t="s">
        <v>346</v>
      </c>
      <c r="C157" s="20" t="s">
        <v>804</v>
      </c>
      <c r="D157" s="21">
        <v>3</v>
      </c>
      <c r="E157" s="22">
        <v>2542342.342342</v>
      </c>
    </row>
    <row r="158" s="29" customFormat="1" ht="28" spans="2:5">
      <c r="B158" s="19" t="s">
        <v>346</v>
      </c>
      <c r="C158" s="16" t="s">
        <v>183</v>
      </c>
      <c r="D158" s="23">
        <v>10</v>
      </c>
      <c r="E158" s="24">
        <v>7731839.045044</v>
      </c>
    </row>
    <row r="159" s="29" customFormat="1" ht="41" spans="2:5">
      <c r="B159" s="19" t="s">
        <v>185</v>
      </c>
      <c r="C159" s="20" t="s">
        <v>182</v>
      </c>
      <c r="D159" s="21">
        <v>3</v>
      </c>
      <c r="E159" s="22">
        <v>2743242.648649</v>
      </c>
    </row>
    <row r="160" s="29" customFormat="1" ht="28.75" spans="2:5">
      <c r="B160" s="19" t="s">
        <v>185</v>
      </c>
      <c r="C160" s="16" t="s">
        <v>183</v>
      </c>
      <c r="D160" s="23">
        <v>3</v>
      </c>
      <c r="E160" s="24">
        <v>2743242.648649</v>
      </c>
    </row>
    <row r="161" s="29" customFormat="1" spans="2:5">
      <c r="B161" s="25"/>
      <c r="C161" s="25"/>
      <c r="D161" s="25"/>
      <c r="E161" s="25"/>
    </row>
    <row r="162" s="29" customFormat="1" ht="36" spans="2:5">
      <c r="B162" s="26" t="s">
        <v>189</v>
      </c>
      <c r="C162" s="26" t="s">
        <v>189</v>
      </c>
      <c r="D162" s="26" t="s">
        <v>189</v>
      </c>
      <c r="E162" s="26" t="s">
        <v>189</v>
      </c>
    </row>
    <row r="163" s="29" customFormat="1" spans="2:5">
      <c r="B163" s="26"/>
      <c r="C163" s="26"/>
      <c r="D163" s="26"/>
      <c r="E163" s="26"/>
    </row>
    <row r="164" s="29" customFormat="1" ht="36" spans="2:5">
      <c r="B164" s="26" t="s">
        <v>1433</v>
      </c>
      <c r="C164" s="26" t="s">
        <v>1433</v>
      </c>
      <c r="D164" s="26" t="s">
        <v>1433</v>
      </c>
      <c r="E164" s="26" t="s">
        <v>1433</v>
      </c>
    </row>
    <row r="165" s="29" customFormat="1" spans="2:5">
      <c r="B165" s="26" t="s">
        <v>233</v>
      </c>
      <c r="C165" s="26" t="s">
        <v>233</v>
      </c>
      <c r="D165" s="26" t="s">
        <v>233</v>
      </c>
      <c r="E165" s="26" t="s">
        <v>233</v>
      </c>
    </row>
    <row r="166" s="29" customFormat="1" ht="124" spans="2:5">
      <c r="B166" s="11" t="s">
        <v>173</v>
      </c>
      <c r="C166" s="11" t="s">
        <v>173</v>
      </c>
      <c r="D166" s="11" t="s">
        <v>173</v>
      </c>
      <c r="E166" s="11" t="s">
        <v>173</v>
      </c>
    </row>
    <row r="167" s="29" customFormat="1" ht="156" spans="2:5">
      <c r="B167" s="12" t="s">
        <v>174</v>
      </c>
      <c r="C167" s="12" t="s">
        <v>174</v>
      </c>
      <c r="D167" s="12" t="s">
        <v>174</v>
      </c>
      <c r="E167" s="12" t="s">
        <v>174</v>
      </c>
    </row>
    <row r="168" s="29" customFormat="1" ht="68" spans="2:5">
      <c r="B168" s="13" t="s">
        <v>1425</v>
      </c>
      <c r="C168" s="13" t="s">
        <v>1425</v>
      </c>
      <c r="D168" s="13" t="s">
        <v>1425</v>
      </c>
      <c r="E168" s="13" t="s">
        <v>1425</v>
      </c>
    </row>
    <row r="169" s="29" customFormat="1" ht="22" spans="2:5">
      <c r="B169" s="14" t="s">
        <v>176</v>
      </c>
      <c r="C169" s="14" t="s">
        <v>176</v>
      </c>
      <c r="D169" s="14" t="s">
        <v>176</v>
      </c>
      <c r="E169" s="14" t="s">
        <v>176</v>
      </c>
    </row>
    <row r="170" s="29" customFormat="1" spans="2:5">
      <c r="B170" s="15" t="s">
        <v>177</v>
      </c>
      <c r="C170" s="16" t="s">
        <v>178</v>
      </c>
      <c r="D170" s="17" t="s">
        <v>179</v>
      </c>
      <c r="E170" s="18" t="s">
        <v>180</v>
      </c>
    </row>
    <row r="171" s="29" customFormat="1" ht="41" spans="2:5">
      <c r="B171" s="19" t="s">
        <v>347</v>
      </c>
      <c r="C171" s="20" t="s">
        <v>1191</v>
      </c>
      <c r="D171" s="21">
        <v>2</v>
      </c>
      <c r="E171" s="22">
        <v>1351320</v>
      </c>
    </row>
    <row r="172" s="29" customFormat="1" ht="41" spans="2:5">
      <c r="B172" s="19" t="s">
        <v>347</v>
      </c>
      <c r="C172" s="20" t="s">
        <v>182</v>
      </c>
      <c r="D172" s="21">
        <v>1</v>
      </c>
      <c r="E172" s="22">
        <v>977477.477477</v>
      </c>
    </row>
    <row r="173" s="29" customFormat="1" ht="28" spans="2:5">
      <c r="B173" s="19" t="s">
        <v>347</v>
      </c>
      <c r="C173" s="20" t="s">
        <v>804</v>
      </c>
      <c r="D173" s="21">
        <v>1</v>
      </c>
      <c r="E173" s="22">
        <v>959459.873874</v>
      </c>
    </row>
    <row r="174" s="29" customFormat="1" ht="28" spans="2:5">
      <c r="B174" s="19" t="s">
        <v>347</v>
      </c>
      <c r="C174" s="16" t="s">
        <v>183</v>
      </c>
      <c r="D174" s="23">
        <v>4</v>
      </c>
      <c r="E174" s="24">
        <v>3288257.351351</v>
      </c>
    </row>
    <row r="175" s="29" customFormat="1" ht="41" spans="2:5">
      <c r="B175" s="19" t="s">
        <v>1456</v>
      </c>
      <c r="C175" s="20" t="s">
        <v>1191</v>
      </c>
      <c r="D175" s="21">
        <v>4</v>
      </c>
      <c r="E175" s="22">
        <v>4068720</v>
      </c>
    </row>
    <row r="176" s="29" customFormat="1" ht="28" spans="2:5">
      <c r="B176" s="19" t="s">
        <v>1456</v>
      </c>
      <c r="C176" s="16" t="s">
        <v>183</v>
      </c>
      <c r="D176" s="23">
        <v>4</v>
      </c>
      <c r="E176" s="24">
        <v>4068720</v>
      </c>
    </row>
    <row r="177" s="29" customFormat="1" ht="41" spans="2:5">
      <c r="B177" s="19" t="s">
        <v>398</v>
      </c>
      <c r="C177" s="20" t="s">
        <v>182</v>
      </c>
      <c r="D177" s="21">
        <v>1</v>
      </c>
      <c r="E177" s="22">
        <v>1352703</v>
      </c>
    </row>
    <row r="178" s="29" customFormat="1" ht="28" spans="2:5">
      <c r="B178" s="19" t="s">
        <v>398</v>
      </c>
      <c r="C178" s="20" t="s">
        <v>804</v>
      </c>
      <c r="D178" s="21">
        <v>1</v>
      </c>
      <c r="E178" s="22">
        <v>1352702.702703</v>
      </c>
    </row>
    <row r="179" s="29" customFormat="1" ht="28" spans="2:5">
      <c r="B179" s="19" t="s">
        <v>398</v>
      </c>
      <c r="C179" s="16" t="s">
        <v>183</v>
      </c>
      <c r="D179" s="23">
        <v>2</v>
      </c>
      <c r="E179" s="24">
        <v>2705405.702703</v>
      </c>
    </row>
    <row r="180" s="29" customFormat="1" ht="28" spans="2:5">
      <c r="B180" s="19" t="s">
        <v>1457</v>
      </c>
      <c r="C180" s="20" t="s">
        <v>804</v>
      </c>
      <c r="D180" s="21">
        <v>1</v>
      </c>
      <c r="E180" s="22">
        <v>2680631</v>
      </c>
    </row>
    <row r="181" s="29" customFormat="1" ht="28" spans="2:5">
      <c r="B181" s="19" t="s">
        <v>1457</v>
      </c>
      <c r="C181" s="16" t="s">
        <v>183</v>
      </c>
      <c r="D181" s="23">
        <v>1</v>
      </c>
      <c r="E181" s="24">
        <v>2680631</v>
      </c>
    </row>
    <row r="182" s="29" customFormat="1" ht="41" spans="2:5">
      <c r="B182" s="19" t="s">
        <v>1193</v>
      </c>
      <c r="C182" s="20" t="s">
        <v>182</v>
      </c>
      <c r="D182" s="21">
        <v>1</v>
      </c>
      <c r="E182" s="22">
        <v>3153604</v>
      </c>
    </row>
    <row r="183" s="29" customFormat="1" ht="28" spans="2:5">
      <c r="B183" s="19" t="s">
        <v>1193</v>
      </c>
      <c r="C183" s="16" t="s">
        <v>183</v>
      </c>
      <c r="D183" s="23">
        <v>1</v>
      </c>
      <c r="E183" s="24">
        <v>3153604</v>
      </c>
    </row>
    <row r="184" s="29" customFormat="1" ht="28" spans="2:5">
      <c r="B184" s="19" t="s">
        <v>1194</v>
      </c>
      <c r="C184" s="20" t="s">
        <v>804</v>
      </c>
      <c r="D184" s="21">
        <v>2</v>
      </c>
      <c r="E184" s="22">
        <v>618018.018018</v>
      </c>
    </row>
    <row r="185" s="29" customFormat="1" ht="28.75" spans="2:5">
      <c r="B185" s="19" t="s">
        <v>1194</v>
      </c>
      <c r="C185" s="16" t="s">
        <v>183</v>
      </c>
      <c r="D185" s="23">
        <v>2</v>
      </c>
      <c r="E185" s="24">
        <v>618018.018018</v>
      </c>
    </row>
    <row r="186" s="29" customFormat="1" spans="2:5">
      <c r="B186" s="25"/>
      <c r="C186" s="25"/>
      <c r="D186" s="25"/>
      <c r="E186" s="25"/>
    </row>
    <row r="187" s="29" customFormat="1" ht="36" spans="2:5">
      <c r="B187" s="26" t="s">
        <v>189</v>
      </c>
      <c r="C187" s="26" t="s">
        <v>189</v>
      </c>
      <c r="D187" s="26" t="s">
        <v>189</v>
      </c>
      <c r="E187" s="26" t="s">
        <v>189</v>
      </c>
    </row>
    <row r="188" s="29" customFormat="1" spans="2:5">
      <c r="B188" s="26"/>
      <c r="C188" s="26"/>
      <c r="D188" s="26"/>
      <c r="E188" s="26"/>
    </row>
    <row r="189" s="29" customFormat="1" ht="36" spans="2:5">
      <c r="B189" s="26" t="s">
        <v>1433</v>
      </c>
      <c r="C189" s="26" t="s">
        <v>1433</v>
      </c>
      <c r="D189" s="26" t="s">
        <v>1433</v>
      </c>
      <c r="E189" s="26" t="s">
        <v>1433</v>
      </c>
    </row>
    <row r="190" s="29" customFormat="1" spans="2:5">
      <c r="B190" s="26" t="s">
        <v>240</v>
      </c>
      <c r="C190" s="26" t="s">
        <v>240</v>
      </c>
      <c r="D190" s="26" t="s">
        <v>240</v>
      </c>
      <c r="E190" s="26" t="s">
        <v>240</v>
      </c>
    </row>
    <row r="191" s="29" customFormat="1" ht="124" spans="2:5">
      <c r="B191" s="11" t="s">
        <v>173</v>
      </c>
      <c r="C191" s="11" t="s">
        <v>173</v>
      </c>
      <c r="D191" s="11" t="s">
        <v>173</v>
      </c>
      <c r="E191" s="11" t="s">
        <v>173</v>
      </c>
    </row>
    <row r="192" s="29" customFormat="1" ht="156" spans="2:5">
      <c r="B192" s="12" t="s">
        <v>174</v>
      </c>
      <c r="C192" s="12" t="s">
        <v>174</v>
      </c>
      <c r="D192" s="12" t="s">
        <v>174</v>
      </c>
      <c r="E192" s="12" t="s">
        <v>174</v>
      </c>
    </row>
    <row r="193" s="29" customFormat="1" ht="68" spans="2:5">
      <c r="B193" s="13" t="s">
        <v>1425</v>
      </c>
      <c r="C193" s="13" t="s">
        <v>1425</v>
      </c>
      <c r="D193" s="13" t="s">
        <v>1425</v>
      </c>
      <c r="E193" s="13" t="s">
        <v>1425</v>
      </c>
    </row>
    <row r="194" s="29" customFormat="1" ht="22" spans="2:5">
      <c r="B194" s="14" t="s">
        <v>176</v>
      </c>
      <c r="C194" s="14" t="s">
        <v>176</v>
      </c>
      <c r="D194" s="14" t="s">
        <v>176</v>
      </c>
      <c r="E194" s="14" t="s">
        <v>176</v>
      </c>
    </row>
    <row r="195" s="29" customFormat="1" spans="2:5">
      <c r="B195" s="15" t="s">
        <v>177</v>
      </c>
      <c r="C195" s="16" t="s">
        <v>178</v>
      </c>
      <c r="D195" s="17" t="s">
        <v>179</v>
      </c>
      <c r="E195" s="18" t="s">
        <v>180</v>
      </c>
    </row>
    <row r="196" s="29" customFormat="1" ht="28" spans="2:5">
      <c r="B196" s="19" t="s">
        <v>1458</v>
      </c>
      <c r="C196" s="20" t="s">
        <v>804</v>
      </c>
      <c r="D196" s="21">
        <v>1</v>
      </c>
      <c r="E196" s="22">
        <v>554054.054054</v>
      </c>
    </row>
    <row r="197" s="29" customFormat="1" ht="28" spans="2:5">
      <c r="B197" s="19" t="s">
        <v>1458</v>
      </c>
      <c r="C197" s="16" t="s">
        <v>183</v>
      </c>
      <c r="D197" s="23">
        <v>1</v>
      </c>
      <c r="E197" s="24">
        <v>554054.054054</v>
      </c>
    </row>
    <row r="198" s="29" customFormat="1" ht="28" spans="2:5">
      <c r="B198" s="19" t="s">
        <v>810</v>
      </c>
      <c r="C198" s="20" t="s">
        <v>804</v>
      </c>
      <c r="D198" s="21">
        <v>1</v>
      </c>
      <c r="E198" s="22">
        <v>377477.477477</v>
      </c>
    </row>
    <row r="199" s="29" customFormat="1" ht="28" spans="2:5">
      <c r="B199" s="19" t="s">
        <v>810</v>
      </c>
      <c r="C199" s="16" t="s">
        <v>183</v>
      </c>
      <c r="D199" s="23">
        <v>1</v>
      </c>
      <c r="E199" s="24">
        <v>377477.477477</v>
      </c>
    </row>
    <row r="200" s="29" customFormat="1" ht="41" spans="2:5">
      <c r="B200" s="19" t="s">
        <v>487</v>
      </c>
      <c r="C200" s="20" t="s">
        <v>182</v>
      </c>
      <c r="D200" s="21">
        <v>3</v>
      </c>
      <c r="E200" s="22">
        <v>786486.486486</v>
      </c>
    </row>
    <row r="201" s="29" customFormat="1" ht="28" spans="2:5">
      <c r="B201" s="19" t="s">
        <v>487</v>
      </c>
      <c r="C201" s="20" t="s">
        <v>804</v>
      </c>
      <c r="D201" s="21">
        <v>2</v>
      </c>
      <c r="E201" s="22">
        <v>524324.324324</v>
      </c>
    </row>
    <row r="202" s="29" customFormat="1" ht="28" spans="2:5">
      <c r="B202" s="19" t="s">
        <v>487</v>
      </c>
      <c r="C202" s="16" t="s">
        <v>183</v>
      </c>
      <c r="D202" s="23">
        <v>5</v>
      </c>
      <c r="E202" s="24">
        <v>1310810.81081</v>
      </c>
    </row>
    <row r="203" s="29" customFormat="1" ht="41" spans="2:5">
      <c r="B203" s="19" t="s">
        <v>1195</v>
      </c>
      <c r="C203" s="20" t="s">
        <v>182</v>
      </c>
      <c r="D203" s="21">
        <v>1</v>
      </c>
      <c r="E203" s="22">
        <v>321621.621622</v>
      </c>
    </row>
    <row r="204" s="29" customFormat="1" ht="28" spans="2:5">
      <c r="B204" s="19" t="s">
        <v>1195</v>
      </c>
      <c r="C204" s="20" t="s">
        <v>804</v>
      </c>
      <c r="D204" s="21">
        <v>3</v>
      </c>
      <c r="E204" s="22">
        <v>964864.864866</v>
      </c>
    </row>
    <row r="205" s="29" customFormat="1" ht="28" spans="2:5">
      <c r="B205" s="19" t="s">
        <v>1195</v>
      </c>
      <c r="C205" s="16" t="s">
        <v>183</v>
      </c>
      <c r="D205" s="23">
        <v>4</v>
      </c>
      <c r="E205" s="24">
        <v>1286486.486488</v>
      </c>
    </row>
    <row r="206" s="29" customFormat="1" ht="28" spans="2:5">
      <c r="B206" s="19" t="s">
        <v>1459</v>
      </c>
      <c r="C206" s="20" t="s">
        <v>804</v>
      </c>
      <c r="D206" s="21">
        <v>2</v>
      </c>
      <c r="E206" s="22">
        <v>691892.243243</v>
      </c>
    </row>
    <row r="207" s="29" customFormat="1" ht="28" spans="2:5">
      <c r="B207" s="19" t="s">
        <v>1459</v>
      </c>
      <c r="C207" s="16" t="s">
        <v>183</v>
      </c>
      <c r="D207" s="23">
        <v>2</v>
      </c>
      <c r="E207" s="24">
        <v>691892.243243</v>
      </c>
    </row>
    <row r="208" s="29" customFormat="1" ht="28" spans="2:5">
      <c r="B208" s="19" t="s">
        <v>1460</v>
      </c>
      <c r="C208" s="20" t="s">
        <v>804</v>
      </c>
      <c r="D208" s="21">
        <v>1</v>
      </c>
      <c r="E208" s="22">
        <v>348648.648649</v>
      </c>
    </row>
    <row r="209" s="29" customFormat="1" ht="28.75" spans="2:5">
      <c r="B209" s="19" t="s">
        <v>1460</v>
      </c>
      <c r="C209" s="16" t="s">
        <v>183</v>
      </c>
      <c r="D209" s="23">
        <v>1</v>
      </c>
      <c r="E209" s="24">
        <v>348648.648649</v>
      </c>
    </row>
    <row r="210" s="29" customFormat="1" spans="2:5">
      <c r="B210" s="25"/>
      <c r="C210" s="25"/>
      <c r="D210" s="25"/>
      <c r="E210" s="25"/>
    </row>
    <row r="211" s="29" customFormat="1" ht="36" spans="2:5">
      <c r="B211" s="26" t="s">
        <v>189</v>
      </c>
      <c r="C211" s="26" t="s">
        <v>189</v>
      </c>
      <c r="D211" s="26" t="s">
        <v>189</v>
      </c>
      <c r="E211" s="26" t="s">
        <v>189</v>
      </c>
    </row>
    <row r="212" s="29" customFormat="1" spans="2:5">
      <c r="B212" s="26"/>
      <c r="C212" s="26"/>
      <c r="D212" s="26"/>
      <c r="E212" s="26"/>
    </row>
    <row r="213" s="29" customFormat="1" ht="36" spans="2:5">
      <c r="B213" s="26" t="s">
        <v>1433</v>
      </c>
      <c r="C213" s="26" t="s">
        <v>1433</v>
      </c>
      <c r="D213" s="26" t="s">
        <v>1433</v>
      </c>
      <c r="E213" s="26" t="s">
        <v>1433</v>
      </c>
    </row>
    <row r="214" s="29" customFormat="1" spans="2:5">
      <c r="B214" s="26" t="s">
        <v>247</v>
      </c>
      <c r="C214" s="26" t="s">
        <v>247</v>
      </c>
      <c r="D214" s="26" t="s">
        <v>247</v>
      </c>
      <c r="E214" s="26" t="s">
        <v>247</v>
      </c>
    </row>
    <row r="215" s="29" customFormat="1" ht="124" spans="2:5">
      <c r="B215" s="11" t="s">
        <v>173</v>
      </c>
      <c r="C215" s="11" t="s">
        <v>173</v>
      </c>
      <c r="D215" s="11" t="s">
        <v>173</v>
      </c>
      <c r="E215" s="11" t="s">
        <v>173</v>
      </c>
    </row>
    <row r="216" s="29" customFormat="1" ht="156" spans="2:5">
      <c r="B216" s="12" t="s">
        <v>174</v>
      </c>
      <c r="C216" s="12" t="s">
        <v>174</v>
      </c>
      <c r="D216" s="12" t="s">
        <v>174</v>
      </c>
      <c r="E216" s="12" t="s">
        <v>174</v>
      </c>
    </row>
    <row r="217" s="29" customFormat="1" ht="68" spans="2:5">
      <c r="B217" s="13" t="s">
        <v>1425</v>
      </c>
      <c r="C217" s="13" t="s">
        <v>1425</v>
      </c>
      <c r="D217" s="13" t="s">
        <v>1425</v>
      </c>
      <c r="E217" s="13" t="s">
        <v>1425</v>
      </c>
    </row>
    <row r="218" s="29" customFormat="1" ht="22" spans="2:5">
      <c r="B218" s="14" t="s">
        <v>176</v>
      </c>
      <c r="C218" s="14" t="s">
        <v>176</v>
      </c>
      <c r="D218" s="14" t="s">
        <v>176</v>
      </c>
      <c r="E218" s="14" t="s">
        <v>176</v>
      </c>
    </row>
    <row r="219" s="29" customFormat="1" spans="2:5">
      <c r="B219" s="15" t="s">
        <v>177</v>
      </c>
      <c r="C219" s="16" t="s">
        <v>178</v>
      </c>
      <c r="D219" s="17" t="s">
        <v>179</v>
      </c>
      <c r="E219" s="18" t="s">
        <v>180</v>
      </c>
    </row>
    <row r="220" s="29" customFormat="1" ht="28" spans="2:5">
      <c r="B220" s="19" t="s">
        <v>960</v>
      </c>
      <c r="C220" s="20" t="s">
        <v>804</v>
      </c>
      <c r="D220" s="21">
        <v>1</v>
      </c>
      <c r="E220" s="22">
        <v>348648.648649</v>
      </c>
    </row>
    <row r="221" s="29" customFormat="1" ht="28" spans="2:5">
      <c r="B221" s="19" t="s">
        <v>960</v>
      </c>
      <c r="C221" s="16" t="s">
        <v>183</v>
      </c>
      <c r="D221" s="23">
        <v>1</v>
      </c>
      <c r="E221" s="24">
        <v>348648.648649</v>
      </c>
    </row>
    <row r="222" s="29" customFormat="1" ht="41" spans="2:5">
      <c r="B222" s="19" t="s">
        <v>577</v>
      </c>
      <c r="C222" s="20" t="s">
        <v>182</v>
      </c>
      <c r="D222" s="21">
        <v>1</v>
      </c>
      <c r="E222" s="22">
        <v>0</v>
      </c>
    </row>
    <row r="223" s="29" customFormat="1" spans="2:5">
      <c r="B223" s="19" t="s">
        <v>577</v>
      </c>
      <c r="C223" s="16" t="s">
        <v>183</v>
      </c>
      <c r="D223" s="23">
        <v>1</v>
      </c>
      <c r="E223" s="24">
        <v>0</v>
      </c>
    </row>
    <row r="224" s="29" customFormat="1" ht="41" spans="2:5">
      <c r="B224" s="19" t="s">
        <v>402</v>
      </c>
      <c r="C224" s="20" t="s">
        <v>182</v>
      </c>
      <c r="D224" s="21">
        <v>1</v>
      </c>
      <c r="E224" s="22">
        <v>0</v>
      </c>
    </row>
    <row r="225" s="29" customFormat="1" spans="2:5">
      <c r="B225" s="19" t="s">
        <v>402</v>
      </c>
      <c r="C225" s="16" t="s">
        <v>183</v>
      </c>
      <c r="D225" s="23">
        <v>1</v>
      </c>
      <c r="E225" s="24">
        <v>0</v>
      </c>
    </row>
    <row r="226" s="29" customFormat="1" ht="41" spans="2:5">
      <c r="B226" s="19" t="s">
        <v>815</v>
      </c>
      <c r="C226" s="20" t="s">
        <v>182</v>
      </c>
      <c r="D226" s="21">
        <v>1</v>
      </c>
      <c r="E226" s="22">
        <v>0</v>
      </c>
    </row>
    <row r="227" s="29" customFormat="1" spans="2:5">
      <c r="B227" s="19" t="s">
        <v>815</v>
      </c>
      <c r="C227" s="16" t="s">
        <v>183</v>
      </c>
      <c r="D227" s="23">
        <v>1</v>
      </c>
      <c r="E227" s="24">
        <v>0</v>
      </c>
    </row>
    <row r="228" s="29" customFormat="1" ht="41" spans="2:5">
      <c r="B228" s="19" t="s">
        <v>403</v>
      </c>
      <c r="C228" s="20" t="s">
        <v>182</v>
      </c>
      <c r="D228" s="21">
        <v>7</v>
      </c>
      <c r="E228" s="22">
        <v>0</v>
      </c>
    </row>
    <row r="229" s="29" customFormat="1" spans="2:5">
      <c r="B229" s="19" t="s">
        <v>403</v>
      </c>
      <c r="C229" s="16" t="s">
        <v>183</v>
      </c>
      <c r="D229" s="23">
        <v>7</v>
      </c>
      <c r="E229" s="24">
        <v>0</v>
      </c>
    </row>
    <row r="230" s="29" customFormat="1" ht="41" spans="2:5">
      <c r="B230" s="19" t="s">
        <v>1461</v>
      </c>
      <c r="C230" s="20" t="s">
        <v>182</v>
      </c>
      <c r="D230" s="21">
        <v>1</v>
      </c>
      <c r="E230" s="22">
        <v>0</v>
      </c>
    </row>
    <row r="231" s="29" customFormat="1" spans="2:5">
      <c r="B231" s="19" t="s">
        <v>1461</v>
      </c>
      <c r="C231" s="16" t="s">
        <v>183</v>
      </c>
      <c r="D231" s="23">
        <v>1</v>
      </c>
      <c r="E231" s="24">
        <v>0</v>
      </c>
    </row>
    <row r="232" s="29" customFormat="1" ht="41" spans="2:5">
      <c r="B232" s="19" t="s">
        <v>1462</v>
      </c>
      <c r="C232" s="20" t="s">
        <v>182</v>
      </c>
      <c r="D232" s="21">
        <v>1</v>
      </c>
      <c r="E232" s="22">
        <v>0</v>
      </c>
    </row>
    <row r="233" s="29" customFormat="1" ht="17.55" spans="2:5">
      <c r="B233" s="19" t="s">
        <v>1462</v>
      </c>
      <c r="C233" s="16" t="s">
        <v>183</v>
      </c>
      <c r="D233" s="23">
        <v>1</v>
      </c>
      <c r="E233" s="24">
        <v>0</v>
      </c>
    </row>
    <row r="234" s="29" customFormat="1" spans="2:5">
      <c r="B234" s="25"/>
      <c r="C234" s="25"/>
      <c r="D234" s="25"/>
      <c r="E234" s="25"/>
    </row>
    <row r="235" s="29" customFormat="1" ht="36" spans="2:5">
      <c r="B235" s="26" t="s">
        <v>189</v>
      </c>
      <c r="C235" s="26" t="s">
        <v>189</v>
      </c>
      <c r="D235" s="26" t="s">
        <v>189</v>
      </c>
      <c r="E235" s="26" t="s">
        <v>189</v>
      </c>
    </row>
    <row r="236" s="29" customFormat="1" spans="2:5">
      <c r="B236" s="26"/>
      <c r="C236" s="26"/>
      <c r="D236" s="26"/>
      <c r="E236" s="26"/>
    </row>
    <row r="237" s="29" customFormat="1" ht="36" spans="2:5">
      <c r="B237" s="26" t="s">
        <v>1433</v>
      </c>
      <c r="C237" s="26" t="s">
        <v>1433</v>
      </c>
      <c r="D237" s="26" t="s">
        <v>1433</v>
      </c>
      <c r="E237" s="26" t="s">
        <v>1433</v>
      </c>
    </row>
    <row r="238" s="29" customFormat="1" spans="2:5">
      <c r="B238" s="26" t="s">
        <v>254</v>
      </c>
      <c r="C238" s="26" t="s">
        <v>254</v>
      </c>
      <c r="D238" s="26" t="s">
        <v>254</v>
      </c>
      <c r="E238" s="26" t="s">
        <v>254</v>
      </c>
    </row>
    <row r="239" s="29" customFormat="1" ht="124" spans="2:5">
      <c r="B239" s="11" t="s">
        <v>173</v>
      </c>
      <c r="C239" s="11" t="s">
        <v>173</v>
      </c>
      <c r="D239" s="11" t="s">
        <v>173</v>
      </c>
      <c r="E239" s="11" t="s">
        <v>173</v>
      </c>
    </row>
    <row r="240" s="29" customFormat="1" ht="156" spans="2:5">
      <c r="B240" s="12" t="s">
        <v>174</v>
      </c>
      <c r="C240" s="12" t="s">
        <v>174</v>
      </c>
      <c r="D240" s="12" t="s">
        <v>174</v>
      </c>
      <c r="E240" s="12" t="s">
        <v>174</v>
      </c>
    </row>
    <row r="241" s="29" customFormat="1" ht="68" spans="2:5">
      <c r="B241" s="13" t="s">
        <v>1425</v>
      </c>
      <c r="C241" s="13" t="s">
        <v>1425</v>
      </c>
      <c r="D241" s="13" t="s">
        <v>1425</v>
      </c>
      <c r="E241" s="13" t="s">
        <v>1425</v>
      </c>
    </row>
    <row r="242" s="29" customFormat="1" ht="22" spans="2:5">
      <c r="B242" s="14" t="s">
        <v>176</v>
      </c>
      <c r="C242" s="14" t="s">
        <v>176</v>
      </c>
      <c r="D242" s="14" t="s">
        <v>176</v>
      </c>
      <c r="E242" s="14" t="s">
        <v>176</v>
      </c>
    </row>
    <row r="243" s="29" customFormat="1" spans="2:5">
      <c r="B243" s="15" t="s">
        <v>177</v>
      </c>
      <c r="C243" s="16" t="s">
        <v>178</v>
      </c>
      <c r="D243" s="17" t="s">
        <v>179</v>
      </c>
      <c r="E243" s="18" t="s">
        <v>180</v>
      </c>
    </row>
    <row r="244" s="29" customFormat="1" ht="41" spans="2:5">
      <c r="B244" s="19" t="s">
        <v>404</v>
      </c>
      <c r="C244" s="20" t="s">
        <v>182</v>
      </c>
      <c r="D244" s="21">
        <v>7</v>
      </c>
      <c r="E244" s="22">
        <v>0</v>
      </c>
    </row>
    <row r="245" s="29" customFormat="1" ht="28" spans="2:5">
      <c r="B245" s="19" t="s">
        <v>404</v>
      </c>
      <c r="C245" s="20" t="s">
        <v>804</v>
      </c>
      <c r="D245" s="21">
        <v>3</v>
      </c>
      <c r="E245" s="22">
        <v>0</v>
      </c>
    </row>
    <row r="246" s="29" customFormat="1" spans="2:5">
      <c r="B246" s="19" t="s">
        <v>404</v>
      </c>
      <c r="C246" s="16" t="s">
        <v>183</v>
      </c>
      <c r="D246" s="23">
        <v>10</v>
      </c>
      <c r="E246" s="24">
        <v>0</v>
      </c>
    </row>
    <row r="247" s="29" customFormat="1" ht="41" spans="2:5">
      <c r="B247" s="19" t="s">
        <v>405</v>
      </c>
      <c r="C247" s="20" t="s">
        <v>182</v>
      </c>
      <c r="D247" s="21">
        <v>10</v>
      </c>
      <c r="E247" s="22">
        <v>0</v>
      </c>
    </row>
    <row r="248" s="29" customFormat="1" ht="28" spans="2:5">
      <c r="B248" s="19" t="s">
        <v>405</v>
      </c>
      <c r="C248" s="20" t="s">
        <v>804</v>
      </c>
      <c r="D248" s="21">
        <v>7</v>
      </c>
      <c r="E248" s="22">
        <v>145045.045046</v>
      </c>
    </row>
    <row r="249" s="29" customFormat="1" spans="2:5">
      <c r="B249" s="19" t="s">
        <v>405</v>
      </c>
      <c r="C249" s="16" t="s">
        <v>183</v>
      </c>
      <c r="D249" s="23">
        <v>17</v>
      </c>
      <c r="E249" s="24">
        <v>145045.045046</v>
      </c>
    </row>
    <row r="250" s="29" customFormat="1" ht="41" spans="2:5">
      <c r="B250" s="19" t="s">
        <v>1463</v>
      </c>
      <c r="C250" s="20" t="s">
        <v>182</v>
      </c>
      <c r="D250" s="21">
        <v>22</v>
      </c>
      <c r="E250" s="22">
        <v>0</v>
      </c>
    </row>
    <row r="251" s="29" customFormat="1" ht="28" spans="2:5">
      <c r="B251" s="19" t="s">
        <v>1463</v>
      </c>
      <c r="C251" s="20" t="s">
        <v>804</v>
      </c>
      <c r="D251" s="21">
        <v>1</v>
      </c>
      <c r="E251" s="22">
        <v>0</v>
      </c>
    </row>
    <row r="252" s="29" customFormat="1" spans="2:5">
      <c r="B252" s="19" t="s">
        <v>1463</v>
      </c>
      <c r="C252" s="16" t="s">
        <v>183</v>
      </c>
      <c r="D252" s="23">
        <v>23</v>
      </c>
      <c r="E252" s="24">
        <v>0</v>
      </c>
    </row>
    <row r="253" s="29" customFormat="1" ht="41" spans="2:5">
      <c r="B253" s="19" t="s">
        <v>187</v>
      </c>
      <c r="C253" s="20" t="s">
        <v>182</v>
      </c>
      <c r="D253" s="21">
        <v>3</v>
      </c>
      <c r="E253" s="22">
        <v>270270.117117</v>
      </c>
    </row>
    <row r="254" s="29" customFormat="1" spans="2:5">
      <c r="B254" s="19" t="s">
        <v>187</v>
      </c>
      <c r="C254" s="16" t="s">
        <v>183</v>
      </c>
      <c r="D254" s="23">
        <v>3</v>
      </c>
      <c r="E254" s="24">
        <v>270270.117117</v>
      </c>
    </row>
    <row r="255" s="29" customFormat="1" ht="41.75" spans="2:5">
      <c r="B255" s="20" t="s">
        <v>406</v>
      </c>
      <c r="C255" s="20" t="s">
        <v>182</v>
      </c>
      <c r="D255" s="21">
        <v>1</v>
      </c>
      <c r="E255" s="22">
        <v>206306.306306</v>
      </c>
    </row>
    <row r="256" s="29" customFormat="1" spans="2:5">
      <c r="B256" s="25"/>
      <c r="C256" s="25"/>
      <c r="D256" s="25"/>
      <c r="E256" s="25"/>
    </row>
    <row r="257" s="29" customFormat="1" ht="36" spans="2:5">
      <c r="B257" s="26" t="s">
        <v>189</v>
      </c>
      <c r="C257" s="26" t="s">
        <v>189</v>
      </c>
      <c r="D257" s="26" t="s">
        <v>189</v>
      </c>
      <c r="E257" s="26" t="s">
        <v>189</v>
      </c>
    </row>
    <row r="258" s="29" customFormat="1" spans="2:5">
      <c r="B258" s="26"/>
      <c r="C258" s="26"/>
      <c r="D258" s="26"/>
      <c r="E258" s="26"/>
    </row>
    <row r="259" s="29" customFormat="1" ht="36" spans="2:5">
      <c r="B259" s="26" t="s">
        <v>1433</v>
      </c>
      <c r="C259" s="26" t="s">
        <v>1433</v>
      </c>
      <c r="D259" s="26" t="s">
        <v>1433</v>
      </c>
      <c r="E259" s="26" t="s">
        <v>1433</v>
      </c>
    </row>
    <row r="260" s="29" customFormat="1" spans="2:5">
      <c r="B260" s="26" t="s">
        <v>261</v>
      </c>
      <c r="C260" s="26" t="s">
        <v>261</v>
      </c>
      <c r="D260" s="26" t="s">
        <v>261</v>
      </c>
      <c r="E260" s="26" t="s">
        <v>261</v>
      </c>
    </row>
    <row r="261" s="29" customFormat="1" ht="124" spans="2:5">
      <c r="B261" s="11" t="s">
        <v>173</v>
      </c>
      <c r="C261" s="11" t="s">
        <v>173</v>
      </c>
      <c r="D261" s="11" t="s">
        <v>173</v>
      </c>
      <c r="E261" s="11" t="s">
        <v>173</v>
      </c>
    </row>
    <row r="262" s="29" customFormat="1" ht="156" spans="2:5">
      <c r="B262" s="12" t="s">
        <v>174</v>
      </c>
      <c r="C262" s="12" t="s">
        <v>174</v>
      </c>
      <c r="D262" s="12" t="s">
        <v>174</v>
      </c>
      <c r="E262" s="12" t="s">
        <v>174</v>
      </c>
    </row>
    <row r="263" s="29" customFormat="1" ht="68" spans="2:5">
      <c r="B263" s="13" t="s">
        <v>1425</v>
      </c>
      <c r="C263" s="13" t="s">
        <v>1425</v>
      </c>
      <c r="D263" s="13" t="s">
        <v>1425</v>
      </c>
      <c r="E263" s="13" t="s">
        <v>1425</v>
      </c>
    </row>
    <row r="264" s="29" customFormat="1" ht="22" spans="2:5">
      <c r="B264" s="14" t="s">
        <v>176</v>
      </c>
      <c r="C264" s="14" t="s">
        <v>176</v>
      </c>
      <c r="D264" s="14" t="s">
        <v>176</v>
      </c>
      <c r="E264" s="14" t="s">
        <v>176</v>
      </c>
    </row>
    <row r="265" s="29" customFormat="1" spans="2:5">
      <c r="B265" s="15" t="s">
        <v>177</v>
      </c>
      <c r="C265" s="16" t="s">
        <v>178</v>
      </c>
      <c r="D265" s="17" t="s">
        <v>179</v>
      </c>
      <c r="E265" s="18" t="s">
        <v>180</v>
      </c>
    </row>
    <row r="266" s="29" customFormat="1" ht="28" spans="2:5">
      <c r="B266" s="19" t="s">
        <v>406</v>
      </c>
      <c r="C266" s="20" t="s">
        <v>804</v>
      </c>
      <c r="D266" s="21">
        <v>2</v>
      </c>
      <c r="E266" s="22">
        <v>412612.612612</v>
      </c>
    </row>
    <row r="267" s="29" customFormat="1" spans="2:5">
      <c r="B267" s="19" t="s">
        <v>406</v>
      </c>
      <c r="C267" s="16" t="s">
        <v>183</v>
      </c>
      <c r="D267" s="23">
        <v>3</v>
      </c>
      <c r="E267" s="24">
        <v>618918.918918</v>
      </c>
    </row>
    <row r="268" s="29" customFormat="1" ht="28" spans="2:5">
      <c r="B268" s="19" t="s">
        <v>961</v>
      </c>
      <c r="C268" s="20" t="s">
        <v>804</v>
      </c>
      <c r="D268" s="21">
        <v>2</v>
      </c>
      <c r="E268" s="22">
        <v>0</v>
      </c>
    </row>
    <row r="269" s="29" customFormat="1" ht="28" spans="2:5">
      <c r="B269" s="19" t="s">
        <v>961</v>
      </c>
      <c r="C269" s="16" t="s">
        <v>183</v>
      </c>
      <c r="D269" s="23">
        <v>2</v>
      </c>
      <c r="E269" s="24">
        <v>0</v>
      </c>
    </row>
    <row r="270" s="29" customFormat="1" ht="28" spans="2:5">
      <c r="B270" s="19" t="s">
        <v>351</v>
      </c>
      <c r="C270" s="20" t="s">
        <v>804</v>
      </c>
      <c r="D270" s="21">
        <v>1</v>
      </c>
      <c r="E270" s="22">
        <v>180180.18018</v>
      </c>
    </row>
    <row r="271" s="29" customFormat="1" spans="2:5">
      <c r="B271" s="19" t="s">
        <v>351</v>
      </c>
      <c r="C271" s="16" t="s">
        <v>183</v>
      </c>
      <c r="D271" s="23">
        <v>1</v>
      </c>
      <c r="E271" s="24">
        <v>180180.18018</v>
      </c>
    </row>
    <row r="272" s="29" customFormat="1" ht="41" spans="2:5">
      <c r="B272" s="19" t="s">
        <v>407</v>
      </c>
      <c r="C272" s="20" t="s">
        <v>182</v>
      </c>
      <c r="D272" s="21">
        <v>1</v>
      </c>
      <c r="E272" s="22">
        <v>78828.828829</v>
      </c>
    </row>
    <row r="273" s="29" customFormat="1" ht="28" spans="2:5">
      <c r="B273" s="19" t="s">
        <v>407</v>
      </c>
      <c r="C273" s="16" t="s">
        <v>183</v>
      </c>
      <c r="D273" s="23">
        <v>1</v>
      </c>
      <c r="E273" s="24">
        <v>78828.828829</v>
      </c>
    </row>
    <row r="274" s="29" customFormat="1" ht="28" spans="2:5">
      <c r="B274" s="19" t="s">
        <v>192</v>
      </c>
      <c r="C274" s="20" t="s">
        <v>804</v>
      </c>
      <c r="D274" s="21">
        <v>1</v>
      </c>
      <c r="E274" s="22">
        <v>34684.684685</v>
      </c>
    </row>
    <row r="275" s="29" customFormat="1" ht="28" spans="2:5">
      <c r="B275" s="19" t="s">
        <v>192</v>
      </c>
      <c r="C275" s="16" t="s">
        <v>183</v>
      </c>
      <c r="D275" s="23">
        <v>1</v>
      </c>
      <c r="E275" s="24">
        <v>34684.684685</v>
      </c>
    </row>
    <row r="276" s="29" customFormat="1" ht="41" spans="2:5">
      <c r="B276" s="19" t="s">
        <v>1197</v>
      </c>
      <c r="C276" s="20" t="s">
        <v>1191</v>
      </c>
      <c r="D276" s="21">
        <v>10</v>
      </c>
      <c r="E276" s="22">
        <v>187200</v>
      </c>
    </row>
    <row r="277" s="29" customFormat="1" ht="41" spans="2:5">
      <c r="B277" s="19" t="s">
        <v>1197</v>
      </c>
      <c r="C277" s="20" t="s">
        <v>182</v>
      </c>
      <c r="D277" s="21">
        <v>4</v>
      </c>
      <c r="E277" s="22">
        <v>124954.954956</v>
      </c>
    </row>
    <row r="278" s="29" customFormat="1" ht="28" spans="2:5">
      <c r="B278" s="19" t="s">
        <v>1197</v>
      </c>
      <c r="C278" s="16" t="s">
        <v>183</v>
      </c>
      <c r="D278" s="23">
        <v>14</v>
      </c>
      <c r="E278" s="24">
        <v>312154.954956</v>
      </c>
    </row>
    <row r="279" s="29" customFormat="1" ht="41" spans="2:5">
      <c r="B279" s="19" t="s">
        <v>408</v>
      </c>
      <c r="C279" s="20" t="s">
        <v>1191</v>
      </c>
      <c r="D279" s="21">
        <v>14</v>
      </c>
      <c r="E279" s="22">
        <v>56420</v>
      </c>
    </row>
    <row r="280" s="29" customFormat="1" ht="41.75" spans="2:5">
      <c r="B280" s="19" t="s">
        <v>408</v>
      </c>
      <c r="C280" s="20" t="s">
        <v>182</v>
      </c>
      <c r="D280" s="21">
        <v>10</v>
      </c>
      <c r="E280" s="22">
        <v>81080.972972</v>
      </c>
    </row>
    <row r="281" s="29" customFormat="1" spans="2:5">
      <c r="B281" s="25"/>
      <c r="C281" s="25"/>
      <c r="D281" s="25"/>
      <c r="E281" s="25"/>
    </row>
    <row r="282" s="29" customFormat="1" ht="36" spans="2:5">
      <c r="B282" s="26" t="s">
        <v>189</v>
      </c>
      <c r="C282" s="26" t="s">
        <v>189</v>
      </c>
      <c r="D282" s="26" t="s">
        <v>189</v>
      </c>
      <c r="E282" s="26" t="s">
        <v>189</v>
      </c>
    </row>
    <row r="283" s="29" customFormat="1" spans="2:5">
      <c r="B283" s="26"/>
      <c r="C283" s="26"/>
      <c r="D283" s="26"/>
      <c r="E283" s="26"/>
    </row>
    <row r="284" s="29" customFormat="1" ht="36" spans="2:5">
      <c r="B284" s="26" t="s">
        <v>1433</v>
      </c>
      <c r="C284" s="26" t="s">
        <v>1433</v>
      </c>
      <c r="D284" s="26" t="s">
        <v>1433</v>
      </c>
      <c r="E284" s="26" t="s">
        <v>1433</v>
      </c>
    </row>
    <row r="285" s="29" customFormat="1" spans="2:5">
      <c r="B285" s="26" t="s">
        <v>268</v>
      </c>
      <c r="C285" s="26" t="s">
        <v>268</v>
      </c>
      <c r="D285" s="26" t="s">
        <v>268</v>
      </c>
      <c r="E285" s="26" t="s">
        <v>268</v>
      </c>
    </row>
    <row r="286" s="29" customFormat="1" ht="124" spans="2:5">
      <c r="B286" s="11" t="s">
        <v>173</v>
      </c>
      <c r="C286" s="11" t="s">
        <v>173</v>
      </c>
      <c r="D286" s="11" t="s">
        <v>173</v>
      </c>
      <c r="E286" s="11" t="s">
        <v>173</v>
      </c>
    </row>
    <row r="287" s="29" customFormat="1" ht="156" spans="2:5">
      <c r="B287" s="12" t="s">
        <v>174</v>
      </c>
      <c r="C287" s="12" t="s">
        <v>174</v>
      </c>
      <c r="D287" s="12" t="s">
        <v>174</v>
      </c>
      <c r="E287" s="12" t="s">
        <v>174</v>
      </c>
    </row>
    <row r="288" s="29" customFormat="1" ht="68" spans="2:5">
      <c r="B288" s="13" t="s">
        <v>1425</v>
      </c>
      <c r="C288" s="13" t="s">
        <v>1425</v>
      </c>
      <c r="D288" s="13" t="s">
        <v>1425</v>
      </c>
      <c r="E288" s="13" t="s">
        <v>1425</v>
      </c>
    </row>
    <row r="289" s="29" customFormat="1" ht="22" spans="2:5">
      <c r="B289" s="14" t="s">
        <v>176</v>
      </c>
      <c r="C289" s="14" t="s">
        <v>176</v>
      </c>
      <c r="D289" s="14" t="s">
        <v>176</v>
      </c>
      <c r="E289" s="14" t="s">
        <v>176</v>
      </c>
    </row>
    <row r="290" s="29" customFormat="1" spans="2:5">
      <c r="B290" s="15" t="s">
        <v>177</v>
      </c>
      <c r="C290" s="16" t="s">
        <v>178</v>
      </c>
      <c r="D290" s="17" t="s">
        <v>179</v>
      </c>
      <c r="E290" s="18" t="s">
        <v>180</v>
      </c>
    </row>
    <row r="291" s="29" customFormat="1" ht="28" spans="2:5">
      <c r="B291" s="19" t="s">
        <v>408</v>
      </c>
      <c r="C291" s="20" t="s">
        <v>804</v>
      </c>
      <c r="D291" s="21">
        <v>5</v>
      </c>
      <c r="E291" s="22">
        <v>40540.54054</v>
      </c>
    </row>
    <row r="292" s="29" customFormat="1" ht="28" spans="2:5">
      <c r="B292" s="19" t="s">
        <v>408</v>
      </c>
      <c r="C292" s="16" t="s">
        <v>183</v>
      </c>
      <c r="D292" s="23">
        <v>29</v>
      </c>
      <c r="E292" s="24">
        <v>178041.513512</v>
      </c>
    </row>
    <row r="293" s="29" customFormat="1" ht="41" spans="2:5">
      <c r="B293" s="19" t="s">
        <v>352</v>
      </c>
      <c r="C293" s="20" t="s">
        <v>182</v>
      </c>
      <c r="D293" s="21">
        <v>1</v>
      </c>
      <c r="E293" s="22">
        <v>8108.108108</v>
      </c>
    </row>
    <row r="294" s="29" customFormat="1" ht="28" spans="2:5">
      <c r="B294" s="19" t="s">
        <v>352</v>
      </c>
      <c r="C294" s="20" t="s">
        <v>804</v>
      </c>
      <c r="D294" s="21">
        <v>1</v>
      </c>
      <c r="E294" s="22">
        <v>8108.108108</v>
      </c>
    </row>
    <row r="295" s="29" customFormat="1" ht="28" spans="2:5">
      <c r="B295" s="19" t="s">
        <v>352</v>
      </c>
      <c r="C295" s="16" t="s">
        <v>183</v>
      </c>
      <c r="D295" s="23">
        <v>2</v>
      </c>
      <c r="E295" s="24">
        <v>16216.216216</v>
      </c>
    </row>
    <row r="296" s="29" customFormat="1" ht="41" spans="2:5">
      <c r="B296" s="19" t="s">
        <v>1464</v>
      </c>
      <c r="C296" s="20" t="s">
        <v>1191</v>
      </c>
      <c r="D296" s="21">
        <v>20</v>
      </c>
      <c r="E296" s="22">
        <v>65000</v>
      </c>
    </row>
    <row r="297" s="29" customFormat="1" ht="28" spans="2:5">
      <c r="B297" s="19" t="s">
        <v>1464</v>
      </c>
      <c r="C297" s="16" t="s">
        <v>183</v>
      </c>
      <c r="D297" s="23">
        <v>20</v>
      </c>
      <c r="E297" s="24">
        <v>65000</v>
      </c>
    </row>
    <row r="298" s="29" customFormat="1" ht="41" spans="2:5">
      <c r="B298" s="19" t="s">
        <v>818</v>
      </c>
      <c r="C298" s="20" t="s">
        <v>182</v>
      </c>
      <c r="D298" s="21">
        <v>1</v>
      </c>
      <c r="E298" s="22">
        <v>8783.783784</v>
      </c>
    </row>
    <row r="299" s="29" customFormat="1" ht="28" spans="2:5">
      <c r="B299" s="19" t="s">
        <v>818</v>
      </c>
      <c r="C299" s="16" t="s">
        <v>183</v>
      </c>
      <c r="D299" s="23">
        <v>1</v>
      </c>
      <c r="E299" s="24">
        <v>8783.783784</v>
      </c>
    </row>
    <row r="300" s="29" customFormat="1" ht="41" spans="2:5">
      <c r="B300" s="19" t="s">
        <v>677</v>
      </c>
      <c r="C300" s="20" t="s">
        <v>182</v>
      </c>
      <c r="D300" s="21">
        <v>1</v>
      </c>
      <c r="E300" s="22">
        <v>9459.459459</v>
      </c>
    </row>
    <row r="301" s="29" customFormat="1" ht="28" spans="2:5">
      <c r="B301" s="19" t="s">
        <v>677</v>
      </c>
      <c r="C301" s="16" t="s">
        <v>183</v>
      </c>
      <c r="D301" s="23">
        <v>1</v>
      </c>
      <c r="E301" s="24">
        <v>9459.459459</v>
      </c>
    </row>
    <row r="302" s="29" customFormat="1" ht="41" spans="2:5">
      <c r="B302" s="19" t="s">
        <v>409</v>
      </c>
      <c r="C302" s="20" t="s">
        <v>1191</v>
      </c>
      <c r="D302" s="21">
        <v>20</v>
      </c>
      <c r="E302" s="22">
        <v>78000</v>
      </c>
    </row>
    <row r="303" s="29" customFormat="1" ht="41.75" spans="2:5">
      <c r="B303" s="19" t="s">
        <v>409</v>
      </c>
      <c r="C303" s="20" t="s">
        <v>182</v>
      </c>
      <c r="D303" s="21">
        <v>2</v>
      </c>
      <c r="E303" s="22">
        <v>11351.351352</v>
      </c>
    </row>
    <row r="304" s="29" customFormat="1" spans="2:5">
      <c r="B304" s="25"/>
      <c r="C304" s="25"/>
      <c r="D304" s="25"/>
      <c r="E304" s="25"/>
    </row>
    <row r="305" s="29" customFormat="1" ht="36" spans="2:5">
      <c r="B305" s="26" t="s">
        <v>189</v>
      </c>
      <c r="C305" s="26" t="s">
        <v>189</v>
      </c>
      <c r="D305" s="26" t="s">
        <v>189</v>
      </c>
      <c r="E305" s="26" t="s">
        <v>189</v>
      </c>
    </row>
    <row r="306" s="29" customFormat="1" spans="2:5">
      <c r="B306" s="26"/>
      <c r="C306" s="26"/>
      <c r="D306" s="26"/>
      <c r="E306" s="26"/>
    </row>
    <row r="307" s="29" customFormat="1" ht="36" spans="2:5">
      <c r="B307" s="26" t="s">
        <v>1433</v>
      </c>
      <c r="C307" s="26" t="s">
        <v>1433</v>
      </c>
      <c r="D307" s="26" t="s">
        <v>1433</v>
      </c>
      <c r="E307" s="26" t="s">
        <v>1433</v>
      </c>
    </row>
    <row r="308" s="29" customFormat="1" spans="2:5">
      <c r="B308" s="26" t="s">
        <v>275</v>
      </c>
      <c r="C308" s="26" t="s">
        <v>275</v>
      </c>
      <c r="D308" s="26" t="s">
        <v>275</v>
      </c>
      <c r="E308" s="26" t="s">
        <v>275</v>
      </c>
    </row>
    <row r="309" s="29" customFormat="1" ht="124" spans="2:5">
      <c r="B309" s="11" t="s">
        <v>173</v>
      </c>
      <c r="C309" s="11" t="s">
        <v>173</v>
      </c>
      <c r="D309" s="11" t="s">
        <v>173</v>
      </c>
      <c r="E309" s="11" t="s">
        <v>173</v>
      </c>
    </row>
    <row r="310" s="29" customFormat="1" ht="156" spans="2:5">
      <c r="B310" s="12" t="s">
        <v>174</v>
      </c>
      <c r="C310" s="12" t="s">
        <v>174</v>
      </c>
      <c r="D310" s="12" t="s">
        <v>174</v>
      </c>
      <c r="E310" s="12" t="s">
        <v>174</v>
      </c>
    </row>
    <row r="311" s="29" customFormat="1" ht="68" spans="2:5">
      <c r="B311" s="13" t="s">
        <v>1425</v>
      </c>
      <c r="C311" s="13" t="s">
        <v>1425</v>
      </c>
      <c r="D311" s="13" t="s">
        <v>1425</v>
      </c>
      <c r="E311" s="13" t="s">
        <v>1425</v>
      </c>
    </row>
    <row r="312" s="29" customFormat="1" ht="22" spans="2:5">
      <c r="B312" s="14" t="s">
        <v>176</v>
      </c>
      <c r="C312" s="14" t="s">
        <v>176</v>
      </c>
      <c r="D312" s="14" t="s">
        <v>176</v>
      </c>
      <c r="E312" s="14" t="s">
        <v>176</v>
      </c>
    </row>
    <row r="313" s="29" customFormat="1" spans="2:5">
      <c r="B313" s="15" t="s">
        <v>177</v>
      </c>
      <c r="C313" s="16" t="s">
        <v>178</v>
      </c>
      <c r="D313" s="17" t="s">
        <v>179</v>
      </c>
      <c r="E313" s="18" t="s">
        <v>180</v>
      </c>
    </row>
    <row r="314" s="29" customFormat="1" ht="28" spans="2:5">
      <c r="B314" s="19" t="s">
        <v>409</v>
      </c>
      <c r="C314" s="20" t="s">
        <v>804</v>
      </c>
      <c r="D314" s="21">
        <v>2</v>
      </c>
      <c r="E314" s="22">
        <v>11981.981982</v>
      </c>
    </row>
    <row r="315" s="29" customFormat="1" ht="28" spans="2:5">
      <c r="B315" s="19" t="s">
        <v>409</v>
      </c>
      <c r="C315" s="16" t="s">
        <v>183</v>
      </c>
      <c r="D315" s="23">
        <v>24</v>
      </c>
      <c r="E315" s="24">
        <v>101333.333334</v>
      </c>
    </row>
    <row r="316" s="29" customFormat="1" ht="28" spans="2:5">
      <c r="B316" s="19" t="s">
        <v>1199</v>
      </c>
      <c r="C316" s="20" t="s">
        <v>804</v>
      </c>
      <c r="D316" s="21">
        <v>5</v>
      </c>
      <c r="E316" s="22">
        <v>125000.324324</v>
      </c>
    </row>
    <row r="317" s="29" customFormat="1" ht="28" spans="2:5">
      <c r="B317" s="19" t="s">
        <v>1199</v>
      </c>
      <c r="C317" s="16" t="s">
        <v>183</v>
      </c>
      <c r="D317" s="23">
        <v>5</v>
      </c>
      <c r="E317" s="24">
        <v>125000.324324</v>
      </c>
    </row>
    <row r="318" s="29" customFormat="1" ht="41" spans="2:5">
      <c r="B318" s="19" t="s">
        <v>353</v>
      </c>
      <c r="C318" s="20" t="s">
        <v>182</v>
      </c>
      <c r="D318" s="21">
        <v>1</v>
      </c>
      <c r="E318" s="22">
        <v>24000</v>
      </c>
    </row>
    <row r="319" s="29" customFormat="1" ht="28" spans="2:5">
      <c r="B319" s="19" t="s">
        <v>353</v>
      </c>
      <c r="C319" s="16" t="s">
        <v>183</v>
      </c>
      <c r="D319" s="23">
        <v>1</v>
      </c>
      <c r="E319" s="24">
        <v>24000</v>
      </c>
    </row>
    <row r="320" s="29" customFormat="1" ht="41" spans="2:5">
      <c r="B320" s="19" t="s">
        <v>354</v>
      </c>
      <c r="C320" s="20" t="s">
        <v>182</v>
      </c>
      <c r="D320" s="21">
        <v>20</v>
      </c>
      <c r="E320" s="22">
        <v>35675.675674</v>
      </c>
    </row>
    <row r="321" s="29" customFormat="1" ht="28" spans="2:5">
      <c r="B321" s="19" t="s">
        <v>354</v>
      </c>
      <c r="C321" s="20" t="s">
        <v>804</v>
      </c>
      <c r="D321" s="21">
        <v>6</v>
      </c>
      <c r="E321" s="22">
        <v>26801.801802</v>
      </c>
    </row>
    <row r="322" s="29" customFormat="1" ht="28" spans="2:5">
      <c r="B322" s="19" t="s">
        <v>354</v>
      </c>
      <c r="C322" s="16" t="s">
        <v>183</v>
      </c>
      <c r="D322" s="23">
        <v>26</v>
      </c>
      <c r="E322" s="24">
        <v>62477.477476</v>
      </c>
    </row>
    <row r="323" s="29" customFormat="1" ht="41" spans="2:5">
      <c r="B323" s="19" t="s">
        <v>194</v>
      </c>
      <c r="C323" s="20" t="s">
        <v>1191</v>
      </c>
      <c r="D323" s="21">
        <v>2</v>
      </c>
      <c r="E323" s="22">
        <v>55900</v>
      </c>
    </row>
    <row r="324" s="29" customFormat="1" ht="41" spans="2:5">
      <c r="B324" s="19" t="s">
        <v>194</v>
      </c>
      <c r="C324" s="20" t="s">
        <v>182</v>
      </c>
      <c r="D324" s="21">
        <v>77</v>
      </c>
      <c r="E324" s="22">
        <v>105405.405406</v>
      </c>
    </row>
    <row r="325" s="29" customFormat="1" ht="28" spans="2:5">
      <c r="B325" s="19" t="s">
        <v>194</v>
      </c>
      <c r="C325" s="20" t="s">
        <v>804</v>
      </c>
      <c r="D325" s="21">
        <v>39</v>
      </c>
      <c r="E325" s="22">
        <v>0</v>
      </c>
    </row>
    <row r="326" s="29" customFormat="1" spans="2:5">
      <c r="B326" s="19" t="s">
        <v>194</v>
      </c>
      <c r="C326" s="16" t="s">
        <v>183</v>
      </c>
      <c r="D326" s="23">
        <v>118</v>
      </c>
      <c r="E326" s="24">
        <v>161305.405406</v>
      </c>
    </row>
    <row r="327" s="29" customFormat="1" ht="41.75" spans="2:5">
      <c r="B327" s="20" t="s">
        <v>195</v>
      </c>
      <c r="C327" s="20" t="s">
        <v>182</v>
      </c>
      <c r="D327" s="21">
        <v>39</v>
      </c>
      <c r="E327" s="22">
        <v>0</v>
      </c>
    </row>
    <row r="328" s="29" customFormat="1" spans="2:5">
      <c r="B328" s="25"/>
      <c r="C328" s="25"/>
      <c r="D328" s="25"/>
      <c r="E328" s="25"/>
    </row>
    <row r="329" s="29" customFormat="1" ht="36" spans="2:5">
      <c r="B329" s="26" t="s">
        <v>189</v>
      </c>
      <c r="C329" s="26" t="s">
        <v>189</v>
      </c>
      <c r="D329" s="26" t="s">
        <v>189</v>
      </c>
      <c r="E329" s="26" t="s">
        <v>189</v>
      </c>
    </row>
    <row r="330" s="29" customFormat="1" spans="2:5">
      <c r="B330" s="26"/>
      <c r="C330" s="26"/>
      <c r="D330" s="26"/>
      <c r="E330" s="26"/>
    </row>
    <row r="331" s="29" customFormat="1" ht="36" spans="2:5">
      <c r="B331" s="26" t="s">
        <v>1433</v>
      </c>
      <c r="C331" s="26" t="s">
        <v>1433</v>
      </c>
      <c r="D331" s="26" t="s">
        <v>1433</v>
      </c>
      <c r="E331" s="26" t="s">
        <v>1433</v>
      </c>
    </row>
    <row r="332" s="29" customFormat="1" spans="2:5">
      <c r="B332" s="26" t="s">
        <v>282</v>
      </c>
      <c r="C332" s="26" t="s">
        <v>282</v>
      </c>
      <c r="D332" s="26" t="s">
        <v>282</v>
      </c>
      <c r="E332" s="26" t="s">
        <v>282</v>
      </c>
    </row>
    <row r="333" s="29" customFormat="1" ht="124" spans="2:5">
      <c r="B333" s="11" t="s">
        <v>173</v>
      </c>
      <c r="C333" s="11" t="s">
        <v>173</v>
      </c>
      <c r="D333" s="11" t="s">
        <v>173</v>
      </c>
      <c r="E333" s="11" t="s">
        <v>173</v>
      </c>
    </row>
    <row r="334" s="29" customFormat="1" ht="156" spans="2:5">
      <c r="B334" s="12" t="s">
        <v>174</v>
      </c>
      <c r="C334" s="12" t="s">
        <v>174</v>
      </c>
      <c r="D334" s="12" t="s">
        <v>174</v>
      </c>
      <c r="E334" s="12" t="s">
        <v>174</v>
      </c>
    </row>
    <row r="335" s="29" customFormat="1" ht="68" spans="2:5">
      <c r="B335" s="13" t="s">
        <v>1425</v>
      </c>
      <c r="C335" s="13" t="s">
        <v>1425</v>
      </c>
      <c r="D335" s="13" t="s">
        <v>1425</v>
      </c>
      <c r="E335" s="13" t="s">
        <v>1425</v>
      </c>
    </row>
    <row r="336" s="29" customFormat="1" ht="22" spans="2:5">
      <c r="B336" s="14" t="s">
        <v>176</v>
      </c>
      <c r="C336" s="14" t="s">
        <v>176</v>
      </c>
      <c r="D336" s="14" t="s">
        <v>176</v>
      </c>
      <c r="E336" s="14" t="s">
        <v>176</v>
      </c>
    </row>
    <row r="337" s="29" customFormat="1" spans="2:5">
      <c r="B337" s="15" t="s">
        <v>177</v>
      </c>
      <c r="C337" s="16" t="s">
        <v>178</v>
      </c>
      <c r="D337" s="17" t="s">
        <v>179</v>
      </c>
      <c r="E337" s="18" t="s">
        <v>180</v>
      </c>
    </row>
    <row r="338" s="29" customFormat="1" ht="28" spans="2:5">
      <c r="B338" s="19" t="s">
        <v>195</v>
      </c>
      <c r="C338" s="20" t="s">
        <v>804</v>
      </c>
      <c r="D338" s="21">
        <v>13</v>
      </c>
      <c r="E338" s="22">
        <v>0</v>
      </c>
    </row>
    <row r="339" s="29" customFormat="1" spans="2:5">
      <c r="B339" s="19" t="s">
        <v>195</v>
      </c>
      <c r="C339" s="16" t="s">
        <v>183</v>
      </c>
      <c r="D339" s="23">
        <v>52</v>
      </c>
      <c r="E339" s="24">
        <v>0</v>
      </c>
    </row>
    <row r="340" s="29" customFormat="1" ht="41" spans="2:5">
      <c r="B340" s="19" t="s">
        <v>196</v>
      </c>
      <c r="C340" s="20" t="s">
        <v>1191</v>
      </c>
      <c r="D340" s="21">
        <v>30</v>
      </c>
      <c r="E340" s="22">
        <v>1092000</v>
      </c>
    </row>
    <row r="341" s="29" customFormat="1" ht="41" spans="2:5">
      <c r="B341" s="19" t="s">
        <v>196</v>
      </c>
      <c r="C341" s="20" t="s">
        <v>182</v>
      </c>
      <c r="D341" s="21">
        <v>39</v>
      </c>
      <c r="E341" s="22">
        <v>70000</v>
      </c>
    </row>
    <row r="342" s="29" customFormat="1" ht="28" spans="2:5">
      <c r="B342" s="19" t="s">
        <v>196</v>
      </c>
      <c r="C342" s="20" t="s">
        <v>804</v>
      </c>
      <c r="D342" s="21">
        <v>9</v>
      </c>
      <c r="E342" s="22">
        <v>0</v>
      </c>
    </row>
    <row r="343" s="29" customFormat="1" spans="2:5">
      <c r="B343" s="19" t="s">
        <v>196</v>
      </c>
      <c r="C343" s="16" t="s">
        <v>183</v>
      </c>
      <c r="D343" s="23">
        <v>78</v>
      </c>
      <c r="E343" s="24">
        <v>1162000</v>
      </c>
    </row>
    <row r="344" s="29" customFormat="1" ht="41" spans="2:5">
      <c r="B344" s="19" t="s">
        <v>197</v>
      </c>
      <c r="C344" s="20" t="s">
        <v>1191</v>
      </c>
      <c r="D344" s="21">
        <v>32</v>
      </c>
      <c r="E344" s="22">
        <v>1033760</v>
      </c>
    </row>
    <row r="345" s="29" customFormat="1" ht="41" spans="2:5">
      <c r="B345" s="19" t="s">
        <v>197</v>
      </c>
      <c r="C345" s="20" t="s">
        <v>182</v>
      </c>
      <c r="D345" s="21">
        <v>12</v>
      </c>
      <c r="E345" s="22">
        <v>0</v>
      </c>
    </row>
    <row r="346" s="29" customFormat="1" ht="28" spans="2:5">
      <c r="B346" s="19" t="s">
        <v>197</v>
      </c>
      <c r="C346" s="20" t="s">
        <v>804</v>
      </c>
      <c r="D346" s="21">
        <v>9</v>
      </c>
      <c r="E346" s="22">
        <v>0</v>
      </c>
    </row>
    <row r="347" s="29" customFormat="1" spans="2:5">
      <c r="B347" s="19" t="s">
        <v>197</v>
      </c>
      <c r="C347" s="16" t="s">
        <v>183</v>
      </c>
      <c r="D347" s="23">
        <v>53</v>
      </c>
      <c r="E347" s="24">
        <v>1033760</v>
      </c>
    </row>
    <row r="348" s="29" customFormat="1" ht="41" spans="2:5">
      <c r="B348" s="19" t="s">
        <v>410</v>
      </c>
      <c r="C348" s="20" t="s">
        <v>1191</v>
      </c>
      <c r="D348" s="21">
        <v>20</v>
      </c>
      <c r="E348" s="22">
        <v>1235000</v>
      </c>
    </row>
    <row r="349" s="29" customFormat="1" ht="41" spans="2:5">
      <c r="B349" s="19" t="s">
        <v>410</v>
      </c>
      <c r="C349" s="20" t="s">
        <v>182</v>
      </c>
      <c r="D349" s="21">
        <v>2</v>
      </c>
      <c r="E349" s="22">
        <v>0</v>
      </c>
    </row>
    <row r="350" s="29" customFormat="1" ht="17.55" spans="2:5">
      <c r="B350" s="19" t="s">
        <v>410</v>
      </c>
      <c r="C350" s="16" t="s">
        <v>183</v>
      </c>
      <c r="D350" s="23">
        <v>22</v>
      </c>
      <c r="E350" s="24">
        <v>1235000</v>
      </c>
    </row>
    <row r="351" s="29" customFormat="1" spans="2:5">
      <c r="B351" s="25"/>
      <c r="C351" s="25"/>
      <c r="D351" s="25"/>
      <c r="E351" s="25"/>
    </row>
    <row r="352" s="29" customFormat="1" ht="36" spans="2:5">
      <c r="B352" s="26" t="s">
        <v>189</v>
      </c>
      <c r="C352" s="26" t="s">
        <v>189</v>
      </c>
      <c r="D352" s="26" t="s">
        <v>189</v>
      </c>
      <c r="E352" s="26" t="s">
        <v>189</v>
      </c>
    </row>
    <row r="353" s="29" customFormat="1" spans="2:5">
      <c r="B353" s="26"/>
      <c r="C353" s="26"/>
      <c r="D353" s="26"/>
      <c r="E353" s="26"/>
    </row>
    <row r="354" s="29" customFormat="1" ht="36" spans="2:5">
      <c r="B354" s="26" t="s">
        <v>1433</v>
      </c>
      <c r="C354" s="26" t="s">
        <v>1433</v>
      </c>
      <c r="D354" s="26" t="s">
        <v>1433</v>
      </c>
      <c r="E354" s="26" t="s">
        <v>1433</v>
      </c>
    </row>
    <row r="355" s="29" customFormat="1" spans="2:5">
      <c r="B355" s="26" t="s">
        <v>289</v>
      </c>
      <c r="C355" s="26" t="s">
        <v>289</v>
      </c>
      <c r="D355" s="26" t="s">
        <v>289</v>
      </c>
      <c r="E355" s="26" t="s">
        <v>289</v>
      </c>
    </row>
    <row r="356" s="29" customFormat="1" ht="124" spans="2:5">
      <c r="B356" s="11" t="s">
        <v>173</v>
      </c>
      <c r="C356" s="11" t="s">
        <v>173</v>
      </c>
      <c r="D356" s="11" t="s">
        <v>173</v>
      </c>
      <c r="E356" s="11" t="s">
        <v>173</v>
      </c>
    </row>
    <row r="357" s="29" customFormat="1" ht="156" spans="2:5">
      <c r="B357" s="12" t="s">
        <v>174</v>
      </c>
      <c r="C357" s="12" t="s">
        <v>174</v>
      </c>
      <c r="D357" s="12" t="s">
        <v>174</v>
      </c>
      <c r="E357" s="12" t="s">
        <v>174</v>
      </c>
    </row>
    <row r="358" s="29" customFormat="1" ht="68" spans="2:5">
      <c r="B358" s="13" t="s">
        <v>1425</v>
      </c>
      <c r="C358" s="13" t="s">
        <v>1425</v>
      </c>
      <c r="D358" s="13" t="s">
        <v>1425</v>
      </c>
      <c r="E358" s="13" t="s">
        <v>1425</v>
      </c>
    </row>
    <row r="359" s="29" customFormat="1" ht="22" spans="2:5">
      <c r="B359" s="14" t="s">
        <v>176</v>
      </c>
      <c r="C359" s="14" t="s">
        <v>176</v>
      </c>
      <c r="D359" s="14" t="s">
        <v>176</v>
      </c>
      <c r="E359" s="14" t="s">
        <v>176</v>
      </c>
    </row>
    <row r="360" s="29" customFormat="1" spans="2:5">
      <c r="B360" s="15" t="s">
        <v>177</v>
      </c>
      <c r="C360" s="16" t="s">
        <v>178</v>
      </c>
      <c r="D360" s="17" t="s">
        <v>179</v>
      </c>
      <c r="E360" s="18" t="s">
        <v>180</v>
      </c>
    </row>
    <row r="361" s="29" customFormat="1" ht="41" spans="2:5">
      <c r="B361" s="19" t="s">
        <v>199</v>
      </c>
      <c r="C361" s="20" t="s">
        <v>1191</v>
      </c>
      <c r="D361" s="21">
        <v>40</v>
      </c>
      <c r="E361" s="22">
        <v>1118000</v>
      </c>
    </row>
    <row r="362" s="29" customFormat="1" ht="41" spans="2:5">
      <c r="B362" s="19" t="s">
        <v>199</v>
      </c>
      <c r="C362" s="20" t="s">
        <v>182</v>
      </c>
      <c r="D362" s="21">
        <v>101</v>
      </c>
      <c r="E362" s="22">
        <v>52702.702703</v>
      </c>
    </row>
    <row r="363" s="29" customFormat="1" ht="28" spans="2:5">
      <c r="B363" s="19" t="s">
        <v>199</v>
      </c>
      <c r="C363" s="20" t="s">
        <v>804</v>
      </c>
      <c r="D363" s="21">
        <v>43</v>
      </c>
      <c r="E363" s="22">
        <v>0</v>
      </c>
    </row>
    <row r="364" s="29" customFormat="1" spans="2:5">
      <c r="B364" s="19" t="s">
        <v>199</v>
      </c>
      <c r="C364" s="16" t="s">
        <v>183</v>
      </c>
      <c r="D364" s="23">
        <v>184</v>
      </c>
      <c r="E364" s="24">
        <v>1170702.702703</v>
      </c>
    </row>
    <row r="365" s="29" customFormat="1" ht="41" spans="2:5">
      <c r="B365" s="19" t="s">
        <v>200</v>
      </c>
      <c r="C365" s="20" t="s">
        <v>1191</v>
      </c>
      <c r="D365" s="21">
        <v>40</v>
      </c>
      <c r="E365" s="22">
        <v>1300000</v>
      </c>
    </row>
    <row r="366" s="29" customFormat="1" ht="41" spans="2:5">
      <c r="B366" s="19" t="s">
        <v>200</v>
      </c>
      <c r="C366" s="20" t="s">
        <v>182</v>
      </c>
      <c r="D366" s="21">
        <v>26</v>
      </c>
      <c r="E366" s="22">
        <v>0</v>
      </c>
    </row>
    <row r="367" s="29" customFormat="1" ht="28" spans="2:5">
      <c r="B367" s="19" t="s">
        <v>200</v>
      </c>
      <c r="C367" s="20" t="s">
        <v>804</v>
      </c>
      <c r="D367" s="21">
        <v>14</v>
      </c>
      <c r="E367" s="22">
        <v>0</v>
      </c>
    </row>
    <row r="368" s="29" customFormat="1" spans="2:5">
      <c r="B368" s="19" t="s">
        <v>200</v>
      </c>
      <c r="C368" s="16" t="s">
        <v>183</v>
      </c>
      <c r="D368" s="23">
        <v>80</v>
      </c>
      <c r="E368" s="24">
        <v>1300000</v>
      </c>
    </row>
    <row r="369" s="29" customFormat="1" ht="41" spans="2:5">
      <c r="B369" s="19" t="s">
        <v>1465</v>
      </c>
      <c r="C369" s="20" t="s">
        <v>1191</v>
      </c>
      <c r="D369" s="21">
        <v>10</v>
      </c>
      <c r="E369" s="22">
        <v>471250</v>
      </c>
    </row>
    <row r="370" s="29" customFormat="1" spans="2:5">
      <c r="B370" s="19" t="s">
        <v>1465</v>
      </c>
      <c r="C370" s="16" t="s">
        <v>183</v>
      </c>
      <c r="D370" s="23">
        <v>10</v>
      </c>
      <c r="E370" s="24">
        <v>471250</v>
      </c>
    </row>
    <row r="371" s="29" customFormat="1" ht="41" spans="2:5">
      <c r="B371" s="19" t="s">
        <v>1466</v>
      </c>
      <c r="C371" s="20" t="s">
        <v>182</v>
      </c>
      <c r="D371" s="21">
        <v>1</v>
      </c>
      <c r="E371" s="22">
        <v>0</v>
      </c>
    </row>
    <row r="372" s="29" customFormat="1" spans="2:5">
      <c r="B372" s="19" t="s">
        <v>1466</v>
      </c>
      <c r="C372" s="16" t="s">
        <v>183</v>
      </c>
      <c r="D372" s="23">
        <v>1</v>
      </c>
      <c r="E372" s="24">
        <v>0</v>
      </c>
    </row>
    <row r="373" s="29" customFormat="1" ht="41" spans="2:5">
      <c r="B373" s="19" t="s">
        <v>1467</v>
      </c>
      <c r="C373" s="20" t="s">
        <v>182</v>
      </c>
      <c r="D373" s="21">
        <v>1</v>
      </c>
      <c r="E373" s="22">
        <v>0</v>
      </c>
    </row>
    <row r="374" s="29" customFormat="1" ht="17.55" spans="2:5">
      <c r="B374" s="19" t="s">
        <v>1467</v>
      </c>
      <c r="C374" s="16" t="s">
        <v>183</v>
      </c>
      <c r="D374" s="23">
        <v>1</v>
      </c>
      <c r="E374" s="24">
        <v>0</v>
      </c>
    </row>
    <row r="375" s="29" customFormat="1" spans="2:5">
      <c r="B375" s="25"/>
      <c r="C375" s="25"/>
      <c r="D375" s="25"/>
      <c r="E375" s="25"/>
    </row>
    <row r="376" s="29" customFormat="1" ht="36" spans="2:5">
      <c r="B376" s="26" t="s">
        <v>189</v>
      </c>
      <c r="C376" s="26" t="s">
        <v>189</v>
      </c>
      <c r="D376" s="26" t="s">
        <v>189</v>
      </c>
      <c r="E376" s="26" t="s">
        <v>189</v>
      </c>
    </row>
    <row r="377" s="29" customFormat="1" spans="2:5">
      <c r="B377" s="26"/>
      <c r="C377" s="26"/>
      <c r="D377" s="26"/>
      <c r="E377" s="26"/>
    </row>
    <row r="378" s="29" customFormat="1" ht="36" spans="2:5">
      <c r="B378" s="26" t="s">
        <v>1433</v>
      </c>
      <c r="C378" s="26" t="s">
        <v>1433</v>
      </c>
      <c r="D378" s="26" t="s">
        <v>1433</v>
      </c>
      <c r="E378" s="26" t="s">
        <v>1433</v>
      </c>
    </row>
    <row r="379" s="29" customFormat="1" spans="2:5">
      <c r="B379" s="26" t="s">
        <v>296</v>
      </c>
      <c r="C379" s="26" t="s">
        <v>296</v>
      </c>
      <c r="D379" s="26" t="s">
        <v>296</v>
      </c>
      <c r="E379" s="26" t="s">
        <v>296</v>
      </c>
    </row>
    <row r="380" s="29" customFormat="1" ht="124" spans="2:5">
      <c r="B380" s="11" t="s">
        <v>173</v>
      </c>
      <c r="C380" s="11" t="s">
        <v>173</v>
      </c>
      <c r="D380" s="11" t="s">
        <v>173</v>
      </c>
      <c r="E380" s="11" t="s">
        <v>173</v>
      </c>
    </row>
    <row r="381" s="29" customFormat="1" ht="156" spans="2:5">
      <c r="B381" s="12" t="s">
        <v>174</v>
      </c>
      <c r="C381" s="12" t="s">
        <v>174</v>
      </c>
      <c r="D381" s="12" t="s">
        <v>174</v>
      </c>
      <c r="E381" s="12" t="s">
        <v>174</v>
      </c>
    </row>
    <row r="382" s="29" customFormat="1" ht="68" spans="2:5">
      <c r="B382" s="13" t="s">
        <v>1425</v>
      </c>
      <c r="C382" s="13" t="s">
        <v>1425</v>
      </c>
      <c r="D382" s="13" t="s">
        <v>1425</v>
      </c>
      <c r="E382" s="13" t="s">
        <v>1425</v>
      </c>
    </row>
    <row r="383" s="29" customFormat="1" ht="22" spans="2:5">
      <c r="B383" s="14" t="s">
        <v>176</v>
      </c>
      <c r="C383" s="14" t="s">
        <v>176</v>
      </c>
      <c r="D383" s="14" t="s">
        <v>176</v>
      </c>
      <c r="E383" s="14" t="s">
        <v>176</v>
      </c>
    </row>
    <row r="384" s="29" customFormat="1" spans="2:5">
      <c r="B384" s="15" t="s">
        <v>177</v>
      </c>
      <c r="C384" s="16" t="s">
        <v>178</v>
      </c>
      <c r="D384" s="17" t="s">
        <v>179</v>
      </c>
      <c r="E384" s="18" t="s">
        <v>180</v>
      </c>
    </row>
    <row r="385" s="29" customFormat="1" ht="41" spans="2:5">
      <c r="B385" s="19" t="s">
        <v>1468</v>
      </c>
      <c r="C385" s="20" t="s">
        <v>182</v>
      </c>
      <c r="D385" s="21">
        <v>4</v>
      </c>
      <c r="E385" s="22">
        <v>410000</v>
      </c>
    </row>
    <row r="386" s="29" customFormat="1" spans="2:5">
      <c r="B386" s="19" t="s">
        <v>1468</v>
      </c>
      <c r="C386" s="16" t="s">
        <v>183</v>
      </c>
      <c r="D386" s="23">
        <v>4</v>
      </c>
      <c r="E386" s="24">
        <v>410000</v>
      </c>
    </row>
    <row r="387" s="29" customFormat="1" ht="28" spans="2:5">
      <c r="B387" s="19" t="s">
        <v>1201</v>
      </c>
      <c r="C387" s="20" t="s">
        <v>804</v>
      </c>
      <c r="D387" s="21">
        <v>24</v>
      </c>
      <c r="E387" s="22">
        <v>1770270.27027</v>
      </c>
    </row>
    <row r="388" s="29" customFormat="1" ht="28" spans="2:5">
      <c r="B388" s="19" t="s">
        <v>1201</v>
      </c>
      <c r="C388" s="16" t="s">
        <v>183</v>
      </c>
      <c r="D388" s="23">
        <v>24</v>
      </c>
      <c r="E388" s="24">
        <v>1770270.27027</v>
      </c>
    </row>
    <row r="389" s="29" customFormat="1" ht="41" spans="2:5">
      <c r="B389" s="19" t="s">
        <v>411</v>
      </c>
      <c r="C389" s="20" t="s">
        <v>182</v>
      </c>
      <c r="D389" s="21">
        <v>24</v>
      </c>
      <c r="E389" s="22">
        <v>245045.045044</v>
      </c>
    </row>
    <row r="390" s="29" customFormat="1" ht="28" spans="2:5">
      <c r="B390" s="19" t="s">
        <v>411</v>
      </c>
      <c r="C390" s="20" t="s">
        <v>804</v>
      </c>
      <c r="D390" s="21">
        <v>16</v>
      </c>
      <c r="E390" s="22">
        <v>288288.288288</v>
      </c>
    </row>
    <row r="391" s="29" customFormat="1" ht="28" spans="2:5">
      <c r="B391" s="19" t="s">
        <v>411</v>
      </c>
      <c r="C391" s="16" t="s">
        <v>183</v>
      </c>
      <c r="D391" s="23">
        <v>40</v>
      </c>
      <c r="E391" s="24">
        <v>533333.333332</v>
      </c>
    </row>
    <row r="392" s="29" customFormat="1" ht="41" spans="2:5">
      <c r="B392" s="19" t="s">
        <v>1469</v>
      </c>
      <c r="C392" s="20" t="s">
        <v>182</v>
      </c>
      <c r="D392" s="21">
        <v>8</v>
      </c>
      <c r="E392" s="22">
        <v>972972.972972</v>
      </c>
    </row>
    <row r="393" s="29" customFormat="1" ht="28" spans="2:5">
      <c r="B393" s="19" t="s">
        <v>1469</v>
      </c>
      <c r="C393" s="16" t="s">
        <v>183</v>
      </c>
      <c r="D393" s="23">
        <v>8</v>
      </c>
      <c r="E393" s="24">
        <v>972972.972972</v>
      </c>
    </row>
    <row r="394" s="29" customFormat="1" ht="41" spans="2:5">
      <c r="B394" s="19" t="s">
        <v>202</v>
      </c>
      <c r="C394" s="20" t="s">
        <v>182</v>
      </c>
      <c r="D394" s="21">
        <v>12</v>
      </c>
      <c r="E394" s="22">
        <v>1218018.018018</v>
      </c>
    </row>
    <row r="395" s="29" customFormat="1" ht="28" spans="2:5">
      <c r="B395" s="19" t="s">
        <v>202</v>
      </c>
      <c r="C395" s="20" t="s">
        <v>804</v>
      </c>
      <c r="D395" s="21">
        <v>12</v>
      </c>
      <c r="E395" s="22">
        <v>1326126.126126</v>
      </c>
    </row>
    <row r="396" s="29" customFormat="1" ht="28" spans="2:5">
      <c r="B396" s="19" t="s">
        <v>202</v>
      </c>
      <c r="C396" s="16" t="s">
        <v>183</v>
      </c>
      <c r="D396" s="23">
        <v>24</v>
      </c>
      <c r="E396" s="24">
        <v>2544144.144144</v>
      </c>
    </row>
    <row r="397" s="29" customFormat="1" ht="28" spans="2:5">
      <c r="B397" s="19" t="s">
        <v>357</v>
      </c>
      <c r="C397" s="20" t="s">
        <v>804</v>
      </c>
      <c r="D397" s="21">
        <v>12</v>
      </c>
      <c r="E397" s="22">
        <v>1362162.162161</v>
      </c>
    </row>
    <row r="398" s="29" customFormat="1" ht="28.75" spans="2:5">
      <c r="B398" s="19" t="s">
        <v>357</v>
      </c>
      <c r="C398" s="16" t="s">
        <v>183</v>
      </c>
      <c r="D398" s="23">
        <v>12</v>
      </c>
      <c r="E398" s="24">
        <v>1362162.162161</v>
      </c>
    </row>
    <row r="399" s="29" customFormat="1" spans="2:5">
      <c r="B399" s="25"/>
      <c r="C399" s="25"/>
      <c r="D399" s="25"/>
      <c r="E399" s="25"/>
    </row>
    <row r="400" s="29" customFormat="1" ht="36" spans="2:5">
      <c r="B400" s="26" t="s">
        <v>189</v>
      </c>
      <c r="C400" s="26" t="s">
        <v>189</v>
      </c>
      <c r="D400" s="26" t="s">
        <v>189</v>
      </c>
      <c r="E400" s="26" t="s">
        <v>189</v>
      </c>
    </row>
    <row r="401" s="29" customFormat="1" spans="2:5">
      <c r="B401" s="26"/>
      <c r="C401" s="26"/>
      <c r="D401" s="26"/>
      <c r="E401" s="26"/>
    </row>
    <row r="402" s="29" customFormat="1" ht="36" spans="2:5">
      <c r="B402" s="26" t="s">
        <v>1433</v>
      </c>
      <c r="C402" s="26" t="s">
        <v>1433</v>
      </c>
      <c r="D402" s="26" t="s">
        <v>1433</v>
      </c>
      <c r="E402" s="26" t="s">
        <v>1433</v>
      </c>
    </row>
    <row r="403" s="29" customFormat="1" spans="2:5">
      <c r="B403" s="26" t="s">
        <v>303</v>
      </c>
      <c r="C403" s="26" t="s">
        <v>303</v>
      </c>
      <c r="D403" s="26" t="s">
        <v>303</v>
      </c>
      <c r="E403" s="26" t="s">
        <v>303</v>
      </c>
    </row>
    <row r="404" s="29" customFormat="1" ht="124" spans="2:5">
      <c r="B404" s="11" t="s">
        <v>173</v>
      </c>
      <c r="C404" s="11" t="s">
        <v>173</v>
      </c>
      <c r="D404" s="11" t="s">
        <v>173</v>
      </c>
      <c r="E404" s="11" t="s">
        <v>173</v>
      </c>
    </row>
    <row r="405" s="29" customFormat="1" ht="156" spans="2:5">
      <c r="B405" s="12" t="s">
        <v>174</v>
      </c>
      <c r="C405" s="12" t="s">
        <v>174</v>
      </c>
      <c r="D405" s="12" t="s">
        <v>174</v>
      </c>
      <c r="E405" s="12" t="s">
        <v>174</v>
      </c>
    </row>
    <row r="406" s="29" customFormat="1" ht="68" spans="2:5">
      <c r="B406" s="13" t="s">
        <v>1425</v>
      </c>
      <c r="C406" s="13" t="s">
        <v>1425</v>
      </c>
      <c r="D406" s="13" t="s">
        <v>1425</v>
      </c>
      <c r="E406" s="13" t="s">
        <v>1425</v>
      </c>
    </row>
    <row r="407" s="29" customFormat="1" ht="22" spans="2:5">
      <c r="B407" s="14" t="s">
        <v>176</v>
      </c>
      <c r="C407" s="14" t="s">
        <v>176</v>
      </c>
      <c r="D407" s="14" t="s">
        <v>176</v>
      </c>
      <c r="E407" s="14" t="s">
        <v>176</v>
      </c>
    </row>
    <row r="408" s="29" customFormat="1" spans="2:5">
      <c r="B408" s="15" t="s">
        <v>177</v>
      </c>
      <c r="C408" s="16" t="s">
        <v>178</v>
      </c>
      <c r="D408" s="17" t="s">
        <v>179</v>
      </c>
      <c r="E408" s="18" t="s">
        <v>180</v>
      </c>
    </row>
    <row r="409" s="29" customFormat="1" ht="41" spans="2:5">
      <c r="B409" s="19" t="s">
        <v>412</v>
      </c>
      <c r="C409" s="20" t="s">
        <v>182</v>
      </c>
      <c r="D409" s="21">
        <v>20</v>
      </c>
      <c r="E409" s="22">
        <v>216216.216216</v>
      </c>
    </row>
    <row r="410" s="29" customFormat="1" ht="28" spans="2:5">
      <c r="B410" s="19" t="s">
        <v>412</v>
      </c>
      <c r="C410" s="20" t="s">
        <v>804</v>
      </c>
      <c r="D410" s="21">
        <v>12</v>
      </c>
      <c r="E410" s="22">
        <v>324324.324324</v>
      </c>
    </row>
    <row r="411" s="29" customFormat="1" ht="28" spans="2:5">
      <c r="B411" s="19" t="s">
        <v>412</v>
      </c>
      <c r="C411" s="16" t="s">
        <v>183</v>
      </c>
      <c r="D411" s="23">
        <v>32</v>
      </c>
      <c r="E411" s="24">
        <v>540540.54054</v>
      </c>
    </row>
    <row r="412" s="29" customFormat="1" ht="28" spans="2:5">
      <c r="B412" s="19" t="s">
        <v>1202</v>
      </c>
      <c r="C412" s="20" t="s">
        <v>804</v>
      </c>
      <c r="D412" s="21">
        <v>8</v>
      </c>
      <c r="E412" s="22">
        <v>1308108.108108</v>
      </c>
    </row>
    <row r="413" s="29" customFormat="1" ht="28" spans="2:5">
      <c r="B413" s="19" t="s">
        <v>1202</v>
      </c>
      <c r="C413" s="16" t="s">
        <v>183</v>
      </c>
      <c r="D413" s="23">
        <v>8</v>
      </c>
      <c r="E413" s="24">
        <v>1308108.108108</v>
      </c>
    </row>
    <row r="414" s="29" customFormat="1" ht="41" spans="2:5">
      <c r="B414" s="19" t="s">
        <v>1470</v>
      </c>
      <c r="C414" s="20" t="s">
        <v>182</v>
      </c>
      <c r="D414" s="21">
        <v>8</v>
      </c>
      <c r="E414" s="22">
        <v>846846.846847</v>
      </c>
    </row>
    <row r="415" s="29" customFormat="1" ht="28" spans="2:5">
      <c r="B415" s="19" t="s">
        <v>1470</v>
      </c>
      <c r="C415" s="16" t="s">
        <v>183</v>
      </c>
      <c r="D415" s="23">
        <v>8</v>
      </c>
      <c r="E415" s="24">
        <v>846846.846847</v>
      </c>
    </row>
    <row r="416" s="29" customFormat="1" ht="28" spans="2:5">
      <c r="B416" s="19" t="s">
        <v>963</v>
      </c>
      <c r="C416" s="20" t="s">
        <v>804</v>
      </c>
      <c r="D416" s="21">
        <v>8</v>
      </c>
      <c r="E416" s="22">
        <v>1261261.261262</v>
      </c>
    </row>
    <row r="417" s="29" customFormat="1" ht="28" spans="2:5">
      <c r="B417" s="19" t="s">
        <v>963</v>
      </c>
      <c r="C417" s="16" t="s">
        <v>183</v>
      </c>
      <c r="D417" s="23">
        <v>8</v>
      </c>
      <c r="E417" s="24">
        <v>1261261.261262</v>
      </c>
    </row>
    <row r="418" s="29" customFormat="1" ht="41" spans="2:5">
      <c r="B418" s="19" t="s">
        <v>415</v>
      </c>
      <c r="C418" s="20" t="s">
        <v>182</v>
      </c>
      <c r="D418" s="21">
        <v>1</v>
      </c>
      <c r="E418" s="22">
        <v>64864.864865</v>
      </c>
    </row>
    <row r="419" s="29" customFormat="1" ht="28" spans="2:5">
      <c r="B419" s="19" t="s">
        <v>415</v>
      </c>
      <c r="C419" s="20" t="s">
        <v>804</v>
      </c>
      <c r="D419" s="21">
        <v>2</v>
      </c>
      <c r="E419" s="22">
        <v>129729.72973</v>
      </c>
    </row>
    <row r="420" s="29" customFormat="1" ht="28" spans="2:5">
      <c r="B420" s="19" t="s">
        <v>415</v>
      </c>
      <c r="C420" s="16" t="s">
        <v>183</v>
      </c>
      <c r="D420" s="23">
        <v>3</v>
      </c>
      <c r="E420" s="24">
        <v>194594.594595</v>
      </c>
    </row>
    <row r="421" s="29" customFormat="1" ht="41" spans="2:5">
      <c r="B421" s="19" t="s">
        <v>203</v>
      </c>
      <c r="C421" s="20" t="s">
        <v>1191</v>
      </c>
      <c r="D421" s="21">
        <v>25</v>
      </c>
      <c r="E421" s="22">
        <v>827141.25</v>
      </c>
    </row>
    <row r="422" s="29" customFormat="1" ht="41.75" spans="2:5">
      <c r="B422" s="19" t="s">
        <v>203</v>
      </c>
      <c r="C422" s="20" t="s">
        <v>182</v>
      </c>
      <c r="D422" s="21">
        <v>3</v>
      </c>
      <c r="E422" s="22">
        <v>136216.414415</v>
      </c>
    </row>
    <row r="423" s="29" customFormat="1" spans="2:5">
      <c r="B423" s="25"/>
      <c r="C423" s="25"/>
      <c r="D423" s="25"/>
      <c r="E423" s="25"/>
    </row>
    <row r="424" s="29" customFormat="1" ht="36" spans="2:5">
      <c r="B424" s="26" t="s">
        <v>189</v>
      </c>
      <c r="C424" s="26" t="s">
        <v>189</v>
      </c>
      <c r="D424" s="26" t="s">
        <v>189</v>
      </c>
      <c r="E424" s="26" t="s">
        <v>189</v>
      </c>
    </row>
    <row r="425" s="29" customFormat="1" spans="2:5">
      <c r="B425" s="26"/>
      <c r="C425" s="26"/>
      <c r="D425" s="26"/>
      <c r="E425" s="26"/>
    </row>
    <row r="426" s="29" customFormat="1" ht="36" spans="2:5">
      <c r="B426" s="26" t="s">
        <v>1433</v>
      </c>
      <c r="C426" s="26" t="s">
        <v>1433</v>
      </c>
      <c r="D426" s="26" t="s">
        <v>1433</v>
      </c>
      <c r="E426" s="26" t="s">
        <v>1433</v>
      </c>
    </row>
    <row r="427" s="29" customFormat="1" spans="2:5">
      <c r="B427" s="26" t="s">
        <v>310</v>
      </c>
      <c r="C427" s="26" t="s">
        <v>310</v>
      </c>
      <c r="D427" s="26" t="s">
        <v>310</v>
      </c>
      <c r="E427" s="26" t="s">
        <v>310</v>
      </c>
    </row>
    <row r="428" s="29" customFormat="1" ht="124" spans="2:5">
      <c r="B428" s="11" t="s">
        <v>173</v>
      </c>
      <c r="C428" s="11" t="s">
        <v>173</v>
      </c>
      <c r="D428" s="11" t="s">
        <v>173</v>
      </c>
      <c r="E428" s="11" t="s">
        <v>173</v>
      </c>
    </row>
    <row r="429" s="29" customFormat="1" ht="156" spans="2:5">
      <c r="B429" s="12" t="s">
        <v>174</v>
      </c>
      <c r="C429" s="12" t="s">
        <v>174</v>
      </c>
      <c r="D429" s="12" t="s">
        <v>174</v>
      </c>
      <c r="E429" s="12" t="s">
        <v>174</v>
      </c>
    </row>
    <row r="430" s="29" customFormat="1" ht="68" spans="2:5">
      <c r="B430" s="13" t="s">
        <v>1425</v>
      </c>
      <c r="C430" s="13" t="s">
        <v>1425</v>
      </c>
      <c r="D430" s="13" t="s">
        <v>1425</v>
      </c>
      <c r="E430" s="13" t="s">
        <v>1425</v>
      </c>
    </row>
    <row r="431" s="29" customFormat="1" ht="22" spans="2:5">
      <c r="B431" s="14" t="s">
        <v>176</v>
      </c>
      <c r="C431" s="14" t="s">
        <v>176</v>
      </c>
      <c r="D431" s="14" t="s">
        <v>176</v>
      </c>
      <c r="E431" s="14" t="s">
        <v>176</v>
      </c>
    </row>
    <row r="432" s="29" customFormat="1" spans="2:5">
      <c r="B432" s="15" t="s">
        <v>177</v>
      </c>
      <c r="C432" s="16" t="s">
        <v>178</v>
      </c>
      <c r="D432" s="17" t="s">
        <v>179</v>
      </c>
      <c r="E432" s="18" t="s">
        <v>180</v>
      </c>
    </row>
    <row r="433" s="29" customFormat="1" ht="28" spans="2:5">
      <c r="B433" s="19" t="s">
        <v>203</v>
      </c>
      <c r="C433" s="20" t="s">
        <v>804</v>
      </c>
      <c r="D433" s="21">
        <v>1</v>
      </c>
      <c r="E433" s="22">
        <v>42161.972973</v>
      </c>
    </row>
    <row r="434" s="29" customFormat="1" ht="28" spans="2:5">
      <c r="B434" s="19" t="s">
        <v>203</v>
      </c>
      <c r="C434" s="16" t="s">
        <v>183</v>
      </c>
      <c r="D434" s="23">
        <v>29</v>
      </c>
      <c r="E434" s="24">
        <v>1005519.637388</v>
      </c>
    </row>
    <row r="435" s="29" customFormat="1" ht="41" spans="2:5">
      <c r="B435" s="19" t="s">
        <v>204</v>
      </c>
      <c r="C435" s="20" t="s">
        <v>1191</v>
      </c>
      <c r="D435" s="21">
        <v>40</v>
      </c>
      <c r="E435" s="22">
        <v>1323426</v>
      </c>
    </row>
    <row r="436" s="29" customFormat="1" ht="41" spans="2:5">
      <c r="B436" s="19" t="s">
        <v>204</v>
      </c>
      <c r="C436" s="20" t="s">
        <v>182</v>
      </c>
      <c r="D436" s="21">
        <v>6</v>
      </c>
      <c r="E436" s="22">
        <v>63063.063063</v>
      </c>
    </row>
    <row r="437" s="29" customFormat="1" ht="28" spans="2:5">
      <c r="B437" s="19" t="s">
        <v>204</v>
      </c>
      <c r="C437" s="20" t="s">
        <v>804</v>
      </c>
      <c r="D437" s="21">
        <v>2</v>
      </c>
      <c r="E437" s="22">
        <v>129729.558559</v>
      </c>
    </row>
    <row r="438" s="29" customFormat="1" ht="28" spans="2:5">
      <c r="B438" s="19" t="s">
        <v>204</v>
      </c>
      <c r="C438" s="16" t="s">
        <v>183</v>
      </c>
      <c r="D438" s="23">
        <v>48</v>
      </c>
      <c r="E438" s="24">
        <v>1516218.621622</v>
      </c>
    </row>
    <row r="439" s="29" customFormat="1" ht="41" spans="2:5">
      <c r="B439" s="19" t="s">
        <v>359</v>
      </c>
      <c r="C439" s="20" t="s">
        <v>1191</v>
      </c>
      <c r="D439" s="21">
        <v>50</v>
      </c>
      <c r="E439" s="22">
        <v>1771412.5</v>
      </c>
    </row>
    <row r="440" s="29" customFormat="1" ht="41" spans="2:5">
      <c r="B440" s="19" t="s">
        <v>359</v>
      </c>
      <c r="C440" s="20" t="s">
        <v>182</v>
      </c>
      <c r="D440" s="21">
        <v>1</v>
      </c>
      <c r="E440" s="22">
        <v>47927.927928</v>
      </c>
    </row>
    <row r="441" s="29" customFormat="1" ht="28" spans="2:5">
      <c r="B441" s="19" t="s">
        <v>359</v>
      </c>
      <c r="C441" s="16" t="s">
        <v>183</v>
      </c>
      <c r="D441" s="23">
        <v>51</v>
      </c>
      <c r="E441" s="24">
        <v>1819340.427928</v>
      </c>
    </row>
    <row r="442" s="29" customFormat="1" ht="41" spans="2:5">
      <c r="B442" s="19" t="s">
        <v>206</v>
      </c>
      <c r="C442" s="20" t="s">
        <v>1191</v>
      </c>
      <c r="D442" s="21">
        <v>20</v>
      </c>
      <c r="E442" s="22">
        <v>743691</v>
      </c>
    </row>
    <row r="443" s="29" customFormat="1" ht="28" spans="2:5">
      <c r="B443" s="19" t="s">
        <v>206</v>
      </c>
      <c r="C443" s="16" t="s">
        <v>183</v>
      </c>
      <c r="D443" s="23">
        <v>20</v>
      </c>
      <c r="E443" s="24">
        <v>743691</v>
      </c>
    </row>
    <row r="444" s="29" customFormat="1" ht="41" spans="2:5">
      <c r="B444" s="19" t="s">
        <v>207</v>
      </c>
      <c r="C444" s="20" t="s">
        <v>1191</v>
      </c>
      <c r="D444" s="21">
        <v>10</v>
      </c>
      <c r="E444" s="22">
        <v>418691</v>
      </c>
    </row>
    <row r="445" s="29" customFormat="1" ht="41" spans="2:5">
      <c r="B445" s="19" t="s">
        <v>207</v>
      </c>
      <c r="C445" s="20" t="s">
        <v>182</v>
      </c>
      <c r="D445" s="21">
        <v>2</v>
      </c>
      <c r="E445" s="22">
        <v>110990.99099</v>
      </c>
    </row>
    <row r="446" s="29" customFormat="1" ht="28.75" spans="2:5">
      <c r="B446" s="19" t="s">
        <v>207</v>
      </c>
      <c r="C446" s="16" t="s">
        <v>183</v>
      </c>
      <c r="D446" s="23">
        <v>12</v>
      </c>
      <c r="E446" s="24">
        <v>529681.99099</v>
      </c>
    </row>
    <row r="447" s="29" customFormat="1" spans="2:5">
      <c r="B447" s="25"/>
      <c r="C447" s="25"/>
      <c r="D447" s="25"/>
      <c r="E447" s="25"/>
    </row>
    <row r="448" s="29" customFormat="1" ht="36" spans="2:5">
      <c r="B448" s="26" t="s">
        <v>189</v>
      </c>
      <c r="C448" s="26" t="s">
        <v>189</v>
      </c>
      <c r="D448" s="26" t="s">
        <v>189</v>
      </c>
      <c r="E448" s="26" t="s">
        <v>189</v>
      </c>
    </row>
    <row r="449" s="29" customFormat="1" spans="2:5">
      <c r="B449" s="26"/>
      <c r="C449" s="26"/>
      <c r="D449" s="26"/>
      <c r="E449" s="26"/>
    </row>
    <row r="450" s="29" customFormat="1" ht="36" spans="2:5">
      <c r="B450" s="26" t="s">
        <v>1433</v>
      </c>
      <c r="C450" s="26" t="s">
        <v>1433</v>
      </c>
      <c r="D450" s="26" t="s">
        <v>1433</v>
      </c>
      <c r="E450" s="26" t="s">
        <v>1433</v>
      </c>
    </row>
    <row r="451" s="29" customFormat="1" spans="2:5">
      <c r="B451" s="26" t="s">
        <v>317</v>
      </c>
      <c r="C451" s="26" t="s">
        <v>317</v>
      </c>
      <c r="D451" s="26" t="s">
        <v>317</v>
      </c>
      <c r="E451" s="26" t="s">
        <v>317</v>
      </c>
    </row>
    <row r="452" s="29" customFormat="1" ht="124" spans="2:5">
      <c r="B452" s="11" t="s">
        <v>173</v>
      </c>
      <c r="C452" s="11" t="s">
        <v>173</v>
      </c>
      <c r="D452" s="11" t="s">
        <v>173</v>
      </c>
      <c r="E452" s="11" t="s">
        <v>173</v>
      </c>
    </row>
    <row r="453" s="29" customFormat="1" ht="156" spans="2:5">
      <c r="B453" s="12" t="s">
        <v>174</v>
      </c>
      <c r="C453" s="12" t="s">
        <v>174</v>
      </c>
      <c r="D453" s="12" t="s">
        <v>174</v>
      </c>
      <c r="E453" s="12" t="s">
        <v>174</v>
      </c>
    </row>
    <row r="454" s="29" customFormat="1" ht="68" spans="2:5">
      <c r="B454" s="13" t="s">
        <v>1425</v>
      </c>
      <c r="C454" s="13" t="s">
        <v>1425</v>
      </c>
      <c r="D454" s="13" t="s">
        <v>1425</v>
      </c>
      <c r="E454" s="13" t="s">
        <v>1425</v>
      </c>
    </row>
    <row r="455" s="29" customFormat="1" ht="22" spans="2:5">
      <c r="B455" s="14" t="s">
        <v>176</v>
      </c>
      <c r="C455" s="14" t="s">
        <v>176</v>
      </c>
      <c r="D455" s="14" t="s">
        <v>176</v>
      </c>
      <c r="E455" s="14" t="s">
        <v>176</v>
      </c>
    </row>
    <row r="456" s="29" customFormat="1" spans="2:5">
      <c r="B456" s="15" t="s">
        <v>177</v>
      </c>
      <c r="C456" s="16" t="s">
        <v>178</v>
      </c>
      <c r="D456" s="17" t="s">
        <v>179</v>
      </c>
      <c r="E456" s="18" t="s">
        <v>180</v>
      </c>
    </row>
    <row r="457" s="29" customFormat="1" ht="41" spans="2:5">
      <c r="B457" s="19" t="s">
        <v>208</v>
      </c>
      <c r="C457" s="20" t="s">
        <v>1191</v>
      </c>
      <c r="D457" s="21">
        <v>30</v>
      </c>
      <c r="E457" s="22">
        <v>1422973.5</v>
      </c>
    </row>
    <row r="458" s="29" customFormat="1" ht="41" spans="2:5">
      <c r="B458" s="19" t="s">
        <v>208</v>
      </c>
      <c r="C458" s="20" t="s">
        <v>182</v>
      </c>
      <c r="D458" s="21">
        <v>1</v>
      </c>
      <c r="E458" s="22">
        <v>88288.288288</v>
      </c>
    </row>
    <row r="459" s="29" customFormat="1" ht="28" spans="2:5">
      <c r="B459" s="19" t="s">
        <v>208</v>
      </c>
      <c r="C459" s="16" t="s">
        <v>183</v>
      </c>
      <c r="D459" s="23">
        <v>31</v>
      </c>
      <c r="E459" s="24">
        <v>1511261.788288</v>
      </c>
    </row>
    <row r="460" s="29" customFormat="1" ht="41" spans="2:5">
      <c r="B460" s="19" t="s">
        <v>360</v>
      </c>
      <c r="C460" s="20" t="s">
        <v>1191</v>
      </c>
      <c r="D460" s="21">
        <v>20</v>
      </c>
      <c r="E460" s="22">
        <v>948649</v>
      </c>
    </row>
    <row r="461" s="29" customFormat="1" ht="41" spans="2:5">
      <c r="B461" s="19" t="s">
        <v>360</v>
      </c>
      <c r="C461" s="20" t="s">
        <v>182</v>
      </c>
      <c r="D461" s="21">
        <v>7</v>
      </c>
      <c r="E461" s="22">
        <v>123603.603604</v>
      </c>
    </row>
    <row r="462" s="29" customFormat="1" ht="28" spans="2:5">
      <c r="B462" s="19" t="s">
        <v>360</v>
      </c>
      <c r="C462" s="20" t="s">
        <v>804</v>
      </c>
      <c r="D462" s="21">
        <v>2</v>
      </c>
      <c r="E462" s="22">
        <v>176576.576576</v>
      </c>
    </row>
    <row r="463" s="29" customFormat="1" ht="28" spans="2:5">
      <c r="B463" s="19" t="s">
        <v>360</v>
      </c>
      <c r="C463" s="16" t="s">
        <v>183</v>
      </c>
      <c r="D463" s="23">
        <v>29</v>
      </c>
      <c r="E463" s="24">
        <v>1248829.18018</v>
      </c>
    </row>
    <row r="464" s="29" customFormat="1" ht="41" spans="2:5">
      <c r="B464" s="19" t="s">
        <v>361</v>
      </c>
      <c r="C464" s="20" t="s">
        <v>1191</v>
      </c>
      <c r="D464" s="21">
        <v>10</v>
      </c>
      <c r="E464" s="22">
        <v>614867.5</v>
      </c>
    </row>
    <row r="465" s="29" customFormat="1" ht="41" spans="2:5">
      <c r="B465" s="19" t="s">
        <v>361</v>
      </c>
      <c r="C465" s="20" t="s">
        <v>182</v>
      </c>
      <c r="D465" s="21">
        <v>1</v>
      </c>
      <c r="E465" s="22">
        <v>77567.567568</v>
      </c>
    </row>
    <row r="466" s="29" customFormat="1" ht="28" spans="2:5">
      <c r="B466" s="19" t="s">
        <v>361</v>
      </c>
      <c r="C466" s="20" t="s">
        <v>804</v>
      </c>
      <c r="D466" s="21">
        <v>1</v>
      </c>
      <c r="E466" s="22">
        <v>72027.027027</v>
      </c>
    </row>
    <row r="467" s="29" customFormat="1" ht="28" spans="2:5">
      <c r="B467" s="19" t="s">
        <v>361</v>
      </c>
      <c r="C467" s="16" t="s">
        <v>183</v>
      </c>
      <c r="D467" s="23">
        <v>12</v>
      </c>
      <c r="E467" s="24">
        <v>764462.094595</v>
      </c>
    </row>
    <row r="468" s="29" customFormat="1" ht="28" spans="2:5">
      <c r="B468" s="19" t="s">
        <v>1471</v>
      </c>
      <c r="C468" s="20" t="s">
        <v>804</v>
      </c>
      <c r="D468" s="21">
        <v>1</v>
      </c>
      <c r="E468" s="22">
        <v>488288</v>
      </c>
    </row>
    <row r="469" s="29" customFormat="1" ht="28" spans="2:5">
      <c r="B469" s="19" t="s">
        <v>1471</v>
      </c>
      <c r="C469" s="16" t="s">
        <v>183</v>
      </c>
      <c r="D469" s="23">
        <v>1</v>
      </c>
      <c r="E469" s="24">
        <v>488288</v>
      </c>
    </row>
    <row r="470" s="29" customFormat="1" ht="41.75" spans="2:5">
      <c r="B470" s="20" t="s">
        <v>1203</v>
      </c>
      <c r="C470" s="20" t="s">
        <v>182</v>
      </c>
      <c r="D470" s="21">
        <v>1</v>
      </c>
      <c r="E470" s="22">
        <v>320991</v>
      </c>
    </row>
    <row r="471" s="29" customFormat="1" spans="2:5">
      <c r="B471" s="25"/>
      <c r="C471" s="25"/>
      <c r="D471" s="25"/>
      <c r="E471" s="25"/>
    </row>
    <row r="472" s="29" customFormat="1" ht="36" spans="2:5">
      <c r="B472" s="26" t="s">
        <v>189</v>
      </c>
      <c r="C472" s="26" t="s">
        <v>189</v>
      </c>
      <c r="D472" s="26" t="s">
        <v>189</v>
      </c>
      <c r="E472" s="26" t="s">
        <v>189</v>
      </c>
    </row>
    <row r="473" s="29" customFormat="1" spans="2:5">
      <c r="B473" s="26"/>
      <c r="C473" s="26"/>
      <c r="D473" s="26"/>
      <c r="E473" s="26"/>
    </row>
    <row r="474" s="29" customFormat="1" ht="36" spans="2:5">
      <c r="B474" s="26" t="s">
        <v>1433</v>
      </c>
      <c r="C474" s="26" t="s">
        <v>1433</v>
      </c>
      <c r="D474" s="26" t="s">
        <v>1433</v>
      </c>
      <c r="E474" s="26" t="s">
        <v>1433</v>
      </c>
    </row>
    <row r="475" s="29" customFormat="1" spans="2:5">
      <c r="B475" s="26" t="s">
        <v>324</v>
      </c>
      <c r="C475" s="26" t="s">
        <v>324</v>
      </c>
      <c r="D475" s="26" t="s">
        <v>324</v>
      </c>
      <c r="E475" s="26" t="s">
        <v>324</v>
      </c>
    </row>
    <row r="476" s="29" customFormat="1" ht="124" spans="2:5">
      <c r="B476" s="11" t="s">
        <v>173</v>
      </c>
      <c r="C476" s="11" t="s">
        <v>173</v>
      </c>
      <c r="D476" s="11" t="s">
        <v>173</v>
      </c>
      <c r="E476" s="11" t="s">
        <v>173</v>
      </c>
    </row>
    <row r="477" s="29" customFormat="1" ht="156" spans="2:5">
      <c r="B477" s="12" t="s">
        <v>174</v>
      </c>
      <c r="C477" s="12" t="s">
        <v>174</v>
      </c>
      <c r="D477" s="12" t="s">
        <v>174</v>
      </c>
      <c r="E477" s="12" t="s">
        <v>174</v>
      </c>
    </row>
    <row r="478" s="29" customFormat="1" ht="68" spans="2:5">
      <c r="B478" s="13" t="s">
        <v>1425</v>
      </c>
      <c r="C478" s="13" t="s">
        <v>1425</v>
      </c>
      <c r="D478" s="13" t="s">
        <v>1425</v>
      </c>
      <c r="E478" s="13" t="s">
        <v>1425</v>
      </c>
    </row>
    <row r="479" s="29" customFormat="1" ht="22" spans="2:5">
      <c r="B479" s="14" t="s">
        <v>176</v>
      </c>
      <c r="C479" s="14" t="s">
        <v>176</v>
      </c>
      <c r="D479" s="14" t="s">
        <v>176</v>
      </c>
      <c r="E479" s="14" t="s">
        <v>176</v>
      </c>
    </row>
    <row r="480" s="29" customFormat="1" spans="2:5">
      <c r="B480" s="15" t="s">
        <v>177</v>
      </c>
      <c r="C480" s="16" t="s">
        <v>178</v>
      </c>
      <c r="D480" s="17" t="s">
        <v>179</v>
      </c>
      <c r="E480" s="18" t="s">
        <v>180</v>
      </c>
    </row>
    <row r="481" s="29" customFormat="1" ht="28" spans="2:5">
      <c r="B481" s="19" t="s">
        <v>1203</v>
      </c>
      <c r="C481" s="20" t="s">
        <v>804</v>
      </c>
      <c r="D481" s="21">
        <v>1</v>
      </c>
      <c r="E481" s="22">
        <v>458558.90991</v>
      </c>
    </row>
    <row r="482" s="29" customFormat="1" ht="28" spans="2:5">
      <c r="B482" s="19" t="s">
        <v>1203</v>
      </c>
      <c r="C482" s="16" t="s">
        <v>183</v>
      </c>
      <c r="D482" s="23">
        <v>2</v>
      </c>
      <c r="E482" s="24">
        <v>779549.90991</v>
      </c>
    </row>
    <row r="483" s="29" customFormat="1" ht="28" spans="2:5">
      <c r="B483" s="19" t="s">
        <v>418</v>
      </c>
      <c r="C483" s="20" t="s">
        <v>804</v>
      </c>
      <c r="D483" s="21">
        <v>1</v>
      </c>
      <c r="E483" s="22">
        <v>190090.09009</v>
      </c>
    </row>
    <row r="484" s="29" customFormat="1" ht="28" spans="2:5">
      <c r="B484" s="19" t="s">
        <v>418</v>
      </c>
      <c r="C484" s="16" t="s">
        <v>183</v>
      </c>
      <c r="D484" s="23">
        <v>1</v>
      </c>
      <c r="E484" s="24">
        <v>190090.09009</v>
      </c>
    </row>
    <row r="485" s="29" customFormat="1" ht="41" spans="2:5">
      <c r="B485" s="19" t="s">
        <v>1472</v>
      </c>
      <c r="C485" s="20" t="s">
        <v>182</v>
      </c>
      <c r="D485" s="21">
        <v>1</v>
      </c>
      <c r="E485" s="22">
        <v>124234.009009</v>
      </c>
    </row>
    <row r="486" s="29" customFormat="1" ht="28" spans="2:5">
      <c r="B486" s="19" t="s">
        <v>1472</v>
      </c>
      <c r="C486" s="16" t="s">
        <v>183</v>
      </c>
      <c r="D486" s="23">
        <v>1</v>
      </c>
      <c r="E486" s="24">
        <v>124234.009009</v>
      </c>
    </row>
    <row r="487" s="29" customFormat="1" ht="41" spans="2:5">
      <c r="B487" s="19" t="s">
        <v>210</v>
      </c>
      <c r="C487" s="20" t="s">
        <v>182</v>
      </c>
      <c r="D487" s="21">
        <v>1</v>
      </c>
      <c r="E487" s="22">
        <v>180990.990991</v>
      </c>
    </row>
    <row r="488" s="29" customFormat="1" ht="28" spans="2:5">
      <c r="B488" s="19" t="s">
        <v>210</v>
      </c>
      <c r="C488" s="16" t="s">
        <v>183</v>
      </c>
      <c r="D488" s="23">
        <v>1</v>
      </c>
      <c r="E488" s="24">
        <v>180990.990991</v>
      </c>
    </row>
    <row r="489" s="29" customFormat="1" ht="41" spans="2:5">
      <c r="B489" s="19" t="s">
        <v>211</v>
      </c>
      <c r="C489" s="20" t="s">
        <v>1191</v>
      </c>
      <c r="D489" s="21">
        <v>20</v>
      </c>
      <c r="E489" s="22">
        <v>1013064</v>
      </c>
    </row>
    <row r="490" s="29" customFormat="1" ht="41" spans="2:5">
      <c r="B490" s="19" t="s">
        <v>211</v>
      </c>
      <c r="C490" s="20" t="s">
        <v>182</v>
      </c>
      <c r="D490" s="21">
        <v>35</v>
      </c>
      <c r="E490" s="22">
        <v>2302713.900911</v>
      </c>
    </row>
    <row r="491" s="29" customFormat="1" ht="28" spans="2:5">
      <c r="B491" s="19" t="s">
        <v>211</v>
      </c>
      <c r="C491" s="20" t="s">
        <v>804</v>
      </c>
      <c r="D491" s="21">
        <v>18</v>
      </c>
      <c r="E491" s="22">
        <v>1180542.198201</v>
      </c>
    </row>
    <row r="492" s="29" customFormat="1" ht="28" spans="2:5">
      <c r="B492" s="19" t="s">
        <v>211</v>
      </c>
      <c r="C492" s="16" t="s">
        <v>183</v>
      </c>
      <c r="D492" s="23">
        <v>73</v>
      </c>
      <c r="E492" s="24">
        <v>4496320.099112</v>
      </c>
    </row>
    <row r="493" s="29" customFormat="1" ht="41" spans="2:5">
      <c r="B493" s="19" t="s">
        <v>213</v>
      </c>
      <c r="C493" s="20" t="s">
        <v>1191</v>
      </c>
      <c r="D493" s="21">
        <v>10</v>
      </c>
      <c r="E493" s="22">
        <v>506532</v>
      </c>
    </row>
    <row r="494" s="29" customFormat="1" ht="41.75" spans="2:5">
      <c r="B494" s="19" t="s">
        <v>213</v>
      </c>
      <c r="C494" s="20" t="s">
        <v>182</v>
      </c>
      <c r="D494" s="21">
        <v>47</v>
      </c>
      <c r="E494" s="22">
        <v>3027274.985582</v>
      </c>
    </row>
    <row r="495" s="29" customFormat="1" spans="2:5">
      <c r="B495" s="25"/>
      <c r="C495" s="25"/>
      <c r="D495" s="25"/>
      <c r="E495" s="25"/>
    </row>
    <row r="496" s="29" customFormat="1" ht="36" spans="2:5">
      <c r="B496" s="26" t="s">
        <v>189</v>
      </c>
      <c r="C496" s="26" t="s">
        <v>189</v>
      </c>
      <c r="D496" s="26" t="s">
        <v>189</v>
      </c>
      <c r="E496" s="26" t="s">
        <v>189</v>
      </c>
    </row>
    <row r="497" s="29" customFormat="1" spans="2:5">
      <c r="B497" s="26"/>
      <c r="C497" s="26"/>
      <c r="D497" s="26"/>
      <c r="E497" s="26"/>
    </row>
    <row r="498" s="29" customFormat="1" ht="36" spans="2:5">
      <c r="B498" s="26" t="s">
        <v>1433</v>
      </c>
      <c r="C498" s="26" t="s">
        <v>1433</v>
      </c>
      <c r="D498" s="26" t="s">
        <v>1433</v>
      </c>
      <c r="E498" s="26" t="s">
        <v>1433</v>
      </c>
    </row>
    <row r="499" s="29" customFormat="1" spans="2:5">
      <c r="B499" s="26" t="s">
        <v>331</v>
      </c>
      <c r="C499" s="26" t="s">
        <v>331</v>
      </c>
      <c r="D499" s="26" t="s">
        <v>331</v>
      </c>
      <c r="E499" s="26" t="s">
        <v>331</v>
      </c>
    </row>
    <row r="500" s="29" customFormat="1" ht="124" spans="2:5">
      <c r="B500" s="11" t="s">
        <v>173</v>
      </c>
      <c r="C500" s="11" t="s">
        <v>173</v>
      </c>
      <c r="D500" s="11" t="s">
        <v>173</v>
      </c>
      <c r="E500" s="11" t="s">
        <v>173</v>
      </c>
    </row>
    <row r="501" s="29" customFormat="1" ht="156" spans="2:5">
      <c r="B501" s="12" t="s">
        <v>174</v>
      </c>
      <c r="C501" s="12" t="s">
        <v>174</v>
      </c>
      <c r="D501" s="12" t="s">
        <v>174</v>
      </c>
      <c r="E501" s="12" t="s">
        <v>174</v>
      </c>
    </row>
    <row r="502" s="29" customFormat="1" ht="68" spans="2:5">
      <c r="B502" s="13" t="s">
        <v>1425</v>
      </c>
      <c r="C502" s="13" t="s">
        <v>1425</v>
      </c>
      <c r="D502" s="13" t="s">
        <v>1425</v>
      </c>
      <c r="E502" s="13" t="s">
        <v>1425</v>
      </c>
    </row>
    <row r="503" s="29" customFormat="1" ht="22" spans="2:5">
      <c r="B503" s="14" t="s">
        <v>176</v>
      </c>
      <c r="C503" s="14" t="s">
        <v>176</v>
      </c>
      <c r="D503" s="14" t="s">
        <v>176</v>
      </c>
      <c r="E503" s="14" t="s">
        <v>176</v>
      </c>
    </row>
    <row r="504" s="29" customFormat="1" spans="2:5">
      <c r="B504" s="15" t="s">
        <v>177</v>
      </c>
      <c r="C504" s="16" t="s">
        <v>178</v>
      </c>
      <c r="D504" s="17" t="s">
        <v>179</v>
      </c>
      <c r="E504" s="18" t="s">
        <v>180</v>
      </c>
    </row>
    <row r="505" s="29" customFormat="1" ht="28" spans="2:5">
      <c r="B505" s="19" t="s">
        <v>213</v>
      </c>
      <c r="C505" s="20" t="s">
        <v>804</v>
      </c>
      <c r="D505" s="21">
        <v>26</v>
      </c>
      <c r="E505" s="22">
        <v>1728649.657665</v>
      </c>
    </row>
    <row r="506" s="29" customFormat="1" ht="28" spans="2:5">
      <c r="B506" s="19" t="s">
        <v>213</v>
      </c>
      <c r="C506" s="16" t="s">
        <v>183</v>
      </c>
      <c r="D506" s="23">
        <v>83</v>
      </c>
      <c r="E506" s="24">
        <v>5262456.643247</v>
      </c>
    </row>
    <row r="507" s="29" customFormat="1" ht="41" spans="2:5">
      <c r="B507" s="19" t="s">
        <v>214</v>
      </c>
      <c r="C507" s="20" t="s">
        <v>182</v>
      </c>
      <c r="D507" s="21">
        <v>7</v>
      </c>
      <c r="E507" s="22">
        <v>525315.081082</v>
      </c>
    </row>
    <row r="508" s="29" customFormat="1" ht="28" spans="2:5">
      <c r="B508" s="19" t="s">
        <v>214</v>
      </c>
      <c r="C508" s="20" t="s">
        <v>804</v>
      </c>
      <c r="D508" s="21">
        <v>2</v>
      </c>
      <c r="E508" s="22">
        <v>150090.315315</v>
      </c>
    </row>
    <row r="509" s="29" customFormat="1" ht="28" spans="2:5">
      <c r="B509" s="19" t="s">
        <v>214</v>
      </c>
      <c r="C509" s="16" t="s">
        <v>183</v>
      </c>
      <c r="D509" s="23">
        <v>9</v>
      </c>
      <c r="E509" s="24">
        <v>675405.396397</v>
      </c>
    </row>
    <row r="510" s="29" customFormat="1" ht="41" spans="2:5">
      <c r="B510" s="19" t="s">
        <v>215</v>
      </c>
      <c r="C510" s="20" t="s">
        <v>1191</v>
      </c>
      <c r="D510" s="21">
        <v>20</v>
      </c>
      <c r="E510" s="22">
        <v>1171170</v>
      </c>
    </row>
    <row r="511" s="29" customFormat="1" ht="41" spans="2:5">
      <c r="B511" s="19" t="s">
        <v>215</v>
      </c>
      <c r="C511" s="20" t="s">
        <v>182</v>
      </c>
      <c r="D511" s="21">
        <v>4</v>
      </c>
      <c r="E511" s="22">
        <v>294819.945946</v>
      </c>
    </row>
    <row r="512" s="29" customFormat="1" ht="28" spans="2:5">
      <c r="B512" s="19" t="s">
        <v>215</v>
      </c>
      <c r="C512" s="20" t="s">
        <v>804</v>
      </c>
      <c r="D512" s="21">
        <v>6</v>
      </c>
      <c r="E512" s="22">
        <v>450269.666667</v>
      </c>
    </row>
    <row r="513" s="29" customFormat="1" ht="28" spans="2:5">
      <c r="B513" s="19" t="s">
        <v>215</v>
      </c>
      <c r="C513" s="16" t="s">
        <v>183</v>
      </c>
      <c r="D513" s="23">
        <v>30</v>
      </c>
      <c r="E513" s="24">
        <v>1916259.612613</v>
      </c>
    </row>
    <row r="514" s="29" customFormat="1" ht="41" spans="2:5">
      <c r="B514" s="19" t="s">
        <v>216</v>
      </c>
      <c r="C514" s="20" t="s">
        <v>182</v>
      </c>
      <c r="D514" s="21">
        <v>3</v>
      </c>
      <c r="E514" s="22">
        <v>236486.522523</v>
      </c>
    </row>
    <row r="515" s="29" customFormat="1" ht="28" spans="2:5">
      <c r="B515" s="19" t="s">
        <v>216</v>
      </c>
      <c r="C515" s="16" t="s">
        <v>183</v>
      </c>
      <c r="D515" s="23">
        <v>3</v>
      </c>
      <c r="E515" s="24">
        <v>236486.522523</v>
      </c>
    </row>
    <row r="516" s="29" customFormat="1" ht="41" spans="2:5">
      <c r="B516" s="19" t="s">
        <v>364</v>
      </c>
      <c r="C516" s="20" t="s">
        <v>1191</v>
      </c>
      <c r="D516" s="21">
        <v>10</v>
      </c>
      <c r="E516" s="22">
        <v>626574</v>
      </c>
    </row>
    <row r="517" s="29" customFormat="1" ht="41.75" spans="2:5">
      <c r="B517" s="19" t="s">
        <v>364</v>
      </c>
      <c r="C517" s="20" t="s">
        <v>182</v>
      </c>
      <c r="D517" s="21">
        <v>8</v>
      </c>
      <c r="E517" s="22">
        <v>630629.54955</v>
      </c>
    </row>
    <row r="518" s="29" customFormat="1" spans="2:5">
      <c r="B518" s="25"/>
      <c r="C518" s="25"/>
      <c r="D518" s="25"/>
      <c r="E518" s="25"/>
    </row>
    <row r="519" s="29" customFormat="1" ht="36" spans="2:5">
      <c r="B519" s="26" t="s">
        <v>189</v>
      </c>
      <c r="C519" s="26" t="s">
        <v>189</v>
      </c>
      <c r="D519" s="26" t="s">
        <v>189</v>
      </c>
      <c r="E519" s="26" t="s">
        <v>189</v>
      </c>
    </row>
    <row r="520" s="29" customFormat="1" spans="2:5">
      <c r="B520" s="26"/>
      <c r="C520" s="26"/>
      <c r="D520" s="26"/>
      <c r="E520" s="26"/>
    </row>
    <row r="521" s="29" customFormat="1" ht="36" spans="2:5">
      <c r="B521" s="26" t="s">
        <v>1433</v>
      </c>
      <c r="C521" s="26" t="s">
        <v>1433</v>
      </c>
      <c r="D521" s="26" t="s">
        <v>1433</v>
      </c>
      <c r="E521" s="26" t="s">
        <v>1433</v>
      </c>
    </row>
    <row r="522" s="29" customFormat="1" spans="2:5">
      <c r="B522" s="26" t="s">
        <v>338</v>
      </c>
      <c r="C522" s="26" t="s">
        <v>338</v>
      </c>
      <c r="D522" s="26" t="s">
        <v>338</v>
      </c>
      <c r="E522" s="26" t="s">
        <v>338</v>
      </c>
    </row>
    <row r="523" s="29" customFormat="1" ht="124" spans="2:5">
      <c r="B523" s="11" t="s">
        <v>173</v>
      </c>
      <c r="C523" s="11" t="s">
        <v>173</v>
      </c>
      <c r="D523" s="11" t="s">
        <v>173</v>
      </c>
      <c r="E523" s="11" t="s">
        <v>173</v>
      </c>
    </row>
    <row r="524" s="29" customFormat="1" ht="156" spans="2:5">
      <c r="B524" s="12" t="s">
        <v>174</v>
      </c>
      <c r="C524" s="12" t="s">
        <v>174</v>
      </c>
      <c r="D524" s="12" t="s">
        <v>174</v>
      </c>
      <c r="E524" s="12" t="s">
        <v>174</v>
      </c>
    </row>
    <row r="525" s="29" customFormat="1" ht="68" spans="2:5">
      <c r="B525" s="13" t="s">
        <v>1425</v>
      </c>
      <c r="C525" s="13" t="s">
        <v>1425</v>
      </c>
      <c r="D525" s="13" t="s">
        <v>1425</v>
      </c>
      <c r="E525" s="13" t="s">
        <v>1425</v>
      </c>
    </row>
    <row r="526" s="29" customFormat="1" ht="22" spans="2:5">
      <c r="B526" s="14" t="s">
        <v>176</v>
      </c>
      <c r="C526" s="14" t="s">
        <v>176</v>
      </c>
      <c r="D526" s="14" t="s">
        <v>176</v>
      </c>
      <c r="E526" s="14" t="s">
        <v>176</v>
      </c>
    </row>
    <row r="527" s="29" customFormat="1" spans="2:5">
      <c r="B527" s="15" t="s">
        <v>177</v>
      </c>
      <c r="C527" s="16" t="s">
        <v>178</v>
      </c>
      <c r="D527" s="17" t="s">
        <v>179</v>
      </c>
      <c r="E527" s="18" t="s">
        <v>180</v>
      </c>
    </row>
    <row r="528" s="29" customFormat="1" ht="28" spans="2:5">
      <c r="B528" s="19" t="s">
        <v>364</v>
      </c>
      <c r="C528" s="20" t="s">
        <v>804</v>
      </c>
      <c r="D528" s="21">
        <v>3</v>
      </c>
      <c r="E528" s="22">
        <v>236486.486487</v>
      </c>
    </row>
    <row r="529" s="29" customFormat="1" ht="28" spans="2:5">
      <c r="B529" s="19" t="s">
        <v>364</v>
      </c>
      <c r="C529" s="16" t="s">
        <v>183</v>
      </c>
      <c r="D529" s="23">
        <v>21</v>
      </c>
      <c r="E529" s="24">
        <v>1493690.036037</v>
      </c>
    </row>
    <row r="530" s="29" customFormat="1" ht="41" spans="2:5">
      <c r="B530" s="19" t="s">
        <v>217</v>
      </c>
      <c r="C530" s="20" t="s">
        <v>1191</v>
      </c>
      <c r="D530" s="21">
        <v>10</v>
      </c>
      <c r="E530" s="22">
        <v>638287</v>
      </c>
    </row>
    <row r="531" s="29" customFormat="1" ht="41" spans="2:5">
      <c r="B531" s="19" t="s">
        <v>217</v>
      </c>
      <c r="C531" s="20" t="s">
        <v>182</v>
      </c>
      <c r="D531" s="21">
        <v>15</v>
      </c>
      <c r="E531" s="22">
        <v>1147776.447721</v>
      </c>
    </row>
    <row r="532" s="29" customFormat="1" ht="28" spans="2:5">
      <c r="B532" s="19" t="s">
        <v>217</v>
      </c>
      <c r="C532" s="20" t="s">
        <v>804</v>
      </c>
      <c r="D532" s="21">
        <v>4</v>
      </c>
      <c r="E532" s="22">
        <v>317837.837836</v>
      </c>
    </row>
    <row r="533" s="29" customFormat="1" ht="28" spans="2:5">
      <c r="B533" s="19" t="s">
        <v>217</v>
      </c>
      <c r="C533" s="16" t="s">
        <v>183</v>
      </c>
      <c r="D533" s="23">
        <v>29</v>
      </c>
      <c r="E533" s="24">
        <v>2103901.285557</v>
      </c>
    </row>
    <row r="534" s="29" customFormat="1" ht="41" spans="2:5">
      <c r="B534" s="19" t="s">
        <v>218</v>
      </c>
      <c r="C534" s="20" t="s">
        <v>1191</v>
      </c>
      <c r="D534" s="21">
        <v>10</v>
      </c>
      <c r="E534" s="22">
        <v>850135.5</v>
      </c>
    </row>
    <row r="535" s="29" customFormat="1" ht="41" spans="2:5">
      <c r="B535" s="19" t="s">
        <v>218</v>
      </c>
      <c r="C535" s="20" t="s">
        <v>182</v>
      </c>
      <c r="D535" s="21">
        <v>47</v>
      </c>
      <c r="E535" s="22">
        <v>4001707.844579</v>
      </c>
    </row>
    <row r="536" s="29" customFormat="1" ht="28" spans="2:5">
      <c r="B536" s="19" t="s">
        <v>218</v>
      </c>
      <c r="C536" s="20" t="s">
        <v>804</v>
      </c>
      <c r="D536" s="21">
        <v>17</v>
      </c>
      <c r="E536" s="22">
        <v>1447297.297295</v>
      </c>
    </row>
    <row r="537" s="29" customFormat="1" ht="28" spans="2:5">
      <c r="B537" s="19" t="s">
        <v>218</v>
      </c>
      <c r="C537" s="16" t="s">
        <v>183</v>
      </c>
      <c r="D537" s="23">
        <v>74</v>
      </c>
      <c r="E537" s="24">
        <v>6299140.641874</v>
      </c>
    </row>
    <row r="538" s="29" customFormat="1" ht="41" spans="2:5">
      <c r="B538" s="19" t="s">
        <v>220</v>
      </c>
      <c r="C538" s="20" t="s">
        <v>1191</v>
      </c>
      <c r="D538" s="21">
        <v>5</v>
      </c>
      <c r="E538" s="22">
        <v>341103.75</v>
      </c>
    </row>
    <row r="539" s="29" customFormat="1" ht="41" spans="2:5">
      <c r="B539" s="19" t="s">
        <v>220</v>
      </c>
      <c r="C539" s="20" t="s">
        <v>182</v>
      </c>
      <c r="D539" s="21">
        <v>12</v>
      </c>
      <c r="E539" s="22">
        <v>1015540.540539</v>
      </c>
    </row>
    <row r="540" s="29" customFormat="1" ht="28" spans="2:5">
      <c r="B540" s="19" t="s">
        <v>220</v>
      </c>
      <c r="C540" s="20" t="s">
        <v>804</v>
      </c>
      <c r="D540" s="21">
        <v>13</v>
      </c>
      <c r="E540" s="22">
        <v>1106757.153152</v>
      </c>
    </row>
    <row r="541" s="29" customFormat="1" ht="28.75" spans="2:5">
      <c r="B541" s="19" t="s">
        <v>220</v>
      </c>
      <c r="C541" s="16" t="s">
        <v>183</v>
      </c>
      <c r="D541" s="23">
        <v>30</v>
      </c>
      <c r="E541" s="24">
        <v>2463401.443691</v>
      </c>
    </row>
    <row r="542" s="29" customFormat="1" spans="2:5">
      <c r="B542" s="25"/>
      <c r="C542" s="25"/>
      <c r="D542" s="25"/>
      <c r="E542" s="25"/>
    </row>
    <row r="543" s="29" customFormat="1" ht="36" spans="2:5">
      <c r="B543" s="26" t="s">
        <v>189</v>
      </c>
      <c r="C543" s="26" t="s">
        <v>189</v>
      </c>
      <c r="D543" s="26" t="s">
        <v>189</v>
      </c>
      <c r="E543" s="26" t="s">
        <v>189</v>
      </c>
    </row>
    <row r="544" s="29" customFormat="1" spans="2:5">
      <c r="B544" s="26"/>
      <c r="C544" s="26"/>
      <c r="D544" s="26"/>
      <c r="E544" s="26"/>
    </row>
    <row r="545" s="29" customFormat="1" ht="36" spans="2:5">
      <c r="B545" s="26" t="s">
        <v>1433</v>
      </c>
      <c r="C545" s="26" t="s">
        <v>1433</v>
      </c>
      <c r="D545" s="26" t="s">
        <v>1433</v>
      </c>
      <c r="E545" s="26" t="s">
        <v>1433</v>
      </c>
    </row>
    <row r="546" s="29" customFormat="1" spans="2:5">
      <c r="B546" s="26" t="s">
        <v>342</v>
      </c>
      <c r="C546" s="26" t="s">
        <v>342</v>
      </c>
      <c r="D546" s="26" t="s">
        <v>342</v>
      </c>
      <c r="E546" s="26" t="s">
        <v>342</v>
      </c>
    </row>
    <row r="547" s="29" customFormat="1" ht="124" spans="2:5">
      <c r="B547" s="11" t="s">
        <v>173</v>
      </c>
      <c r="C547" s="11" t="s">
        <v>173</v>
      </c>
      <c r="D547" s="11" t="s">
        <v>173</v>
      </c>
      <c r="E547" s="11" t="s">
        <v>173</v>
      </c>
    </row>
    <row r="548" s="29" customFormat="1" ht="156" spans="2:5">
      <c r="B548" s="12" t="s">
        <v>174</v>
      </c>
      <c r="C548" s="12" t="s">
        <v>174</v>
      </c>
      <c r="D548" s="12" t="s">
        <v>174</v>
      </c>
      <c r="E548" s="12" t="s">
        <v>174</v>
      </c>
    </row>
    <row r="549" s="29" customFormat="1" ht="68" spans="2:5">
      <c r="B549" s="13" t="s">
        <v>1425</v>
      </c>
      <c r="C549" s="13" t="s">
        <v>1425</v>
      </c>
      <c r="D549" s="13" t="s">
        <v>1425</v>
      </c>
      <c r="E549" s="13" t="s">
        <v>1425</v>
      </c>
    </row>
    <row r="550" s="29" customFormat="1" ht="22" spans="2:5">
      <c r="B550" s="14" t="s">
        <v>176</v>
      </c>
      <c r="C550" s="14" t="s">
        <v>176</v>
      </c>
      <c r="D550" s="14" t="s">
        <v>176</v>
      </c>
      <c r="E550" s="14" t="s">
        <v>176</v>
      </c>
    </row>
    <row r="551" s="29" customFormat="1" spans="2:5">
      <c r="B551" s="15" t="s">
        <v>177</v>
      </c>
      <c r="C551" s="16" t="s">
        <v>178</v>
      </c>
      <c r="D551" s="17" t="s">
        <v>179</v>
      </c>
      <c r="E551" s="18" t="s">
        <v>180</v>
      </c>
    </row>
    <row r="552" s="29" customFormat="1" ht="41" spans="2:5">
      <c r="B552" s="19" t="s">
        <v>221</v>
      </c>
      <c r="C552" s="20" t="s">
        <v>182</v>
      </c>
      <c r="D552" s="21">
        <v>20</v>
      </c>
      <c r="E552" s="22">
        <v>1772027.027029</v>
      </c>
    </row>
    <row r="553" s="29" customFormat="1" ht="28" spans="2:5">
      <c r="B553" s="19" t="s">
        <v>221</v>
      </c>
      <c r="C553" s="20" t="s">
        <v>804</v>
      </c>
      <c r="D553" s="21">
        <v>11</v>
      </c>
      <c r="E553" s="22">
        <v>971757.252253</v>
      </c>
    </row>
    <row r="554" s="29" customFormat="1" ht="28" spans="2:5">
      <c r="B554" s="19" t="s">
        <v>221</v>
      </c>
      <c r="C554" s="16" t="s">
        <v>183</v>
      </c>
      <c r="D554" s="23">
        <v>31</v>
      </c>
      <c r="E554" s="24">
        <v>2743784.279282</v>
      </c>
    </row>
    <row r="555" s="29" customFormat="1" ht="28" spans="2:5">
      <c r="B555" s="19" t="s">
        <v>420</v>
      </c>
      <c r="C555" s="20" t="s">
        <v>804</v>
      </c>
      <c r="D555" s="21">
        <v>3</v>
      </c>
      <c r="E555" s="22">
        <v>293243.045046</v>
      </c>
    </row>
    <row r="556" s="29" customFormat="1" ht="28" spans="2:5">
      <c r="B556" s="19" t="s">
        <v>420</v>
      </c>
      <c r="C556" s="16" t="s">
        <v>183</v>
      </c>
      <c r="D556" s="23">
        <v>3</v>
      </c>
      <c r="E556" s="24">
        <v>293243.045046</v>
      </c>
    </row>
    <row r="557" s="29" customFormat="1" ht="41" spans="2:5">
      <c r="B557" s="19" t="s">
        <v>222</v>
      </c>
      <c r="C557" s="20" t="s">
        <v>182</v>
      </c>
      <c r="D557" s="21">
        <v>2</v>
      </c>
      <c r="E557" s="22">
        <v>203603.603604</v>
      </c>
    </row>
    <row r="558" s="29" customFormat="1" ht="28" spans="2:5">
      <c r="B558" s="19" t="s">
        <v>222</v>
      </c>
      <c r="C558" s="20" t="s">
        <v>804</v>
      </c>
      <c r="D558" s="21">
        <v>2</v>
      </c>
      <c r="E558" s="22">
        <v>203603.603604</v>
      </c>
    </row>
    <row r="559" s="29" customFormat="1" ht="28" spans="2:5">
      <c r="B559" s="19" t="s">
        <v>222</v>
      </c>
      <c r="C559" s="16" t="s">
        <v>183</v>
      </c>
      <c r="D559" s="23">
        <v>4</v>
      </c>
      <c r="E559" s="24">
        <v>407207.207208</v>
      </c>
    </row>
    <row r="560" s="29" customFormat="1" ht="41" spans="2:5">
      <c r="B560" s="19" t="s">
        <v>223</v>
      </c>
      <c r="C560" s="20" t="s">
        <v>182</v>
      </c>
      <c r="D560" s="21">
        <v>2</v>
      </c>
      <c r="E560" s="22">
        <v>219819.90991</v>
      </c>
    </row>
    <row r="561" s="29" customFormat="1" ht="28" spans="2:5">
      <c r="B561" s="19" t="s">
        <v>223</v>
      </c>
      <c r="C561" s="16" t="s">
        <v>183</v>
      </c>
      <c r="D561" s="23">
        <v>2</v>
      </c>
      <c r="E561" s="24">
        <v>219819.90991</v>
      </c>
    </row>
    <row r="562" s="29" customFormat="1" ht="41" spans="2:5">
      <c r="B562" s="19" t="s">
        <v>224</v>
      </c>
      <c r="C562" s="20" t="s">
        <v>182</v>
      </c>
      <c r="D562" s="21">
        <v>1</v>
      </c>
      <c r="E562" s="22">
        <v>118018.018018</v>
      </c>
    </row>
    <row r="563" s="29" customFormat="1" ht="28" spans="2:5">
      <c r="B563" s="19" t="s">
        <v>224</v>
      </c>
      <c r="C563" s="20" t="s">
        <v>804</v>
      </c>
      <c r="D563" s="21">
        <v>5</v>
      </c>
      <c r="E563" s="22">
        <v>603072.072072</v>
      </c>
    </row>
    <row r="564" s="29" customFormat="1" ht="28.75" spans="2:5">
      <c r="B564" s="19" t="s">
        <v>224</v>
      </c>
      <c r="C564" s="16" t="s">
        <v>183</v>
      </c>
      <c r="D564" s="23">
        <v>6</v>
      </c>
      <c r="E564" s="24">
        <v>721090.09009</v>
      </c>
    </row>
    <row r="565" s="29" customFormat="1" spans="2:5">
      <c r="B565" s="25"/>
      <c r="C565" s="25"/>
      <c r="D565" s="25"/>
      <c r="E565" s="25"/>
    </row>
    <row r="566" s="29" customFormat="1" ht="36" spans="2:5">
      <c r="B566" s="26" t="s">
        <v>189</v>
      </c>
      <c r="C566" s="26" t="s">
        <v>189</v>
      </c>
      <c r="D566" s="26" t="s">
        <v>189</v>
      </c>
      <c r="E566" s="26" t="s">
        <v>189</v>
      </c>
    </row>
    <row r="567" s="29" customFormat="1" spans="2:5">
      <c r="B567" s="26"/>
      <c r="C567" s="26"/>
      <c r="D567" s="26"/>
      <c r="E567" s="26"/>
    </row>
    <row r="568" s="29" customFormat="1" ht="36" spans="2:5">
      <c r="B568" s="26" t="s">
        <v>1433</v>
      </c>
      <c r="C568" s="26" t="s">
        <v>1433</v>
      </c>
      <c r="D568" s="26" t="s">
        <v>1433</v>
      </c>
      <c r="E568" s="26" t="s">
        <v>1433</v>
      </c>
    </row>
    <row r="569" s="29" customFormat="1" spans="2:5">
      <c r="B569" s="26" t="s">
        <v>476</v>
      </c>
      <c r="C569" s="26" t="s">
        <v>476</v>
      </c>
      <c r="D569" s="26" t="s">
        <v>476</v>
      </c>
      <c r="E569" s="26" t="s">
        <v>476</v>
      </c>
    </row>
    <row r="570" s="29" customFormat="1" ht="124" spans="2:5">
      <c r="B570" s="11" t="s">
        <v>173</v>
      </c>
      <c r="C570" s="11" t="s">
        <v>173</v>
      </c>
      <c r="D570" s="11" t="s">
        <v>173</v>
      </c>
      <c r="E570" s="11" t="s">
        <v>173</v>
      </c>
    </row>
    <row r="571" s="29" customFormat="1" ht="156" spans="2:5">
      <c r="B571" s="12" t="s">
        <v>174</v>
      </c>
      <c r="C571" s="12" t="s">
        <v>174</v>
      </c>
      <c r="D571" s="12" t="s">
        <v>174</v>
      </c>
      <c r="E571" s="12" t="s">
        <v>174</v>
      </c>
    </row>
    <row r="572" s="29" customFormat="1" ht="68" spans="2:5">
      <c r="B572" s="13" t="s">
        <v>1425</v>
      </c>
      <c r="C572" s="13" t="s">
        <v>1425</v>
      </c>
      <c r="D572" s="13" t="s">
        <v>1425</v>
      </c>
      <c r="E572" s="13" t="s">
        <v>1425</v>
      </c>
    </row>
    <row r="573" s="29" customFormat="1" ht="22" spans="2:5">
      <c r="B573" s="14" t="s">
        <v>176</v>
      </c>
      <c r="C573" s="14" t="s">
        <v>176</v>
      </c>
      <c r="D573" s="14" t="s">
        <v>176</v>
      </c>
      <c r="E573" s="14" t="s">
        <v>176</v>
      </c>
    </row>
    <row r="574" s="29" customFormat="1" spans="2:5">
      <c r="B574" s="15" t="s">
        <v>177</v>
      </c>
      <c r="C574" s="16" t="s">
        <v>178</v>
      </c>
      <c r="D574" s="17" t="s">
        <v>179</v>
      </c>
      <c r="E574" s="18" t="s">
        <v>180</v>
      </c>
    </row>
    <row r="575" s="29" customFormat="1" ht="41" spans="2:5">
      <c r="B575" s="19" t="s">
        <v>225</v>
      </c>
      <c r="C575" s="20" t="s">
        <v>182</v>
      </c>
      <c r="D575" s="21">
        <v>2</v>
      </c>
      <c r="E575" s="22">
        <v>228828.828828</v>
      </c>
    </row>
    <row r="576" s="29" customFormat="1" ht="28" spans="2:5">
      <c r="B576" s="19" t="s">
        <v>225</v>
      </c>
      <c r="C576" s="20" t="s">
        <v>804</v>
      </c>
      <c r="D576" s="21">
        <v>2</v>
      </c>
      <c r="E576" s="22">
        <v>228828.828828</v>
      </c>
    </row>
    <row r="577" s="29" customFormat="1" ht="28" spans="2:5">
      <c r="B577" s="19" t="s">
        <v>225</v>
      </c>
      <c r="C577" s="16" t="s">
        <v>183</v>
      </c>
      <c r="D577" s="23">
        <v>4</v>
      </c>
      <c r="E577" s="24">
        <v>457657.657656</v>
      </c>
    </row>
    <row r="578" s="29" customFormat="1" ht="41" spans="2:5">
      <c r="B578" s="19" t="s">
        <v>227</v>
      </c>
      <c r="C578" s="20" t="s">
        <v>182</v>
      </c>
      <c r="D578" s="21">
        <v>1</v>
      </c>
      <c r="E578" s="22">
        <v>109909.90991</v>
      </c>
    </row>
    <row r="579" s="29" customFormat="1" ht="28" spans="2:5">
      <c r="B579" s="19" t="s">
        <v>227</v>
      </c>
      <c r="C579" s="20" t="s">
        <v>804</v>
      </c>
      <c r="D579" s="21">
        <v>1</v>
      </c>
      <c r="E579" s="22">
        <v>109909.90991</v>
      </c>
    </row>
    <row r="580" s="29" customFormat="1" ht="28" spans="2:5">
      <c r="B580" s="19" t="s">
        <v>227</v>
      </c>
      <c r="C580" s="16" t="s">
        <v>183</v>
      </c>
      <c r="D580" s="23">
        <v>2</v>
      </c>
      <c r="E580" s="24">
        <v>219819.81982</v>
      </c>
    </row>
    <row r="581" s="29" customFormat="1" ht="28" spans="2:5">
      <c r="B581" s="19" t="s">
        <v>1473</v>
      </c>
      <c r="C581" s="20" t="s">
        <v>804</v>
      </c>
      <c r="D581" s="21">
        <v>1</v>
      </c>
      <c r="E581" s="22">
        <v>1015000</v>
      </c>
    </row>
    <row r="582" s="29" customFormat="1" spans="2:5">
      <c r="B582" s="19" t="s">
        <v>1473</v>
      </c>
      <c r="C582" s="16" t="s">
        <v>183</v>
      </c>
      <c r="D582" s="23">
        <v>1</v>
      </c>
      <c r="E582" s="24">
        <v>1015000</v>
      </c>
    </row>
    <row r="583" s="29" customFormat="1" ht="28" spans="2:5">
      <c r="B583" s="19" t="s">
        <v>1474</v>
      </c>
      <c r="C583" s="20" t="s">
        <v>804</v>
      </c>
      <c r="D583" s="21">
        <v>1</v>
      </c>
      <c r="E583" s="22">
        <v>0</v>
      </c>
    </row>
    <row r="584" s="29" customFormat="1" spans="2:5">
      <c r="B584" s="19" t="s">
        <v>1474</v>
      </c>
      <c r="C584" s="16" t="s">
        <v>183</v>
      </c>
      <c r="D584" s="23">
        <v>1</v>
      </c>
      <c r="E584" s="24">
        <v>0</v>
      </c>
    </row>
    <row r="585" s="29" customFormat="1" ht="28" spans="2:5">
      <c r="B585" s="19" t="s">
        <v>1475</v>
      </c>
      <c r="C585" s="20" t="s">
        <v>804</v>
      </c>
      <c r="D585" s="21">
        <v>1</v>
      </c>
      <c r="E585" s="22">
        <v>800000</v>
      </c>
    </row>
    <row r="586" s="29" customFormat="1" spans="2:5">
      <c r="B586" s="19" t="s">
        <v>1475</v>
      </c>
      <c r="C586" s="16" t="s">
        <v>183</v>
      </c>
      <c r="D586" s="23">
        <v>1</v>
      </c>
      <c r="E586" s="24">
        <v>800000</v>
      </c>
    </row>
    <row r="587" s="29" customFormat="1" ht="28" spans="2:5">
      <c r="B587" s="19" t="s">
        <v>1476</v>
      </c>
      <c r="C587" s="20" t="s">
        <v>804</v>
      </c>
      <c r="D587" s="21">
        <v>1</v>
      </c>
      <c r="E587" s="22">
        <v>409909.90991</v>
      </c>
    </row>
    <row r="588" s="29" customFormat="1" ht="17.55" spans="2:5">
      <c r="B588" s="19" t="s">
        <v>1476</v>
      </c>
      <c r="C588" s="16" t="s">
        <v>183</v>
      </c>
      <c r="D588" s="23">
        <v>1</v>
      </c>
      <c r="E588" s="24">
        <v>409909.90991</v>
      </c>
    </row>
    <row r="589" s="29" customFormat="1" spans="2:5">
      <c r="B589" s="25"/>
      <c r="C589" s="25"/>
      <c r="D589" s="25"/>
      <c r="E589" s="25"/>
    </row>
    <row r="590" s="29" customFormat="1" ht="36" spans="2:5">
      <c r="B590" s="26" t="s">
        <v>189</v>
      </c>
      <c r="C590" s="26" t="s">
        <v>189</v>
      </c>
      <c r="D590" s="26" t="s">
        <v>189</v>
      </c>
      <c r="E590" s="26" t="s">
        <v>189</v>
      </c>
    </row>
    <row r="591" s="29" customFormat="1" spans="2:5">
      <c r="B591" s="26"/>
      <c r="C591" s="26"/>
      <c r="D591" s="26"/>
      <c r="E591" s="26"/>
    </row>
    <row r="592" s="29" customFormat="1" ht="36" spans="2:5">
      <c r="B592" s="26" t="s">
        <v>1433</v>
      </c>
      <c r="C592" s="26" t="s">
        <v>1433</v>
      </c>
      <c r="D592" s="26" t="s">
        <v>1433</v>
      </c>
      <c r="E592" s="26" t="s">
        <v>1433</v>
      </c>
    </row>
    <row r="593" s="29" customFormat="1" spans="2:5">
      <c r="B593" s="26" t="s">
        <v>480</v>
      </c>
      <c r="C593" s="26" t="s">
        <v>480</v>
      </c>
      <c r="D593" s="26" t="s">
        <v>480</v>
      </c>
      <c r="E593" s="26" t="s">
        <v>480</v>
      </c>
    </row>
    <row r="594" s="29" customFormat="1" ht="124" spans="2:5">
      <c r="B594" s="11" t="s">
        <v>173</v>
      </c>
      <c r="C594" s="11" t="s">
        <v>173</v>
      </c>
      <c r="D594" s="11" t="s">
        <v>173</v>
      </c>
      <c r="E594" s="11" t="s">
        <v>173</v>
      </c>
    </row>
    <row r="595" s="29" customFormat="1" ht="156" spans="2:5">
      <c r="B595" s="12" t="s">
        <v>174</v>
      </c>
      <c r="C595" s="12" t="s">
        <v>174</v>
      </c>
      <c r="D595" s="12" t="s">
        <v>174</v>
      </c>
      <c r="E595" s="12" t="s">
        <v>174</v>
      </c>
    </row>
    <row r="596" s="29" customFormat="1" ht="68" spans="2:5">
      <c r="B596" s="13" t="s">
        <v>1425</v>
      </c>
      <c r="C596" s="13" t="s">
        <v>1425</v>
      </c>
      <c r="D596" s="13" t="s">
        <v>1425</v>
      </c>
      <c r="E596" s="13" t="s">
        <v>1425</v>
      </c>
    </row>
    <row r="597" s="29" customFormat="1" ht="22" spans="2:5">
      <c r="B597" s="14" t="s">
        <v>176</v>
      </c>
      <c r="C597" s="14" t="s">
        <v>176</v>
      </c>
      <c r="D597" s="14" t="s">
        <v>176</v>
      </c>
      <c r="E597" s="14" t="s">
        <v>176</v>
      </c>
    </row>
    <row r="598" s="29" customFormat="1" spans="2:5">
      <c r="B598" s="15" t="s">
        <v>177</v>
      </c>
      <c r="C598" s="16" t="s">
        <v>178</v>
      </c>
      <c r="D598" s="17" t="s">
        <v>179</v>
      </c>
      <c r="E598" s="18" t="s">
        <v>180</v>
      </c>
    </row>
    <row r="599" s="29" customFormat="1" ht="28" spans="2:5">
      <c r="B599" s="19" t="s">
        <v>1477</v>
      </c>
      <c r="C599" s="20" t="s">
        <v>804</v>
      </c>
      <c r="D599" s="21">
        <v>2</v>
      </c>
      <c r="E599" s="22">
        <v>704000</v>
      </c>
    </row>
    <row r="600" s="29" customFormat="1" ht="28" spans="2:5">
      <c r="B600" s="19" t="s">
        <v>1477</v>
      </c>
      <c r="C600" s="16" t="s">
        <v>183</v>
      </c>
      <c r="D600" s="23">
        <v>2</v>
      </c>
      <c r="E600" s="24">
        <v>704000</v>
      </c>
    </row>
    <row r="601" s="29" customFormat="1" ht="28" spans="2:5">
      <c r="B601" s="19" t="s">
        <v>245</v>
      </c>
      <c r="C601" s="20" t="s">
        <v>804</v>
      </c>
      <c r="D601" s="21">
        <v>2</v>
      </c>
      <c r="E601" s="22">
        <v>1427027</v>
      </c>
    </row>
    <row r="602" s="29" customFormat="1" ht="28" spans="2:5">
      <c r="B602" s="19" t="s">
        <v>245</v>
      </c>
      <c r="C602" s="16" t="s">
        <v>183</v>
      </c>
      <c r="D602" s="23">
        <v>2</v>
      </c>
      <c r="E602" s="24">
        <v>1427027</v>
      </c>
    </row>
    <row r="603" s="29" customFormat="1" ht="41" spans="2:5">
      <c r="B603" s="19" t="s">
        <v>249</v>
      </c>
      <c r="C603" s="20" t="s">
        <v>182</v>
      </c>
      <c r="D603" s="21">
        <v>4</v>
      </c>
      <c r="E603" s="22">
        <v>3347748</v>
      </c>
    </row>
    <row r="604" s="29" customFormat="1" ht="28" spans="2:5">
      <c r="B604" s="19" t="s">
        <v>249</v>
      </c>
      <c r="C604" s="16" t="s">
        <v>183</v>
      </c>
      <c r="D604" s="23">
        <v>4</v>
      </c>
      <c r="E604" s="24">
        <v>3347748</v>
      </c>
    </row>
    <row r="605" s="29" customFormat="1" ht="41" spans="2:5">
      <c r="B605" s="19" t="s">
        <v>250</v>
      </c>
      <c r="C605" s="20" t="s">
        <v>182</v>
      </c>
      <c r="D605" s="21">
        <v>4</v>
      </c>
      <c r="E605" s="22">
        <v>4378378.540541</v>
      </c>
    </row>
    <row r="606" s="29" customFormat="1" ht="28" spans="2:5">
      <c r="B606" s="19" t="s">
        <v>250</v>
      </c>
      <c r="C606" s="16" t="s">
        <v>183</v>
      </c>
      <c r="D606" s="23">
        <v>4</v>
      </c>
      <c r="E606" s="24">
        <v>4378378.540541</v>
      </c>
    </row>
    <row r="607" s="29" customFormat="1" ht="28" spans="2:5">
      <c r="B607" s="19" t="s">
        <v>257</v>
      </c>
      <c r="C607" s="20" t="s">
        <v>804</v>
      </c>
      <c r="D607" s="21">
        <v>4</v>
      </c>
      <c r="E607" s="22">
        <v>2162162.189189</v>
      </c>
    </row>
    <row r="608" s="29" customFormat="1" ht="28" spans="2:5">
      <c r="B608" s="19" t="s">
        <v>257</v>
      </c>
      <c r="C608" s="16" t="s">
        <v>183</v>
      </c>
      <c r="D608" s="23">
        <v>4</v>
      </c>
      <c r="E608" s="24">
        <v>2162162.189189</v>
      </c>
    </row>
    <row r="609" s="29" customFormat="1" ht="41" spans="2:5">
      <c r="B609" s="19" t="s">
        <v>259</v>
      </c>
      <c r="C609" s="20" t="s">
        <v>182</v>
      </c>
      <c r="D609" s="21">
        <v>4</v>
      </c>
      <c r="E609" s="22">
        <v>3423423.279279</v>
      </c>
    </row>
    <row r="610" s="29" customFormat="1" ht="28" spans="2:5">
      <c r="B610" s="19" t="s">
        <v>259</v>
      </c>
      <c r="C610" s="16" t="s">
        <v>183</v>
      </c>
      <c r="D610" s="23">
        <v>4</v>
      </c>
      <c r="E610" s="24">
        <v>3423423.279279</v>
      </c>
    </row>
    <row r="611" s="29" customFormat="1" ht="28" spans="2:5">
      <c r="B611" s="19" t="s">
        <v>1478</v>
      </c>
      <c r="C611" s="20" t="s">
        <v>804</v>
      </c>
      <c r="D611" s="21">
        <v>4</v>
      </c>
      <c r="E611" s="22">
        <v>3509909.657658</v>
      </c>
    </row>
    <row r="612" s="29" customFormat="1" ht="28.75" spans="2:5">
      <c r="B612" s="19" t="s">
        <v>1478</v>
      </c>
      <c r="C612" s="16" t="s">
        <v>183</v>
      </c>
      <c r="D612" s="23">
        <v>4</v>
      </c>
      <c r="E612" s="24">
        <v>3509909.657658</v>
      </c>
    </row>
    <row r="613" s="29" customFormat="1" spans="2:5">
      <c r="B613" s="25"/>
      <c r="C613" s="25"/>
      <c r="D613" s="25"/>
      <c r="E613" s="25"/>
    </row>
    <row r="614" s="29" customFormat="1" ht="36" spans="2:5">
      <c r="B614" s="26" t="s">
        <v>189</v>
      </c>
      <c r="C614" s="26" t="s">
        <v>189</v>
      </c>
      <c r="D614" s="26" t="s">
        <v>189</v>
      </c>
      <c r="E614" s="26" t="s">
        <v>189</v>
      </c>
    </row>
    <row r="615" s="29" customFormat="1" spans="2:5">
      <c r="B615" s="26"/>
      <c r="C615" s="26"/>
      <c r="D615" s="26"/>
      <c r="E615" s="26"/>
    </row>
    <row r="616" s="29" customFormat="1" ht="36" spans="2:5">
      <c r="B616" s="26" t="s">
        <v>1433</v>
      </c>
      <c r="C616" s="26" t="s">
        <v>1433</v>
      </c>
      <c r="D616" s="26" t="s">
        <v>1433</v>
      </c>
      <c r="E616" s="26" t="s">
        <v>1433</v>
      </c>
    </row>
    <row r="617" s="29" customFormat="1" spans="2:5">
      <c r="B617" s="26" t="s">
        <v>523</v>
      </c>
      <c r="C617" s="26" t="s">
        <v>523</v>
      </c>
      <c r="D617" s="26" t="s">
        <v>523</v>
      </c>
      <c r="E617" s="26" t="s">
        <v>523</v>
      </c>
    </row>
    <row r="618" s="29" customFormat="1" ht="124" spans="2:5">
      <c r="B618" s="11" t="s">
        <v>173</v>
      </c>
      <c r="C618" s="11" t="s">
        <v>173</v>
      </c>
      <c r="D618" s="11" t="s">
        <v>173</v>
      </c>
      <c r="E618" s="11" t="s">
        <v>173</v>
      </c>
    </row>
    <row r="619" s="29" customFormat="1" ht="156" spans="2:5">
      <c r="B619" s="12" t="s">
        <v>174</v>
      </c>
      <c r="C619" s="12" t="s">
        <v>174</v>
      </c>
      <c r="D619" s="12" t="s">
        <v>174</v>
      </c>
      <c r="E619" s="12" t="s">
        <v>174</v>
      </c>
    </row>
    <row r="620" s="29" customFormat="1" ht="68" spans="2:5">
      <c r="B620" s="13" t="s">
        <v>1425</v>
      </c>
      <c r="C620" s="13" t="s">
        <v>1425</v>
      </c>
      <c r="D620" s="13" t="s">
        <v>1425</v>
      </c>
      <c r="E620" s="13" t="s">
        <v>1425</v>
      </c>
    </row>
    <row r="621" s="29" customFormat="1" ht="22" spans="2:5">
      <c r="B621" s="14" t="s">
        <v>176</v>
      </c>
      <c r="C621" s="14" t="s">
        <v>176</v>
      </c>
      <c r="D621" s="14" t="s">
        <v>176</v>
      </c>
      <c r="E621" s="14" t="s">
        <v>176</v>
      </c>
    </row>
    <row r="622" s="29" customFormat="1" spans="2:5">
      <c r="B622" s="15" t="s">
        <v>177</v>
      </c>
      <c r="C622" s="16" t="s">
        <v>178</v>
      </c>
      <c r="D622" s="17" t="s">
        <v>179</v>
      </c>
      <c r="E622" s="18" t="s">
        <v>180</v>
      </c>
    </row>
    <row r="623" s="29" customFormat="1" ht="28" spans="2:5">
      <c r="B623" s="19" t="s">
        <v>1479</v>
      </c>
      <c r="C623" s="20" t="s">
        <v>804</v>
      </c>
      <c r="D623" s="21">
        <v>4</v>
      </c>
      <c r="E623" s="22">
        <v>4684684.054054</v>
      </c>
    </row>
    <row r="624" s="29" customFormat="1" ht="28" spans="2:5">
      <c r="B624" s="19" t="s">
        <v>1479</v>
      </c>
      <c r="C624" s="16" t="s">
        <v>183</v>
      </c>
      <c r="D624" s="23">
        <v>4</v>
      </c>
      <c r="E624" s="24">
        <v>4684684.054054</v>
      </c>
    </row>
    <row r="625" s="29" customFormat="1" ht="55" spans="2:5">
      <c r="B625" s="19" t="s">
        <v>1480</v>
      </c>
      <c r="C625" s="20" t="s">
        <v>1481</v>
      </c>
      <c r="D625" s="21">
        <v>2</v>
      </c>
      <c r="E625" s="22">
        <v>1828829</v>
      </c>
    </row>
    <row r="626" s="29" customFormat="1" ht="28" spans="2:5">
      <c r="B626" s="19" t="s">
        <v>1480</v>
      </c>
      <c r="C626" s="20" t="s">
        <v>804</v>
      </c>
      <c r="D626" s="21">
        <v>2</v>
      </c>
      <c r="E626" s="22">
        <v>1828828.756757</v>
      </c>
    </row>
    <row r="627" s="29" customFormat="1" ht="28" spans="2:5">
      <c r="B627" s="19" t="s">
        <v>1480</v>
      </c>
      <c r="C627" s="16" t="s">
        <v>183</v>
      </c>
      <c r="D627" s="23">
        <v>4</v>
      </c>
      <c r="E627" s="24">
        <v>3657657.756757</v>
      </c>
    </row>
    <row r="628" s="29" customFormat="1" ht="28" spans="2:5">
      <c r="B628" s="19" t="s">
        <v>1482</v>
      </c>
      <c r="C628" s="20" t="s">
        <v>804</v>
      </c>
      <c r="D628" s="21">
        <v>2</v>
      </c>
      <c r="E628" s="22">
        <v>3129729.72973</v>
      </c>
    </row>
    <row r="629" s="29" customFormat="1" ht="28" spans="2:5">
      <c r="B629" s="19" t="s">
        <v>1482</v>
      </c>
      <c r="C629" s="16" t="s">
        <v>183</v>
      </c>
      <c r="D629" s="23">
        <v>2</v>
      </c>
      <c r="E629" s="24">
        <v>3129729.72973</v>
      </c>
    </row>
    <row r="630" s="29" customFormat="1" ht="41" spans="2:5">
      <c r="B630" s="19" t="s">
        <v>1483</v>
      </c>
      <c r="C630" s="20" t="s">
        <v>182</v>
      </c>
      <c r="D630" s="21">
        <v>1</v>
      </c>
      <c r="E630" s="22">
        <v>120000</v>
      </c>
    </row>
    <row r="631" s="29" customFormat="1" spans="2:5">
      <c r="B631" s="19" t="s">
        <v>1483</v>
      </c>
      <c r="C631" s="16" t="s">
        <v>183</v>
      </c>
      <c r="D631" s="23">
        <v>1</v>
      </c>
      <c r="E631" s="24">
        <v>120000</v>
      </c>
    </row>
    <row r="632" s="29" customFormat="1" ht="41" spans="2:5">
      <c r="B632" s="19" t="s">
        <v>974</v>
      </c>
      <c r="C632" s="20" t="s">
        <v>182</v>
      </c>
      <c r="D632" s="21">
        <v>1</v>
      </c>
      <c r="E632" s="22">
        <v>0</v>
      </c>
    </row>
    <row r="633" s="29" customFormat="1" spans="2:5">
      <c r="B633" s="19" t="s">
        <v>974</v>
      </c>
      <c r="C633" s="16" t="s">
        <v>183</v>
      </c>
      <c r="D633" s="23">
        <v>1</v>
      </c>
      <c r="E633" s="24">
        <v>0</v>
      </c>
    </row>
    <row r="634" s="29" customFormat="1" ht="41" spans="2:5">
      <c r="B634" s="19" t="s">
        <v>975</v>
      </c>
      <c r="C634" s="20" t="s">
        <v>1191</v>
      </c>
      <c r="D634" s="21">
        <v>168</v>
      </c>
      <c r="E634" s="22">
        <v>0</v>
      </c>
    </row>
    <row r="635" s="29" customFormat="1" ht="41.75" spans="2:5">
      <c r="B635" s="19" t="s">
        <v>975</v>
      </c>
      <c r="C635" s="20" t="s">
        <v>182</v>
      </c>
      <c r="D635" s="21">
        <v>245</v>
      </c>
      <c r="E635" s="22">
        <v>0</v>
      </c>
    </row>
    <row r="636" s="29" customFormat="1" spans="2:5">
      <c r="B636" s="25"/>
      <c r="C636" s="25"/>
      <c r="D636" s="25"/>
      <c r="E636" s="25"/>
    </row>
    <row r="637" s="29" customFormat="1" ht="36" spans="2:5">
      <c r="B637" s="26" t="s">
        <v>189</v>
      </c>
      <c r="C637" s="26" t="s">
        <v>189</v>
      </c>
      <c r="D637" s="26" t="s">
        <v>189</v>
      </c>
      <c r="E637" s="26" t="s">
        <v>189</v>
      </c>
    </row>
    <row r="638" s="29" customFormat="1" spans="2:5">
      <c r="B638" s="26"/>
      <c r="C638" s="26"/>
      <c r="D638" s="26"/>
      <c r="E638" s="26"/>
    </row>
    <row r="639" s="29" customFormat="1" ht="36" spans="2:5">
      <c r="B639" s="26" t="s">
        <v>1433</v>
      </c>
      <c r="C639" s="26" t="s">
        <v>1433</v>
      </c>
      <c r="D639" s="26" t="s">
        <v>1433</v>
      </c>
      <c r="E639" s="26" t="s">
        <v>1433</v>
      </c>
    </row>
    <row r="640" s="29" customFormat="1" spans="2:5">
      <c r="B640" s="26" t="s">
        <v>529</v>
      </c>
      <c r="C640" s="26" t="s">
        <v>529</v>
      </c>
      <c r="D640" s="26" t="s">
        <v>529</v>
      </c>
      <c r="E640" s="26" t="s">
        <v>529</v>
      </c>
    </row>
    <row r="641" s="29" customFormat="1" ht="124" spans="2:5">
      <c r="B641" s="11" t="s">
        <v>173</v>
      </c>
      <c r="C641" s="11" t="s">
        <v>173</v>
      </c>
      <c r="D641" s="11" t="s">
        <v>173</v>
      </c>
      <c r="E641" s="11" t="s">
        <v>173</v>
      </c>
    </row>
    <row r="642" s="29" customFormat="1" ht="156" spans="2:5">
      <c r="B642" s="12" t="s">
        <v>174</v>
      </c>
      <c r="C642" s="12" t="s">
        <v>174</v>
      </c>
      <c r="D642" s="12" t="s">
        <v>174</v>
      </c>
      <c r="E642" s="12" t="s">
        <v>174</v>
      </c>
    </row>
    <row r="643" s="29" customFormat="1" ht="68" spans="2:5">
      <c r="B643" s="13" t="s">
        <v>1425</v>
      </c>
      <c r="C643" s="13" t="s">
        <v>1425</v>
      </c>
      <c r="D643" s="13" t="s">
        <v>1425</v>
      </c>
      <c r="E643" s="13" t="s">
        <v>1425</v>
      </c>
    </row>
    <row r="644" s="29" customFormat="1" ht="22" spans="2:5">
      <c r="B644" s="14" t="s">
        <v>176</v>
      </c>
      <c r="C644" s="14" t="s">
        <v>176</v>
      </c>
      <c r="D644" s="14" t="s">
        <v>176</v>
      </c>
      <c r="E644" s="14" t="s">
        <v>176</v>
      </c>
    </row>
    <row r="645" s="29" customFormat="1" spans="2:5">
      <c r="B645" s="15" t="s">
        <v>177</v>
      </c>
      <c r="C645" s="16" t="s">
        <v>178</v>
      </c>
      <c r="D645" s="17" t="s">
        <v>179</v>
      </c>
      <c r="E645" s="18" t="s">
        <v>180</v>
      </c>
    </row>
    <row r="646" s="29" customFormat="1" ht="28" spans="2:5">
      <c r="B646" s="19" t="s">
        <v>975</v>
      </c>
      <c r="C646" s="20" t="s">
        <v>804</v>
      </c>
      <c r="D646" s="21">
        <v>116</v>
      </c>
      <c r="E646" s="22">
        <v>0</v>
      </c>
    </row>
    <row r="647" s="29" customFormat="1" ht="28" spans="2:5">
      <c r="B647" s="19" t="s">
        <v>975</v>
      </c>
      <c r="C647" s="16" t="s">
        <v>183</v>
      </c>
      <c r="D647" s="23">
        <v>529</v>
      </c>
      <c r="E647" s="24">
        <v>0</v>
      </c>
    </row>
    <row r="648" s="29" customFormat="1" ht="41" spans="2:5">
      <c r="B648" s="19" t="s">
        <v>1484</v>
      </c>
      <c r="C648" s="20" t="s">
        <v>182</v>
      </c>
      <c r="D648" s="21">
        <v>221</v>
      </c>
      <c r="E648" s="22">
        <v>0</v>
      </c>
    </row>
    <row r="649" s="29" customFormat="1" ht="28" spans="2:5">
      <c r="B649" s="19" t="s">
        <v>1484</v>
      </c>
      <c r="C649" s="20" t="s">
        <v>804</v>
      </c>
      <c r="D649" s="21">
        <v>60</v>
      </c>
      <c r="E649" s="22">
        <v>0</v>
      </c>
    </row>
    <row r="650" s="29" customFormat="1" ht="28" spans="2:5">
      <c r="B650" s="19" t="s">
        <v>1484</v>
      </c>
      <c r="C650" s="16" t="s">
        <v>183</v>
      </c>
      <c r="D650" s="23">
        <v>281</v>
      </c>
      <c r="E650" s="24">
        <v>0</v>
      </c>
    </row>
    <row r="651" s="29" customFormat="1" ht="41" spans="2:5">
      <c r="B651" s="19" t="s">
        <v>272</v>
      </c>
      <c r="C651" s="20" t="s">
        <v>182</v>
      </c>
      <c r="D651" s="21">
        <v>14</v>
      </c>
      <c r="E651" s="22">
        <v>66666.666667</v>
      </c>
    </row>
    <row r="652" s="29" customFormat="1" ht="28" spans="2:5">
      <c r="B652" s="19" t="s">
        <v>272</v>
      </c>
      <c r="C652" s="20" t="s">
        <v>804</v>
      </c>
      <c r="D652" s="21">
        <v>63</v>
      </c>
      <c r="E652" s="22">
        <v>3133333.621622</v>
      </c>
    </row>
    <row r="653" s="29" customFormat="1" ht="28" spans="2:5">
      <c r="B653" s="19" t="s">
        <v>272</v>
      </c>
      <c r="C653" s="16" t="s">
        <v>183</v>
      </c>
      <c r="D653" s="23">
        <v>77</v>
      </c>
      <c r="E653" s="24">
        <v>3200000.288289</v>
      </c>
    </row>
    <row r="654" s="29" customFormat="1" ht="41" spans="2:5">
      <c r="B654" s="19" t="s">
        <v>421</v>
      </c>
      <c r="C654" s="20" t="s">
        <v>182</v>
      </c>
      <c r="D654" s="21">
        <v>15</v>
      </c>
      <c r="E654" s="22">
        <v>400000.333334</v>
      </c>
    </row>
    <row r="655" s="29" customFormat="1" ht="28" spans="2:5">
      <c r="B655" s="19" t="s">
        <v>421</v>
      </c>
      <c r="C655" s="20" t="s">
        <v>804</v>
      </c>
      <c r="D655" s="21">
        <v>6</v>
      </c>
      <c r="E655" s="22">
        <v>199999.801801</v>
      </c>
    </row>
    <row r="656" s="29" customFormat="1" ht="28" spans="2:5">
      <c r="B656" s="19" t="s">
        <v>421</v>
      </c>
      <c r="C656" s="16" t="s">
        <v>183</v>
      </c>
      <c r="D656" s="23">
        <v>21</v>
      </c>
      <c r="E656" s="24">
        <v>600000.135135</v>
      </c>
    </row>
    <row r="657" s="29" customFormat="1" ht="41" spans="2:5">
      <c r="B657" s="19" t="s">
        <v>273</v>
      </c>
      <c r="C657" s="20" t="s">
        <v>182</v>
      </c>
      <c r="D657" s="21">
        <v>4</v>
      </c>
      <c r="E657" s="22">
        <v>0</v>
      </c>
    </row>
    <row r="658" s="29" customFormat="1" ht="28" spans="2:5">
      <c r="B658" s="19" t="s">
        <v>273</v>
      </c>
      <c r="C658" s="20" t="s">
        <v>804</v>
      </c>
      <c r="D658" s="21">
        <v>4</v>
      </c>
      <c r="E658" s="22">
        <v>0</v>
      </c>
    </row>
    <row r="659" s="29" customFormat="1" ht="28.75" spans="2:5">
      <c r="B659" s="19" t="s">
        <v>273</v>
      </c>
      <c r="C659" s="16" t="s">
        <v>183</v>
      </c>
      <c r="D659" s="23">
        <v>8</v>
      </c>
      <c r="E659" s="24">
        <v>0</v>
      </c>
    </row>
    <row r="660" s="29" customFormat="1" spans="2:5">
      <c r="B660" s="25"/>
      <c r="C660" s="25"/>
      <c r="D660" s="25"/>
      <c r="E660" s="25"/>
    </row>
    <row r="661" s="29" customFormat="1" ht="36" spans="2:5">
      <c r="B661" s="26" t="s">
        <v>189</v>
      </c>
      <c r="C661" s="26" t="s">
        <v>189</v>
      </c>
      <c r="D661" s="26" t="s">
        <v>189</v>
      </c>
      <c r="E661" s="26" t="s">
        <v>189</v>
      </c>
    </row>
    <row r="662" s="29" customFormat="1" spans="2:5">
      <c r="B662" s="26"/>
      <c r="C662" s="26"/>
      <c r="D662" s="26"/>
      <c r="E662" s="26"/>
    </row>
    <row r="663" s="29" customFormat="1" ht="36" spans="2:5">
      <c r="B663" s="26" t="s">
        <v>1433</v>
      </c>
      <c r="C663" s="26" t="s">
        <v>1433</v>
      </c>
      <c r="D663" s="26" t="s">
        <v>1433</v>
      </c>
      <c r="E663" s="26" t="s">
        <v>1433</v>
      </c>
    </row>
    <row r="664" s="29" customFormat="1" spans="2:5">
      <c r="B664" s="26" t="s">
        <v>533</v>
      </c>
      <c r="C664" s="26" t="s">
        <v>533</v>
      </c>
      <c r="D664" s="26" t="s">
        <v>533</v>
      </c>
      <c r="E664" s="26" t="s">
        <v>533</v>
      </c>
    </row>
    <row r="665" s="29" customFormat="1" ht="124" spans="2:5">
      <c r="B665" s="11" t="s">
        <v>173</v>
      </c>
      <c r="C665" s="11" t="s">
        <v>173</v>
      </c>
      <c r="D665" s="11" t="s">
        <v>173</v>
      </c>
      <c r="E665" s="11" t="s">
        <v>173</v>
      </c>
    </row>
    <row r="666" s="29" customFormat="1" ht="156" spans="2:5">
      <c r="B666" s="12" t="s">
        <v>174</v>
      </c>
      <c r="C666" s="12" t="s">
        <v>174</v>
      </c>
      <c r="D666" s="12" t="s">
        <v>174</v>
      </c>
      <c r="E666" s="12" t="s">
        <v>174</v>
      </c>
    </row>
    <row r="667" s="29" customFormat="1" ht="68" spans="2:5">
      <c r="B667" s="13" t="s">
        <v>1425</v>
      </c>
      <c r="C667" s="13" t="s">
        <v>1425</v>
      </c>
      <c r="D667" s="13" t="s">
        <v>1425</v>
      </c>
      <c r="E667" s="13" t="s">
        <v>1425</v>
      </c>
    </row>
    <row r="668" s="29" customFormat="1" ht="22" spans="2:5">
      <c r="B668" s="14" t="s">
        <v>176</v>
      </c>
      <c r="C668" s="14" t="s">
        <v>176</v>
      </c>
      <c r="D668" s="14" t="s">
        <v>176</v>
      </c>
      <c r="E668" s="14" t="s">
        <v>176</v>
      </c>
    </row>
    <row r="669" s="29" customFormat="1" spans="2:5">
      <c r="B669" s="15" t="s">
        <v>177</v>
      </c>
      <c r="C669" s="16" t="s">
        <v>178</v>
      </c>
      <c r="D669" s="17" t="s">
        <v>179</v>
      </c>
      <c r="E669" s="18" t="s">
        <v>180</v>
      </c>
    </row>
    <row r="670" s="29" customFormat="1" ht="41" spans="2:5">
      <c r="B670" s="19" t="s">
        <v>274</v>
      </c>
      <c r="C670" s="20" t="s">
        <v>182</v>
      </c>
      <c r="D670" s="21">
        <v>3</v>
      </c>
      <c r="E670" s="22">
        <v>0</v>
      </c>
    </row>
    <row r="671" s="29" customFormat="1" ht="28" spans="2:5">
      <c r="B671" s="19" t="s">
        <v>274</v>
      </c>
      <c r="C671" s="20" t="s">
        <v>804</v>
      </c>
      <c r="D671" s="21">
        <v>1</v>
      </c>
      <c r="E671" s="22">
        <v>0</v>
      </c>
    </row>
    <row r="672" s="29" customFormat="1" ht="28" spans="2:5">
      <c r="B672" s="19" t="s">
        <v>274</v>
      </c>
      <c r="C672" s="16" t="s">
        <v>183</v>
      </c>
      <c r="D672" s="23">
        <v>4</v>
      </c>
      <c r="E672" s="24">
        <v>0</v>
      </c>
    </row>
    <row r="673" s="29" customFormat="1" ht="41" spans="2:5">
      <c r="B673" s="19" t="s">
        <v>583</v>
      </c>
      <c r="C673" s="20" t="s">
        <v>182</v>
      </c>
      <c r="D673" s="21">
        <v>3</v>
      </c>
      <c r="E673" s="22">
        <v>343243</v>
      </c>
    </row>
    <row r="674" s="29" customFormat="1" ht="28" spans="2:5">
      <c r="B674" s="19" t="s">
        <v>583</v>
      </c>
      <c r="C674" s="16" t="s">
        <v>183</v>
      </c>
      <c r="D674" s="23">
        <v>3</v>
      </c>
      <c r="E674" s="24">
        <v>343243</v>
      </c>
    </row>
    <row r="675" s="29" customFormat="1" ht="41" spans="2:5">
      <c r="B675" s="19" t="s">
        <v>367</v>
      </c>
      <c r="C675" s="20" t="s">
        <v>182</v>
      </c>
      <c r="D675" s="21">
        <v>3</v>
      </c>
      <c r="E675" s="22">
        <v>0</v>
      </c>
    </row>
    <row r="676" s="29" customFormat="1" ht="28" spans="2:5">
      <c r="B676" s="19" t="s">
        <v>367</v>
      </c>
      <c r="C676" s="20" t="s">
        <v>804</v>
      </c>
      <c r="D676" s="21">
        <v>3</v>
      </c>
      <c r="E676" s="22">
        <v>0</v>
      </c>
    </row>
    <row r="677" s="29" customFormat="1" ht="28" spans="2:5">
      <c r="B677" s="19" t="s">
        <v>367</v>
      </c>
      <c r="C677" s="16" t="s">
        <v>183</v>
      </c>
      <c r="D677" s="23">
        <v>6</v>
      </c>
      <c r="E677" s="24">
        <v>0</v>
      </c>
    </row>
    <row r="678" s="29" customFormat="1" ht="41" spans="2:5">
      <c r="B678" s="19" t="s">
        <v>368</v>
      </c>
      <c r="C678" s="20" t="s">
        <v>182</v>
      </c>
      <c r="D678" s="21">
        <v>5</v>
      </c>
      <c r="E678" s="22">
        <v>172973</v>
      </c>
    </row>
    <row r="679" s="29" customFormat="1" ht="28" spans="2:5">
      <c r="B679" s="19" t="s">
        <v>368</v>
      </c>
      <c r="C679" s="16" t="s">
        <v>183</v>
      </c>
      <c r="D679" s="23">
        <v>5</v>
      </c>
      <c r="E679" s="24">
        <v>172973</v>
      </c>
    </row>
    <row r="680" s="29" customFormat="1" ht="41" spans="2:5">
      <c r="B680" s="19" t="s">
        <v>422</v>
      </c>
      <c r="C680" s="20" t="s">
        <v>1191</v>
      </c>
      <c r="D680" s="21">
        <v>1</v>
      </c>
      <c r="E680" s="22">
        <v>519000</v>
      </c>
    </row>
    <row r="681" s="29" customFormat="1" ht="28" spans="2:5">
      <c r="B681" s="19" t="s">
        <v>422</v>
      </c>
      <c r="C681" s="16" t="s">
        <v>183</v>
      </c>
      <c r="D681" s="23">
        <v>1</v>
      </c>
      <c r="E681" s="24">
        <v>519000</v>
      </c>
    </row>
    <row r="682" s="29" customFormat="1" ht="41.75" spans="2:5">
      <c r="B682" s="20" t="s">
        <v>495</v>
      </c>
      <c r="C682" s="20" t="s">
        <v>182</v>
      </c>
      <c r="D682" s="21">
        <v>8</v>
      </c>
      <c r="E682" s="22">
        <v>483784</v>
      </c>
    </row>
    <row r="683" s="29" customFormat="1" spans="2:5">
      <c r="B683" s="25"/>
      <c r="C683" s="25"/>
      <c r="D683" s="25"/>
      <c r="E683" s="25"/>
    </row>
    <row r="684" s="29" customFormat="1" ht="36" spans="2:5">
      <c r="B684" s="26" t="s">
        <v>189</v>
      </c>
      <c r="C684" s="26" t="s">
        <v>189</v>
      </c>
      <c r="D684" s="26" t="s">
        <v>189</v>
      </c>
      <c r="E684" s="26" t="s">
        <v>189</v>
      </c>
    </row>
    <row r="685" s="29" customFormat="1" spans="2:5">
      <c r="B685" s="26"/>
      <c r="C685" s="26"/>
      <c r="D685" s="26"/>
      <c r="E685" s="26"/>
    </row>
    <row r="686" s="29" customFormat="1" ht="36" spans="2:5">
      <c r="B686" s="26" t="s">
        <v>1433</v>
      </c>
      <c r="C686" s="26" t="s">
        <v>1433</v>
      </c>
      <c r="D686" s="26" t="s">
        <v>1433</v>
      </c>
      <c r="E686" s="26" t="s">
        <v>1433</v>
      </c>
    </row>
    <row r="687" s="29" customFormat="1" spans="2:5">
      <c r="B687" s="26" t="s">
        <v>540</v>
      </c>
      <c r="C687" s="26" t="s">
        <v>540</v>
      </c>
      <c r="D687" s="26" t="s">
        <v>540</v>
      </c>
      <c r="E687" s="26" t="s">
        <v>540</v>
      </c>
    </row>
    <row r="688" s="29" customFormat="1" ht="124" spans="2:5">
      <c r="B688" s="11" t="s">
        <v>173</v>
      </c>
      <c r="C688" s="11" t="s">
        <v>173</v>
      </c>
      <c r="D688" s="11" t="s">
        <v>173</v>
      </c>
      <c r="E688" s="11" t="s">
        <v>173</v>
      </c>
    </row>
    <row r="689" s="29" customFormat="1" ht="156" spans="2:5">
      <c r="B689" s="12" t="s">
        <v>174</v>
      </c>
      <c r="C689" s="12" t="s">
        <v>174</v>
      </c>
      <c r="D689" s="12" t="s">
        <v>174</v>
      </c>
      <c r="E689" s="12" t="s">
        <v>174</v>
      </c>
    </row>
    <row r="690" s="29" customFormat="1" ht="68" spans="2:5">
      <c r="B690" s="13" t="s">
        <v>1425</v>
      </c>
      <c r="C690" s="13" t="s">
        <v>1425</v>
      </c>
      <c r="D690" s="13" t="s">
        <v>1425</v>
      </c>
      <c r="E690" s="13" t="s">
        <v>1425</v>
      </c>
    </row>
    <row r="691" s="29" customFormat="1" ht="22" spans="2:5">
      <c r="B691" s="14" t="s">
        <v>176</v>
      </c>
      <c r="C691" s="14" t="s">
        <v>176</v>
      </c>
      <c r="D691" s="14" t="s">
        <v>176</v>
      </c>
      <c r="E691" s="14" t="s">
        <v>176</v>
      </c>
    </row>
    <row r="692" s="29" customFormat="1" spans="2:5">
      <c r="B692" s="15" t="s">
        <v>177</v>
      </c>
      <c r="C692" s="16" t="s">
        <v>178</v>
      </c>
      <c r="D692" s="17" t="s">
        <v>179</v>
      </c>
      <c r="E692" s="18" t="s">
        <v>180</v>
      </c>
    </row>
    <row r="693" s="29" customFormat="1" ht="28" spans="2:5">
      <c r="B693" s="19" t="s">
        <v>495</v>
      </c>
      <c r="C693" s="20" t="s">
        <v>804</v>
      </c>
      <c r="D693" s="21">
        <v>4</v>
      </c>
      <c r="E693" s="22">
        <v>493693.648649</v>
      </c>
    </row>
    <row r="694" s="29" customFormat="1" ht="28" spans="2:5">
      <c r="B694" s="19" t="s">
        <v>495</v>
      </c>
      <c r="C694" s="16" t="s">
        <v>183</v>
      </c>
      <c r="D694" s="23">
        <v>12</v>
      </c>
      <c r="E694" s="24">
        <v>977477.648649</v>
      </c>
    </row>
    <row r="695" s="29" customFormat="1" ht="41" spans="2:5">
      <c r="B695" s="19" t="s">
        <v>423</v>
      </c>
      <c r="C695" s="20" t="s">
        <v>182</v>
      </c>
      <c r="D695" s="21">
        <v>6</v>
      </c>
      <c r="E695" s="22">
        <v>967567.351351</v>
      </c>
    </row>
    <row r="696" s="29" customFormat="1" ht="28" spans="2:5">
      <c r="B696" s="19" t="s">
        <v>423</v>
      </c>
      <c r="C696" s="16" t="s">
        <v>183</v>
      </c>
      <c r="D696" s="23">
        <v>6</v>
      </c>
      <c r="E696" s="24">
        <v>967567.351351</v>
      </c>
    </row>
    <row r="697" s="29" customFormat="1" ht="41" spans="2:5">
      <c r="B697" s="19" t="s">
        <v>1485</v>
      </c>
      <c r="C697" s="20" t="s">
        <v>182</v>
      </c>
      <c r="D697" s="21">
        <v>1</v>
      </c>
      <c r="E697" s="22">
        <v>1530000</v>
      </c>
    </row>
    <row r="698" s="29" customFormat="1" ht="28" spans="2:5">
      <c r="B698" s="19" t="s">
        <v>1485</v>
      </c>
      <c r="C698" s="16" t="s">
        <v>183</v>
      </c>
      <c r="D698" s="23">
        <v>1</v>
      </c>
      <c r="E698" s="24">
        <v>1530000</v>
      </c>
    </row>
    <row r="699" s="29" customFormat="1" ht="41" spans="2:5">
      <c r="B699" s="19" t="s">
        <v>1486</v>
      </c>
      <c r="C699" s="20" t="s">
        <v>182</v>
      </c>
      <c r="D699" s="21">
        <v>1</v>
      </c>
      <c r="E699" s="22">
        <v>370000</v>
      </c>
    </row>
    <row r="700" s="29" customFormat="1" ht="28" spans="2:5">
      <c r="B700" s="19" t="s">
        <v>1486</v>
      </c>
      <c r="C700" s="16" t="s">
        <v>183</v>
      </c>
      <c r="D700" s="23">
        <v>1</v>
      </c>
      <c r="E700" s="24">
        <v>370000</v>
      </c>
    </row>
    <row r="701" s="29" customFormat="1" ht="41" spans="2:5">
      <c r="B701" s="19" t="s">
        <v>1487</v>
      </c>
      <c r="C701" s="20" t="s">
        <v>182</v>
      </c>
      <c r="D701" s="21">
        <v>1</v>
      </c>
      <c r="E701" s="22">
        <v>360360.36036</v>
      </c>
    </row>
    <row r="702" s="29" customFormat="1" ht="28" spans="2:5">
      <c r="B702" s="19" t="s">
        <v>1487</v>
      </c>
      <c r="C702" s="16" t="s">
        <v>183</v>
      </c>
      <c r="D702" s="23">
        <v>1</v>
      </c>
      <c r="E702" s="24">
        <v>360360.36036</v>
      </c>
    </row>
    <row r="703" s="29" customFormat="1" ht="41" spans="2:5">
      <c r="B703" s="19" t="s">
        <v>1488</v>
      </c>
      <c r="C703" s="20" t="s">
        <v>182</v>
      </c>
      <c r="D703" s="21">
        <v>2</v>
      </c>
      <c r="E703" s="22">
        <v>540000</v>
      </c>
    </row>
    <row r="704" s="29" customFormat="1" ht="28" spans="2:5">
      <c r="B704" s="19" t="s">
        <v>1488</v>
      </c>
      <c r="C704" s="16" t="s">
        <v>183</v>
      </c>
      <c r="D704" s="23">
        <v>2</v>
      </c>
      <c r="E704" s="24">
        <v>540000</v>
      </c>
    </row>
    <row r="705" s="29" customFormat="1" ht="41.75" spans="2:5">
      <c r="B705" s="20" t="s">
        <v>424</v>
      </c>
      <c r="C705" s="20" t="s">
        <v>182</v>
      </c>
      <c r="D705" s="21">
        <v>67</v>
      </c>
      <c r="E705" s="22">
        <v>0</v>
      </c>
    </row>
    <row r="706" s="29" customFormat="1" spans="2:5">
      <c r="B706" s="25"/>
      <c r="C706" s="25"/>
      <c r="D706" s="25"/>
      <c r="E706" s="25"/>
    </row>
    <row r="707" s="29" customFormat="1" ht="36" spans="2:5">
      <c r="B707" s="26" t="s">
        <v>189</v>
      </c>
      <c r="C707" s="26" t="s">
        <v>189</v>
      </c>
      <c r="D707" s="26" t="s">
        <v>189</v>
      </c>
      <c r="E707" s="26" t="s">
        <v>189</v>
      </c>
    </row>
    <row r="708" s="29" customFormat="1" spans="2:5">
      <c r="B708" s="26"/>
      <c r="C708" s="26"/>
      <c r="D708" s="26"/>
      <c r="E708" s="26"/>
    </row>
    <row r="709" s="29" customFormat="1" ht="36" spans="2:5">
      <c r="B709" s="26" t="s">
        <v>1433</v>
      </c>
      <c r="C709" s="26" t="s">
        <v>1433</v>
      </c>
      <c r="D709" s="26" t="s">
        <v>1433</v>
      </c>
      <c r="E709" s="26" t="s">
        <v>1433</v>
      </c>
    </row>
    <row r="710" s="29" customFormat="1" spans="2:5">
      <c r="B710" s="26" t="s">
        <v>547</v>
      </c>
      <c r="C710" s="26" t="s">
        <v>547</v>
      </c>
      <c r="D710" s="26" t="s">
        <v>547</v>
      </c>
      <c r="E710" s="26" t="s">
        <v>547</v>
      </c>
    </row>
    <row r="711" s="29" customFormat="1" ht="124" spans="2:5">
      <c r="B711" s="11" t="s">
        <v>173</v>
      </c>
      <c r="C711" s="11" t="s">
        <v>173</v>
      </c>
      <c r="D711" s="11" t="s">
        <v>173</v>
      </c>
      <c r="E711" s="11" t="s">
        <v>173</v>
      </c>
    </row>
    <row r="712" s="29" customFormat="1" ht="156" spans="2:5">
      <c r="B712" s="12" t="s">
        <v>174</v>
      </c>
      <c r="C712" s="12" t="s">
        <v>174</v>
      </c>
      <c r="D712" s="12" t="s">
        <v>174</v>
      </c>
      <c r="E712" s="12" t="s">
        <v>174</v>
      </c>
    </row>
    <row r="713" s="29" customFormat="1" ht="68" spans="2:5">
      <c r="B713" s="13" t="s">
        <v>1425</v>
      </c>
      <c r="C713" s="13" t="s">
        <v>1425</v>
      </c>
      <c r="D713" s="13" t="s">
        <v>1425</v>
      </c>
      <c r="E713" s="13" t="s">
        <v>1425</v>
      </c>
    </row>
    <row r="714" s="29" customFormat="1" ht="22" spans="2:5">
      <c r="B714" s="14" t="s">
        <v>176</v>
      </c>
      <c r="C714" s="14" t="s">
        <v>176</v>
      </c>
      <c r="D714" s="14" t="s">
        <v>176</v>
      </c>
      <c r="E714" s="14" t="s">
        <v>176</v>
      </c>
    </row>
    <row r="715" s="29" customFormat="1" spans="2:5">
      <c r="B715" s="15" t="s">
        <v>177</v>
      </c>
      <c r="C715" s="16" t="s">
        <v>178</v>
      </c>
      <c r="D715" s="17" t="s">
        <v>179</v>
      </c>
      <c r="E715" s="18" t="s">
        <v>180</v>
      </c>
    </row>
    <row r="716" s="29" customFormat="1" ht="28" spans="2:5">
      <c r="B716" s="19" t="s">
        <v>424</v>
      </c>
      <c r="C716" s="20" t="s">
        <v>804</v>
      </c>
      <c r="D716" s="21">
        <v>4</v>
      </c>
      <c r="E716" s="22">
        <v>115315.315315</v>
      </c>
    </row>
    <row r="717" s="29" customFormat="1" ht="28" spans="2:5">
      <c r="B717" s="19" t="s">
        <v>424</v>
      </c>
      <c r="C717" s="16" t="s">
        <v>183</v>
      </c>
      <c r="D717" s="23">
        <v>71</v>
      </c>
      <c r="E717" s="24">
        <v>115315.315315</v>
      </c>
    </row>
    <row r="718" s="29" customFormat="1" ht="41" spans="2:5">
      <c r="B718" s="19" t="s">
        <v>827</v>
      </c>
      <c r="C718" s="20" t="s">
        <v>182</v>
      </c>
      <c r="D718" s="21">
        <v>2</v>
      </c>
      <c r="E718" s="22">
        <v>326126.126126</v>
      </c>
    </row>
    <row r="719" s="29" customFormat="1" ht="28" spans="2:5">
      <c r="B719" s="19" t="s">
        <v>827</v>
      </c>
      <c r="C719" s="20" t="s">
        <v>804</v>
      </c>
      <c r="D719" s="21">
        <v>1</v>
      </c>
      <c r="E719" s="22">
        <v>163063.063063</v>
      </c>
    </row>
    <row r="720" s="29" customFormat="1" spans="2:5">
      <c r="B720" s="19" t="s">
        <v>827</v>
      </c>
      <c r="C720" s="16" t="s">
        <v>183</v>
      </c>
      <c r="D720" s="23">
        <v>3</v>
      </c>
      <c r="E720" s="24">
        <v>489189.189189</v>
      </c>
    </row>
    <row r="721" s="29" customFormat="1" ht="41" spans="2:5">
      <c r="B721" s="19" t="s">
        <v>689</v>
      </c>
      <c r="C721" s="20" t="s">
        <v>182</v>
      </c>
      <c r="D721" s="21">
        <v>5</v>
      </c>
      <c r="E721" s="22">
        <v>504504.504505</v>
      </c>
    </row>
    <row r="722" s="29" customFormat="1" spans="2:5">
      <c r="B722" s="19" t="s">
        <v>689</v>
      </c>
      <c r="C722" s="16" t="s">
        <v>183</v>
      </c>
      <c r="D722" s="23">
        <v>5</v>
      </c>
      <c r="E722" s="24">
        <v>504504.504505</v>
      </c>
    </row>
    <row r="723" s="29" customFormat="1" ht="41" spans="2:5">
      <c r="B723" s="19" t="s">
        <v>828</v>
      </c>
      <c r="C723" s="20" t="s">
        <v>182</v>
      </c>
      <c r="D723" s="21">
        <v>3</v>
      </c>
      <c r="E723" s="22">
        <v>275675.675676</v>
      </c>
    </row>
    <row r="724" s="29" customFormat="1" ht="28" spans="2:5">
      <c r="B724" s="19" t="s">
        <v>828</v>
      </c>
      <c r="C724" s="20" t="s">
        <v>804</v>
      </c>
      <c r="D724" s="21">
        <v>4</v>
      </c>
      <c r="E724" s="22">
        <v>367567.567568</v>
      </c>
    </row>
    <row r="725" s="29" customFormat="1" spans="2:5">
      <c r="B725" s="19" t="s">
        <v>828</v>
      </c>
      <c r="C725" s="16" t="s">
        <v>183</v>
      </c>
      <c r="D725" s="23">
        <v>7</v>
      </c>
      <c r="E725" s="24">
        <v>643243.243244</v>
      </c>
    </row>
    <row r="726" s="29" customFormat="1" ht="41" spans="2:5">
      <c r="B726" s="19" t="s">
        <v>829</v>
      </c>
      <c r="C726" s="20" t="s">
        <v>182</v>
      </c>
      <c r="D726" s="21">
        <v>1</v>
      </c>
      <c r="E726" s="22">
        <v>82882.882883</v>
      </c>
    </row>
    <row r="727" s="29" customFormat="1" ht="28" spans="2:5">
      <c r="B727" s="19" t="s">
        <v>829</v>
      </c>
      <c r="C727" s="20" t="s">
        <v>804</v>
      </c>
      <c r="D727" s="21">
        <v>3</v>
      </c>
      <c r="E727" s="22">
        <v>248648.765766</v>
      </c>
    </row>
    <row r="728" s="29" customFormat="1" ht="17.55" spans="2:5">
      <c r="B728" s="19" t="s">
        <v>829</v>
      </c>
      <c r="C728" s="16" t="s">
        <v>183</v>
      </c>
      <c r="D728" s="23">
        <v>4</v>
      </c>
      <c r="E728" s="24">
        <v>331531.648649</v>
      </c>
    </row>
    <row r="729" s="29" customFormat="1" spans="2:5">
      <c r="B729" s="25"/>
      <c r="C729" s="25"/>
      <c r="D729" s="25"/>
      <c r="E729" s="25"/>
    </row>
    <row r="730" s="29" customFormat="1" ht="36" spans="2:5">
      <c r="B730" s="26" t="s">
        <v>189</v>
      </c>
      <c r="C730" s="26" t="s">
        <v>189</v>
      </c>
      <c r="D730" s="26" t="s">
        <v>189</v>
      </c>
      <c r="E730" s="26" t="s">
        <v>189</v>
      </c>
    </row>
    <row r="731" s="29" customFormat="1" spans="2:5">
      <c r="B731" s="26"/>
      <c r="C731" s="26"/>
      <c r="D731" s="26"/>
      <c r="E731" s="26"/>
    </row>
    <row r="732" s="29" customFormat="1" ht="36" spans="2:5">
      <c r="B732" s="26" t="s">
        <v>1433</v>
      </c>
      <c r="C732" s="26" t="s">
        <v>1433</v>
      </c>
      <c r="D732" s="26" t="s">
        <v>1433</v>
      </c>
      <c r="E732" s="26" t="s">
        <v>1433</v>
      </c>
    </row>
    <row r="733" s="29" customFormat="1" spans="2:5">
      <c r="B733" s="26" t="s">
        <v>554</v>
      </c>
      <c r="C733" s="26" t="s">
        <v>554</v>
      </c>
      <c r="D733" s="26" t="s">
        <v>554</v>
      </c>
      <c r="E733" s="26" t="s">
        <v>554</v>
      </c>
    </row>
    <row r="734" s="29" customFormat="1" ht="124" spans="2:5">
      <c r="B734" s="11" t="s">
        <v>173</v>
      </c>
      <c r="C734" s="11" t="s">
        <v>173</v>
      </c>
      <c r="D734" s="11" t="s">
        <v>173</v>
      </c>
      <c r="E734" s="11" t="s">
        <v>173</v>
      </c>
    </row>
    <row r="735" s="29" customFormat="1" ht="156" spans="2:5">
      <c r="B735" s="12" t="s">
        <v>174</v>
      </c>
      <c r="C735" s="12" t="s">
        <v>174</v>
      </c>
      <c r="D735" s="12" t="s">
        <v>174</v>
      </c>
      <c r="E735" s="12" t="s">
        <v>174</v>
      </c>
    </row>
    <row r="736" s="29" customFormat="1" ht="68" spans="2:5">
      <c r="B736" s="13" t="s">
        <v>1425</v>
      </c>
      <c r="C736" s="13" t="s">
        <v>1425</v>
      </c>
      <c r="D736" s="13" t="s">
        <v>1425</v>
      </c>
      <c r="E736" s="13" t="s">
        <v>1425</v>
      </c>
    </row>
    <row r="737" s="29" customFormat="1" ht="22" spans="2:5">
      <c r="B737" s="14" t="s">
        <v>176</v>
      </c>
      <c r="C737" s="14" t="s">
        <v>176</v>
      </c>
      <c r="D737" s="14" t="s">
        <v>176</v>
      </c>
      <c r="E737" s="14" t="s">
        <v>176</v>
      </c>
    </row>
    <row r="738" s="29" customFormat="1" spans="2:5">
      <c r="B738" s="15" t="s">
        <v>177</v>
      </c>
      <c r="C738" s="16" t="s">
        <v>178</v>
      </c>
      <c r="D738" s="17" t="s">
        <v>179</v>
      </c>
      <c r="E738" s="18" t="s">
        <v>180</v>
      </c>
    </row>
    <row r="739" s="29" customFormat="1" ht="41" spans="2:5">
      <c r="B739" s="19" t="s">
        <v>979</v>
      </c>
      <c r="C739" s="20" t="s">
        <v>182</v>
      </c>
      <c r="D739" s="21">
        <v>1</v>
      </c>
      <c r="E739" s="22">
        <v>93693.693694</v>
      </c>
    </row>
    <row r="740" s="29" customFormat="1" spans="2:5">
      <c r="B740" s="19" t="s">
        <v>979</v>
      </c>
      <c r="C740" s="16" t="s">
        <v>183</v>
      </c>
      <c r="D740" s="23">
        <v>1</v>
      </c>
      <c r="E740" s="24">
        <v>93693.693694</v>
      </c>
    </row>
    <row r="741" s="29" customFormat="1" ht="41" spans="2:5">
      <c r="B741" s="19" t="s">
        <v>690</v>
      </c>
      <c r="C741" s="20" t="s">
        <v>182</v>
      </c>
      <c r="D741" s="21">
        <v>3</v>
      </c>
      <c r="E741" s="22">
        <v>277027.027026</v>
      </c>
    </row>
    <row r="742" s="29" customFormat="1" ht="28" spans="2:5">
      <c r="B742" s="19" t="s">
        <v>690</v>
      </c>
      <c r="C742" s="20" t="s">
        <v>804</v>
      </c>
      <c r="D742" s="21">
        <v>1</v>
      </c>
      <c r="E742" s="22">
        <v>92342.342342</v>
      </c>
    </row>
    <row r="743" s="29" customFormat="1" spans="2:5">
      <c r="B743" s="19" t="s">
        <v>690</v>
      </c>
      <c r="C743" s="16" t="s">
        <v>183</v>
      </c>
      <c r="D743" s="23">
        <v>4</v>
      </c>
      <c r="E743" s="24">
        <v>369369.369368</v>
      </c>
    </row>
    <row r="744" s="29" customFormat="1" ht="41" spans="2:5">
      <c r="B744" s="19" t="s">
        <v>691</v>
      </c>
      <c r="C744" s="20" t="s">
        <v>182</v>
      </c>
      <c r="D744" s="21">
        <v>2</v>
      </c>
      <c r="E744" s="22">
        <v>181981.990991</v>
      </c>
    </row>
    <row r="745" s="29" customFormat="1" ht="28" spans="2:5">
      <c r="B745" s="19" t="s">
        <v>691</v>
      </c>
      <c r="C745" s="20" t="s">
        <v>804</v>
      </c>
      <c r="D745" s="21">
        <v>2</v>
      </c>
      <c r="E745" s="22">
        <v>181981.981982</v>
      </c>
    </row>
    <row r="746" s="29" customFormat="1" spans="2:5">
      <c r="B746" s="19" t="s">
        <v>691</v>
      </c>
      <c r="C746" s="16" t="s">
        <v>183</v>
      </c>
      <c r="D746" s="23">
        <v>4</v>
      </c>
      <c r="E746" s="24">
        <v>363963.972973</v>
      </c>
    </row>
    <row r="747" s="29" customFormat="1" ht="41" spans="2:5">
      <c r="B747" s="19" t="s">
        <v>831</v>
      </c>
      <c r="C747" s="20" t="s">
        <v>182</v>
      </c>
      <c r="D747" s="21">
        <v>1</v>
      </c>
      <c r="E747" s="22">
        <v>74774.774775</v>
      </c>
    </row>
    <row r="748" s="29" customFormat="1" ht="28" spans="2:5">
      <c r="B748" s="19" t="s">
        <v>831</v>
      </c>
      <c r="C748" s="20" t="s">
        <v>804</v>
      </c>
      <c r="D748" s="21">
        <v>4</v>
      </c>
      <c r="E748" s="22">
        <v>299099.180181</v>
      </c>
    </row>
    <row r="749" s="29" customFormat="1" spans="2:5">
      <c r="B749" s="19" t="s">
        <v>831</v>
      </c>
      <c r="C749" s="16" t="s">
        <v>183</v>
      </c>
      <c r="D749" s="23">
        <v>5</v>
      </c>
      <c r="E749" s="24">
        <v>373873.954956</v>
      </c>
    </row>
    <row r="750" s="29" customFormat="1" ht="41.75" spans="2:5">
      <c r="B750" s="20" t="s">
        <v>1233</v>
      </c>
      <c r="C750" s="20" t="s">
        <v>182</v>
      </c>
      <c r="D750" s="21">
        <v>2</v>
      </c>
      <c r="E750" s="22">
        <v>163963.963964</v>
      </c>
    </row>
    <row r="751" s="29" customFormat="1" spans="2:5">
      <c r="B751" s="25"/>
      <c r="C751" s="25"/>
      <c r="D751" s="25"/>
      <c r="E751" s="25"/>
    </row>
    <row r="752" s="29" customFormat="1" ht="36" spans="2:5">
      <c r="B752" s="26" t="s">
        <v>189</v>
      </c>
      <c r="C752" s="26" t="s">
        <v>189</v>
      </c>
      <c r="D752" s="26" t="s">
        <v>189</v>
      </c>
      <c r="E752" s="26" t="s">
        <v>189</v>
      </c>
    </row>
    <row r="753" s="29" customFormat="1" spans="2:5">
      <c r="B753" s="26"/>
      <c r="C753" s="26"/>
      <c r="D753" s="26"/>
      <c r="E753" s="26"/>
    </row>
    <row r="754" s="29" customFormat="1" ht="36" spans="2:5">
      <c r="B754" s="26" t="s">
        <v>1433</v>
      </c>
      <c r="C754" s="26" t="s">
        <v>1433</v>
      </c>
      <c r="D754" s="26" t="s">
        <v>1433</v>
      </c>
      <c r="E754" s="26" t="s">
        <v>1433</v>
      </c>
    </row>
    <row r="755" s="29" customFormat="1" spans="2:5">
      <c r="B755" s="26" t="s">
        <v>561</v>
      </c>
      <c r="C755" s="26" t="s">
        <v>561</v>
      </c>
      <c r="D755" s="26" t="s">
        <v>561</v>
      </c>
      <c r="E755" s="26" t="s">
        <v>561</v>
      </c>
    </row>
    <row r="756" s="29" customFormat="1" ht="124" spans="2:5">
      <c r="B756" s="11" t="s">
        <v>173</v>
      </c>
      <c r="C756" s="11" t="s">
        <v>173</v>
      </c>
      <c r="D756" s="11" t="s">
        <v>173</v>
      </c>
      <c r="E756" s="11" t="s">
        <v>173</v>
      </c>
    </row>
    <row r="757" s="29" customFormat="1" ht="156" spans="2:5">
      <c r="B757" s="12" t="s">
        <v>174</v>
      </c>
      <c r="C757" s="12" t="s">
        <v>174</v>
      </c>
      <c r="D757" s="12" t="s">
        <v>174</v>
      </c>
      <c r="E757" s="12" t="s">
        <v>174</v>
      </c>
    </row>
    <row r="758" s="29" customFormat="1" ht="68" spans="2:5">
      <c r="B758" s="13" t="s">
        <v>1425</v>
      </c>
      <c r="C758" s="13" t="s">
        <v>1425</v>
      </c>
      <c r="D758" s="13" t="s">
        <v>1425</v>
      </c>
      <c r="E758" s="13" t="s">
        <v>1425</v>
      </c>
    </row>
    <row r="759" s="29" customFormat="1" ht="22" spans="2:5">
      <c r="B759" s="14" t="s">
        <v>176</v>
      </c>
      <c r="C759" s="14" t="s">
        <v>176</v>
      </c>
      <c r="D759" s="14" t="s">
        <v>176</v>
      </c>
      <c r="E759" s="14" t="s">
        <v>176</v>
      </c>
    </row>
    <row r="760" s="29" customFormat="1" spans="2:5">
      <c r="B760" s="15" t="s">
        <v>177</v>
      </c>
      <c r="C760" s="16" t="s">
        <v>178</v>
      </c>
      <c r="D760" s="17" t="s">
        <v>179</v>
      </c>
      <c r="E760" s="18" t="s">
        <v>180</v>
      </c>
    </row>
    <row r="761" s="29" customFormat="1" ht="28" spans="2:5">
      <c r="B761" s="19" t="s">
        <v>1233</v>
      </c>
      <c r="C761" s="20" t="s">
        <v>804</v>
      </c>
      <c r="D761" s="21">
        <v>1</v>
      </c>
      <c r="E761" s="22">
        <v>81982.45946</v>
      </c>
    </row>
    <row r="762" s="29" customFormat="1" spans="2:5">
      <c r="B762" s="19" t="s">
        <v>1233</v>
      </c>
      <c r="C762" s="16" t="s">
        <v>183</v>
      </c>
      <c r="D762" s="23">
        <v>3</v>
      </c>
      <c r="E762" s="24">
        <v>245946.423424</v>
      </c>
    </row>
    <row r="763" s="29" customFormat="1" ht="28" spans="2:5">
      <c r="B763" s="19" t="s">
        <v>832</v>
      </c>
      <c r="C763" s="20" t="s">
        <v>804</v>
      </c>
      <c r="D763" s="21">
        <v>7</v>
      </c>
      <c r="E763" s="22">
        <v>930180.180181</v>
      </c>
    </row>
    <row r="764" s="29" customFormat="1" spans="2:5">
      <c r="B764" s="19" t="s">
        <v>832</v>
      </c>
      <c r="C764" s="16" t="s">
        <v>183</v>
      </c>
      <c r="D764" s="23">
        <v>7</v>
      </c>
      <c r="E764" s="24">
        <v>930180.180181</v>
      </c>
    </row>
    <row r="765" s="29" customFormat="1" ht="41" spans="2:5">
      <c r="B765" s="19" t="s">
        <v>833</v>
      </c>
      <c r="C765" s="20" t="s">
        <v>182</v>
      </c>
      <c r="D765" s="21">
        <v>2</v>
      </c>
      <c r="E765" s="22">
        <v>163063.063064</v>
      </c>
    </row>
    <row r="766" s="29" customFormat="1" ht="28" spans="2:5">
      <c r="B766" s="19" t="s">
        <v>833</v>
      </c>
      <c r="C766" s="20" t="s">
        <v>804</v>
      </c>
      <c r="D766" s="21">
        <v>4</v>
      </c>
      <c r="E766" s="22">
        <v>326126.126128</v>
      </c>
    </row>
    <row r="767" s="29" customFormat="1" spans="2:5">
      <c r="B767" s="19" t="s">
        <v>833</v>
      </c>
      <c r="C767" s="16" t="s">
        <v>183</v>
      </c>
      <c r="D767" s="23">
        <v>6</v>
      </c>
      <c r="E767" s="24">
        <v>489189.189192</v>
      </c>
    </row>
    <row r="768" s="29" customFormat="1" ht="28" spans="2:5">
      <c r="B768" s="19" t="s">
        <v>981</v>
      </c>
      <c r="C768" s="20" t="s">
        <v>804</v>
      </c>
      <c r="D768" s="21">
        <v>6</v>
      </c>
      <c r="E768" s="22">
        <v>570270.27027</v>
      </c>
    </row>
    <row r="769" s="29" customFormat="1" spans="2:5">
      <c r="B769" s="19" t="s">
        <v>981</v>
      </c>
      <c r="C769" s="16" t="s">
        <v>183</v>
      </c>
      <c r="D769" s="23">
        <v>6</v>
      </c>
      <c r="E769" s="24">
        <v>570270.27027</v>
      </c>
    </row>
    <row r="770" s="29" customFormat="1" ht="28" spans="2:5">
      <c r="B770" s="19" t="s">
        <v>834</v>
      </c>
      <c r="C770" s="20" t="s">
        <v>804</v>
      </c>
      <c r="D770" s="21">
        <v>1</v>
      </c>
      <c r="E770" s="22">
        <v>113513.513514</v>
      </c>
    </row>
    <row r="771" s="29" customFormat="1" spans="2:5">
      <c r="B771" s="19" t="s">
        <v>834</v>
      </c>
      <c r="C771" s="16" t="s">
        <v>183</v>
      </c>
      <c r="D771" s="23">
        <v>1</v>
      </c>
      <c r="E771" s="24">
        <v>113513.513514</v>
      </c>
    </row>
    <row r="772" s="29" customFormat="1" ht="41" spans="2:5">
      <c r="B772" s="19" t="s">
        <v>835</v>
      </c>
      <c r="C772" s="20" t="s">
        <v>182</v>
      </c>
      <c r="D772" s="21">
        <v>1</v>
      </c>
      <c r="E772" s="22">
        <v>79729.72973</v>
      </c>
    </row>
    <row r="773" s="29" customFormat="1" spans="2:5">
      <c r="B773" s="19" t="s">
        <v>835</v>
      </c>
      <c r="C773" s="16" t="s">
        <v>183</v>
      </c>
      <c r="D773" s="23">
        <v>1</v>
      </c>
      <c r="E773" s="24">
        <v>79729.72973</v>
      </c>
    </row>
    <row r="774" s="29" customFormat="1" ht="41" spans="2:5">
      <c r="B774" s="19" t="s">
        <v>1237</v>
      </c>
      <c r="C774" s="20" t="s">
        <v>182</v>
      </c>
      <c r="D774" s="21">
        <v>1</v>
      </c>
      <c r="E774" s="22">
        <v>94000</v>
      </c>
    </row>
    <row r="775" s="29" customFormat="1" ht="28.75" spans="2:5">
      <c r="B775" s="19" t="s">
        <v>1237</v>
      </c>
      <c r="C775" s="16" t="s">
        <v>183</v>
      </c>
      <c r="D775" s="23">
        <v>1</v>
      </c>
      <c r="E775" s="24">
        <v>94000</v>
      </c>
    </row>
    <row r="776" s="29" customFormat="1" spans="2:5">
      <c r="B776" s="25"/>
      <c r="C776" s="25"/>
      <c r="D776" s="25"/>
      <c r="E776" s="25"/>
    </row>
    <row r="777" s="29" customFormat="1" ht="36" spans="2:5">
      <c r="B777" s="26" t="s">
        <v>189</v>
      </c>
      <c r="C777" s="26" t="s">
        <v>189</v>
      </c>
      <c r="D777" s="26" t="s">
        <v>189</v>
      </c>
      <c r="E777" s="26" t="s">
        <v>189</v>
      </c>
    </row>
    <row r="778" s="29" customFormat="1" spans="2:5">
      <c r="B778" s="26"/>
      <c r="C778" s="26"/>
      <c r="D778" s="26"/>
      <c r="E778" s="26"/>
    </row>
    <row r="779" s="29" customFormat="1" ht="36" spans="2:5">
      <c r="B779" s="26" t="s">
        <v>1433</v>
      </c>
      <c r="C779" s="26" t="s">
        <v>1433</v>
      </c>
      <c r="D779" s="26" t="s">
        <v>1433</v>
      </c>
      <c r="E779" s="26" t="s">
        <v>1433</v>
      </c>
    </row>
    <row r="780" s="29" customFormat="1" spans="2:5">
      <c r="B780" s="26" t="s">
        <v>566</v>
      </c>
      <c r="C780" s="26" t="s">
        <v>566</v>
      </c>
      <c r="D780" s="26" t="s">
        <v>566</v>
      </c>
      <c r="E780" s="26" t="s">
        <v>566</v>
      </c>
    </row>
    <row r="781" s="29" customFormat="1" ht="124" spans="2:5">
      <c r="B781" s="11" t="s">
        <v>173</v>
      </c>
      <c r="C781" s="11" t="s">
        <v>173</v>
      </c>
      <c r="D781" s="11" t="s">
        <v>173</v>
      </c>
      <c r="E781" s="11" t="s">
        <v>173</v>
      </c>
    </row>
    <row r="782" s="29" customFormat="1" ht="156" spans="2:5">
      <c r="B782" s="12" t="s">
        <v>174</v>
      </c>
      <c r="C782" s="12" t="s">
        <v>174</v>
      </c>
      <c r="D782" s="12" t="s">
        <v>174</v>
      </c>
      <c r="E782" s="12" t="s">
        <v>174</v>
      </c>
    </row>
    <row r="783" s="29" customFormat="1" ht="68" spans="2:5">
      <c r="B783" s="13" t="s">
        <v>1425</v>
      </c>
      <c r="C783" s="13" t="s">
        <v>1425</v>
      </c>
      <c r="D783" s="13" t="s">
        <v>1425</v>
      </c>
      <c r="E783" s="13" t="s">
        <v>1425</v>
      </c>
    </row>
    <row r="784" s="29" customFormat="1" ht="22" spans="2:5">
      <c r="B784" s="14" t="s">
        <v>176</v>
      </c>
      <c r="C784" s="14" t="s">
        <v>176</v>
      </c>
      <c r="D784" s="14" t="s">
        <v>176</v>
      </c>
      <c r="E784" s="14" t="s">
        <v>176</v>
      </c>
    </row>
    <row r="785" s="29" customFormat="1" spans="2:5">
      <c r="B785" s="15" t="s">
        <v>177</v>
      </c>
      <c r="C785" s="16" t="s">
        <v>178</v>
      </c>
      <c r="D785" s="17" t="s">
        <v>179</v>
      </c>
      <c r="E785" s="18" t="s">
        <v>180</v>
      </c>
    </row>
    <row r="786" s="29" customFormat="1" ht="41" spans="2:5">
      <c r="B786" s="19" t="s">
        <v>426</v>
      </c>
      <c r="C786" s="20" t="s">
        <v>182</v>
      </c>
      <c r="D786" s="21">
        <v>41</v>
      </c>
      <c r="E786" s="22">
        <v>0</v>
      </c>
    </row>
    <row r="787" s="29" customFormat="1" spans="2:5">
      <c r="B787" s="19" t="s">
        <v>426</v>
      </c>
      <c r="C787" s="16" t="s">
        <v>183</v>
      </c>
      <c r="D787" s="23">
        <v>41</v>
      </c>
      <c r="E787" s="24">
        <v>0</v>
      </c>
    </row>
    <row r="788" s="29" customFormat="1" ht="41" spans="2:5">
      <c r="B788" s="19" t="s">
        <v>498</v>
      </c>
      <c r="C788" s="20" t="s">
        <v>182</v>
      </c>
      <c r="D788" s="21">
        <v>2</v>
      </c>
      <c r="E788" s="22">
        <v>0</v>
      </c>
    </row>
    <row r="789" s="29" customFormat="1" ht="28" spans="2:5">
      <c r="B789" s="19" t="s">
        <v>498</v>
      </c>
      <c r="C789" s="20" t="s">
        <v>804</v>
      </c>
      <c r="D789" s="21">
        <v>2</v>
      </c>
      <c r="E789" s="22">
        <v>0</v>
      </c>
    </row>
    <row r="790" s="29" customFormat="1" spans="2:5">
      <c r="B790" s="19" t="s">
        <v>498</v>
      </c>
      <c r="C790" s="16" t="s">
        <v>183</v>
      </c>
      <c r="D790" s="23">
        <v>4</v>
      </c>
      <c r="E790" s="24">
        <v>0</v>
      </c>
    </row>
    <row r="791" s="29" customFormat="1" ht="41" spans="2:5">
      <c r="B791" s="19" t="s">
        <v>427</v>
      </c>
      <c r="C791" s="20" t="s">
        <v>182</v>
      </c>
      <c r="D791" s="21">
        <v>11</v>
      </c>
      <c r="E791" s="22">
        <v>0</v>
      </c>
    </row>
    <row r="792" s="29" customFormat="1" ht="28" spans="2:5">
      <c r="B792" s="19" t="s">
        <v>427</v>
      </c>
      <c r="C792" s="20" t="s">
        <v>804</v>
      </c>
      <c r="D792" s="21">
        <v>6</v>
      </c>
      <c r="E792" s="22">
        <v>0</v>
      </c>
    </row>
    <row r="793" s="29" customFormat="1" spans="2:5">
      <c r="B793" s="19" t="s">
        <v>427</v>
      </c>
      <c r="C793" s="16" t="s">
        <v>183</v>
      </c>
      <c r="D793" s="23">
        <v>17</v>
      </c>
      <c r="E793" s="24">
        <v>0</v>
      </c>
    </row>
    <row r="794" s="29" customFormat="1" ht="41" spans="2:5">
      <c r="B794" s="19" t="s">
        <v>428</v>
      </c>
      <c r="C794" s="20" t="s">
        <v>182</v>
      </c>
      <c r="D794" s="21">
        <v>11</v>
      </c>
      <c r="E794" s="22">
        <v>0</v>
      </c>
    </row>
    <row r="795" s="29" customFormat="1" ht="28" spans="2:5">
      <c r="B795" s="19" t="s">
        <v>428</v>
      </c>
      <c r="C795" s="20" t="s">
        <v>804</v>
      </c>
      <c r="D795" s="21">
        <v>8</v>
      </c>
      <c r="E795" s="22">
        <v>0</v>
      </c>
    </row>
    <row r="796" s="29" customFormat="1" spans="2:5">
      <c r="B796" s="19" t="s">
        <v>428</v>
      </c>
      <c r="C796" s="16" t="s">
        <v>183</v>
      </c>
      <c r="D796" s="23">
        <v>19</v>
      </c>
      <c r="E796" s="24">
        <v>0</v>
      </c>
    </row>
    <row r="797" s="29" customFormat="1" ht="41.75" spans="2:5">
      <c r="B797" s="20" t="s">
        <v>429</v>
      </c>
      <c r="C797" s="20" t="s">
        <v>182</v>
      </c>
      <c r="D797" s="21">
        <v>23</v>
      </c>
      <c r="E797" s="22">
        <v>0</v>
      </c>
    </row>
    <row r="798" s="29" customFormat="1" spans="2:5">
      <c r="B798" s="25"/>
      <c r="C798" s="25"/>
      <c r="D798" s="25"/>
      <c r="E798" s="25"/>
    </row>
    <row r="799" s="29" customFormat="1" ht="36" spans="2:5">
      <c r="B799" s="26" t="s">
        <v>189</v>
      </c>
      <c r="C799" s="26" t="s">
        <v>189</v>
      </c>
      <c r="D799" s="26" t="s">
        <v>189</v>
      </c>
      <c r="E799" s="26" t="s">
        <v>189</v>
      </c>
    </row>
    <row r="800" s="29" customFormat="1" spans="2:5">
      <c r="B800" s="26"/>
      <c r="C800" s="26"/>
      <c r="D800" s="26"/>
      <c r="E800" s="26"/>
    </row>
    <row r="801" s="29" customFormat="1" ht="36" spans="2:5">
      <c r="B801" s="26" t="s">
        <v>1433</v>
      </c>
      <c r="C801" s="26" t="s">
        <v>1433</v>
      </c>
      <c r="D801" s="26" t="s">
        <v>1433</v>
      </c>
      <c r="E801" s="26" t="s">
        <v>1433</v>
      </c>
    </row>
    <row r="802" s="29" customFormat="1" spans="2:5">
      <c r="B802" s="26" t="s">
        <v>645</v>
      </c>
      <c r="C802" s="26" t="s">
        <v>645</v>
      </c>
      <c r="D802" s="26" t="s">
        <v>645</v>
      </c>
      <c r="E802" s="26" t="s">
        <v>645</v>
      </c>
    </row>
    <row r="803" s="29" customFormat="1" ht="124" spans="2:5">
      <c r="B803" s="11" t="s">
        <v>173</v>
      </c>
      <c r="C803" s="11" t="s">
        <v>173</v>
      </c>
      <c r="D803" s="11" t="s">
        <v>173</v>
      </c>
      <c r="E803" s="11" t="s">
        <v>173</v>
      </c>
    </row>
    <row r="804" s="29" customFormat="1" ht="156" spans="2:5">
      <c r="B804" s="12" t="s">
        <v>174</v>
      </c>
      <c r="C804" s="12" t="s">
        <v>174</v>
      </c>
      <c r="D804" s="12" t="s">
        <v>174</v>
      </c>
      <c r="E804" s="12" t="s">
        <v>174</v>
      </c>
    </row>
    <row r="805" s="29" customFormat="1" ht="68" spans="2:5">
      <c r="B805" s="13" t="s">
        <v>1425</v>
      </c>
      <c r="C805" s="13" t="s">
        <v>1425</v>
      </c>
      <c r="D805" s="13" t="s">
        <v>1425</v>
      </c>
      <c r="E805" s="13" t="s">
        <v>1425</v>
      </c>
    </row>
    <row r="806" s="29" customFormat="1" ht="22" spans="2:5">
      <c r="B806" s="14" t="s">
        <v>176</v>
      </c>
      <c r="C806" s="14" t="s">
        <v>176</v>
      </c>
      <c r="D806" s="14" t="s">
        <v>176</v>
      </c>
      <c r="E806" s="14" t="s">
        <v>176</v>
      </c>
    </row>
    <row r="807" s="29" customFormat="1" spans="2:5">
      <c r="B807" s="15" t="s">
        <v>177</v>
      </c>
      <c r="C807" s="16" t="s">
        <v>178</v>
      </c>
      <c r="D807" s="17" t="s">
        <v>179</v>
      </c>
      <c r="E807" s="18" t="s">
        <v>180</v>
      </c>
    </row>
    <row r="808" s="29" customFormat="1" ht="28" spans="2:5">
      <c r="B808" s="19" t="s">
        <v>429</v>
      </c>
      <c r="C808" s="20" t="s">
        <v>804</v>
      </c>
      <c r="D808" s="21">
        <v>28</v>
      </c>
      <c r="E808" s="22">
        <v>0</v>
      </c>
    </row>
    <row r="809" s="29" customFormat="1" spans="2:5">
      <c r="B809" s="19" t="s">
        <v>429</v>
      </c>
      <c r="C809" s="16" t="s">
        <v>183</v>
      </c>
      <c r="D809" s="23">
        <v>51</v>
      </c>
      <c r="E809" s="24">
        <v>0</v>
      </c>
    </row>
    <row r="810" s="29" customFormat="1" ht="41" spans="2:5">
      <c r="B810" s="19" t="s">
        <v>430</v>
      </c>
      <c r="C810" s="20" t="s">
        <v>182</v>
      </c>
      <c r="D810" s="21">
        <v>1</v>
      </c>
      <c r="E810" s="22">
        <v>0</v>
      </c>
    </row>
    <row r="811" s="29" customFormat="1" ht="28" spans="2:5">
      <c r="B811" s="19" t="s">
        <v>430</v>
      </c>
      <c r="C811" s="20" t="s">
        <v>804</v>
      </c>
      <c r="D811" s="21">
        <v>1</v>
      </c>
      <c r="E811" s="22">
        <v>0</v>
      </c>
    </row>
    <row r="812" s="29" customFormat="1" spans="2:5">
      <c r="B812" s="19" t="s">
        <v>430</v>
      </c>
      <c r="C812" s="16" t="s">
        <v>183</v>
      </c>
      <c r="D812" s="23">
        <v>2</v>
      </c>
      <c r="E812" s="24">
        <v>0</v>
      </c>
    </row>
    <row r="813" s="29" customFormat="1" ht="41" spans="2:5">
      <c r="B813" s="19" t="s">
        <v>431</v>
      </c>
      <c r="C813" s="20" t="s">
        <v>182</v>
      </c>
      <c r="D813" s="21">
        <v>29</v>
      </c>
      <c r="E813" s="22">
        <v>0</v>
      </c>
    </row>
    <row r="814" s="29" customFormat="1" ht="28" spans="2:5">
      <c r="B814" s="19" t="s">
        <v>431</v>
      </c>
      <c r="C814" s="20" t="s">
        <v>804</v>
      </c>
      <c r="D814" s="21">
        <v>11</v>
      </c>
      <c r="E814" s="22">
        <v>0</v>
      </c>
    </row>
    <row r="815" s="29" customFormat="1" spans="2:5">
      <c r="B815" s="19" t="s">
        <v>431</v>
      </c>
      <c r="C815" s="16" t="s">
        <v>183</v>
      </c>
      <c r="D815" s="23">
        <v>40</v>
      </c>
      <c r="E815" s="24">
        <v>0</v>
      </c>
    </row>
    <row r="816" s="29" customFormat="1" ht="41" spans="2:5">
      <c r="B816" s="19" t="s">
        <v>432</v>
      </c>
      <c r="C816" s="20" t="s">
        <v>182</v>
      </c>
      <c r="D816" s="21">
        <v>5</v>
      </c>
      <c r="E816" s="22">
        <v>0</v>
      </c>
    </row>
    <row r="817" s="29" customFormat="1" ht="28" spans="2:5">
      <c r="B817" s="19" t="s">
        <v>432</v>
      </c>
      <c r="C817" s="20" t="s">
        <v>804</v>
      </c>
      <c r="D817" s="21">
        <v>5</v>
      </c>
      <c r="E817" s="22">
        <v>0</v>
      </c>
    </row>
    <row r="818" s="29" customFormat="1" spans="2:5">
      <c r="B818" s="19" t="s">
        <v>432</v>
      </c>
      <c r="C818" s="16" t="s">
        <v>183</v>
      </c>
      <c r="D818" s="23">
        <v>10</v>
      </c>
      <c r="E818" s="24">
        <v>0</v>
      </c>
    </row>
    <row r="819" s="29" customFormat="1" ht="41" spans="2:5">
      <c r="B819" s="19" t="s">
        <v>433</v>
      </c>
      <c r="C819" s="20" t="s">
        <v>182</v>
      </c>
      <c r="D819" s="21">
        <v>2</v>
      </c>
      <c r="E819" s="22">
        <v>0</v>
      </c>
    </row>
    <row r="820" s="29" customFormat="1" ht="28" spans="2:5">
      <c r="B820" s="19" t="s">
        <v>433</v>
      </c>
      <c r="C820" s="20" t="s">
        <v>804</v>
      </c>
      <c r="D820" s="21">
        <v>4</v>
      </c>
      <c r="E820" s="22">
        <v>0</v>
      </c>
    </row>
    <row r="821" s="29" customFormat="1" ht="17.55" spans="2:5">
      <c r="B821" s="19" t="s">
        <v>433</v>
      </c>
      <c r="C821" s="16" t="s">
        <v>183</v>
      </c>
      <c r="D821" s="23">
        <v>6</v>
      </c>
      <c r="E821" s="24">
        <v>0</v>
      </c>
    </row>
    <row r="822" s="29" customFormat="1" spans="2:5">
      <c r="B822" s="25"/>
      <c r="C822" s="25"/>
      <c r="D822" s="25"/>
      <c r="E822" s="25"/>
    </row>
    <row r="823" s="29" customFormat="1" ht="36" spans="2:5">
      <c r="B823" s="26" t="s">
        <v>189</v>
      </c>
      <c r="C823" s="26" t="s">
        <v>189</v>
      </c>
      <c r="D823" s="26" t="s">
        <v>189</v>
      </c>
      <c r="E823" s="26" t="s">
        <v>189</v>
      </c>
    </row>
    <row r="824" s="29" customFormat="1" spans="2:5">
      <c r="B824" s="26"/>
      <c r="C824" s="26"/>
      <c r="D824" s="26"/>
      <c r="E824" s="26"/>
    </row>
    <row r="825" s="29" customFormat="1" ht="36" spans="2:5">
      <c r="B825" s="26" t="s">
        <v>1433</v>
      </c>
      <c r="C825" s="26" t="s">
        <v>1433</v>
      </c>
      <c r="D825" s="26" t="s">
        <v>1433</v>
      </c>
      <c r="E825" s="26" t="s">
        <v>1433</v>
      </c>
    </row>
    <row r="826" s="29" customFormat="1" spans="2:5">
      <c r="B826" s="26" t="s">
        <v>652</v>
      </c>
      <c r="C826" s="26" t="s">
        <v>652</v>
      </c>
      <c r="D826" s="26" t="s">
        <v>652</v>
      </c>
      <c r="E826" s="26" t="s">
        <v>652</v>
      </c>
    </row>
    <row r="827" s="29" customFormat="1" ht="124" spans="2:5">
      <c r="B827" s="11" t="s">
        <v>173</v>
      </c>
      <c r="C827" s="11" t="s">
        <v>173</v>
      </c>
      <c r="D827" s="11" t="s">
        <v>173</v>
      </c>
      <c r="E827" s="11" t="s">
        <v>173</v>
      </c>
    </row>
    <row r="828" s="29" customFormat="1" ht="156" spans="2:5">
      <c r="B828" s="12" t="s">
        <v>174</v>
      </c>
      <c r="C828" s="12" t="s">
        <v>174</v>
      </c>
      <c r="D828" s="12" t="s">
        <v>174</v>
      </c>
      <c r="E828" s="12" t="s">
        <v>174</v>
      </c>
    </row>
    <row r="829" s="29" customFormat="1" ht="68" spans="2:5">
      <c r="B829" s="13" t="s">
        <v>1425</v>
      </c>
      <c r="C829" s="13" t="s">
        <v>1425</v>
      </c>
      <c r="D829" s="13" t="s">
        <v>1425</v>
      </c>
      <c r="E829" s="13" t="s">
        <v>1425</v>
      </c>
    </row>
    <row r="830" s="29" customFormat="1" ht="22" spans="2:5">
      <c r="B830" s="14" t="s">
        <v>176</v>
      </c>
      <c r="C830" s="14" t="s">
        <v>176</v>
      </c>
      <c r="D830" s="14" t="s">
        <v>176</v>
      </c>
      <c r="E830" s="14" t="s">
        <v>176</v>
      </c>
    </row>
    <row r="831" s="29" customFormat="1" spans="2:5">
      <c r="B831" s="15" t="s">
        <v>177</v>
      </c>
      <c r="C831" s="16" t="s">
        <v>178</v>
      </c>
      <c r="D831" s="17" t="s">
        <v>179</v>
      </c>
      <c r="E831" s="18" t="s">
        <v>180</v>
      </c>
    </row>
    <row r="832" s="29" customFormat="1" ht="41" spans="2:5">
      <c r="B832" s="19" t="s">
        <v>434</v>
      </c>
      <c r="C832" s="20" t="s">
        <v>182</v>
      </c>
      <c r="D832" s="21">
        <v>31</v>
      </c>
      <c r="E832" s="22">
        <v>46846.846847</v>
      </c>
    </row>
    <row r="833" s="29" customFormat="1" ht="28" spans="2:5">
      <c r="B833" s="19" t="s">
        <v>434</v>
      </c>
      <c r="C833" s="20" t="s">
        <v>804</v>
      </c>
      <c r="D833" s="21">
        <v>21</v>
      </c>
      <c r="E833" s="22">
        <v>0</v>
      </c>
    </row>
    <row r="834" s="29" customFormat="1" spans="2:5">
      <c r="B834" s="19" t="s">
        <v>434</v>
      </c>
      <c r="C834" s="16" t="s">
        <v>183</v>
      </c>
      <c r="D834" s="23">
        <v>52</v>
      </c>
      <c r="E834" s="24">
        <v>46846.846847</v>
      </c>
    </row>
    <row r="835" s="29" customFormat="1" ht="41" spans="2:5">
      <c r="B835" s="19" t="s">
        <v>435</v>
      </c>
      <c r="C835" s="20" t="s">
        <v>182</v>
      </c>
      <c r="D835" s="21">
        <v>7</v>
      </c>
      <c r="E835" s="22">
        <v>0</v>
      </c>
    </row>
    <row r="836" s="29" customFormat="1" ht="28" spans="2:5">
      <c r="B836" s="19" t="s">
        <v>435</v>
      </c>
      <c r="C836" s="20" t="s">
        <v>804</v>
      </c>
      <c r="D836" s="21">
        <v>36</v>
      </c>
      <c r="E836" s="22">
        <v>64864.864865</v>
      </c>
    </row>
    <row r="837" s="29" customFormat="1" spans="2:5">
      <c r="B837" s="19" t="s">
        <v>435</v>
      </c>
      <c r="C837" s="16" t="s">
        <v>183</v>
      </c>
      <c r="D837" s="23">
        <v>43</v>
      </c>
      <c r="E837" s="24">
        <v>64864.864865</v>
      </c>
    </row>
    <row r="838" s="29" customFormat="1" ht="41" spans="2:5">
      <c r="B838" s="19" t="s">
        <v>436</v>
      </c>
      <c r="C838" s="20" t="s">
        <v>182</v>
      </c>
      <c r="D838" s="21">
        <v>6</v>
      </c>
      <c r="E838" s="22">
        <v>0</v>
      </c>
    </row>
    <row r="839" s="29" customFormat="1" ht="28" spans="2:5">
      <c r="B839" s="19" t="s">
        <v>436</v>
      </c>
      <c r="C839" s="20" t="s">
        <v>804</v>
      </c>
      <c r="D839" s="21">
        <v>3</v>
      </c>
      <c r="E839" s="22">
        <v>0</v>
      </c>
    </row>
    <row r="840" s="29" customFormat="1" spans="2:5">
      <c r="B840" s="19" t="s">
        <v>436</v>
      </c>
      <c r="C840" s="16" t="s">
        <v>183</v>
      </c>
      <c r="D840" s="23">
        <v>9</v>
      </c>
      <c r="E840" s="24">
        <v>0</v>
      </c>
    </row>
    <row r="841" s="29" customFormat="1" ht="28" spans="2:5">
      <c r="B841" s="19" t="s">
        <v>587</v>
      </c>
      <c r="C841" s="20" t="s">
        <v>804</v>
      </c>
      <c r="D841" s="21">
        <v>2</v>
      </c>
      <c r="E841" s="22">
        <v>0</v>
      </c>
    </row>
    <row r="842" s="29" customFormat="1" spans="2:5">
      <c r="B842" s="19" t="s">
        <v>587</v>
      </c>
      <c r="C842" s="16" t="s">
        <v>183</v>
      </c>
      <c r="D842" s="23">
        <v>2</v>
      </c>
      <c r="E842" s="24">
        <v>0</v>
      </c>
    </row>
    <row r="843" s="29" customFormat="1" ht="41" spans="2:5">
      <c r="B843" s="19" t="s">
        <v>437</v>
      </c>
      <c r="C843" s="20" t="s">
        <v>182</v>
      </c>
      <c r="D843" s="21">
        <v>1</v>
      </c>
      <c r="E843" s="22">
        <v>0</v>
      </c>
    </row>
    <row r="844" s="29" customFormat="1" ht="28" spans="2:5">
      <c r="B844" s="19" t="s">
        <v>437</v>
      </c>
      <c r="C844" s="20" t="s">
        <v>804</v>
      </c>
      <c r="D844" s="21">
        <v>1</v>
      </c>
      <c r="E844" s="22">
        <v>0</v>
      </c>
    </row>
    <row r="845" s="29" customFormat="1" ht="17.55" spans="2:5">
      <c r="B845" s="19" t="s">
        <v>437</v>
      </c>
      <c r="C845" s="16" t="s">
        <v>183</v>
      </c>
      <c r="D845" s="23">
        <v>2</v>
      </c>
      <c r="E845" s="24">
        <v>0</v>
      </c>
    </row>
    <row r="846" s="29" customFormat="1" spans="2:5">
      <c r="B846" s="25"/>
      <c r="C846" s="25"/>
      <c r="D846" s="25"/>
      <c r="E846" s="25"/>
    </row>
    <row r="847" s="29" customFormat="1" ht="36" spans="2:5">
      <c r="B847" s="26" t="s">
        <v>189</v>
      </c>
      <c r="C847" s="26" t="s">
        <v>189</v>
      </c>
      <c r="D847" s="26" t="s">
        <v>189</v>
      </c>
      <c r="E847" s="26" t="s">
        <v>189</v>
      </c>
    </row>
    <row r="848" s="29" customFormat="1" spans="2:5">
      <c r="B848" s="26"/>
      <c r="C848" s="26"/>
      <c r="D848" s="26"/>
      <c r="E848" s="26"/>
    </row>
    <row r="849" s="29" customFormat="1" ht="36" spans="2:5">
      <c r="B849" s="26" t="s">
        <v>1433</v>
      </c>
      <c r="C849" s="26" t="s">
        <v>1433</v>
      </c>
      <c r="D849" s="26" t="s">
        <v>1433</v>
      </c>
      <c r="E849" s="26" t="s">
        <v>1433</v>
      </c>
    </row>
    <row r="850" s="29" customFormat="1" spans="2:5">
      <c r="B850" s="26" t="s">
        <v>659</v>
      </c>
      <c r="C850" s="26" t="s">
        <v>659</v>
      </c>
      <c r="D850" s="26" t="s">
        <v>659</v>
      </c>
      <c r="E850" s="26" t="s">
        <v>659</v>
      </c>
    </row>
    <row r="851" s="29" customFormat="1" ht="124" spans="2:5">
      <c r="B851" s="11" t="s">
        <v>173</v>
      </c>
      <c r="C851" s="11" t="s">
        <v>173</v>
      </c>
      <c r="D851" s="11" t="s">
        <v>173</v>
      </c>
      <c r="E851" s="11" t="s">
        <v>173</v>
      </c>
    </row>
    <row r="852" s="29" customFormat="1" ht="156" spans="2:5">
      <c r="B852" s="12" t="s">
        <v>174</v>
      </c>
      <c r="C852" s="12" t="s">
        <v>174</v>
      </c>
      <c r="D852" s="12" t="s">
        <v>174</v>
      </c>
      <c r="E852" s="12" t="s">
        <v>174</v>
      </c>
    </row>
    <row r="853" s="29" customFormat="1" ht="68" spans="2:5">
      <c r="B853" s="13" t="s">
        <v>1425</v>
      </c>
      <c r="C853" s="13" t="s">
        <v>1425</v>
      </c>
      <c r="D853" s="13" t="s">
        <v>1425</v>
      </c>
      <c r="E853" s="13" t="s">
        <v>1425</v>
      </c>
    </row>
    <row r="854" s="29" customFormat="1" ht="22" spans="2:5">
      <c r="B854" s="14" t="s">
        <v>176</v>
      </c>
      <c r="C854" s="14" t="s">
        <v>176</v>
      </c>
      <c r="D854" s="14" t="s">
        <v>176</v>
      </c>
      <c r="E854" s="14" t="s">
        <v>176</v>
      </c>
    </row>
    <row r="855" s="29" customFormat="1" spans="2:5">
      <c r="B855" s="15" t="s">
        <v>177</v>
      </c>
      <c r="C855" s="16" t="s">
        <v>178</v>
      </c>
      <c r="D855" s="17" t="s">
        <v>179</v>
      </c>
      <c r="E855" s="18" t="s">
        <v>180</v>
      </c>
    </row>
    <row r="856" s="29" customFormat="1" ht="28" spans="2:5">
      <c r="B856" s="19" t="s">
        <v>438</v>
      </c>
      <c r="C856" s="20" t="s">
        <v>804</v>
      </c>
      <c r="D856" s="21">
        <v>1</v>
      </c>
      <c r="E856" s="22">
        <v>0</v>
      </c>
    </row>
    <row r="857" s="29" customFormat="1" spans="2:5">
      <c r="B857" s="19" t="s">
        <v>438</v>
      </c>
      <c r="C857" s="16" t="s">
        <v>183</v>
      </c>
      <c r="D857" s="23">
        <v>1</v>
      </c>
      <c r="E857" s="24">
        <v>0</v>
      </c>
    </row>
    <row r="858" s="29" customFormat="1" ht="41" spans="2:5">
      <c r="B858" s="19" t="s">
        <v>440</v>
      </c>
      <c r="C858" s="20" t="s">
        <v>182</v>
      </c>
      <c r="D858" s="21">
        <v>61</v>
      </c>
      <c r="E858" s="22">
        <v>0</v>
      </c>
    </row>
    <row r="859" s="29" customFormat="1" ht="28" spans="2:5">
      <c r="B859" s="19" t="s">
        <v>440</v>
      </c>
      <c r="C859" s="20" t="s">
        <v>804</v>
      </c>
      <c r="D859" s="21">
        <v>16</v>
      </c>
      <c r="E859" s="22">
        <v>64864.864865</v>
      </c>
    </row>
    <row r="860" s="29" customFormat="1" spans="2:5">
      <c r="B860" s="19" t="s">
        <v>440</v>
      </c>
      <c r="C860" s="16" t="s">
        <v>183</v>
      </c>
      <c r="D860" s="23">
        <v>77</v>
      </c>
      <c r="E860" s="24">
        <v>64864.864865</v>
      </c>
    </row>
    <row r="861" s="29" customFormat="1" ht="41" spans="2:5">
      <c r="B861" s="19" t="s">
        <v>441</v>
      </c>
      <c r="C861" s="20" t="s">
        <v>182</v>
      </c>
      <c r="D861" s="21">
        <v>1</v>
      </c>
      <c r="E861" s="22">
        <v>0</v>
      </c>
    </row>
    <row r="862" s="29" customFormat="1" spans="2:5">
      <c r="B862" s="19" t="s">
        <v>441</v>
      </c>
      <c r="C862" s="16" t="s">
        <v>183</v>
      </c>
      <c r="D862" s="23">
        <v>1</v>
      </c>
      <c r="E862" s="24">
        <v>0</v>
      </c>
    </row>
    <row r="863" s="29" customFormat="1" ht="41" spans="2:5">
      <c r="B863" s="19" t="s">
        <v>442</v>
      </c>
      <c r="C863" s="20" t="s">
        <v>182</v>
      </c>
      <c r="D863" s="21">
        <v>3</v>
      </c>
      <c r="E863" s="22">
        <v>0</v>
      </c>
    </row>
    <row r="864" s="29" customFormat="1" spans="2:5">
      <c r="B864" s="19" t="s">
        <v>442</v>
      </c>
      <c r="C864" s="16" t="s">
        <v>183</v>
      </c>
      <c r="D864" s="23">
        <v>3</v>
      </c>
      <c r="E864" s="24">
        <v>0</v>
      </c>
    </row>
    <row r="865" s="29" customFormat="1" ht="41" spans="2:5">
      <c r="B865" s="19" t="s">
        <v>443</v>
      </c>
      <c r="C865" s="20" t="s">
        <v>182</v>
      </c>
      <c r="D865" s="21">
        <v>1</v>
      </c>
      <c r="E865" s="22">
        <v>0</v>
      </c>
    </row>
    <row r="866" s="29" customFormat="1" ht="28" spans="2:5">
      <c r="B866" s="19" t="s">
        <v>443</v>
      </c>
      <c r="C866" s="20" t="s">
        <v>804</v>
      </c>
      <c r="D866" s="21">
        <v>2</v>
      </c>
      <c r="E866" s="22">
        <v>0</v>
      </c>
    </row>
    <row r="867" s="29" customFormat="1" spans="2:5">
      <c r="B867" s="19" t="s">
        <v>443</v>
      </c>
      <c r="C867" s="16" t="s">
        <v>183</v>
      </c>
      <c r="D867" s="23">
        <v>3</v>
      </c>
      <c r="E867" s="24">
        <v>0</v>
      </c>
    </row>
    <row r="868" s="29" customFormat="1" ht="41.75" spans="2:5">
      <c r="B868" s="20" t="s">
        <v>444</v>
      </c>
      <c r="C868" s="20" t="s">
        <v>182</v>
      </c>
      <c r="D868" s="21">
        <v>5</v>
      </c>
      <c r="E868" s="22">
        <v>0</v>
      </c>
    </row>
    <row r="869" s="29" customFormat="1" spans="2:5">
      <c r="B869" s="25"/>
      <c r="C869" s="25"/>
      <c r="D869" s="25"/>
      <c r="E869" s="25"/>
    </row>
    <row r="870" s="29" customFormat="1" ht="36" spans="2:5">
      <c r="B870" s="26" t="s">
        <v>189</v>
      </c>
      <c r="C870" s="26" t="s">
        <v>189</v>
      </c>
      <c r="D870" s="26" t="s">
        <v>189</v>
      </c>
      <c r="E870" s="26" t="s">
        <v>189</v>
      </c>
    </row>
    <row r="871" s="29" customFormat="1" spans="2:5">
      <c r="B871" s="26"/>
      <c r="C871" s="26"/>
      <c r="D871" s="26"/>
      <c r="E871" s="26"/>
    </row>
    <row r="872" s="29" customFormat="1" ht="36" spans="2:5">
      <c r="B872" s="26" t="s">
        <v>1433</v>
      </c>
      <c r="C872" s="26" t="s">
        <v>1433</v>
      </c>
      <c r="D872" s="26" t="s">
        <v>1433</v>
      </c>
      <c r="E872" s="26" t="s">
        <v>1433</v>
      </c>
    </row>
    <row r="873" s="29" customFormat="1" spans="2:5">
      <c r="B873" s="26" t="s">
        <v>662</v>
      </c>
      <c r="C873" s="26" t="s">
        <v>662</v>
      </c>
      <c r="D873" s="26" t="s">
        <v>662</v>
      </c>
      <c r="E873" s="26" t="s">
        <v>662</v>
      </c>
    </row>
    <row r="874" s="29" customFormat="1" ht="124" spans="2:5">
      <c r="B874" s="11" t="s">
        <v>173</v>
      </c>
      <c r="C874" s="11" t="s">
        <v>173</v>
      </c>
      <c r="D874" s="11" t="s">
        <v>173</v>
      </c>
      <c r="E874" s="11" t="s">
        <v>173</v>
      </c>
    </row>
    <row r="875" s="29" customFormat="1" ht="156" spans="2:5">
      <c r="B875" s="12" t="s">
        <v>174</v>
      </c>
      <c r="C875" s="12" t="s">
        <v>174</v>
      </c>
      <c r="D875" s="12" t="s">
        <v>174</v>
      </c>
      <c r="E875" s="12" t="s">
        <v>174</v>
      </c>
    </row>
    <row r="876" s="29" customFormat="1" ht="68" spans="2:5">
      <c r="B876" s="13" t="s">
        <v>1425</v>
      </c>
      <c r="C876" s="13" t="s">
        <v>1425</v>
      </c>
      <c r="D876" s="13" t="s">
        <v>1425</v>
      </c>
      <c r="E876" s="13" t="s">
        <v>1425</v>
      </c>
    </row>
    <row r="877" s="29" customFormat="1" ht="22" spans="2:5">
      <c r="B877" s="14" t="s">
        <v>176</v>
      </c>
      <c r="C877" s="14" t="s">
        <v>176</v>
      </c>
      <c r="D877" s="14" t="s">
        <v>176</v>
      </c>
      <c r="E877" s="14" t="s">
        <v>176</v>
      </c>
    </row>
    <row r="878" s="29" customFormat="1" spans="2:5">
      <c r="B878" s="15" t="s">
        <v>177</v>
      </c>
      <c r="C878" s="16" t="s">
        <v>178</v>
      </c>
      <c r="D878" s="17" t="s">
        <v>179</v>
      </c>
      <c r="E878" s="18" t="s">
        <v>180</v>
      </c>
    </row>
    <row r="879" s="29" customFormat="1" ht="28" spans="2:5">
      <c r="B879" s="19" t="s">
        <v>444</v>
      </c>
      <c r="C879" s="20" t="s">
        <v>804</v>
      </c>
      <c r="D879" s="21">
        <v>1</v>
      </c>
      <c r="E879" s="22">
        <v>0</v>
      </c>
    </row>
    <row r="880" s="29" customFormat="1" spans="2:5">
      <c r="B880" s="19" t="s">
        <v>444</v>
      </c>
      <c r="C880" s="16" t="s">
        <v>183</v>
      </c>
      <c r="D880" s="23">
        <v>6</v>
      </c>
      <c r="E880" s="24">
        <v>0</v>
      </c>
    </row>
    <row r="881" s="29" customFormat="1" ht="41" spans="2:5">
      <c r="B881" s="19" t="s">
        <v>499</v>
      </c>
      <c r="C881" s="20" t="s">
        <v>182</v>
      </c>
      <c r="D881" s="21">
        <v>2</v>
      </c>
      <c r="E881" s="22">
        <v>0</v>
      </c>
    </row>
    <row r="882" s="29" customFormat="1" ht="28" spans="2:5">
      <c r="B882" s="19" t="s">
        <v>499</v>
      </c>
      <c r="C882" s="20" t="s">
        <v>804</v>
      </c>
      <c r="D882" s="21">
        <v>1</v>
      </c>
      <c r="E882" s="22">
        <v>0</v>
      </c>
    </row>
    <row r="883" s="29" customFormat="1" spans="2:5">
      <c r="B883" s="19" t="s">
        <v>499</v>
      </c>
      <c r="C883" s="16" t="s">
        <v>183</v>
      </c>
      <c r="D883" s="23">
        <v>3</v>
      </c>
      <c r="E883" s="24">
        <v>0</v>
      </c>
    </row>
    <row r="884" s="29" customFormat="1" ht="41" spans="2:5">
      <c r="B884" s="19" t="s">
        <v>1489</v>
      </c>
      <c r="C884" s="20" t="s">
        <v>182</v>
      </c>
      <c r="D884" s="21">
        <v>2</v>
      </c>
      <c r="E884" s="22">
        <v>0</v>
      </c>
    </row>
    <row r="885" s="29" customFormat="1" spans="2:5">
      <c r="B885" s="19" t="s">
        <v>1489</v>
      </c>
      <c r="C885" s="16" t="s">
        <v>183</v>
      </c>
      <c r="D885" s="23">
        <v>2</v>
      </c>
      <c r="E885" s="24">
        <v>0</v>
      </c>
    </row>
    <row r="886" s="29" customFormat="1" ht="41" spans="2:5">
      <c r="B886" s="19" t="s">
        <v>1239</v>
      </c>
      <c r="C886" s="20" t="s">
        <v>182</v>
      </c>
      <c r="D886" s="21">
        <v>7</v>
      </c>
      <c r="E886" s="22">
        <v>0</v>
      </c>
    </row>
    <row r="887" s="29" customFormat="1" spans="2:5">
      <c r="B887" s="19" t="s">
        <v>1239</v>
      </c>
      <c r="C887" s="16" t="s">
        <v>183</v>
      </c>
      <c r="D887" s="23">
        <v>7</v>
      </c>
      <c r="E887" s="24">
        <v>0</v>
      </c>
    </row>
    <row r="888" s="29" customFormat="1" ht="41" spans="2:5">
      <c r="B888" s="19" t="s">
        <v>837</v>
      </c>
      <c r="C888" s="20" t="s">
        <v>182</v>
      </c>
      <c r="D888" s="21">
        <v>1</v>
      </c>
      <c r="E888" s="22">
        <v>0</v>
      </c>
    </row>
    <row r="889" s="29" customFormat="1" ht="28" spans="2:5">
      <c r="B889" s="19" t="s">
        <v>837</v>
      </c>
      <c r="C889" s="20" t="s">
        <v>804</v>
      </c>
      <c r="D889" s="21">
        <v>2</v>
      </c>
      <c r="E889" s="22">
        <v>0</v>
      </c>
    </row>
    <row r="890" s="29" customFormat="1" spans="2:5">
      <c r="B890" s="19" t="s">
        <v>837</v>
      </c>
      <c r="C890" s="16" t="s">
        <v>183</v>
      </c>
      <c r="D890" s="23">
        <v>3</v>
      </c>
      <c r="E890" s="24">
        <v>0</v>
      </c>
    </row>
    <row r="891" s="29" customFormat="1" ht="28" spans="2:5">
      <c r="B891" s="19" t="s">
        <v>838</v>
      </c>
      <c r="C891" s="20" t="s">
        <v>804</v>
      </c>
      <c r="D891" s="21">
        <v>4</v>
      </c>
      <c r="E891" s="22">
        <v>0</v>
      </c>
    </row>
    <row r="892" s="29" customFormat="1" ht="17.55" spans="2:5">
      <c r="B892" s="19" t="s">
        <v>838</v>
      </c>
      <c r="C892" s="16" t="s">
        <v>183</v>
      </c>
      <c r="D892" s="23">
        <v>4</v>
      </c>
      <c r="E892" s="24">
        <v>0</v>
      </c>
    </row>
    <row r="893" s="29" customFormat="1" spans="2:5">
      <c r="B893" s="25"/>
      <c r="C893" s="25"/>
      <c r="D893" s="25"/>
      <c r="E893" s="25"/>
    </row>
    <row r="894" s="29" customFormat="1" ht="36" spans="2:5">
      <c r="B894" s="26" t="s">
        <v>189</v>
      </c>
      <c r="C894" s="26" t="s">
        <v>189</v>
      </c>
      <c r="D894" s="26" t="s">
        <v>189</v>
      </c>
      <c r="E894" s="26" t="s">
        <v>189</v>
      </c>
    </row>
    <row r="895" s="29" customFormat="1" spans="2:5">
      <c r="B895" s="26"/>
      <c r="C895" s="26"/>
      <c r="D895" s="26"/>
      <c r="E895" s="26"/>
    </row>
    <row r="896" s="29" customFormat="1" ht="36" spans="2:5">
      <c r="B896" s="26" t="s">
        <v>1433</v>
      </c>
      <c r="C896" s="26" t="s">
        <v>1433</v>
      </c>
      <c r="D896" s="26" t="s">
        <v>1433</v>
      </c>
      <c r="E896" s="26" t="s">
        <v>1433</v>
      </c>
    </row>
    <row r="897" s="29" customFormat="1" spans="2:5">
      <c r="B897" s="26" t="s">
        <v>758</v>
      </c>
      <c r="C897" s="26" t="s">
        <v>758</v>
      </c>
      <c r="D897" s="26" t="s">
        <v>758</v>
      </c>
      <c r="E897" s="26" t="s">
        <v>758</v>
      </c>
    </row>
    <row r="898" s="29" customFormat="1" ht="124" spans="2:5">
      <c r="B898" s="11" t="s">
        <v>173</v>
      </c>
      <c r="C898" s="11" t="s">
        <v>173</v>
      </c>
      <c r="D898" s="11" t="s">
        <v>173</v>
      </c>
      <c r="E898" s="11" t="s">
        <v>173</v>
      </c>
    </row>
    <row r="899" s="29" customFormat="1" ht="156" spans="2:5">
      <c r="B899" s="12" t="s">
        <v>174</v>
      </c>
      <c r="C899" s="12" t="s">
        <v>174</v>
      </c>
      <c r="D899" s="12" t="s">
        <v>174</v>
      </c>
      <c r="E899" s="12" t="s">
        <v>174</v>
      </c>
    </row>
    <row r="900" s="29" customFormat="1" ht="68" spans="2:5">
      <c r="B900" s="13" t="s">
        <v>1425</v>
      </c>
      <c r="C900" s="13" t="s">
        <v>1425</v>
      </c>
      <c r="D900" s="13" t="s">
        <v>1425</v>
      </c>
      <c r="E900" s="13" t="s">
        <v>1425</v>
      </c>
    </row>
    <row r="901" s="29" customFormat="1" ht="22" spans="2:5">
      <c r="B901" s="14" t="s">
        <v>176</v>
      </c>
      <c r="C901" s="14" t="s">
        <v>176</v>
      </c>
      <c r="D901" s="14" t="s">
        <v>176</v>
      </c>
      <c r="E901" s="14" t="s">
        <v>176</v>
      </c>
    </row>
    <row r="902" s="29" customFormat="1" spans="2:5">
      <c r="B902" s="15" t="s">
        <v>177</v>
      </c>
      <c r="C902" s="16" t="s">
        <v>178</v>
      </c>
      <c r="D902" s="17" t="s">
        <v>179</v>
      </c>
      <c r="E902" s="18" t="s">
        <v>180</v>
      </c>
    </row>
    <row r="903" s="29" customFormat="1" ht="41" spans="2:5">
      <c r="B903" s="19" t="s">
        <v>588</v>
      </c>
      <c r="C903" s="20" t="s">
        <v>182</v>
      </c>
      <c r="D903" s="21">
        <v>2</v>
      </c>
      <c r="E903" s="22">
        <v>0</v>
      </c>
    </row>
    <row r="904" s="29" customFormat="1" spans="2:5">
      <c r="B904" s="19" t="s">
        <v>588</v>
      </c>
      <c r="C904" s="16" t="s">
        <v>183</v>
      </c>
      <c r="D904" s="23">
        <v>2</v>
      </c>
      <c r="E904" s="24">
        <v>0</v>
      </c>
    </row>
    <row r="905" s="29" customFormat="1" ht="41" spans="2:5">
      <c r="B905" s="19" t="s">
        <v>445</v>
      </c>
      <c r="C905" s="20" t="s">
        <v>182</v>
      </c>
      <c r="D905" s="21">
        <v>4</v>
      </c>
      <c r="E905" s="22">
        <v>0</v>
      </c>
    </row>
    <row r="906" s="29" customFormat="1" ht="28" spans="2:5">
      <c r="B906" s="19" t="s">
        <v>445</v>
      </c>
      <c r="C906" s="20" t="s">
        <v>804</v>
      </c>
      <c r="D906" s="21">
        <v>2</v>
      </c>
      <c r="E906" s="22">
        <v>0</v>
      </c>
    </row>
    <row r="907" s="29" customFormat="1" spans="2:5">
      <c r="B907" s="19" t="s">
        <v>445</v>
      </c>
      <c r="C907" s="16" t="s">
        <v>183</v>
      </c>
      <c r="D907" s="23">
        <v>6</v>
      </c>
      <c r="E907" s="24">
        <v>0</v>
      </c>
    </row>
    <row r="908" s="29" customFormat="1" ht="41" spans="2:5">
      <c r="B908" s="19" t="s">
        <v>500</v>
      </c>
      <c r="C908" s="20" t="s">
        <v>182</v>
      </c>
      <c r="D908" s="21">
        <v>6</v>
      </c>
      <c r="E908" s="22">
        <v>0</v>
      </c>
    </row>
    <row r="909" s="29" customFormat="1" spans="2:5">
      <c r="B909" s="19" t="s">
        <v>500</v>
      </c>
      <c r="C909" s="16" t="s">
        <v>183</v>
      </c>
      <c r="D909" s="23">
        <v>6</v>
      </c>
      <c r="E909" s="24">
        <v>0</v>
      </c>
    </row>
    <row r="910" s="29" customFormat="1" ht="41" spans="2:5">
      <c r="B910" s="19" t="s">
        <v>840</v>
      </c>
      <c r="C910" s="20" t="s">
        <v>182</v>
      </c>
      <c r="D910" s="21">
        <v>8</v>
      </c>
      <c r="E910" s="22">
        <v>1261261.261262</v>
      </c>
    </row>
    <row r="911" s="29" customFormat="1" spans="2:5">
      <c r="B911" s="19" t="s">
        <v>840</v>
      </c>
      <c r="C911" s="16" t="s">
        <v>183</v>
      </c>
      <c r="D911" s="23">
        <v>8</v>
      </c>
      <c r="E911" s="24">
        <v>1261261.261262</v>
      </c>
    </row>
    <row r="912" s="29" customFormat="1" ht="41" spans="2:5">
      <c r="B912" s="19" t="s">
        <v>841</v>
      </c>
      <c r="C912" s="20" t="s">
        <v>182</v>
      </c>
      <c r="D912" s="21">
        <v>16</v>
      </c>
      <c r="E912" s="22">
        <v>2522522.522524</v>
      </c>
    </row>
    <row r="913" s="29" customFormat="1" ht="28" spans="2:5">
      <c r="B913" s="19" t="s">
        <v>841</v>
      </c>
      <c r="C913" s="20" t="s">
        <v>804</v>
      </c>
      <c r="D913" s="21">
        <v>44</v>
      </c>
      <c r="E913" s="22">
        <v>6486486.48649</v>
      </c>
    </row>
    <row r="914" s="29" customFormat="1" ht="17.55" spans="2:5">
      <c r="B914" s="19" t="s">
        <v>841</v>
      </c>
      <c r="C914" s="16" t="s">
        <v>183</v>
      </c>
      <c r="D914" s="23">
        <v>60</v>
      </c>
      <c r="E914" s="24">
        <v>9009009.009014</v>
      </c>
    </row>
    <row r="915" s="29" customFormat="1" spans="2:5">
      <c r="B915" s="25"/>
      <c r="C915" s="25"/>
      <c r="D915" s="25"/>
      <c r="E915" s="25"/>
    </row>
    <row r="916" s="29" customFormat="1" ht="36" spans="2:5">
      <c r="B916" s="26" t="s">
        <v>189</v>
      </c>
      <c r="C916" s="26" t="s">
        <v>189</v>
      </c>
      <c r="D916" s="26" t="s">
        <v>189</v>
      </c>
      <c r="E916" s="26" t="s">
        <v>189</v>
      </c>
    </row>
    <row r="917" s="29" customFormat="1" spans="2:5">
      <c r="B917" s="26"/>
      <c r="C917" s="26"/>
      <c r="D917" s="26"/>
      <c r="E917" s="26"/>
    </row>
    <row r="918" s="29" customFormat="1" ht="36" spans="2:5">
      <c r="B918" s="26" t="s">
        <v>1433</v>
      </c>
      <c r="C918" s="26" t="s">
        <v>1433</v>
      </c>
      <c r="D918" s="26" t="s">
        <v>1433</v>
      </c>
      <c r="E918" s="26" t="s">
        <v>1433</v>
      </c>
    </row>
    <row r="919" s="29" customFormat="1" spans="2:5">
      <c r="B919" s="26" t="s">
        <v>760</v>
      </c>
      <c r="C919" s="26" t="s">
        <v>760</v>
      </c>
      <c r="D919" s="26" t="s">
        <v>760</v>
      </c>
      <c r="E919" s="26" t="s">
        <v>760</v>
      </c>
    </row>
    <row r="920" s="29" customFormat="1" ht="124" spans="2:5">
      <c r="B920" s="11" t="s">
        <v>173</v>
      </c>
      <c r="C920" s="11" t="s">
        <v>173</v>
      </c>
      <c r="D920" s="11" t="s">
        <v>173</v>
      </c>
      <c r="E920" s="11" t="s">
        <v>173</v>
      </c>
    </row>
    <row r="921" s="29" customFormat="1" ht="156" spans="2:5">
      <c r="B921" s="12" t="s">
        <v>174</v>
      </c>
      <c r="C921" s="12" t="s">
        <v>174</v>
      </c>
      <c r="D921" s="12" t="s">
        <v>174</v>
      </c>
      <c r="E921" s="12" t="s">
        <v>174</v>
      </c>
    </row>
    <row r="922" s="29" customFormat="1" ht="68" spans="2:5">
      <c r="B922" s="13" t="s">
        <v>1425</v>
      </c>
      <c r="C922" s="13" t="s">
        <v>1425</v>
      </c>
      <c r="D922" s="13" t="s">
        <v>1425</v>
      </c>
      <c r="E922" s="13" t="s">
        <v>1425</v>
      </c>
    </row>
    <row r="923" s="29" customFormat="1" ht="22" spans="2:5">
      <c r="B923" s="14" t="s">
        <v>176</v>
      </c>
      <c r="C923" s="14" t="s">
        <v>176</v>
      </c>
      <c r="D923" s="14" t="s">
        <v>176</v>
      </c>
      <c r="E923" s="14" t="s">
        <v>176</v>
      </c>
    </row>
    <row r="924" s="29" customFormat="1" spans="2:5">
      <c r="B924" s="15" t="s">
        <v>177</v>
      </c>
      <c r="C924" s="16" t="s">
        <v>178</v>
      </c>
      <c r="D924" s="17" t="s">
        <v>179</v>
      </c>
      <c r="E924" s="18" t="s">
        <v>180</v>
      </c>
    </row>
    <row r="925" s="29" customFormat="1" ht="41" spans="2:5">
      <c r="B925" s="19" t="s">
        <v>697</v>
      </c>
      <c r="C925" s="20" t="s">
        <v>182</v>
      </c>
      <c r="D925" s="21">
        <v>23</v>
      </c>
      <c r="E925" s="22">
        <v>3672972.972974</v>
      </c>
    </row>
    <row r="926" s="29" customFormat="1" ht="28" spans="2:5">
      <c r="B926" s="19" t="s">
        <v>697</v>
      </c>
      <c r="C926" s="16" t="s">
        <v>183</v>
      </c>
      <c r="D926" s="23">
        <v>23</v>
      </c>
      <c r="E926" s="24">
        <v>3672972.972974</v>
      </c>
    </row>
    <row r="927" s="29" customFormat="1" ht="41" spans="2:5">
      <c r="B927" s="19" t="s">
        <v>983</v>
      </c>
      <c r="C927" s="20" t="s">
        <v>182</v>
      </c>
      <c r="D927" s="21">
        <v>4</v>
      </c>
      <c r="E927" s="22">
        <v>630630.630631</v>
      </c>
    </row>
    <row r="928" s="29" customFormat="1" ht="28" spans="2:5">
      <c r="B928" s="19" t="s">
        <v>983</v>
      </c>
      <c r="C928" s="16" t="s">
        <v>183</v>
      </c>
      <c r="D928" s="23">
        <v>4</v>
      </c>
      <c r="E928" s="24">
        <v>630630.630631</v>
      </c>
    </row>
    <row r="929" s="29" customFormat="1" ht="41" spans="2:5">
      <c r="B929" s="19" t="s">
        <v>1241</v>
      </c>
      <c r="C929" s="20" t="s">
        <v>182</v>
      </c>
      <c r="D929" s="21">
        <v>4</v>
      </c>
      <c r="E929" s="22">
        <v>342342.342342</v>
      </c>
    </row>
    <row r="930" s="29" customFormat="1" spans="2:5">
      <c r="B930" s="19" t="s">
        <v>1241</v>
      </c>
      <c r="C930" s="16" t="s">
        <v>183</v>
      </c>
      <c r="D930" s="23">
        <v>4</v>
      </c>
      <c r="E930" s="24">
        <v>342342.342342</v>
      </c>
    </row>
    <row r="931" s="29" customFormat="1" ht="41" spans="2:5">
      <c r="B931" s="19" t="s">
        <v>698</v>
      </c>
      <c r="C931" s="20" t="s">
        <v>182</v>
      </c>
      <c r="D931" s="21">
        <v>12</v>
      </c>
      <c r="E931" s="22">
        <v>1351350.9009</v>
      </c>
    </row>
    <row r="932" s="29" customFormat="1" spans="2:5">
      <c r="B932" s="19" t="s">
        <v>698</v>
      </c>
      <c r="C932" s="16" t="s">
        <v>183</v>
      </c>
      <c r="D932" s="23">
        <v>12</v>
      </c>
      <c r="E932" s="24">
        <v>1351350.9009</v>
      </c>
    </row>
    <row r="933" s="29" customFormat="1" ht="41" spans="2:5">
      <c r="B933" s="19" t="s">
        <v>502</v>
      </c>
      <c r="C933" s="20" t="s">
        <v>182</v>
      </c>
      <c r="D933" s="21">
        <v>40</v>
      </c>
      <c r="E933" s="22">
        <v>4266666.234231</v>
      </c>
    </row>
    <row r="934" s="29" customFormat="1" ht="28" spans="2:5">
      <c r="B934" s="19" t="s">
        <v>502</v>
      </c>
      <c r="C934" s="20" t="s">
        <v>804</v>
      </c>
      <c r="D934" s="21">
        <v>32</v>
      </c>
      <c r="E934" s="22">
        <v>3524324.324321</v>
      </c>
    </row>
    <row r="935" s="29" customFormat="1" ht="28" spans="2:5">
      <c r="B935" s="19" t="s">
        <v>502</v>
      </c>
      <c r="C935" s="16" t="s">
        <v>183</v>
      </c>
      <c r="D935" s="23">
        <v>72</v>
      </c>
      <c r="E935" s="24">
        <v>7790990.558552</v>
      </c>
    </row>
    <row r="936" s="29" customFormat="1" ht="41" spans="2:5">
      <c r="B936" s="19" t="s">
        <v>1490</v>
      </c>
      <c r="C936" s="20" t="s">
        <v>182</v>
      </c>
      <c r="D936" s="21">
        <v>8</v>
      </c>
      <c r="E936" s="22">
        <v>252252.252252</v>
      </c>
    </row>
    <row r="937" s="29" customFormat="1" ht="28.75" spans="2:5">
      <c r="B937" s="19" t="s">
        <v>1490</v>
      </c>
      <c r="C937" s="16" t="s">
        <v>183</v>
      </c>
      <c r="D937" s="23">
        <v>8</v>
      </c>
      <c r="E937" s="24">
        <v>252252.252252</v>
      </c>
    </row>
    <row r="938" s="29" customFormat="1" spans="2:5">
      <c r="B938" s="25"/>
      <c r="C938" s="25"/>
      <c r="D938" s="25"/>
      <c r="E938" s="25"/>
    </row>
    <row r="939" s="29" customFormat="1" ht="36" spans="2:5">
      <c r="B939" s="26" t="s">
        <v>189</v>
      </c>
      <c r="C939" s="26" t="s">
        <v>189</v>
      </c>
      <c r="D939" s="26" t="s">
        <v>189</v>
      </c>
      <c r="E939" s="26" t="s">
        <v>189</v>
      </c>
    </row>
    <row r="940" s="29" customFormat="1" spans="2:5">
      <c r="B940" s="26"/>
      <c r="C940" s="26"/>
      <c r="D940" s="26"/>
      <c r="E940" s="26"/>
    </row>
    <row r="941" s="29" customFormat="1" ht="36" spans="2:5">
      <c r="B941" s="26" t="s">
        <v>1433</v>
      </c>
      <c r="C941" s="26" t="s">
        <v>1433</v>
      </c>
      <c r="D941" s="26" t="s">
        <v>1433</v>
      </c>
      <c r="E941" s="26" t="s">
        <v>1433</v>
      </c>
    </row>
    <row r="942" s="29" customFormat="1" spans="2:5">
      <c r="B942" s="26" t="s">
        <v>767</v>
      </c>
      <c r="C942" s="26" t="s">
        <v>767</v>
      </c>
      <c r="D942" s="26" t="s">
        <v>767</v>
      </c>
      <c r="E942" s="26" t="s">
        <v>767</v>
      </c>
    </row>
    <row r="943" s="29" customFormat="1" ht="124" spans="2:5">
      <c r="B943" s="11" t="s">
        <v>173</v>
      </c>
      <c r="C943" s="11" t="s">
        <v>173</v>
      </c>
      <c r="D943" s="11" t="s">
        <v>173</v>
      </c>
      <c r="E943" s="11" t="s">
        <v>173</v>
      </c>
    </row>
    <row r="944" s="29" customFormat="1" ht="156" spans="2:5">
      <c r="B944" s="12" t="s">
        <v>174</v>
      </c>
      <c r="C944" s="12" t="s">
        <v>174</v>
      </c>
      <c r="D944" s="12" t="s">
        <v>174</v>
      </c>
      <c r="E944" s="12" t="s">
        <v>174</v>
      </c>
    </row>
    <row r="945" s="29" customFormat="1" ht="68" spans="2:5">
      <c r="B945" s="13" t="s">
        <v>1425</v>
      </c>
      <c r="C945" s="13" t="s">
        <v>1425</v>
      </c>
      <c r="D945" s="13" t="s">
        <v>1425</v>
      </c>
      <c r="E945" s="13" t="s">
        <v>1425</v>
      </c>
    </row>
    <row r="946" s="29" customFormat="1" ht="22" spans="2:5">
      <c r="B946" s="14" t="s">
        <v>176</v>
      </c>
      <c r="C946" s="14" t="s">
        <v>176</v>
      </c>
      <c r="D946" s="14" t="s">
        <v>176</v>
      </c>
      <c r="E946" s="14" t="s">
        <v>176</v>
      </c>
    </row>
    <row r="947" s="29" customFormat="1" spans="2:5">
      <c r="B947" s="15" t="s">
        <v>177</v>
      </c>
      <c r="C947" s="16" t="s">
        <v>178</v>
      </c>
      <c r="D947" s="17" t="s">
        <v>179</v>
      </c>
      <c r="E947" s="18" t="s">
        <v>180</v>
      </c>
    </row>
    <row r="948" s="29" customFormat="1" ht="41" spans="2:5">
      <c r="B948" s="19" t="s">
        <v>1491</v>
      </c>
      <c r="C948" s="20" t="s">
        <v>182</v>
      </c>
      <c r="D948" s="21">
        <v>12</v>
      </c>
      <c r="E948" s="22">
        <v>275315.315316</v>
      </c>
    </row>
    <row r="949" s="29" customFormat="1" ht="28" spans="2:5">
      <c r="B949" s="19" t="s">
        <v>1491</v>
      </c>
      <c r="C949" s="16" t="s">
        <v>183</v>
      </c>
      <c r="D949" s="23">
        <v>12</v>
      </c>
      <c r="E949" s="24">
        <v>275315.315316</v>
      </c>
    </row>
    <row r="950" s="29" customFormat="1" ht="41" spans="2:5">
      <c r="B950" s="19" t="s">
        <v>1492</v>
      </c>
      <c r="C950" s="20" t="s">
        <v>182</v>
      </c>
      <c r="D950" s="21">
        <v>1</v>
      </c>
      <c r="E950" s="22">
        <v>0</v>
      </c>
    </row>
    <row r="951" s="29" customFormat="1" spans="2:5">
      <c r="B951" s="19" t="s">
        <v>1492</v>
      </c>
      <c r="C951" s="16" t="s">
        <v>183</v>
      </c>
      <c r="D951" s="23">
        <v>1</v>
      </c>
      <c r="E951" s="24">
        <v>0</v>
      </c>
    </row>
    <row r="952" s="29" customFormat="1" ht="28" spans="2:5">
      <c r="B952" s="19" t="s">
        <v>1493</v>
      </c>
      <c r="C952" s="20" t="s">
        <v>804</v>
      </c>
      <c r="D952" s="21">
        <v>2</v>
      </c>
      <c r="E952" s="22">
        <v>1500000</v>
      </c>
    </row>
    <row r="953" s="29" customFormat="1" spans="2:5">
      <c r="B953" s="19" t="s">
        <v>1493</v>
      </c>
      <c r="C953" s="16" t="s">
        <v>183</v>
      </c>
      <c r="D953" s="23">
        <v>2</v>
      </c>
      <c r="E953" s="24">
        <v>1500000</v>
      </c>
    </row>
    <row r="954" s="29" customFormat="1" ht="28" spans="2:5">
      <c r="B954" s="19" t="s">
        <v>1494</v>
      </c>
      <c r="C954" s="20" t="s">
        <v>804</v>
      </c>
      <c r="D954" s="21">
        <v>2</v>
      </c>
      <c r="E954" s="22">
        <v>1533333</v>
      </c>
    </row>
    <row r="955" s="29" customFormat="1" ht="28" spans="2:5">
      <c r="B955" s="19" t="s">
        <v>1494</v>
      </c>
      <c r="C955" s="16" t="s">
        <v>183</v>
      </c>
      <c r="D955" s="23">
        <v>2</v>
      </c>
      <c r="E955" s="24">
        <v>1533333</v>
      </c>
    </row>
    <row r="956" s="29" customFormat="1" ht="28" spans="2:5">
      <c r="B956" s="19" t="s">
        <v>1495</v>
      </c>
      <c r="C956" s="20" t="s">
        <v>804</v>
      </c>
      <c r="D956" s="21">
        <v>1</v>
      </c>
      <c r="E956" s="22">
        <v>530000</v>
      </c>
    </row>
    <row r="957" s="29" customFormat="1" ht="28" spans="2:5">
      <c r="B957" s="19" t="s">
        <v>1495</v>
      </c>
      <c r="C957" s="16" t="s">
        <v>183</v>
      </c>
      <c r="D957" s="23">
        <v>1</v>
      </c>
      <c r="E957" s="24">
        <v>530000</v>
      </c>
    </row>
    <row r="958" s="29" customFormat="1" ht="28" spans="2:5">
      <c r="B958" s="19" t="s">
        <v>1496</v>
      </c>
      <c r="C958" s="20" t="s">
        <v>804</v>
      </c>
      <c r="D958" s="21">
        <v>1</v>
      </c>
      <c r="E958" s="22">
        <v>972972.972973</v>
      </c>
    </row>
    <row r="959" s="29" customFormat="1" spans="2:5">
      <c r="B959" s="19" t="s">
        <v>1496</v>
      </c>
      <c r="C959" s="16" t="s">
        <v>183</v>
      </c>
      <c r="D959" s="23">
        <v>1</v>
      </c>
      <c r="E959" s="24">
        <v>972972.972973</v>
      </c>
    </row>
    <row r="960" s="29" customFormat="1" ht="28" spans="2:5">
      <c r="B960" s="19" t="s">
        <v>985</v>
      </c>
      <c r="C960" s="20" t="s">
        <v>804</v>
      </c>
      <c r="D960" s="21">
        <v>10</v>
      </c>
      <c r="E960" s="22">
        <v>1054054.243244</v>
      </c>
    </row>
    <row r="961" s="29" customFormat="1" ht="28" spans="2:5">
      <c r="B961" s="19" t="s">
        <v>985</v>
      </c>
      <c r="C961" s="16" t="s">
        <v>183</v>
      </c>
      <c r="D961" s="23">
        <v>10</v>
      </c>
      <c r="E961" s="24">
        <v>1054054.243244</v>
      </c>
    </row>
    <row r="962" s="29" customFormat="1" ht="28" spans="2:5">
      <c r="B962" s="19" t="s">
        <v>1248</v>
      </c>
      <c r="C962" s="20" t="s">
        <v>804</v>
      </c>
      <c r="D962" s="21">
        <v>2</v>
      </c>
      <c r="E962" s="22">
        <v>277477.477477</v>
      </c>
    </row>
    <row r="963" s="29" customFormat="1" ht="17.55" spans="2:5">
      <c r="B963" s="19" t="s">
        <v>1248</v>
      </c>
      <c r="C963" s="16" t="s">
        <v>183</v>
      </c>
      <c r="D963" s="23">
        <v>2</v>
      </c>
      <c r="E963" s="24">
        <v>277477.477477</v>
      </c>
    </row>
    <row r="964" s="29" customFormat="1" spans="2:5">
      <c r="B964" s="25"/>
      <c r="C964" s="25"/>
      <c r="D964" s="25"/>
      <c r="E964" s="25"/>
    </row>
    <row r="965" s="29" customFormat="1" ht="36" spans="2:5">
      <c r="B965" s="26" t="s">
        <v>189</v>
      </c>
      <c r="C965" s="26" t="s">
        <v>189</v>
      </c>
      <c r="D965" s="26" t="s">
        <v>189</v>
      </c>
      <c r="E965" s="26" t="s">
        <v>189</v>
      </c>
    </row>
    <row r="966" s="29" customFormat="1" spans="2:5">
      <c r="B966" s="26"/>
      <c r="C966" s="26"/>
      <c r="D966" s="26"/>
      <c r="E966" s="26"/>
    </row>
    <row r="967" s="29" customFormat="1" ht="36" spans="2:5">
      <c r="B967" s="26" t="s">
        <v>1433</v>
      </c>
      <c r="C967" s="26" t="s">
        <v>1433</v>
      </c>
      <c r="D967" s="26" t="s">
        <v>1433</v>
      </c>
      <c r="E967" s="26" t="s">
        <v>1433</v>
      </c>
    </row>
    <row r="968" s="29" customFormat="1" spans="2:5">
      <c r="B968" s="26" t="s">
        <v>773</v>
      </c>
      <c r="C968" s="26" t="s">
        <v>773</v>
      </c>
      <c r="D968" s="26" t="s">
        <v>773</v>
      </c>
      <c r="E968" s="26" t="s">
        <v>773</v>
      </c>
    </row>
    <row r="969" s="29" customFormat="1" ht="124" spans="2:5">
      <c r="B969" s="11" t="s">
        <v>173</v>
      </c>
      <c r="C969" s="11" t="s">
        <v>173</v>
      </c>
      <c r="D969" s="11" t="s">
        <v>173</v>
      </c>
      <c r="E969" s="11" t="s">
        <v>173</v>
      </c>
    </row>
    <row r="970" s="29" customFormat="1" ht="156" spans="2:5">
      <c r="B970" s="12" t="s">
        <v>174</v>
      </c>
      <c r="C970" s="12" t="s">
        <v>174</v>
      </c>
      <c r="D970" s="12" t="s">
        <v>174</v>
      </c>
      <c r="E970" s="12" t="s">
        <v>174</v>
      </c>
    </row>
    <row r="971" s="29" customFormat="1" ht="68" spans="2:5">
      <c r="B971" s="13" t="s">
        <v>1425</v>
      </c>
      <c r="C971" s="13" t="s">
        <v>1425</v>
      </c>
      <c r="D971" s="13" t="s">
        <v>1425</v>
      </c>
      <c r="E971" s="13" t="s">
        <v>1425</v>
      </c>
    </row>
    <row r="972" s="29" customFormat="1" ht="22" spans="2:5">
      <c r="B972" s="14" t="s">
        <v>176</v>
      </c>
      <c r="C972" s="14" t="s">
        <v>176</v>
      </c>
      <c r="D972" s="14" t="s">
        <v>176</v>
      </c>
      <c r="E972" s="14" t="s">
        <v>176</v>
      </c>
    </row>
    <row r="973" s="29" customFormat="1" spans="2:5">
      <c r="B973" s="15" t="s">
        <v>177</v>
      </c>
      <c r="C973" s="16" t="s">
        <v>178</v>
      </c>
      <c r="D973" s="17" t="s">
        <v>179</v>
      </c>
      <c r="E973" s="18" t="s">
        <v>180</v>
      </c>
    </row>
    <row r="974" s="29" customFormat="1" ht="28" spans="2:5">
      <c r="B974" s="19" t="s">
        <v>1249</v>
      </c>
      <c r="C974" s="20" t="s">
        <v>804</v>
      </c>
      <c r="D974" s="21">
        <v>2</v>
      </c>
      <c r="E974" s="22">
        <v>194594.594595</v>
      </c>
    </row>
    <row r="975" s="29" customFormat="1" spans="2:5">
      <c r="B975" s="19" t="s">
        <v>1249</v>
      </c>
      <c r="C975" s="16" t="s">
        <v>183</v>
      </c>
      <c r="D975" s="23">
        <v>2</v>
      </c>
      <c r="E975" s="24">
        <v>194594.594595</v>
      </c>
    </row>
    <row r="976" s="29" customFormat="1" ht="28" spans="2:5">
      <c r="B976" s="19" t="s">
        <v>700</v>
      </c>
      <c r="C976" s="20" t="s">
        <v>804</v>
      </c>
      <c r="D976" s="21">
        <v>8</v>
      </c>
      <c r="E976" s="22">
        <v>1563963.963964</v>
      </c>
    </row>
    <row r="977" s="29" customFormat="1" spans="2:5">
      <c r="B977" s="19" t="s">
        <v>700</v>
      </c>
      <c r="C977" s="16" t="s">
        <v>183</v>
      </c>
      <c r="D977" s="23">
        <v>8</v>
      </c>
      <c r="E977" s="24">
        <v>1563963.963964</v>
      </c>
    </row>
    <row r="978" s="29" customFormat="1" ht="28" spans="2:5">
      <c r="B978" s="19" t="s">
        <v>1497</v>
      </c>
      <c r="C978" s="20" t="s">
        <v>804</v>
      </c>
      <c r="D978" s="21">
        <v>1</v>
      </c>
      <c r="E978" s="22">
        <v>508000</v>
      </c>
    </row>
    <row r="979" s="29" customFormat="1" spans="2:5">
      <c r="B979" s="19" t="s">
        <v>1497</v>
      </c>
      <c r="C979" s="16" t="s">
        <v>183</v>
      </c>
      <c r="D979" s="23">
        <v>1</v>
      </c>
      <c r="E979" s="24">
        <v>508000</v>
      </c>
    </row>
    <row r="980" s="29" customFormat="1" ht="28" spans="2:5">
      <c r="B980" s="19" t="s">
        <v>1498</v>
      </c>
      <c r="C980" s="20" t="s">
        <v>804</v>
      </c>
      <c r="D980" s="21">
        <v>1</v>
      </c>
      <c r="E980" s="22">
        <v>290000</v>
      </c>
    </row>
    <row r="981" s="29" customFormat="1" spans="2:5">
      <c r="B981" s="19" t="s">
        <v>1498</v>
      </c>
      <c r="C981" s="16" t="s">
        <v>183</v>
      </c>
      <c r="D981" s="23">
        <v>1</v>
      </c>
      <c r="E981" s="24">
        <v>290000</v>
      </c>
    </row>
    <row r="982" s="29" customFormat="1" ht="41" spans="2:5">
      <c r="B982" s="19" t="s">
        <v>299</v>
      </c>
      <c r="C982" s="20" t="s">
        <v>182</v>
      </c>
      <c r="D982" s="21">
        <v>231</v>
      </c>
      <c r="E982" s="22">
        <v>42342.342342</v>
      </c>
    </row>
    <row r="983" s="29" customFormat="1" ht="28" spans="2:5">
      <c r="B983" s="19" t="s">
        <v>299</v>
      </c>
      <c r="C983" s="20" t="s">
        <v>804</v>
      </c>
      <c r="D983" s="21">
        <v>127</v>
      </c>
      <c r="E983" s="22">
        <v>0</v>
      </c>
    </row>
    <row r="984" s="29" customFormat="1" ht="28" spans="2:5">
      <c r="B984" s="19" t="s">
        <v>299</v>
      </c>
      <c r="C984" s="16" t="s">
        <v>183</v>
      </c>
      <c r="D984" s="23">
        <v>358</v>
      </c>
      <c r="E984" s="24">
        <v>42342.342342</v>
      </c>
    </row>
    <row r="985" s="29" customFormat="1" ht="41" spans="2:5">
      <c r="B985" s="19" t="s">
        <v>371</v>
      </c>
      <c r="C985" s="20" t="s">
        <v>182</v>
      </c>
      <c r="D985" s="21">
        <v>230</v>
      </c>
      <c r="E985" s="22">
        <v>0</v>
      </c>
    </row>
    <row r="986" s="29" customFormat="1" ht="28" spans="2:5">
      <c r="B986" s="19" t="s">
        <v>371</v>
      </c>
      <c r="C986" s="20" t="s">
        <v>804</v>
      </c>
      <c r="D986" s="21">
        <v>127</v>
      </c>
      <c r="E986" s="22">
        <v>0</v>
      </c>
    </row>
    <row r="987" s="29" customFormat="1" ht="28" spans="2:5">
      <c r="B987" s="19" t="s">
        <v>371</v>
      </c>
      <c r="C987" s="16" t="s">
        <v>183</v>
      </c>
      <c r="D987" s="23">
        <v>357</v>
      </c>
      <c r="E987" s="24">
        <v>0</v>
      </c>
    </row>
    <row r="988" s="29" customFormat="1" ht="41.75" spans="2:5">
      <c r="B988" s="20" t="s">
        <v>373</v>
      </c>
      <c r="C988" s="20" t="s">
        <v>182</v>
      </c>
      <c r="D988" s="21">
        <v>83</v>
      </c>
      <c r="E988" s="22">
        <v>0</v>
      </c>
    </row>
    <row r="989" s="29" customFormat="1" spans="2:5">
      <c r="B989" s="25"/>
      <c r="C989" s="25"/>
      <c r="D989" s="25"/>
      <c r="E989" s="25"/>
    </row>
    <row r="990" s="29" customFormat="1" ht="36" spans="2:5">
      <c r="B990" s="26" t="s">
        <v>189</v>
      </c>
      <c r="C990" s="26" t="s">
        <v>189</v>
      </c>
      <c r="D990" s="26" t="s">
        <v>189</v>
      </c>
      <c r="E990" s="26" t="s">
        <v>189</v>
      </c>
    </row>
    <row r="991" s="29" customFormat="1" spans="2:5">
      <c r="B991" s="26"/>
      <c r="C991" s="26"/>
      <c r="D991" s="26"/>
      <c r="E991" s="26"/>
    </row>
    <row r="992" s="29" customFormat="1" ht="36" spans="2:5">
      <c r="B992" s="26" t="s">
        <v>1433</v>
      </c>
      <c r="C992" s="26" t="s">
        <v>1433</v>
      </c>
      <c r="D992" s="26" t="s">
        <v>1433</v>
      </c>
      <c r="E992" s="26" t="s">
        <v>1433</v>
      </c>
    </row>
    <row r="993" s="29" customFormat="1" spans="2:5">
      <c r="B993" s="26" t="s">
        <v>780</v>
      </c>
      <c r="C993" s="26" t="s">
        <v>780</v>
      </c>
      <c r="D993" s="26" t="s">
        <v>780</v>
      </c>
      <c r="E993" s="26" t="s">
        <v>780</v>
      </c>
    </row>
    <row r="994" s="29" customFormat="1" ht="124" spans="2:5">
      <c r="B994" s="11" t="s">
        <v>173</v>
      </c>
      <c r="C994" s="11" t="s">
        <v>173</v>
      </c>
      <c r="D994" s="11" t="s">
        <v>173</v>
      </c>
      <c r="E994" s="11" t="s">
        <v>173</v>
      </c>
    </row>
    <row r="995" s="29" customFormat="1" ht="156" spans="2:5">
      <c r="B995" s="12" t="s">
        <v>174</v>
      </c>
      <c r="C995" s="12" t="s">
        <v>174</v>
      </c>
      <c r="D995" s="12" t="s">
        <v>174</v>
      </c>
      <c r="E995" s="12" t="s">
        <v>174</v>
      </c>
    </row>
    <row r="996" s="29" customFormat="1" ht="68" spans="2:5">
      <c r="B996" s="13" t="s">
        <v>1425</v>
      </c>
      <c r="C996" s="13" t="s">
        <v>1425</v>
      </c>
      <c r="D996" s="13" t="s">
        <v>1425</v>
      </c>
      <c r="E996" s="13" t="s">
        <v>1425</v>
      </c>
    </row>
    <row r="997" s="29" customFormat="1" ht="22" spans="2:5">
      <c r="B997" s="14" t="s">
        <v>176</v>
      </c>
      <c r="C997" s="14" t="s">
        <v>176</v>
      </c>
      <c r="D997" s="14" t="s">
        <v>176</v>
      </c>
      <c r="E997" s="14" t="s">
        <v>176</v>
      </c>
    </row>
    <row r="998" s="29" customFormat="1" spans="2:5">
      <c r="B998" s="15" t="s">
        <v>177</v>
      </c>
      <c r="C998" s="16" t="s">
        <v>178</v>
      </c>
      <c r="D998" s="17" t="s">
        <v>179</v>
      </c>
      <c r="E998" s="18" t="s">
        <v>180</v>
      </c>
    </row>
    <row r="999" s="29" customFormat="1" ht="28" spans="2:5">
      <c r="B999" s="19" t="s">
        <v>373</v>
      </c>
      <c r="C999" s="20" t="s">
        <v>804</v>
      </c>
      <c r="D999" s="21">
        <v>65</v>
      </c>
      <c r="E999" s="22">
        <v>0</v>
      </c>
    </row>
    <row r="1000" s="29" customFormat="1" ht="28" spans="2:5">
      <c r="B1000" s="19" t="s">
        <v>373</v>
      </c>
      <c r="C1000" s="16" t="s">
        <v>183</v>
      </c>
      <c r="D1000" s="23">
        <v>148</v>
      </c>
      <c r="E1000" s="24">
        <v>0</v>
      </c>
    </row>
    <row r="1001" s="29" customFormat="1" ht="41" spans="2:5">
      <c r="B1001" s="19" t="s">
        <v>374</v>
      </c>
      <c r="C1001" s="20" t="s">
        <v>182</v>
      </c>
      <c r="D1001" s="21">
        <v>12</v>
      </c>
      <c r="E1001" s="22">
        <v>0</v>
      </c>
    </row>
    <row r="1002" s="29" customFormat="1" ht="28" spans="2:5">
      <c r="B1002" s="19" t="s">
        <v>374</v>
      </c>
      <c r="C1002" s="20" t="s">
        <v>804</v>
      </c>
      <c r="D1002" s="21">
        <v>9</v>
      </c>
      <c r="E1002" s="22">
        <v>0</v>
      </c>
    </row>
    <row r="1003" s="29" customFormat="1" ht="28" spans="2:5">
      <c r="B1003" s="19" t="s">
        <v>374</v>
      </c>
      <c r="C1003" s="16" t="s">
        <v>183</v>
      </c>
      <c r="D1003" s="23">
        <v>21</v>
      </c>
      <c r="E1003" s="24">
        <v>0</v>
      </c>
    </row>
    <row r="1004" s="29" customFormat="1" ht="41" spans="2:5">
      <c r="B1004" s="19" t="s">
        <v>300</v>
      </c>
      <c r="C1004" s="20" t="s">
        <v>182</v>
      </c>
      <c r="D1004" s="21">
        <v>13</v>
      </c>
      <c r="E1004" s="22">
        <v>0</v>
      </c>
    </row>
    <row r="1005" s="29" customFormat="1" ht="28" spans="2:5">
      <c r="B1005" s="19" t="s">
        <v>300</v>
      </c>
      <c r="C1005" s="20" t="s">
        <v>804</v>
      </c>
      <c r="D1005" s="21">
        <v>9</v>
      </c>
      <c r="E1005" s="22">
        <v>0</v>
      </c>
    </row>
    <row r="1006" s="29" customFormat="1" spans="2:5">
      <c r="B1006" s="19" t="s">
        <v>300</v>
      </c>
      <c r="C1006" s="16" t="s">
        <v>183</v>
      </c>
      <c r="D1006" s="23">
        <v>22</v>
      </c>
      <c r="E1006" s="24">
        <v>0</v>
      </c>
    </row>
    <row r="1007" s="29" customFormat="1" ht="41" spans="2:5">
      <c r="B1007" s="19" t="s">
        <v>375</v>
      </c>
      <c r="C1007" s="20" t="s">
        <v>182</v>
      </c>
      <c r="D1007" s="21">
        <v>76</v>
      </c>
      <c r="E1007" s="22">
        <v>0</v>
      </c>
    </row>
    <row r="1008" s="29" customFormat="1" ht="28" spans="2:5">
      <c r="B1008" s="19" t="s">
        <v>375</v>
      </c>
      <c r="C1008" s="20" t="s">
        <v>804</v>
      </c>
      <c r="D1008" s="21">
        <v>64</v>
      </c>
      <c r="E1008" s="22">
        <v>0</v>
      </c>
    </row>
    <row r="1009" s="29" customFormat="1" spans="2:5">
      <c r="B1009" s="19" t="s">
        <v>375</v>
      </c>
      <c r="C1009" s="16" t="s">
        <v>183</v>
      </c>
      <c r="D1009" s="23">
        <v>140</v>
      </c>
      <c r="E1009" s="24">
        <v>0</v>
      </c>
    </row>
    <row r="1010" s="29" customFormat="1" ht="41" spans="2:5">
      <c r="B1010" s="19" t="s">
        <v>302</v>
      </c>
      <c r="C1010" s="20" t="s">
        <v>182</v>
      </c>
      <c r="D1010" s="21">
        <v>106</v>
      </c>
      <c r="E1010" s="22">
        <v>64864.864864</v>
      </c>
    </row>
    <row r="1011" s="29" customFormat="1" ht="28" spans="2:5">
      <c r="B1011" s="19" t="s">
        <v>302</v>
      </c>
      <c r="C1011" s="20" t="s">
        <v>804</v>
      </c>
      <c r="D1011" s="21">
        <v>58</v>
      </c>
      <c r="E1011" s="22">
        <v>97296.864864</v>
      </c>
    </row>
    <row r="1012" s="29" customFormat="1" ht="17.55" spans="2:5">
      <c r="B1012" s="19" t="s">
        <v>302</v>
      </c>
      <c r="C1012" s="16" t="s">
        <v>183</v>
      </c>
      <c r="D1012" s="23">
        <v>164</v>
      </c>
      <c r="E1012" s="24">
        <v>162161.729728</v>
      </c>
    </row>
    <row r="1013" s="29" customFormat="1" spans="2:5">
      <c r="B1013" s="25"/>
      <c r="C1013" s="25"/>
      <c r="D1013" s="25"/>
      <c r="E1013" s="25"/>
    </row>
    <row r="1014" s="29" customFormat="1" ht="36" spans="2:5">
      <c r="B1014" s="26" t="s">
        <v>189</v>
      </c>
      <c r="C1014" s="26" t="s">
        <v>189</v>
      </c>
      <c r="D1014" s="26" t="s">
        <v>189</v>
      </c>
      <c r="E1014" s="26" t="s">
        <v>189</v>
      </c>
    </row>
    <row r="1015" s="29" customFormat="1" spans="2:5">
      <c r="B1015" s="26"/>
      <c r="C1015" s="26"/>
      <c r="D1015" s="26"/>
      <c r="E1015" s="26"/>
    </row>
    <row r="1016" s="29" customFormat="1" ht="36" spans="2:5">
      <c r="B1016" s="26" t="s">
        <v>1433</v>
      </c>
      <c r="C1016" s="26" t="s">
        <v>1433</v>
      </c>
      <c r="D1016" s="26" t="s">
        <v>1433</v>
      </c>
      <c r="E1016" s="26" t="s">
        <v>1433</v>
      </c>
    </row>
    <row r="1017" s="29" customFormat="1" spans="2:5">
      <c r="B1017" s="26" t="s">
        <v>787</v>
      </c>
      <c r="C1017" s="26" t="s">
        <v>787</v>
      </c>
      <c r="D1017" s="26" t="s">
        <v>787</v>
      </c>
      <c r="E1017" s="26" t="s">
        <v>787</v>
      </c>
    </row>
    <row r="1018" s="29" customFormat="1" ht="124" spans="2:5">
      <c r="B1018" s="11" t="s">
        <v>173</v>
      </c>
      <c r="C1018" s="11" t="s">
        <v>173</v>
      </c>
      <c r="D1018" s="11" t="s">
        <v>173</v>
      </c>
      <c r="E1018" s="11" t="s">
        <v>173</v>
      </c>
    </row>
    <row r="1019" s="29" customFormat="1" ht="156" spans="2:5">
      <c r="B1019" s="12" t="s">
        <v>174</v>
      </c>
      <c r="C1019" s="12" t="s">
        <v>174</v>
      </c>
      <c r="D1019" s="12" t="s">
        <v>174</v>
      </c>
      <c r="E1019" s="12" t="s">
        <v>174</v>
      </c>
    </row>
    <row r="1020" s="29" customFormat="1" ht="68" spans="2:5">
      <c r="B1020" s="13" t="s">
        <v>1425</v>
      </c>
      <c r="C1020" s="13" t="s">
        <v>1425</v>
      </c>
      <c r="D1020" s="13" t="s">
        <v>1425</v>
      </c>
      <c r="E1020" s="13" t="s">
        <v>1425</v>
      </c>
    </row>
    <row r="1021" s="29" customFormat="1" ht="22" spans="2:5">
      <c r="B1021" s="14" t="s">
        <v>176</v>
      </c>
      <c r="C1021" s="14" t="s">
        <v>176</v>
      </c>
      <c r="D1021" s="14" t="s">
        <v>176</v>
      </c>
      <c r="E1021" s="14" t="s">
        <v>176</v>
      </c>
    </row>
    <row r="1022" s="29" customFormat="1" spans="2:5">
      <c r="B1022" s="15" t="s">
        <v>177</v>
      </c>
      <c r="C1022" s="16" t="s">
        <v>178</v>
      </c>
      <c r="D1022" s="17" t="s">
        <v>179</v>
      </c>
      <c r="E1022" s="18" t="s">
        <v>180</v>
      </c>
    </row>
    <row r="1023" s="29" customFormat="1" ht="41" spans="2:5">
      <c r="B1023" s="19" t="s">
        <v>1499</v>
      </c>
      <c r="C1023" s="20" t="s">
        <v>182</v>
      </c>
      <c r="D1023" s="21">
        <v>1</v>
      </c>
      <c r="E1023" s="22">
        <v>0</v>
      </c>
    </row>
    <row r="1024" s="29" customFormat="1" ht="28" spans="2:5">
      <c r="B1024" s="19" t="s">
        <v>1499</v>
      </c>
      <c r="C1024" s="16" t="s">
        <v>183</v>
      </c>
      <c r="D1024" s="23">
        <v>1</v>
      </c>
      <c r="E1024" s="24">
        <v>0</v>
      </c>
    </row>
    <row r="1025" s="29" customFormat="1" ht="41" spans="2:5">
      <c r="B1025" s="19" t="s">
        <v>1500</v>
      </c>
      <c r="C1025" s="20" t="s">
        <v>1191</v>
      </c>
      <c r="D1025" s="21">
        <v>5</v>
      </c>
      <c r="E1025" s="22">
        <v>0</v>
      </c>
    </row>
    <row r="1026" s="29" customFormat="1" ht="28" spans="2:5">
      <c r="B1026" s="19" t="s">
        <v>1500</v>
      </c>
      <c r="C1026" s="16" t="s">
        <v>183</v>
      </c>
      <c r="D1026" s="23">
        <v>5</v>
      </c>
      <c r="E1026" s="24">
        <v>0</v>
      </c>
    </row>
    <row r="1027" s="29" customFormat="1" ht="28" spans="2:5">
      <c r="B1027" s="19" t="s">
        <v>1259</v>
      </c>
      <c r="C1027" s="20" t="s">
        <v>804</v>
      </c>
      <c r="D1027" s="21">
        <v>1</v>
      </c>
      <c r="E1027" s="22">
        <v>42342.342342</v>
      </c>
    </row>
    <row r="1028" s="29" customFormat="1" ht="28" spans="2:5">
      <c r="B1028" s="19" t="s">
        <v>1259</v>
      </c>
      <c r="C1028" s="16" t="s">
        <v>183</v>
      </c>
      <c r="D1028" s="23">
        <v>1</v>
      </c>
      <c r="E1028" s="24">
        <v>42342.342342</v>
      </c>
    </row>
    <row r="1029" s="29" customFormat="1" ht="41" spans="2:5">
      <c r="B1029" s="19" t="s">
        <v>1501</v>
      </c>
      <c r="C1029" s="20" t="s">
        <v>182</v>
      </c>
      <c r="D1029" s="21">
        <v>3</v>
      </c>
      <c r="E1029" s="22">
        <v>121622.081082</v>
      </c>
    </row>
    <row r="1030" s="29" customFormat="1" ht="28" spans="2:5">
      <c r="B1030" s="19" t="s">
        <v>1501</v>
      </c>
      <c r="C1030" s="16" t="s">
        <v>183</v>
      </c>
      <c r="D1030" s="23">
        <v>3</v>
      </c>
      <c r="E1030" s="24">
        <v>121622.081082</v>
      </c>
    </row>
    <row r="1031" s="29" customFormat="1" ht="41" spans="2:5">
      <c r="B1031" s="19" t="s">
        <v>1502</v>
      </c>
      <c r="C1031" s="20" t="s">
        <v>182</v>
      </c>
      <c r="D1031" s="21">
        <v>1</v>
      </c>
      <c r="E1031" s="22">
        <v>58558.558559</v>
      </c>
    </row>
    <row r="1032" s="29" customFormat="1" ht="28" spans="2:5">
      <c r="B1032" s="19" t="s">
        <v>1502</v>
      </c>
      <c r="C1032" s="20" t="s">
        <v>804</v>
      </c>
      <c r="D1032" s="21">
        <v>1</v>
      </c>
      <c r="E1032" s="22">
        <v>58558.558559</v>
      </c>
    </row>
    <row r="1033" s="29" customFormat="1" ht="28" spans="2:5">
      <c r="B1033" s="19" t="s">
        <v>1502</v>
      </c>
      <c r="C1033" s="16" t="s">
        <v>183</v>
      </c>
      <c r="D1033" s="23">
        <v>2</v>
      </c>
      <c r="E1033" s="24">
        <v>117117.117118</v>
      </c>
    </row>
    <row r="1034" s="29" customFormat="1" ht="41" spans="2:5">
      <c r="B1034" s="19" t="s">
        <v>1260</v>
      </c>
      <c r="C1034" s="20" t="s">
        <v>182</v>
      </c>
      <c r="D1034" s="21">
        <v>1</v>
      </c>
      <c r="E1034" s="22">
        <v>31531.531532</v>
      </c>
    </row>
    <row r="1035" s="29" customFormat="1" ht="41.75" spans="2:5">
      <c r="B1035" s="19" t="s">
        <v>1260</v>
      </c>
      <c r="C1035" s="16" t="s">
        <v>183</v>
      </c>
      <c r="D1035" s="23">
        <v>1</v>
      </c>
      <c r="E1035" s="24">
        <v>31531.531532</v>
      </c>
    </row>
    <row r="1036" s="29" customFormat="1" spans="2:5">
      <c r="B1036" s="25"/>
      <c r="C1036" s="25"/>
      <c r="D1036" s="25"/>
      <c r="E1036" s="25"/>
    </row>
    <row r="1037" s="29" customFormat="1" ht="36" spans="2:5">
      <c r="B1037" s="26" t="s">
        <v>189</v>
      </c>
      <c r="C1037" s="26" t="s">
        <v>189</v>
      </c>
      <c r="D1037" s="26" t="s">
        <v>189</v>
      </c>
      <c r="E1037" s="26" t="s">
        <v>189</v>
      </c>
    </row>
    <row r="1038" s="29" customFormat="1" spans="2:5">
      <c r="B1038" s="26"/>
      <c r="C1038" s="26"/>
      <c r="D1038" s="26"/>
      <c r="E1038" s="26"/>
    </row>
    <row r="1039" s="29" customFormat="1" ht="36" spans="2:5">
      <c r="B1039" s="26" t="s">
        <v>1433</v>
      </c>
      <c r="C1039" s="26" t="s">
        <v>1433</v>
      </c>
      <c r="D1039" s="26" t="s">
        <v>1433</v>
      </c>
      <c r="E1039" s="26" t="s">
        <v>1433</v>
      </c>
    </row>
    <row r="1040" s="29" customFormat="1" spans="2:5">
      <c r="B1040" s="26" t="s">
        <v>794</v>
      </c>
      <c r="C1040" s="26" t="s">
        <v>794</v>
      </c>
      <c r="D1040" s="26" t="s">
        <v>794</v>
      </c>
      <c r="E1040" s="26" t="s">
        <v>794</v>
      </c>
    </row>
    <row r="1041" s="29" customFormat="1" ht="124" spans="2:5">
      <c r="B1041" s="11" t="s">
        <v>173</v>
      </c>
      <c r="C1041" s="11" t="s">
        <v>173</v>
      </c>
      <c r="D1041" s="11" t="s">
        <v>173</v>
      </c>
      <c r="E1041" s="11" t="s">
        <v>173</v>
      </c>
    </row>
    <row r="1042" s="29" customFormat="1" ht="156" spans="2:5">
      <c r="B1042" s="12" t="s">
        <v>174</v>
      </c>
      <c r="C1042" s="12" t="s">
        <v>174</v>
      </c>
      <c r="D1042" s="12" t="s">
        <v>174</v>
      </c>
      <c r="E1042" s="12" t="s">
        <v>174</v>
      </c>
    </row>
    <row r="1043" s="29" customFormat="1" ht="68" spans="2:5">
      <c r="B1043" s="13" t="s">
        <v>1425</v>
      </c>
      <c r="C1043" s="13" t="s">
        <v>1425</v>
      </c>
      <c r="D1043" s="13" t="s">
        <v>1425</v>
      </c>
      <c r="E1043" s="13" t="s">
        <v>1425</v>
      </c>
    </row>
    <row r="1044" s="29" customFormat="1" ht="22" spans="2:5">
      <c r="B1044" s="14" t="s">
        <v>176</v>
      </c>
      <c r="C1044" s="14" t="s">
        <v>176</v>
      </c>
      <c r="D1044" s="14" t="s">
        <v>176</v>
      </c>
      <c r="E1044" s="14" t="s">
        <v>176</v>
      </c>
    </row>
    <row r="1045" s="29" customFormat="1" spans="2:5">
      <c r="B1045" s="15" t="s">
        <v>177</v>
      </c>
      <c r="C1045" s="16" t="s">
        <v>178</v>
      </c>
      <c r="D1045" s="17" t="s">
        <v>179</v>
      </c>
      <c r="E1045" s="18" t="s">
        <v>180</v>
      </c>
    </row>
    <row r="1046" s="29" customFormat="1" ht="41" spans="2:5">
      <c r="B1046" s="19" t="s">
        <v>1261</v>
      </c>
      <c r="C1046" s="20" t="s">
        <v>182</v>
      </c>
      <c r="D1046" s="21">
        <v>1</v>
      </c>
      <c r="E1046" s="22">
        <v>43243.585586</v>
      </c>
    </row>
    <row r="1047" s="29" customFormat="1" ht="28" spans="2:5">
      <c r="B1047" s="19" t="s">
        <v>1261</v>
      </c>
      <c r="C1047" s="16" t="s">
        <v>183</v>
      </c>
      <c r="D1047" s="23">
        <v>1</v>
      </c>
      <c r="E1047" s="24">
        <v>43243.585586</v>
      </c>
    </row>
    <row r="1048" s="29" customFormat="1" ht="41" spans="2:5">
      <c r="B1048" s="19" t="s">
        <v>848</v>
      </c>
      <c r="C1048" s="20" t="s">
        <v>182</v>
      </c>
      <c r="D1048" s="21">
        <v>1</v>
      </c>
      <c r="E1048" s="22">
        <v>53153</v>
      </c>
    </row>
    <row r="1049" s="29" customFormat="1" ht="28" spans="2:5">
      <c r="B1049" s="19" t="s">
        <v>848</v>
      </c>
      <c r="C1049" s="16" t="s">
        <v>183</v>
      </c>
      <c r="D1049" s="23">
        <v>1</v>
      </c>
      <c r="E1049" s="24">
        <v>53153</v>
      </c>
    </row>
    <row r="1050" s="29" customFormat="1" ht="41" spans="2:5">
      <c r="B1050" s="19" t="s">
        <v>850</v>
      </c>
      <c r="C1050" s="20" t="s">
        <v>182</v>
      </c>
      <c r="D1050" s="21">
        <v>2</v>
      </c>
      <c r="E1050" s="22">
        <v>28828.828828</v>
      </c>
    </row>
    <row r="1051" s="29" customFormat="1" ht="28" spans="2:5">
      <c r="B1051" s="19" t="s">
        <v>850</v>
      </c>
      <c r="C1051" s="20" t="s">
        <v>804</v>
      </c>
      <c r="D1051" s="21">
        <v>1</v>
      </c>
      <c r="E1051" s="22">
        <v>0</v>
      </c>
    </row>
    <row r="1052" s="29" customFormat="1" ht="28" spans="2:5">
      <c r="B1052" s="19" t="s">
        <v>850</v>
      </c>
      <c r="C1052" s="16" t="s">
        <v>183</v>
      </c>
      <c r="D1052" s="23">
        <v>3</v>
      </c>
      <c r="E1052" s="24">
        <v>28828.828828</v>
      </c>
    </row>
    <row r="1053" s="29" customFormat="1" ht="41" spans="2:5">
      <c r="B1053" s="19" t="s">
        <v>851</v>
      </c>
      <c r="C1053" s="20" t="s">
        <v>182</v>
      </c>
      <c r="D1053" s="21">
        <v>2</v>
      </c>
      <c r="E1053" s="22">
        <v>127927.963964</v>
      </c>
    </row>
    <row r="1054" s="29" customFormat="1" ht="28" spans="2:5">
      <c r="B1054" s="19" t="s">
        <v>851</v>
      </c>
      <c r="C1054" s="16" t="s">
        <v>183</v>
      </c>
      <c r="D1054" s="23">
        <v>2</v>
      </c>
      <c r="E1054" s="24">
        <v>127927.963964</v>
      </c>
    </row>
    <row r="1055" s="29" customFormat="1" ht="28" spans="2:5">
      <c r="B1055" s="19" t="s">
        <v>852</v>
      </c>
      <c r="C1055" s="20" t="s">
        <v>804</v>
      </c>
      <c r="D1055" s="21">
        <v>3</v>
      </c>
      <c r="E1055" s="22">
        <v>267567.378378</v>
      </c>
    </row>
    <row r="1056" s="29" customFormat="1" ht="28" spans="2:5">
      <c r="B1056" s="19" t="s">
        <v>852</v>
      </c>
      <c r="C1056" s="16" t="s">
        <v>183</v>
      </c>
      <c r="D1056" s="23">
        <v>3</v>
      </c>
      <c r="E1056" s="24">
        <v>267567.378378</v>
      </c>
    </row>
    <row r="1057" s="29" customFormat="1" ht="41" spans="2:5">
      <c r="B1057" s="19" t="s">
        <v>1263</v>
      </c>
      <c r="C1057" s="20" t="s">
        <v>182</v>
      </c>
      <c r="D1057" s="21">
        <v>2</v>
      </c>
      <c r="E1057" s="22">
        <v>100901</v>
      </c>
    </row>
    <row r="1058" s="29" customFormat="1" ht="28.75" spans="2:5">
      <c r="B1058" s="19" t="s">
        <v>1263</v>
      </c>
      <c r="C1058" s="16" t="s">
        <v>183</v>
      </c>
      <c r="D1058" s="23">
        <v>2</v>
      </c>
      <c r="E1058" s="24">
        <v>100901</v>
      </c>
    </row>
    <row r="1059" s="29" customFormat="1" spans="2:5">
      <c r="B1059" s="25"/>
      <c r="C1059" s="25"/>
      <c r="D1059" s="25"/>
      <c r="E1059" s="25"/>
    </row>
    <row r="1060" s="29" customFormat="1" ht="36" spans="2:5">
      <c r="B1060" s="26" t="s">
        <v>189</v>
      </c>
      <c r="C1060" s="26" t="s">
        <v>189</v>
      </c>
      <c r="D1060" s="26" t="s">
        <v>189</v>
      </c>
      <c r="E1060" s="26" t="s">
        <v>189</v>
      </c>
    </row>
    <row r="1061" s="29" customFormat="1" spans="2:5">
      <c r="B1061" s="26"/>
      <c r="C1061" s="26"/>
      <c r="D1061" s="26"/>
      <c r="E1061" s="26"/>
    </row>
    <row r="1062" s="29" customFormat="1" ht="36" spans="2:5">
      <c r="B1062" s="26" t="s">
        <v>1433</v>
      </c>
      <c r="C1062" s="26" t="s">
        <v>1433</v>
      </c>
      <c r="D1062" s="26" t="s">
        <v>1433</v>
      </c>
      <c r="E1062" s="26" t="s">
        <v>1433</v>
      </c>
    </row>
    <row r="1063" s="29" customFormat="1" spans="2:5">
      <c r="B1063" s="26" t="s">
        <v>797</v>
      </c>
      <c r="C1063" s="26" t="s">
        <v>797</v>
      </c>
      <c r="D1063" s="26" t="s">
        <v>797</v>
      </c>
      <c r="E1063" s="26" t="s">
        <v>797</v>
      </c>
    </row>
    <row r="1064" s="29" customFormat="1" ht="124" spans="2:5">
      <c r="B1064" s="11" t="s">
        <v>173</v>
      </c>
      <c r="C1064" s="11" t="s">
        <v>173</v>
      </c>
      <c r="D1064" s="11" t="s">
        <v>173</v>
      </c>
      <c r="E1064" s="11" t="s">
        <v>173</v>
      </c>
    </row>
    <row r="1065" s="29" customFormat="1" ht="156" spans="2:5">
      <c r="B1065" s="12" t="s">
        <v>174</v>
      </c>
      <c r="C1065" s="12" t="s">
        <v>174</v>
      </c>
      <c r="D1065" s="12" t="s">
        <v>174</v>
      </c>
      <c r="E1065" s="12" t="s">
        <v>174</v>
      </c>
    </row>
    <row r="1066" s="29" customFormat="1" ht="68" spans="2:5">
      <c r="B1066" s="13" t="s">
        <v>1425</v>
      </c>
      <c r="C1066" s="13" t="s">
        <v>1425</v>
      </c>
      <c r="D1066" s="13" t="s">
        <v>1425</v>
      </c>
      <c r="E1066" s="13" t="s">
        <v>1425</v>
      </c>
    </row>
    <row r="1067" s="29" customFormat="1" ht="22" spans="2:5">
      <c r="B1067" s="14" t="s">
        <v>176</v>
      </c>
      <c r="C1067" s="14" t="s">
        <v>176</v>
      </c>
      <c r="D1067" s="14" t="s">
        <v>176</v>
      </c>
      <c r="E1067" s="14" t="s">
        <v>176</v>
      </c>
    </row>
    <row r="1068" s="29" customFormat="1" spans="2:5">
      <c r="B1068" s="15" t="s">
        <v>177</v>
      </c>
      <c r="C1068" s="16" t="s">
        <v>178</v>
      </c>
      <c r="D1068" s="17" t="s">
        <v>179</v>
      </c>
      <c r="E1068" s="18" t="s">
        <v>180</v>
      </c>
    </row>
    <row r="1069" s="29" customFormat="1" ht="41" spans="2:5">
      <c r="B1069" s="19" t="s">
        <v>1503</v>
      </c>
      <c r="C1069" s="20" t="s">
        <v>182</v>
      </c>
      <c r="D1069" s="21">
        <v>1</v>
      </c>
      <c r="E1069" s="22">
        <v>47747.747748</v>
      </c>
    </row>
    <row r="1070" s="29" customFormat="1" ht="28" spans="2:5">
      <c r="B1070" s="19" t="s">
        <v>1503</v>
      </c>
      <c r="C1070" s="16" t="s">
        <v>183</v>
      </c>
      <c r="D1070" s="23">
        <v>1</v>
      </c>
      <c r="E1070" s="24">
        <v>47747.747748</v>
      </c>
    </row>
    <row r="1071" s="29" customFormat="1" ht="28" spans="2:5">
      <c r="B1071" s="19" t="s">
        <v>853</v>
      </c>
      <c r="C1071" s="20" t="s">
        <v>804</v>
      </c>
      <c r="D1071" s="21">
        <v>1</v>
      </c>
      <c r="E1071" s="22">
        <v>71171.171171</v>
      </c>
    </row>
    <row r="1072" s="29" customFormat="1" ht="28" spans="2:5">
      <c r="B1072" s="19" t="s">
        <v>853</v>
      </c>
      <c r="C1072" s="16" t="s">
        <v>183</v>
      </c>
      <c r="D1072" s="23">
        <v>1</v>
      </c>
      <c r="E1072" s="24">
        <v>71171.171171</v>
      </c>
    </row>
    <row r="1073" s="29" customFormat="1" ht="41" spans="2:5">
      <c r="B1073" s="19" t="s">
        <v>854</v>
      </c>
      <c r="C1073" s="20" t="s">
        <v>182</v>
      </c>
      <c r="D1073" s="21">
        <v>2</v>
      </c>
      <c r="E1073" s="22">
        <v>102702.315315</v>
      </c>
    </row>
    <row r="1074" s="29" customFormat="1" ht="28" spans="2:5">
      <c r="B1074" s="19" t="s">
        <v>854</v>
      </c>
      <c r="C1074" s="16" t="s">
        <v>183</v>
      </c>
      <c r="D1074" s="23">
        <v>2</v>
      </c>
      <c r="E1074" s="24">
        <v>102702.315315</v>
      </c>
    </row>
    <row r="1075" s="29" customFormat="1" ht="28" spans="2:5">
      <c r="B1075" s="19" t="s">
        <v>1504</v>
      </c>
      <c r="C1075" s="20" t="s">
        <v>804</v>
      </c>
      <c r="D1075" s="21">
        <v>2</v>
      </c>
      <c r="E1075" s="22">
        <v>1801801.657658</v>
      </c>
    </row>
    <row r="1076" s="29" customFormat="1" ht="28" spans="2:5">
      <c r="B1076" s="19" t="s">
        <v>1504</v>
      </c>
      <c r="C1076" s="16" t="s">
        <v>183</v>
      </c>
      <c r="D1076" s="23">
        <v>2</v>
      </c>
      <c r="E1076" s="24">
        <v>1801801.657658</v>
      </c>
    </row>
    <row r="1077" s="29" customFormat="1" ht="41" spans="2:5">
      <c r="B1077" s="19" t="s">
        <v>305</v>
      </c>
      <c r="C1077" s="20" t="s">
        <v>182</v>
      </c>
      <c r="D1077" s="21">
        <v>6</v>
      </c>
      <c r="E1077" s="22">
        <v>4021621.540541</v>
      </c>
    </row>
    <row r="1078" s="29" customFormat="1" ht="28" spans="2:5">
      <c r="B1078" s="19" t="s">
        <v>305</v>
      </c>
      <c r="C1078" s="20" t="s">
        <v>804</v>
      </c>
      <c r="D1078" s="21">
        <v>2</v>
      </c>
      <c r="E1078" s="22">
        <v>1340540.936937</v>
      </c>
    </row>
    <row r="1079" s="29" customFormat="1" ht="28" spans="2:5">
      <c r="B1079" s="19" t="s">
        <v>305</v>
      </c>
      <c r="C1079" s="16" t="s">
        <v>183</v>
      </c>
      <c r="D1079" s="23">
        <v>8</v>
      </c>
      <c r="E1079" s="24">
        <v>5362162.477478</v>
      </c>
    </row>
    <row r="1080" s="29" customFormat="1" ht="41" spans="2:5">
      <c r="B1080" s="19" t="s">
        <v>1505</v>
      </c>
      <c r="C1080" s="20" t="s">
        <v>182</v>
      </c>
      <c r="D1080" s="21">
        <v>4</v>
      </c>
      <c r="E1080" s="22">
        <v>1855856</v>
      </c>
    </row>
    <row r="1081" s="29" customFormat="1" ht="28" spans="2:5">
      <c r="B1081" s="19" t="s">
        <v>1505</v>
      </c>
      <c r="C1081" s="16" t="s">
        <v>183</v>
      </c>
      <c r="D1081" s="23">
        <v>4</v>
      </c>
      <c r="E1081" s="24">
        <v>1855856</v>
      </c>
    </row>
    <row r="1082" s="29" customFormat="1" ht="28" spans="2:5">
      <c r="B1082" s="19" t="s">
        <v>1506</v>
      </c>
      <c r="C1082" s="20" t="s">
        <v>804</v>
      </c>
      <c r="D1082" s="21">
        <v>4</v>
      </c>
      <c r="E1082" s="22">
        <v>2342342.342342</v>
      </c>
    </row>
    <row r="1083" s="29" customFormat="1" ht="28.75" spans="2:5">
      <c r="B1083" s="19" t="s">
        <v>1506</v>
      </c>
      <c r="C1083" s="16" t="s">
        <v>183</v>
      </c>
      <c r="D1083" s="23">
        <v>4</v>
      </c>
      <c r="E1083" s="24">
        <v>2342342.342342</v>
      </c>
    </row>
    <row r="1084" s="29" customFormat="1" spans="2:5">
      <c r="B1084" s="25"/>
      <c r="C1084" s="25"/>
      <c r="D1084" s="25"/>
      <c r="E1084" s="25"/>
    </row>
    <row r="1085" s="29" customFormat="1" ht="36" spans="2:5">
      <c r="B1085" s="26" t="s">
        <v>189</v>
      </c>
      <c r="C1085" s="26" t="s">
        <v>189</v>
      </c>
      <c r="D1085" s="26" t="s">
        <v>189</v>
      </c>
      <c r="E1085" s="26" t="s">
        <v>189</v>
      </c>
    </row>
    <row r="1086" s="29" customFormat="1" spans="2:5">
      <c r="B1086" s="26"/>
      <c r="C1086" s="26"/>
      <c r="D1086" s="26"/>
      <c r="E1086" s="26"/>
    </row>
    <row r="1087" s="29" customFormat="1" ht="36" spans="2:5">
      <c r="B1087" s="26" t="s">
        <v>1433</v>
      </c>
      <c r="C1087" s="26" t="s">
        <v>1433</v>
      </c>
      <c r="D1087" s="26" t="s">
        <v>1433</v>
      </c>
      <c r="E1087" s="26" t="s">
        <v>1433</v>
      </c>
    </row>
    <row r="1088" s="29" customFormat="1" spans="2:5">
      <c r="B1088" s="26" t="s">
        <v>928</v>
      </c>
      <c r="C1088" s="26" t="s">
        <v>928</v>
      </c>
      <c r="D1088" s="26" t="s">
        <v>928</v>
      </c>
      <c r="E1088" s="26" t="s">
        <v>928</v>
      </c>
    </row>
    <row r="1089" s="29" customFormat="1" ht="124" spans="2:5">
      <c r="B1089" s="11" t="s">
        <v>173</v>
      </c>
      <c r="C1089" s="11" t="s">
        <v>173</v>
      </c>
      <c r="D1089" s="11" t="s">
        <v>173</v>
      </c>
      <c r="E1089" s="11" t="s">
        <v>173</v>
      </c>
    </row>
    <row r="1090" s="29" customFormat="1" ht="156" spans="2:5">
      <c r="B1090" s="12" t="s">
        <v>174</v>
      </c>
      <c r="C1090" s="12" t="s">
        <v>174</v>
      </c>
      <c r="D1090" s="12" t="s">
        <v>174</v>
      </c>
      <c r="E1090" s="12" t="s">
        <v>174</v>
      </c>
    </row>
    <row r="1091" s="29" customFormat="1" ht="68" spans="2:5">
      <c r="B1091" s="13" t="s">
        <v>1425</v>
      </c>
      <c r="C1091" s="13" t="s">
        <v>1425</v>
      </c>
      <c r="D1091" s="13" t="s">
        <v>1425</v>
      </c>
      <c r="E1091" s="13" t="s">
        <v>1425</v>
      </c>
    </row>
    <row r="1092" s="29" customFormat="1" ht="22" spans="2:5">
      <c r="B1092" s="14" t="s">
        <v>176</v>
      </c>
      <c r="C1092" s="14" t="s">
        <v>176</v>
      </c>
      <c r="D1092" s="14" t="s">
        <v>176</v>
      </c>
      <c r="E1092" s="14" t="s">
        <v>176</v>
      </c>
    </row>
    <row r="1093" s="29" customFormat="1" spans="2:5">
      <c r="B1093" s="15" t="s">
        <v>177</v>
      </c>
      <c r="C1093" s="16" t="s">
        <v>178</v>
      </c>
      <c r="D1093" s="17" t="s">
        <v>179</v>
      </c>
      <c r="E1093" s="18" t="s">
        <v>180</v>
      </c>
    </row>
    <row r="1094" s="29" customFormat="1" ht="41" spans="2:5">
      <c r="B1094" s="19" t="s">
        <v>1507</v>
      </c>
      <c r="C1094" s="20" t="s">
        <v>182</v>
      </c>
      <c r="D1094" s="21">
        <v>4</v>
      </c>
      <c r="E1094" s="22">
        <v>1953153</v>
      </c>
    </row>
    <row r="1095" s="29" customFormat="1" ht="28" spans="2:5">
      <c r="B1095" s="19" t="s">
        <v>1507</v>
      </c>
      <c r="C1095" s="16" t="s">
        <v>183</v>
      </c>
      <c r="D1095" s="23">
        <v>4</v>
      </c>
      <c r="E1095" s="24">
        <v>1953153</v>
      </c>
    </row>
    <row r="1096" s="29" customFormat="1" ht="41" spans="2:5">
      <c r="B1096" s="19" t="s">
        <v>1508</v>
      </c>
      <c r="C1096" s="20" t="s">
        <v>182</v>
      </c>
      <c r="D1096" s="21">
        <v>4</v>
      </c>
      <c r="E1096" s="22">
        <v>3884684.684685</v>
      </c>
    </row>
    <row r="1097" s="29" customFormat="1" ht="28" spans="2:5">
      <c r="B1097" s="19" t="s">
        <v>1508</v>
      </c>
      <c r="C1097" s="16" t="s">
        <v>183</v>
      </c>
      <c r="D1097" s="23">
        <v>4</v>
      </c>
      <c r="E1097" s="24">
        <v>3884684.684685</v>
      </c>
    </row>
    <row r="1098" s="29" customFormat="1" ht="41" spans="2:5">
      <c r="B1098" s="19" t="s">
        <v>1509</v>
      </c>
      <c r="C1098" s="20" t="s">
        <v>182</v>
      </c>
      <c r="D1098" s="21">
        <v>2</v>
      </c>
      <c r="E1098" s="22">
        <v>1569369</v>
      </c>
    </row>
    <row r="1099" s="29" customFormat="1" ht="28" spans="2:5">
      <c r="B1099" s="19" t="s">
        <v>1509</v>
      </c>
      <c r="C1099" s="16" t="s">
        <v>183</v>
      </c>
      <c r="D1099" s="23">
        <v>2</v>
      </c>
      <c r="E1099" s="24">
        <v>1569369</v>
      </c>
    </row>
    <row r="1100" s="29" customFormat="1" ht="41" spans="2:5">
      <c r="B1100" s="19" t="s">
        <v>1510</v>
      </c>
      <c r="C1100" s="20" t="s">
        <v>182</v>
      </c>
      <c r="D1100" s="21">
        <v>1</v>
      </c>
      <c r="E1100" s="22">
        <v>919820</v>
      </c>
    </row>
    <row r="1101" s="29" customFormat="1" ht="28" spans="2:5">
      <c r="B1101" s="19" t="s">
        <v>1510</v>
      </c>
      <c r="C1101" s="16" t="s">
        <v>183</v>
      </c>
      <c r="D1101" s="23">
        <v>1</v>
      </c>
      <c r="E1101" s="24">
        <v>919820</v>
      </c>
    </row>
    <row r="1102" s="29" customFormat="1" ht="28" spans="2:5">
      <c r="B1102" s="19" t="s">
        <v>1511</v>
      </c>
      <c r="C1102" s="20" t="s">
        <v>804</v>
      </c>
      <c r="D1102" s="21">
        <v>4</v>
      </c>
      <c r="E1102" s="22">
        <v>3495495</v>
      </c>
    </row>
    <row r="1103" s="29" customFormat="1" ht="28" spans="2:5">
      <c r="B1103" s="19" t="s">
        <v>1511</v>
      </c>
      <c r="C1103" s="16" t="s">
        <v>183</v>
      </c>
      <c r="D1103" s="23">
        <v>4</v>
      </c>
      <c r="E1103" s="24">
        <v>3495495</v>
      </c>
    </row>
    <row r="1104" s="29" customFormat="1" ht="41" spans="2:5">
      <c r="B1104" s="19" t="s">
        <v>1512</v>
      </c>
      <c r="C1104" s="20" t="s">
        <v>182</v>
      </c>
      <c r="D1104" s="21">
        <v>2</v>
      </c>
      <c r="E1104" s="22">
        <v>2007207</v>
      </c>
    </row>
    <row r="1105" s="29" customFormat="1" ht="28" spans="2:5">
      <c r="B1105" s="19" t="s">
        <v>1512</v>
      </c>
      <c r="C1105" s="16" t="s">
        <v>183</v>
      </c>
      <c r="D1105" s="23">
        <v>2</v>
      </c>
      <c r="E1105" s="24">
        <v>2007207</v>
      </c>
    </row>
    <row r="1106" s="29" customFormat="1" ht="28" spans="2:5">
      <c r="B1106" s="19" t="s">
        <v>1513</v>
      </c>
      <c r="C1106" s="20" t="s">
        <v>804</v>
      </c>
      <c r="D1106" s="21">
        <v>1</v>
      </c>
      <c r="E1106" s="22">
        <v>1801801.801802</v>
      </c>
    </row>
    <row r="1107" s="29" customFormat="1" ht="17.55" spans="2:5">
      <c r="B1107" s="19" t="s">
        <v>1513</v>
      </c>
      <c r="C1107" s="16" t="s">
        <v>183</v>
      </c>
      <c r="D1107" s="23">
        <v>1</v>
      </c>
      <c r="E1107" s="24">
        <v>1801801.801802</v>
      </c>
    </row>
    <row r="1108" s="29" customFormat="1" spans="2:5">
      <c r="B1108" s="25"/>
      <c r="C1108" s="25"/>
      <c r="D1108" s="25"/>
      <c r="E1108" s="25"/>
    </row>
    <row r="1109" s="29" customFormat="1" ht="36" spans="2:5">
      <c r="B1109" s="26" t="s">
        <v>189</v>
      </c>
      <c r="C1109" s="26" t="s">
        <v>189</v>
      </c>
      <c r="D1109" s="26" t="s">
        <v>189</v>
      </c>
      <c r="E1109" s="26" t="s">
        <v>189</v>
      </c>
    </row>
    <row r="1110" s="29" customFormat="1" spans="2:5">
      <c r="B1110" s="26"/>
      <c r="C1110" s="26"/>
      <c r="D1110" s="26"/>
      <c r="E1110" s="26"/>
    </row>
    <row r="1111" s="29" customFormat="1" ht="36" spans="2:5">
      <c r="B1111" s="26" t="s">
        <v>1433</v>
      </c>
      <c r="C1111" s="26" t="s">
        <v>1433</v>
      </c>
      <c r="D1111" s="26" t="s">
        <v>1433</v>
      </c>
      <c r="E1111" s="26" t="s">
        <v>1433</v>
      </c>
    </row>
    <row r="1112" s="29" customFormat="1" spans="2:5">
      <c r="B1112" s="26" t="s">
        <v>935</v>
      </c>
      <c r="C1112" s="26" t="s">
        <v>935</v>
      </c>
      <c r="D1112" s="26" t="s">
        <v>935</v>
      </c>
      <c r="E1112" s="26" t="s">
        <v>935</v>
      </c>
    </row>
    <row r="1113" s="29" customFormat="1" ht="124" spans="2:5">
      <c r="B1113" s="11" t="s">
        <v>173</v>
      </c>
      <c r="C1113" s="11" t="s">
        <v>173</v>
      </c>
      <c r="D1113" s="11" t="s">
        <v>173</v>
      </c>
      <c r="E1113" s="11" t="s">
        <v>173</v>
      </c>
    </row>
    <row r="1114" s="29" customFormat="1" ht="156" spans="2:5">
      <c r="B1114" s="12" t="s">
        <v>174</v>
      </c>
      <c r="C1114" s="12" t="s">
        <v>174</v>
      </c>
      <c r="D1114" s="12" t="s">
        <v>174</v>
      </c>
      <c r="E1114" s="12" t="s">
        <v>174</v>
      </c>
    </row>
    <row r="1115" s="29" customFormat="1" ht="68" spans="2:5">
      <c r="B1115" s="13" t="s">
        <v>1425</v>
      </c>
      <c r="C1115" s="13" t="s">
        <v>1425</v>
      </c>
      <c r="D1115" s="13" t="s">
        <v>1425</v>
      </c>
      <c r="E1115" s="13" t="s">
        <v>1425</v>
      </c>
    </row>
    <row r="1116" s="29" customFormat="1" ht="22" spans="2:5">
      <c r="B1116" s="14" t="s">
        <v>176</v>
      </c>
      <c r="C1116" s="14" t="s">
        <v>176</v>
      </c>
      <c r="D1116" s="14" t="s">
        <v>176</v>
      </c>
      <c r="E1116" s="14" t="s">
        <v>176</v>
      </c>
    </row>
    <row r="1117" s="29" customFormat="1" spans="2:5">
      <c r="B1117" s="15" t="s">
        <v>177</v>
      </c>
      <c r="C1117" s="16" t="s">
        <v>178</v>
      </c>
      <c r="D1117" s="17" t="s">
        <v>179</v>
      </c>
      <c r="E1117" s="18" t="s">
        <v>180</v>
      </c>
    </row>
    <row r="1118" s="29" customFormat="1" ht="41" spans="2:5">
      <c r="B1118" s="19" t="s">
        <v>1514</v>
      </c>
      <c r="C1118" s="20" t="s">
        <v>182</v>
      </c>
      <c r="D1118" s="21">
        <v>1</v>
      </c>
      <c r="E1118" s="22">
        <v>217000</v>
      </c>
    </row>
    <row r="1119" s="29" customFormat="1" spans="2:5">
      <c r="B1119" s="19" t="s">
        <v>1514</v>
      </c>
      <c r="C1119" s="16" t="s">
        <v>183</v>
      </c>
      <c r="D1119" s="23">
        <v>1</v>
      </c>
      <c r="E1119" s="24">
        <v>217000</v>
      </c>
    </row>
    <row r="1120" s="29" customFormat="1" ht="41" spans="2:5">
      <c r="B1120" s="19" t="s">
        <v>1272</v>
      </c>
      <c r="C1120" s="20" t="s">
        <v>182</v>
      </c>
      <c r="D1120" s="21">
        <v>4</v>
      </c>
      <c r="E1120" s="22">
        <v>0</v>
      </c>
    </row>
    <row r="1121" s="29" customFormat="1" ht="28" spans="2:5">
      <c r="B1121" s="19" t="s">
        <v>1272</v>
      </c>
      <c r="C1121" s="16" t="s">
        <v>183</v>
      </c>
      <c r="D1121" s="23">
        <v>4</v>
      </c>
      <c r="E1121" s="24">
        <v>0</v>
      </c>
    </row>
    <row r="1122" s="29" customFormat="1" ht="41" spans="2:5">
      <c r="B1122" s="19" t="s">
        <v>1515</v>
      </c>
      <c r="C1122" s="20" t="s">
        <v>182</v>
      </c>
      <c r="D1122" s="21">
        <v>1</v>
      </c>
      <c r="E1122" s="22">
        <v>229000</v>
      </c>
    </row>
    <row r="1123" s="29" customFormat="1" ht="28" spans="2:5">
      <c r="B1123" s="19" t="s">
        <v>1515</v>
      </c>
      <c r="C1123" s="16" t="s">
        <v>183</v>
      </c>
      <c r="D1123" s="23">
        <v>1</v>
      </c>
      <c r="E1123" s="24">
        <v>229000</v>
      </c>
    </row>
    <row r="1124" s="29" customFormat="1" ht="41" spans="2:5">
      <c r="B1124" s="19" t="s">
        <v>1516</v>
      </c>
      <c r="C1124" s="20" t="s">
        <v>182</v>
      </c>
      <c r="D1124" s="21">
        <v>4</v>
      </c>
      <c r="E1124" s="22">
        <v>1684000</v>
      </c>
    </row>
    <row r="1125" s="29" customFormat="1" spans="2:5">
      <c r="B1125" s="19" t="s">
        <v>1516</v>
      </c>
      <c r="C1125" s="16" t="s">
        <v>183</v>
      </c>
      <c r="D1125" s="23">
        <v>4</v>
      </c>
      <c r="E1125" s="24">
        <v>1684000</v>
      </c>
    </row>
    <row r="1126" s="29" customFormat="1" ht="41" spans="2:5">
      <c r="B1126" s="19" t="s">
        <v>1517</v>
      </c>
      <c r="C1126" s="20" t="s">
        <v>182</v>
      </c>
      <c r="D1126" s="21">
        <v>2</v>
      </c>
      <c r="E1126" s="22">
        <v>600000</v>
      </c>
    </row>
    <row r="1127" s="29" customFormat="1" spans="2:5">
      <c r="B1127" s="19" t="s">
        <v>1517</v>
      </c>
      <c r="C1127" s="16" t="s">
        <v>183</v>
      </c>
      <c r="D1127" s="23">
        <v>2</v>
      </c>
      <c r="E1127" s="24">
        <v>600000</v>
      </c>
    </row>
    <row r="1128" s="29" customFormat="1" ht="41" spans="2:5">
      <c r="B1128" s="19" t="s">
        <v>1518</v>
      </c>
      <c r="C1128" s="20" t="s">
        <v>182</v>
      </c>
      <c r="D1128" s="21">
        <v>1</v>
      </c>
      <c r="E1128" s="22">
        <v>370000</v>
      </c>
    </row>
    <row r="1129" s="29" customFormat="1" spans="2:5">
      <c r="B1129" s="19" t="s">
        <v>1518</v>
      </c>
      <c r="C1129" s="16" t="s">
        <v>183</v>
      </c>
      <c r="D1129" s="23">
        <v>1</v>
      </c>
      <c r="E1129" s="24">
        <v>370000</v>
      </c>
    </row>
    <row r="1130" s="29" customFormat="1" ht="41" spans="2:5">
      <c r="B1130" s="19" t="s">
        <v>1519</v>
      </c>
      <c r="C1130" s="20" t="s">
        <v>1191</v>
      </c>
      <c r="D1130" s="21">
        <v>120</v>
      </c>
      <c r="E1130" s="22">
        <v>0</v>
      </c>
    </row>
    <row r="1131" s="29" customFormat="1" ht="28.75" spans="2:5">
      <c r="B1131" s="19" t="s">
        <v>1519</v>
      </c>
      <c r="C1131" s="16" t="s">
        <v>183</v>
      </c>
      <c r="D1131" s="23">
        <v>120</v>
      </c>
      <c r="E1131" s="24">
        <v>0</v>
      </c>
    </row>
    <row r="1132" s="29" customFormat="1" spans="2:5">
      <c r="B1132" s="25"/>
      <c r="C1132" s="25"/>
      <c r="D1132" s="25"/>
      <c r="E1132" s="25"/>
    </row>
    <row r="1133" s="29" customFormat="1" ht="36" spans="2:5">
      <c r="B1133" s="26" t="s">
        <v>189</v>
      </c>
      <c r="C1133" s="26" t="s">
        <v>189</v>
      </c>
      <c r="D1133" s="26" t="s">
        <v>189</v>
      </c>
      <c r="E1133" s="26" t="s">
        <v>189</v>
      </c>
    </row>
    <row r="1134" s="29" customFormat="1" spans="2:5">
      <c r="B1134" s="26"/>
      <c r="C1134" s="26"/>
      <c r="D1134" s="26"/>
      <c r="E1134" s="26"/>
    </row>
    <row r="1135" s="29" customFormat="1" ht="36" spans="2:5">
      <c r="B1135" s="26" t="s">
        <v>1433</v>
      </c>
      <c r="C1135" s="26" t="s">
        <v>1433</v>
      </c>
      <c r="D1135" s="26" t="s">
        <v>1433</v>
      </c>
      <c r="E1135" s="26" t="s">
        <v>1433</v>
      </c>
    </row>
    <row r="1136" s="29" customFormat="1" spans="2:5">
      <c r="B1136" s="26" t="s">
        <v>942</v>
      </c>
      <c r="C1136" s="26" t="s">
        <v>942</v>
      </c>
      <c r="D1136" s="26" t="s">
        <v>942</v>
      </c>
      <c r="E1136" s="26" t="s">
        <v>942</v>
      </c>
    </row>
    <row r="1137" s="29" customFormat="1" ht="124" spans="2:5">
      <c r="B1137" s="11" t="s">
        <v>173</v>
      </c>
      <c r="C1137" s="11" t="s">
        <v>173</v>
      </c>
      <c r="D1137" s="11" t="s">
        <v>173</v>
      </c>
      <c r="E1137" s="11" t="s">
        <v>173</v>
      </c>
    </row>
    <row r="1138" s="29" customFormat="1" ht="156" spans="2:5">
      <c r="B1138" s="12" t="s">
        <v>174</v>
      </c>
      <c r="C1138" s="12" t="s">
        <v>174</v>
      </c>
      <c r="D1138" s="12" t="s">
        <v>174</v>
      </c>
      <c r="E1138" s="12" t="s">
        <v>174</v>
      </c>
    </row>
    <row r="1139" s="29" customFormat="1" ht="68" spans="2:5">
      <c r="B1139" s="13" t="s">
        <v>1425</v>
      </c>
      <c r="C1139" s="13" t="s">
        <v>1425</v>
      </c>
      <c r="D1139" s="13" t="s">
        <v>1425</v>
      </c>
      <c r="E1139" s="13" t="s">
        <v>1425</v>
      </c>
    </row>
    <row r="1140" s="29" customFormat="1" ht="22" spans="2:5">
      <c r="B1140" s="14" t="s">
        <v>176</v>
      </c>
      <c r="C1140" s="14" t="s">
        <v>176</v>
      </c>
      <c r="D1140" s="14" t="s">
        <v>176</v>
      </c>
      <c r="E1140" s="14" t="s">
        <v>176</v>
      </c>
    </row>
    <row r="1141" s="29" customFormat="1" spans="2:5">
      <c r="B1141" s="15" t="s">
        <v>177</v>
      </c>
      <c r="C1141" s="16" t="s">
        <v>178</v>
      </c>
      <c r="D1141" s="17" t="s">
        <v>179</v>
      </c>
      <c r="E1141" s="18" t="s">
        <v>180</v>
      </c>
    </row>
    <row r="1142" s="29" customFormat="1" ht="41" spans="2:5">
      <c r="B1142" s="19" t="s">
        <v>1520</v>
      </c>
      <c r="C1142" s="20" t="s">
        <v>1191</v>
      </c>
      <c r="D1142" s="21">
        <v>120</v>
      </c>
      <c r="E1142" s="22">
        <v>0</v>
      </c>
    </row>
    <row r="1143" s="29" customFormat="1" ht="41" spans="2:5">
      <c r="B1143" s="19" t="s">
        <v>1520</v>
      </c>
      <c r="C1143" s="16" t="s">
        <v>183</v>
      </c>
      <c r="D1143" s="23">
        <v>120</v>
      </c>
      <c r="E1143" s="24">
        <v>0</v>
      </c>
    </row>
    <row r="1144" s="29" customFormat="1" ht="41" spans="2:5">
      <c r="B1144" s="19" t="s">
        <v>1521</v>
      </c>
      <c r="C1144" s="20" t="s">
        <v>1191</v>
      </c>
      <c r="D1144" s="21">
        <v>120</v>
      </c>
      <c r="E1144" s="22">
        <v>0</v>
      </c>
    </row>
    <row r="1145" s="29" customFormat="1" ht="28" spans="2:5">
      <c r="B1145" s="19" t="s">
        <v>1521</v>
      </c>
      <c r="C1145" s="16" t="s">
        <v>183</v>
      </c>
      <c r="D1145" s="23">
        <v>120</v>
      </c>
      <c r="E1145" s="24">
        <v>0</v>
      </c>
    </row>
    <row r="1146" s="29" customFormat="1" ht="41" spans="2:5">
      <c r="B1146" s="19" t="s">
        <v>454</v>
      </c>
      <c r="C1146" s="20" t="s">
        <v>182</v>
      </c>
      <c r="D1146" s="21">
        <v>2</v>
      </c>
      <c r="E1146" s="22">
        <v>0</v>
      </c>
    </row>
    <row r="1147" s="29" customFormat="1" ht="28" spans="2:5">
      <c r="B1147" s="19" t="s">
        <v>454</v>
      </c>
      <c r="C1147" s="16" t="s">
        <v>183</v>
      </c>
      <c r="D1147" s="23">
        <v>2</v>
      </c>
      <c r="E1147" s="24">
        <v>0</v>
      </c>
    </row>
    <row r="1148" s="29" customFormat="1" ht="41" spans="2:5">
      <c r="B1148" s="19" t="s">
        <v>721</v>
      </c>
      <c r="C1148" s="20" t="s">
        <v>182</v>
      </c>
      <c r="D1148" s="21">
        <v>3</v>
      </c>
      <c r="E1148" s="22">
        <v>0</v>
      </c>
    </row>
    <row r="1149" s="29" customFormat="1" ht="28" spans="2:5">
      <c r="B1149" s="19" t="s">
        <v>721</v>
      </c>
      <c r="C1149" s="20" t="s">
        <v>804</v>
      </c>
      <c r="D1149" s="21">
        <v>4</v>
      </c>
      <c r="E1149" s="22">
        <v>180180.09009</v>
      </c>
    </row>
    <row r="1150" s="29" customFormat="1" ht="28" spans="2:5">
      <c r="B1150" s="19" t="s">
        <v>721</v>
      </c>
      <c r="C1150" s="16" t="s">
        <v>183</v>
      </c>
      <c r="D1150" s="23">
        <v>7</v>
      </c>
      <c r="E1150" s="24">
        <v>180180.09009</v>
      </c>
    </row>
    <row r="1151" s="29" customFormat="1" ht="28" spans="2:5">
      <c r="B1151" s="19" t="s">
        <v>1522</v>
      </c>
      <c r="C1151" s="20" t="s">
        <v>804</v>
      </c>
      <c r="D1151" s="21">
        <v>1</v>
      </c>
      <c r="E1151" s="22">
        <v>820000</v>
      </c>
    </row>
    <row r="1152" s="29" customFormat="1" spans="2:5">
      <c r="B1152" s="19" t="s">
        <v>1522</v>
      </c>
      <c r="C1152" s="16" t="s">
        <v>183</v>
      </c>
      <c r="D1152" s="23">
        <v>1</v>
      </c>
      <c r="E1152" s="24">
        <v>820000</v>
      </c>
    </row>
    <row r="1153" s="29" customFormat="1" ht="41" spans="2:5">
      <c r="B1153" s="19" t="s">
        <v>513</v>
      </c>
      <c r="C1153" s="20" t="s">
        <v>182</v>
      </c>
      <c r="D1153" s="21">
        <v>85</v>
      </c>
      <c r="E1153" s="22">
        <v>0</v>
      </c>
    </row>
    <row r="1154" s="29" customFormat="1" ht="28" spans="2:5">
      <c r="B1154" s="19" t="s">
        <v>513</v>
      </c>
      <c r="C1154" s="20" t="s">
        <v>804</v>
      </c>
      <c r="D1154" s="21">
        <v>83</v>
      </c>
      <c r="E1154" s="22">
        <v>0</v>
      </c>
    </row>
    <row r="1155" s="29" customFormat="1" ht="17.55" spans="2:5">
      <c r="B1155" s="19" t="s">
        <v>513</v>
      </c>
      <c r="C1155" s="16" t="s">
        <v>183</v>
      </c>
      <c r="D1155" s="23">
        <v>168</v>
      </c>
      <c r="E1155" s="24">
        <v>0</v>
      </c>
    </row>
    <row r="1156" s="29" customFormat="1" spans="2:5">
      <c r="B1156" s="25"/>
      <c r="C1156" s="25"/>
      <c r="D1156" s="25"/>
      <c r="E1156" s="25"/>
    </row>
    <row r="1157" s="29" customFormat="1" ht="36" spans="2:5">
      <c r="B1157" s="26" t="s">
        <v>189</v>
      </c>
      <c r="C1157" s="26" t="s">
        <v>189</v>
      </c>
      <c r="D1157" s="26" t="s">
        <v>189</v>
      </c>
      <c r="E1157" s="26" t="s">
        <v>189</v>
      </c>
    </row>
    <row r="1158" s="29" customFormat="1" spans="2:5">
      <c r="B1158" s="26"/>
      <c r="C1158" s="26"/>
      <c r="D1158" s="26"/>
      <c r="E1158" s="26"/>
    </row>
    <row r="1159" s="29" customFormat="1" ht="36" spans="2:5">
      <c r="B1159" s="26" t="s">
        <v>1433</v>
      </c>
      <c r="C1159" s="26" t="s">
        <v>1433</v>
      </c>
      <c r="D1159" s="26" t="s">
        <v>1433</v>
      </c>
      <c r="E1159" s="26" t="s">
        <v>1433</v>
      </c>
    </row>
    <row r="1160" s="29" customFormat="1" spans="2:5">
      <c r="B1160" s="26" t="s">
        <v>949</v>
      </c>
      <c r="C1160" s="26" t="s">
        <v>949</v>
      </c>
      <c r="D1160" s="26" t="s">
        <v>949</v>
      </c>
      <c r="E1160" s="26" t="s">
        <v>949</v>
      </c>
    </row>
    <row r="1161" s="29" customFormat="1" ht="124" spans="2:5">
      <c r="B1161" s="11" t="s">
        <v>173</v>
      </c>
      <c r="C1161" s="11" t="s">
        <v>173</v>
      </c>
      <c r="D1161" s="11" t="s">
        <v>173</v>
      </c>
      <c r="E1161" s="11" t="s">
        <v>173</v>
      </c>
    </row>
    <row r="1162" s="29" customFormat="1" ht="156" spans="2:5">
      <c r="B1162" s="12" t="s">
        <v>174</v>
      </c>
      <c r="C1162" s="12" t="s">
        <v>174</v>
      </c>
      <c r="D1162" s="12" t="s">
        <v>174</v>
      </c>
      <c r="E1162" s="12" t="s">
        <v>174</v>
      </c>
    </row>
    <row r="1163" s="29" customFormat="1" ht="68" spans="2:5">
      <c r="B1163" s="13" t="s">
        <v>1425</v>
      </c>
      <c r="C1163" s="13" t="s">
        <v>1425</v>
      </c>
      <c r="D1163" s="13" t="s">
        <v>1425</v>
      </c>
      <c r="E1163" s="13" t="s">
        <v>1425</v>
      </c>
    </row>
    <row r="1164" s="29" customFormat="1" ht="22" spans="2:5">
      <c r="B1164" s="14" t="s">
        <v>176</v>
      </c>
      <c r="C1164" s="14" t="s">
        <v>176</v>
      </c>
      <c r="D1164" s="14" t="s">
        <v>176</v>
      </c>
      <c r="E1164" s="14" t="s">
        <v>176</v>
      </c>
    </row>
    <row r="1165" s="29" customFormat="1" spans="2:5">
      <c r="B1165" s="15" t="s">
        <v>177</v>
      </c>
      <c r="C1165" s="16" t="s">
        <v>178</v>
      </c>
      <c r="D1165" s="17" t="s">
        <v>179</v>
      </c>
      <c r="E1165" s="18" t="s">
        <v>180</v>
      </c>
    </row>
    <row r="1166" s="29" customFormat="1" ht="41" spans="2:5">
      <c r="B1166" s="19" t="s">
        <v>514</v>
      </c>
      <c r="C1166" s="20" t="s">
        <v>182</v>
      </c>
      <c r="D1166" s="21">
        <v>90</v>
      </c>
      <c r="E1166" s="22">
        <v>3810476.86174</v>
      </c>
    </row>
    <row r="1167" s="29" customFormat="1" ht="28" spans="2:5">
      <c r="B1167" s="19" t="s">
        <v>514</v>
      </c>
      <c r="C1167" s="20" t="s">
        <v>804</v>
      </c>
      <c r="D1167" s="21">
        <v>111</v>
      </c>
      <c r="E1167" s="22">
        <v>3345045.045018</v>
      </c>
    </row>
    <row r="1168" s="29" customFormat="1" ht="28" spans="2:5">
      <c r="B1168" s="19" t="s">
        <v>514</v>
      </c>
      <c r="C1168" s="16" t="s">
        <v>183</v>
      </c>
      <c r="D1168" s="23">
        <v>201</v>
      </c>
      <c r="E1168" s="24">
        <v>7155521.906758</v>
      </c>
    </row>
    <row r="1169" s="29" customFormat="1" ht="28" spans="2:5">
      <c r="B1169" s="19" t="s">
        <v>1523</v>
      </c>
      <c r="C1169" s="20" t="s">
        <v>804</v>
      </c>
      <c r="D1169" s="21">
        <v>2</v>
      </c>
      <c r="E1169" s="22">
        <v>1530000</v>
      </c>
    </row>
    <row r="1170" s="29" customFormat="1" spans="2:5">
      <c r="B1170" s="19" t="s">
        <v>1523</v>
      </c>
      <c r="C1170" s="16" t="s">
        <v>183</v>
      </c>
      <c r="D1170" s="23">
        <v>2</v>
      </c>
      <c r="E1170" s="24">
        <v>1530000</v>
      </c>
    </row>
    <row r="1171" s="29" customFormat="1" ht="28" spans="2:5">
      <c r="B1171" s="19" t="s">
        <v>1524</v>
      </c>
      <c r="C1171" s="20" t="s">
        <v>804</v>
      </c>
      <c r="D1171" s="21">
        <v>1</v>
      </c>
      <c r="E1171" s="22">
        <v>936800</v>
      </c>
    </row>
    <row r="1172" s="29" customFormat="1" spans="2:5">
      <c r="B1172" s="19" t="s">
        <v>1524</v>
      </c>
      <c r="C1172" s="16" t="s">
        <v>183</v>
      </c>
      <c r="D1172" s="23">
        <v>1</v>
      </c>
      <c r="E1172" s="24">
        <v>936800</v>
      </c>
    </row>
    <row r="1173" s="29" customFormat="1" ht="41" spans="2:5">
      <c r="B1173" s="19" t="s">
        <v>1525</v>
      </c>
      <c r="C1173" s="20" t="s">
        <v>1191</v>
      </c>
      <c r="D1173" s="21">
        <v>6</v>
      </c>
      <c r="E1173" s="22">
        <v>0</v>
      </c>
    </row>
    <row r="1174" s="29" customFormat="1" ht="28" spans="2:5">
      <c r="B1174" s="19" t="s">
        <v>1525</v>
      </c>
      <c r="C1174" s="16" t="s">
        <v>183</v>
      </c>
      <c r="D1174" s="23">
        <v>6</v>
      </c>
      <c r="E1174" s="24">
        <v>0</v>
      </c>
    </row>
    <row r="1175" s="29" customFormat="1" ht="28" spans="2:5">
      <c r="B1175" s="19" t="s">
        <v>1526</v>
      </c>
      <c r="C1175" s="20" t="s">
        <v>804</v>
      </c>
      <c r="D1175" s="21">
        <v>2</v>
      </c>
      <c r="E1175" s="22">
        <v>2180000</v>
      </c>
    </row>
    <row r="1176" s="29" customFormat="1" spans="2:5">
      <c r="B1176" s="19" t="s">
        <v>1526</v>
      </c>
      <c r="C1176" s="16" t="s">
        <v>183</v>
      </c>
      <c r="D1176" s="23">
        <v>2</v>
      </c>
      <c r="E1176" s="24">
        <v>2180000</v>
      </c>
    </row>
    <row r="1177" s="29" customFormat="1" ht="28" spans="2:5">
      <c r="B1177" s="19" t="s">
        <v>1527</v>
      </c>
      <c r="C1177" s="20" t="s">
        <v>804</v>
      </c>
      <c r="D1177" s="21">
        <v>2</v>
      </c>
      <c r="E1177" s="22">
        <v>750000</v>
      </c>
    </row>
    <row r="1178" s="29" customFormat="1" spans="2:5">
      <c r="B1178" s="19" t="s">
        <v>1527</v>
      </c>
      <c r="C1178" s="16" t="s">
        <v>183</v>
      </c>
      <c r="D1178" s="23">
        <v>2</v>
      </c>
      <c r="E1178" s="24">
        <v>750000</v>
      </c>
    </row>
    <row r="1179" s="29" customFormat="1" ht="28" spans="2:5">
      <c r="B1179" s="19" t="s">
        <v>1528</v>
      </c>
      <c r="C1179" s="20" t="s">
        <v>804</v>
      </c>
      <c r="D1179" s="21">
        <v>2</v>
      </c>
      <c r="E1179" s="22">
        <v>2436000</v>
      </c>
    </row>
    <row r="1180" s="29" customFormat="1" ht="17.55" spans="2:5">
      <c r="B1180" s="19" t="s">
        <v>1528</v>
      </c>
      <c r="C1180" s="16" t="s">
        <v>183</v>
      </c>
      <c r="D1180" s="23">
        <v>2</v>
      </c>
      <c r="E1180" s="24">
        <v>2436000</v>
      </c>
    </row>
    <row r="1181" s="29" customFormat="1" spans="2:5">
      <c r="B1181" s="25"/>
      <c r="C1181" s="25"/>
      <c r="D1181" s="25"/>
      <c r="E1181" s="25"/>
    </row>
    <row r="1182" s="29" customFormat="1" ht="36" spans="2:5">
      <c r="B1182" s="26" t="s">
        <v>189</v>
      </c>
      <c r="C1182" s="26" t="s">
        <v>189</v>
      </c>
      <c r="D1182" s="26" t="s">
        <v>189</v>
      </c>
      <c r="E1182" s="26" t="s">
        <v>189</v>
      </c>
    </row>
    <row r="1183" s="29" customFormat="1" spans="2:5">
      <c r="B1183" s="26"/>
      <c r="C1183" s="26"/>
      <c r="D1183" s="26"/>
      <c r="E1183" s="26"/>
    </row>
    <row r="1184" s="29" customFormat="1" ht="36" spans="2:5">
      <c r="B1184" s="26" t="s">
        <v>1433</v>
      </c>
      <c r="C1184" s="26" t="s">
        <v>1433</v>
      </c>
      <c r="D1184" s="26" t="s">
        <v>1433</v>
      </c>
      <c r="E1184" s="26" t="s">
        <v>1433</v>
      </c>
    </row>
    <row r="1185" s="29" customFormat="1" spans="2:5">
      <c r="B1185" s="26" t="s">
        <v>950</v>
      </c>
      <c r="C1185" s="26" t="s">
        <v>950</v>
      </c>
      <c r="D1185" s="26" t="s">
        <v>950</v>
      </c>
      <c r="E1185" s="26" t="s">
        <v>950</v>
      </c>
    </row>
    <row r="1186" s="29" customFormat="1" ht="124" spans="2:5">
      <c r="B1186" s="11" t="s">
        <v>173</v>
      </c>
      <c r="C1186" s="11" t="s">
        <v>173</v>
      </c>
      <c r="D1186" s="11" t="s">
        <v>173</v>
      </c>
      <c r="E1186" s="11" t="s">
        <v>173</v>
      </c>
    </row>
    <row r="1187" s="29" customFormat="1" ht="156" spans="2:5">
      <c r="B1187" s="12" t="s">
        <v>174</v>
      </c>
      <c r="C1187" s="12" t="s">
        <v>174</v>
      </c>
      <c r="D1187" s="12" t="s">
        <v>174</v>
      </c>
      <c r="E1187" s="12" t="s">
        <v>174</v>
      </c>
    </row>
    <row r="1188" s="29" customFormat="1" ht="68" spans="2:5">
      <c r="B1188" s="13" t="s">
        <v>1425</v>
      </c>
      <c r="C1188" s="13" t="s">
        <v>1425</v>
      </c>
      <c r="D1188" s="13" t="s">
        <v>1425</v>
      </c>
      <c r="E1188" s="13" t="s">
        <v>1425</v>
      </c>
    </row>
    <row r="1189" s="29" customFormat="1" ht="22" spans="2:5">
      <c r="B1189" s="14" t="s">
        <v>176</v>
      </c>
      <c r="C1189" s="14" t="s">
        <v>176</v>
      </c>
      <c r="D1189" s="14" t="s">
        <v>176</v>
      </c>
      <c r="E1189" s="14" t="s">
        <v>176</v>
      </c>
    </row>
    <row r="1190" s="29" customFormat="1" spans="2:5">
      <c r="B1190" s="15" t="s">
        <v>177</v>
      </c>
      <c r="C1190" s="16" t="s">
        <v>178</v>
      </c>
      <c r="D1190" s="17" t="s">
        <v>179</v>
      </c>
      <c r="E1190" s="18" t="s">
        <v>180</v>
      </c>
    </row>
    <row r="1191" s="29" customFormat="1" ht="28" spans="2:5">
      <c r="B1191" s="19" t="s">
        <v>1529</v>
      </c>
      <c r="C1191" s="20" t="s">
        <v>804</v>
      </c>
      <c r="D1191" s="21">
        <v>2</v>
      </c>
      <c r="E1191" s="22">
        <v>1450000</v>
      </c>
    </row>
    <row r="1192" s="29" customFormat="1" spans="2:5">
      <c r="B1192" s="19" t="s">
        <v>1529</v>
      </c>
      <c r="C1192" s="16" t="s">
        <v>183</v>
      </c>
      <c r="D1192" s="23">
        <v>2</v>
      </c>
      <c r="E1192" s="24">
        <v>1450000</v>
      </c>
    </row>
    <row r="1193" s="29" customFormat="1" ht="28" spans="2:5">
      <c r="B1193" s="19" t="s">
        <v>1530</v>
      </c>
      <c r="C1193" s="20" t="s">
        <v>804</v>
      </c>
      <c r="D1193" s="21">
        <v>2</v>
      </c>
      <c r="E1193" s="22">
        <v>2000000</v>
      </c>
    </row>
    <row r="1194" s="29" customFormat="1" spans="2:5">
      <c r="B1194" s="19" t="s">
        <v>1530</v>
      </c>
      <c r="C1194" s="16" t="s">
        <v>183</v>
      </c>
      <c r="D1194" s="23">
        <v>2</v>
      </c>
      <c r="E1194" s="24">
        <v>2000000</v>
      </c>
    </row>
    <row r="1195" s="29" customFormat="1" ht="28" spans="2:5">
      <c r="B1195" s="19" t="s">
        <v>1531</v>
      </c>
      <c r="C1195" s="20" t="s">
        <v>804</v>
      </c>
      <c r="D1195" s="21">
        <v>2</v>
      </c>
      <c r="E1195" s="22">
        <v>1500000</v>
      </c>
    </row>
    <row r="1196" s="29" customFormat="1" spans="2:5">
      <c r="B1196" s="19" t="s">
        <v>1531</v>
      </c>
      <c r="C1196" s="16" t="s">
        <v>183</v>
      </c>
      <c r="D1196" s="23">
        <v>2</v>
      </c>
      <c r="E1196" s="24">
        <v>1500000</v>
      </c>
    </row>
    <row r="1197" s="29" customFormat="1" ht="41" spans="2:5">
      <c r="B1197" s="19" t="s">
        <v>1532</v>
      </c>
      <c r="C1197" s="20" t="s">
        <v>182</v>
      </c>
      <c r="D1197" s="21">
        <v>1</v>
      </c>
      <c r="E1197" s="22">
        <v>0</v>
      </c>
    </row>
    <row r="1198" s="29" customFormat="1" spans="2:5">
      <c r="B1198" s="19" t="s">
        <v>1532</v>
      </c>
      <c r="C1198" s="16" t="s">
        <v>183</v>
      </c>
      <c r="D1198" s="23">
        <v>1</v>
      </c>
      <c r="E1198" s="24">
        <v>0</v>
      </c>
    </row>
    <row r="1199" s="29" customFormat="1" ht="41" spans="2:5">
      <c r="B1199" s="19" t="s">
        <v>1533</v>
      </c>
      <c r="C1199" s="20" t="s">
        <v>182</v>
      </c>
      <c r="D1199" s="21">
        <v>1</v>
      </c>
      <c r="E1199" s="22">
        <v>0</v>
      </c>
    </row>
    <row r="1200" s="29" customFormat="1" ht="28" spans="2:5">
      <c r="B1200" s="19" t="s">
        <v>1533</v>
      </c>
      <c r="C1200" s="16" t="s">
        <v>183</v>
      </c>
      <c r="D1200" s="23">
        <v>1</v>
      </c>
      <c r="E1200" s="24">
        <v>0</v>
      </c>
    </row>
    <row r="1201" s="29" customFormat="1" ht="28" spans="2:5">
      <c r="B1201" s="19" t="s">
        <v>616</v>
      </c>
      <c r="C1201" s="20" t="s">
        <v>804</v>
      </c>
      <c r="D1201" s="21">
        <v>1</v>
      </c>
      <c r="E1201" s="22">
        <v>699550</v>
      </c>
    </row>
    <row r="1202" s="29" customFormat="1" ht="28" spans="2:5">
      <c r="B1202" s="19" t="s">
        <v>616</v>
      </c>
      <c r="C1202" s="16" t="s">
        <v>183</v>
      </c>
      <c r="D1202" s="23">
        <v>1</v>
      </c>
      <c r="E1202" s="24">
        <v>699550</v>
      </c>
    </row>
    <row r="1203" s="29" customFormat="1" ht="28" spans="2:5">
      <c r="B1203" s="19" t="s">
        <v>726</v>
      </c>
      <c r="C1203" s="20" t="s">
        <v>804</v>
      </c>
      <c r="D1203" s="21">
        <v>1</v>
      </c>
      <c r="E1203" s="22">
        <v>729279.279279</v>
      </c>
    </row>
    <row r="1204" s="29" customFormat="1" ht="28" spans="2:5">
      <c r="B1204" s="19" t="s">
        <v>726</v>
      </c>
      <c r="C1204" s="16" t="s">
        <v>183</v>
      </c>
      <c r="D1204" s="23">
        <v>1</v>
      </c>
      <c r="E1204" s="24">
        <v>729279.279279</v>
      </c>
    </row>
    <row r="1205" s="29" customFormat="1" ht="28" spans="2:5">
      <c r="B1205" s="19" t="s">
        <v>1534</v>
      </c>
      <c r="C1205" s="20" t="s">
        <v>804</v>
      </c>
      <c r="D1205" s="21">
        <v>1</v>
      </c>
      <c r="E1205" s="22">
        <v>1435586</v>
      </c>
    </row>
    <row r="1206" s="29" customFormat="1" ht="28.75" spans="2:5">
      <c r="B1206" s="19" t="s">
        <v>1534</v>
      </c>
      <c r="C1206" s="16" t="s">
        <v>183</v>
      </c>
      <c r="D1206" s="23">
        <v>1</v>
      </c>
      <c r="E1206" s="24">
        <v>1435586</v>
      </c>
    </row>
    <row r="1207" s="29" customFormat="1" spans="2:5">
      <c r="B1207" s="25"/>
      <c r="C1207" s="25"/>
      <c r="D1207" s="25"/>
      <c r="E1207" s="25"/>
    </row>
    <row r="1208" s="29" customFormat="1" ht="36" spans="2:5">
      <c r="B1208" s="26" t="s">
        <v>189</v>
      </c>
      <c r="C1208" s="26" t="s">
        <v>189</v>
      </c>
      <c r="D1208" s="26" t="s">
        <v>189</v>
      </c>
      <c r="E1208" s="26" t="s">
        <v>189</v>
      </c>
    </row>
    <row r="1209" s="29" customFormat="1" spans="2:5">
      <c r="B1209" s="26"/>
      <c r="C1209" s="26"/>
      <c r="D1209" s="26"/>
      <c r="E1209" s="26"/>
    </row>
    <row r="1210" s="29" customFormat="1" ht="36" spans="2:5">
      <c r="B1210" s="26" t="s">
        <v>1433</v>
      </c>
      <c r="C1210" s="26" t="s">
        <v>1433</v>
      </c>
      <c r="D1210" s="26" t="s">
        <v>1433</v>
      </c>
      <c r="E1210" s="26" t="s">
        <v>1433</v>
      </c>
    </row>
    <row r="1211" s="29" customFormat="1" spans="2:5">
      <c r="B1211" s="26" t="s">
        <v>1090</v>
      </c>
      <c r="C1211" s="26" t="s">
        <v>1090</v>
      </c>
      <c r="D1211" s="26" t="s">
        <v>1090</v>
      </c>
      <c r="E1211" s="26" t="s">
        <v>1090</v>
      </c>
    </row>
    <row r="1212" s="29" customFormat="1" ht="124" spans="2:5">
      <c r="B1212" s="11" t="s">
        <v>173</v>
      </c>
      <c r="C1212" s="11" t="s">
        <v>173</v>
      </c>
      <c r="D1212" s="11" t="s">
        <v>173</v>
      </c>
      <c r="E1212" s="11" t="s">
        <v>173</v>
      </c>
    </row>
    <row r="1213" s="29" customFormat="1" ht="156" spans="2:5">
      <c r="B1213" s="12" t="s">
        <v>174</v>
      </c>
      <c r="C1213" s="12" t="s">
        <v>174</v>
      </c>
      <c r="D1213" s="12" t="s">
        <v>174</v>
      </c>
      <c r="E1213" s="12" t="s">
        <v>174</v>
      </c>
    </row>
    <row r="1214" s="29" customFormat="1" ht="68" spans="2:5">
      <c r="B1214" s="13" t="s">
        <v>1425</v>
      </c>
      <c r="C1214" s="13" t="s">
        <v>1425</v>
      </c>
      <c r="D1214" s="13" t="s">
        <v>1425</v>
      </c>
      <c r="E1214" s="13" t="s">
        <v>1425</v>
      </c>
    </row>
    <row r="1215" s="29" customFormat="1" ht="22" spans="2:5">
      <c r="B1215" s="14" t="s">
        <v>176</v>
      </c>
      <c r="C1215" s="14" t="s">
        <v>176</v>
      </c>
      <c r="D1215" s="14" t="s">
        <v>176</v>
      </c>
      <c r="E1215" s="14" t="s">
        <v>176</v>
      </c>
    </row>
    <row r="1216" s="29" customFormat="1" spans="2:5">
      <c r="B1216" s="15" t="s">
        <v>177</v>
      </c>
      <c r="C1216" s="16" t="s">
        <v>178</v>
      </c>
      <c r="D1216" s="17" t="s">
        <v>179</v>
      </c>
      <c r="E1216" s="18" t="s">
        <v>180</v>
      </c>
    </row>
    <row r="1217" s="29" customFormat="1" ht="41" spans="2:5">
      <c r="B1217" s="19" t="s">
        <v>382</v>
      </c>
      <c r="C1217" s="20" t="s">
        <v>182</v>
      </c>
      <c r="D1217" s="21">
        <v>1</v>
      </c>
      <c r="E1217" s="22">
        <v>100900.900901</v>
      </c>
    </row>
    <row r="1218" s="29" customFormat="1" ht="41" spans="2:5">
      <c r="B1218" s="19" t="s">
        <v>382</v>
      </c>
      <c r="C1218" s="16" t="s">
        <v>183</v>
      </c>
      <c r="D1218" s="23">
        <v>1</v>
      </c>
      <c r="E1218" s="24">
        <v>100900.900901</v>
      </c>
    </row>
    <row r="1219" s="29" customFormat="1" ht="41" spans="2:5">
      <c r="B1219" s="19" t="s">
        <v>316</v>
      </c>
      <c r="C1219" s="20" t="s">
        <v>182</v>
      </c>
      <c r="D1219" s="21">
        <v>3</v>
      </c>
      <c r="E1219" s="22">
        <v>257765.765766</v>
      </c>
    </row>
    <row r="1220" s="29" customFormat="1" ht="28" spans="2:5">
      <c r="B1220" s="19" t="s">
        <v>316</v>
      </c>
      <c r="C1220" s="20" t="s">
        <v>804</v>
      </c>
      <c r="D1220" s="21">
        <v>7</v>
      </c>
      <c r="E1220" s="22">
        <v>580180.054055</v>
      </c>
    </row>
    <row r="1221" s="29" customFormat="1" ht="28" spans="2:5">
      <c r="B1221" s="19" t="s">
        <v>316</v>
      </c>
      <c r="C1221" s="16" t="s">
        <v>183</v>
      </c>
      <c r="D1221" s="23">
        <v>10</v>
      </c>
      <c r="E1221" s="24">
        <v>837945.819821</v>
      </c>
    </row>
    <row r="1222" s="29" customFormat="1" ht="41" spans="2:5">
      <c r="B1222" s="19" t="s">
        <v>383</v>
      </c>
      <c r="C1222" s="20" t="s">
        <v>182</v>
      </c>
      <c r="D1222" s="21">
        <v>14</v>
      </c>
      <c r="E1222" s="22">
        <v>405406.342344</v>
      </c>
    </row>
    <row r="1223" s="29" customFormat="1" ht="28" spans="2:5">
      <c r="B1223" s="19" t="s">
        <v>383</v>
      </c>
      <c r="C1223" s="20" t="s">
        <v>804</v>
      </c>
      <c r="D1223" s="21">
        <v>19</v>
      </c>
      <c r="E1223" s="22">
        <v>599099.099105</v>
      </c>
    </row>
    <row r="1224" s="29" customFormat="1" ht="28" spans="2:5">
      <c r="B1224" s="19" t="s">
        <v>383</v>
      </c>
      <c r="C1224" s="16" t="s">
        <v>183</v>
      </c>
      <c r="D1224" s="23">
        <v>33</v>
      </c>
      <c r="E1224" s="24">
        <v>1004505.441449</v>
      </c>
    </row>
    <row r="1225" s="29" customFormat="1" ht="41" spans="2:5">
      <c r="B1225" s="19" t="s">
        <v>384</v>
      </c>
      <c r="C1225" s="20" t="s">
        <v>182</v>
      </c>
      <c r="D1225" s="21">
        <v>6</v>
      </c>
      <c r="E1225" s="22">
        <v>497297.297298</v>
      </c>
    </row>
    <row r="1226" s="29" customFormat="1" ht="28" spans="2:5">
      <c r="B1226" s="19" t="s">
        <v>384</v>
      </c>
      <c r="C1226" s="20" t="s">
        <v>804</v>
      </c>
      <c r="D1226" s="21">
        <v>13</v>
      </c>
      <c r="E1226" s="22">
        <v>1226126.126128</v>
      </c>
    </row>
    <row r="1227" s="29" customFormat="1" ht="28" spans="2:5">
      <c r="B1227" s="19" t="s">
        <v>384</v>
      </c>
      <c r="C1227" s="16" t="s">
        <v>183</v>
      </c>
      <c r="D1227" s="23">
        <v>19</v>
      </c>
      <c r="E1227" s="24">
        <v>1723423.423426</v>
      </c>
    </row>
    <row r="1228" s="29" customFormat="1" ht="41.75" spans="2:5">
      <c r="B1228" s="20" t="s">
        <v>518</v>
      </c>
      <c r="C1228" s="20" t="s">
        <v>182</v>
      </c>
      <c r="D1228" s="21">
        <v>5</v>
      </c>
      <c r="E1228" s="22">
        <v>157658.126128</v>
      </c>
    </row>
    <row r="1229" s="29" customFormat="1" spans="2:5">
      <c r="B1229" s="25"/>
      <c r="C1229" s="25"/>
      <c r="D1229" s="25"/>
      <c r="E1229" s="25"/>
    </row>
    <row r="1230" s="29" customFormat="1" ht="36" spans="2:5">
      <c r="B1230" s="26" t="s">
        <v>189</v>
      </c>
      <c r="C1230" s="26" t="s">
        <v>189</v>
      </c>
      <c r="D1230" s="26" t="s">
        <v>189</v>
      </c>
      <c r="E1230" s="26" t="s">
        <v>189</v>
      </c>
    </row>
    <row r="1231" s="29" customFormat="1" spans="2:5">
      <c r="B1231" s="26"/>
      <c r="C1231" s="26"/>
      <c r="D1231" s="26"/>
      <c r="E1231" s="26"/>
    </row>
    <row r="1232" s="29" customFormat="1" ht="36" spans="2:5">
      <c r="B1232" s="26" t="s">
        <v>1433</v>
      </c>
      <c r="C1232" s="26" t="s">
        <v>1433</v>
      </c>
      <c r="D1232" s="26" t="s">
        <v>1433</v>
      </c>
      <c r="E1232" s="26" t="s">
        <v>1433</v>
      </c>
    </row>
    <row r="1233" s="29" customFormat="1" spans="2:5">
      <c r="B1233" s="26" t="s">
        <v>1096</v>
      </c>
      <c r="C1233" s="26" t="s">
        <v>1096</v>
      </c>
      <c r="D1233" s="26" t="s">
        <v>1096</v>
      </c>
      <c r="E1233" s="26" t="s">
        <v>1096</v>
      </c>
    </row>
    <row r="1234" s="29" customFormat="1" ht="124" spans="2:5">
      <c r="B1234" s="11" t="s">
        <v>173</v>
      </c>
      <c r="C1234" s="11" t="s">
        <v>173</v>
      </c>
      <c r="D1234" s="11" t="s">
        <v>173</v>
      </c>
      <c r="E1234" s="11" t="s">
        <v>173</v>
      </c>
    </row>
    <row r="1235" s="29" customFormat="1" ht="156" spans="2:5">
      <c r="B1235" s="12" t="s">
        <v>174</v>
      </c>
      <c r="C1235" s="12" t="s">
        <v>174</v>
      </c>
      <c r="D1235" s="12" t="s">
        <v>174</v>
      </c>
      <c r="E1235" s="12" t="s">
        <v>174</v>
      </c>
    </row>
    <row r="1236" s="29" customFormat="1" ht="68" spans="2:5">
      <c r="B1236" s="13" t="s">
        <v>1425</v>
      </c>
      <c r="C1236" s="13" t="s">
        <v>1425</v>
      </c>
      <c r="D1236" s="13" t="s">
        <v>1425</v>
      </c>
      <c r="E1236" s="13" t="s">
        <v>1425</v>
      </c>
    </row>
    <row r="1237" s="29" customFormat="1" ht="22" spans="2:5">
      <c r="B1237" s="14" t="s">
        <v>176</v>
      </c>
      <c r="C1237" s="14" t="s">
        <v>176</v>
      </c>
      <c r="D1237" s="14" t="s">
        <v>176</v>
      </c>
      <c r="E1237" s="14" t="s">
        <v>176</v>
      </c>
    </row>
    <row r="1238" s="29" customFormat="1" spans="2:5">
      <c r="B1238" s="15" t="s">
        <v>177</v>
      </c>
      <c r="C1238" s="16" t="s">
        <v>178</v>
      </c>
      <c r="D1238" s="17" t="s">
        <v>179</v>
      </c>
      <c r="E1238" s="18" t="s">
        <v>180</v>
      </c>
    </row>
    <row r="1239" s="29" customFormat="1" ht="28" spans="2:5">
      <c r="B1239" s="19" t="s">
        <v>518</v>
      </c>
      <c r="C1239" s="20" t="s">
        <v>804</v>
      </c>
      <c r="D1239" s="21">
        <v>20</v>
      </c>
      <c r="E1239" s="22">
        <v>630630.63064</v>
      </c>
    </row>
    <row r="1240" s="29" customFormat="1" ht="28" spans="2:5">
      <c r="B1240" s="19" t="s">
        <v>518</v>
      </c>
      <c r="C1240" s="16" t="s">
        <v>183</v>
      </c>
      <c r="D1240" s="23">
        <v>25</v>
      </c>
      <c r="E1240" s="24">
        <v>788288.756768</v>
      </c>
    </row>
    <row r="1241" s="29" customFormat="1" ht="28" spans="2:5">
      <c r="B1241" s="19" t="s">
        <v>1535</v>
      </c>
      <c r="C1241" s="20" t="s">
        <v>804</v>
      </c>
      <c r="D1241" s="21">
        <v>1</v>
      </c>
      <c r="E1241" s="22">
        <v>1725000</v>
      </c>
    </row>
    <row r="1242" s="29" customFormat="1" spans="2:5">
      <c r="B1242" s="19" t="s">
        <v>1535</v>
      </c>
      <c r="C1242" s="16" t="s">
        <v>183</v>
      </c>
      <c r="D1242" s="23">
        <v>1</v>
      </c>
      <c r="E1242" s="24">
        <v>1725000</v>
      </c>
    </row>
    <row r="1243" s="29" customFormat="1" ht="41" spans="2:5">
      <c r="B1243" s="19" t="s">
        <v>1536</v>
      </c>
      <c r="C1243" s="20" t="s">
        <v>182</v>
      </c>
      <c r="D1243" s="21">
        <v>1</v>
      </c>
      <c r="E1243" s="22">
        <v>220000</v>
      </c>
    </row>
    <row r="1244" s="29" customFormat="1" ht="28" spans="2:5">
      <c r="B1244" s="19" t="s">
        <v>1536</v>
      </c>
      <c r="C1244" s="16" t="s">
        <v>183</v>
      </c>
      <c r="D1244" s="23">
        <v>1</v>
      </c>
      <c r="E1244" s="24">
        <v>220000</v>
      </c>
    </row>
    <row r="1245" s="29" customFormat="1" ht="41" spans="2:5">
      <c r="B1245" s="19" t="s">
        <v>1537</v>
      </c>
      <c r="C1245" s="20" t="s">
        <v>182</v>
      </c>
      <c r="D1245" s="21">
        <v>5</v>
      </c>
      <c r="E1245" s="22">
        <v>0</v>
      </c>
    </row>
    <row r="1246" s="29" customFormat="1" spans="2:5">
      <c r="B1246" s="19" t="s">
        <v>1537</v>
      </c>
      <c r="C1246" s="16" t="s">
        <v>183</v>
      </c>
      <c r="D1246" s="23">
        <v>5</v>
      </c>
      <c r="E1246" s="24">
        <v>0</v>
      </c>
    </row>
    <row r="1247" s="29" customFormat="1" ht="41" spans="2:5">
      <c r="B1247" s="19" t="s">
        <v>733</v>
      </c>
      <c r="C1247" s="20" t="s">
        <v>182</v>
      </c>
      <c r="D1247" s="21">
        <v>5</v>
      </c>
      <c r="E1247" s="22">
        <v>364864.918919</v>
      </c>
    </row>
    <row r="1248" s="29" customFormat="1" ht="28" spans="2:5">
      <c r="B1248" s="19" t="s">
        <v>733</v>
      </c>
      <c r="C1248" s="16" t="s">
        <v>183</v>
      </c>
      <c r="D1248" s="23">
        <v>5</v>
      </c>
      <c r="E1248" s="24">
        <v>364864.918919</v>
      </c>
    </row>
    <row r="1249" s="29" customFormat="1" ht="41" spans="2:5">
      <c r="B1249" s="19" t="s">
        <v>318</v>
      </c>
      <c r="C1249" s="20" t="s">
        <v>182</v>
      </c>
      <c r="D1249" s="21">
        <v>3</v>
      </c>
      <c r="E1249" s="22">
        <v>0</v>
      </c>
    </row>
    <row r="1250" s="29" customFormat="1" ht="28" spans="2:5">
      <c r="B1250" s="19" t="s">
        <v>318</v>
      </c>
      <c r="C1250" s="16" t="s">
        <v>183</v>
      </c>
      <c r="D1250" s="23">
        <v>3</v>
      </c>
      <c r="E1250" s="24">
        <v>0</v>
      </c>
    </row>
    <row r="1251" s="29" customFormat="1" ht="41" spans="2:5">
      <c r="B1251" s="19" t="s">
        <v>457</v>
      </c>
      <c r="C1251" s="20" t="s">
        <v>182</v>
      </c>
      <c r="D1251" s="21">
        <v>5</v>
      </c>
      <c r="E1251" s="22">
        <v>240540.540541</v>
      </c>
    </row>
    <row r="1252" s="29" customFormat="1" ht="17.55" spans="2:5">
      <c r="B1252" s="19" t="s">
        <v>457</v>
      </c>
      <c r="C1252" s="16" t="s">
        <v>183</v>
      </c>
      <c r="D1252" s="23">
        <v>5</v>
      </c>
      <c r="E1252" s="24">
        <v>240540.540541</v>
      </c>
    </row>
    <row r="1253" s="29" customFormat="1" spans="2:5">
      <c r="B1253" s="25"/>
      <c r="C1253" s="25"/>
      <c r="D1253" s="25"/>
      <c r="E1253" s="25"/>
    </row>
    <row r="1254" s="29" customFormat="1" ht="36" spans="2:5">
      <c r="B1254" s="26" t="s">
        <v>189</v>
      </c>
      <c r="C1254" s="26" t="s">
        <v>189</v>
      </c>
      <c r="D1254" s="26" t="s">
        <v>189</v>
      </c>
      <c r="E1254" s="26" t="s">
        <v>189</v>
      </c>
    </row>
    <row r="1255" s="29" customFormat="1" spans="2:5">
      <c r="B1255" s="26"/>
      <c r="C1255" s="26"/>
      <c r="D1255" s="26"/>
      <c r="E1255" s="26"/>
    </row>
    <row r="1256" s="29" customFormat="1" ht="36" spans="2:5">
      <c r="B1256" s="26" t="s">
        <v>1433</v>
      </c>
      <c r="C1256" s="26" t="s">
        <v>1433</v>
      </c>
      <c r="D1256" s="26" t="s">
        <v>1433</v>
      </c>
      <c r="E1256" s="26" t="s">
        <v>1433</v>
      </c>
    </row>
    <row r="1257" s="29" customFormat="1" spans="2:5">
      <c r="B1257" s="26" t="s">
        <v>1100</v>
      </c>
      <c r="C1257" s="26" t="s">
        <v>1100</v>
      </c>
      <c r="D1257" s="26" t="s">
        <v>1100</v>
      </c>
      <c r="E1257" s="26" t="s">
        <v>1100</v>
      </c>
    </row>
    <row r="1258" s="29" customFormat="1" ht="124" spans="2:5">
      <c r="B1258" s="11" t="s">
        <v>173</v>
      </c>
      <c r="C1258" s="11" t="s">
        <v>173</v>
      </c>
      <c r="D1258" s="11" t="s">
        <v>173</v>
      </c>
      <c r="E1258" s="11" t="s">
        <v>173</v>
      </c>
    </row>
    <row r="1259" s="29" customFormat="1" ht="156" spans="2:5">
      <c r="B1259" s="12" t="s">
        <v>174</v>
      </c>
      <c r="C1259" s="12" t="s">
        <v>174</v>
      </c>
      <c r="D1259" s="12" t="s">
        <v>174</v>
      </c>
      <c r="E1259" s="12" t="s">
        <v>174</v>
      </c>
    </row>
    <row r="1260" s="29" customFormat="1" ht="68" spans="2:5">
      <c r="B1260" s="13" t="s">
        <v>1425</v>
      </c>
      <c r="C1260" s="13" t="s">
        <v>1425</v>
      </c>
      <c r="D1260" s="13" t="s">
        <v>1425</v>
      </c>
      <c r="E1260" s="13" t="s">
        <v>1425</v>
      </c>
    </row>
    <row r="1261" s="29" customFormat="1" ht="22" spans="2:5">
      <c r="B1261" s="14" t="s">
        <v>176</v>
      </c>
      <c r="C1261" s="14" t="s">
        <v>176</v>
      </c>
      <c r="D1261" s="14" t="s">
        <v>176</v>
      </c>
      <c r="E1261" s="14" t="s">
        <v>176</v>
      </c>
    </row>
    <row r="1262" s="29" customFormat="1" spans="2:5">
      <c r="B1262" s="15" t="s">
        <v>177</v>
      </c>
      <c r="C1262" s="16" t="s">
        <v>178</v>
      </c>
      <c r="D1262" s="17" t="s">
        <v>179</v>
      </c>
      <c r="E1262" s="18" t="s">
        <v>180</v>
      </c>
    </row>
    <row r="1263" s="29" customFormat="1" ht="41" spans="2:5">
      <c r="B1263" s="19" t="s">
        <v>458</v>
      </c>
      <c r="C1263" s="20" t="s">
        <v>182</v>
      </c>
      <c r="D1263" s="21">
        <v>1</v>
      </c>
      <c r="E1263" s="22">
        <v>0</v>
      </c>
    </row>
    <row r="1264" s="29" customFormat="1" ht="28" spans="2:5">
      <c r="B1264" s="19" t="s">
        <v>458</v>
      </c>
      <c r="C1264" s="20" t="s">
        <v>804</v>
      </c>
      <c r="D1264" s="21">
        <v>2</v>
      </c>
      <c r="E1264" s="22">
        <v>0</v>
      </c>
    </row>
    <row r="1265" s="29" customFormat="1" spans="2:5">
      <c r="B1265" s="19" t="s">
        <v>458</v>
      </c>
      <c r="C1265" s="16" t="s">
        <v>183</v>
      </c>
      <c r="D1265" s="23">
        <v>3</v>
      </c>
      <c r="E1265" s="24">
        <v>0</v>
      </c>
    </row>
    <row r="1266" s="29" customFormat="1" ht="41" spans="2:5">
      <c r="B1266" s="19" t="s">
        <v>459</v>
      </c>
      <c r="C1266" s="20" t="s">
        <v>182</v>
      </c>
      <c r="D1266" s="21">
        <v>18</v>
      </c>
      <c r="E1266" s="22">
        <v>1880000.387387</v>
      </c>
    </row>
    <row r="1267" s="29" customFormat="1" spans="2:5">
      <c r="B1267" s="19" t="s">
        <v>459</v>
      </c>
      <c r="C1267" s="16" t="s">
        <v>183</v>
      </c>
      <c r="D1267" s="23">
        <v>18</v>
      </c>
      <c r="E1267" s="24">
        <v>1880000.387387</v>
      </c>
    </row>
    <row r="1268" s="29" customFormat="1" ht="41" spans="2:5">
      <c r="B1268" s="19" t="s">
        <v>319</v>
      </c>
      <c r="C1268" s="20" t="s">
        <v>1191</v>
      </c>
      <c r="D1268" s="21">
        <v>1</v>
      </c>
      <c r="E1268" s="22">
        <v>515000</v>
      </c>
    </row>
    <row r="1269" s="29" customFormat="1" ht="41" spans="2:5">
      <c r="B1269" s="19" t="s">
        <v>319</v>
      </c>
      <c r="C1269" s="20" t="s">
        <v>182</v>
      </c>
      <c r="D1269" s="21">
        <v>8</v>
      </c>
      <c r="E1269" s="22">
        <v>0</v>
      </c>
    </row>
    <row r="1270" s="29" customFormat="1" ht="28" spans="2:5">
      <c r="B1270" s="19" t="s">
        <v>319</v>
      </c>
      <c r="C1270" s="20" t="s">
        <v>804</v>
      </c>
      <c r="D1270" s="21">
        <v>4</v>
      </c>
      <c r="E1270" s="22">
        <v>0</v>
      </c>
    </row>
    <row r="1271" s="29" customFormat="1" spans="2:5">
      <c r="B1271" s="19" t="s">
        <v>319</v>
      </c>
      <c r="C1271" s="16" t="s">
        <v>183</v>
      </c>
      <c r="D1271" s="23">
        <v>13</v>
      </c>
      <c r="E1271" s="24">
        <v>515000</v>
      </c>
    </row>
    <row r="1272" s="29" customFormat="1" ht="41" spans="2:5">
      <c r="B1272" s="19" t="s">
        <v>320</v>
      </c>
      <c r="C1272" s="20" t="s">
        <v>182</v>
      </c>
      <c r="D1272" s="21">
        <v>96</v>
      </c>
      <c r="E1272" s="22">
        <v>403603.603604</v>
      </c>
    </row>
    <row r="1273" s="29" customFormat="1" ht="28" spans="2:5">
      <c r="B1273" s="19" t="s">
        <v>320</v>
      </c>
      <c r="C1273" s="20" t="s">
        <v>804</v>
      </c>
      <c r="D1273" s="21">
        <v>48</v>
      </c>
      <c r="E1273" s="22">
        <v>0</v>
      </c>
    </row>
    <row r="1274" s="29" customFormat="1" ht="28" spans="2:5">
      <c r="B1274" s="19" t="s">
        <v>320</v>
      </c>
      <c r="C1274" s="16" t="s">
        <v>183</v>
      </c>
      <c r="D1274" s="23">
        <v>144</v>
      </c>
      <c r="E1274" s="24">
        <v>403603.603604</v>
      </c>
    </row>
    <row r="1275" s="29" customFormat="1" ht="41.75" spans="2:5">
      <c r="B1275" s="20" t="s">
        <v>894</v>
      </c>
      <c r="C1275" s="20" t="s">
        <v>182</v>
      </c>
      <c r="D1275" s="21">
        <v>26</v>
      </c>
      <c r="E1275" s="22">
        <v>470270.270269</v>
      </c>
    </row>
    <row r="1276" s="29" customFormat="1" spans="2:5">
      <c r="B1276" s="25"/>
      <c r="C1276" s="25"/>
      <c r="D1276" s="25"/>
      <c r="E1276" s="25"/>
    </row>
    <row r="1277" s="29" customFormat="1" ht="36" spans="2:5">
      <c r="B1277" s="26" t="s">
        <v>189</v>
      </c>
      <c r="C1277" s="26" t="s">
        <v>189</v>
      </c>
      <c r="D1277" s="26" t="s">
        <v>189</v>
      </c>
      <c r="E1277" s="26" t="s">
        <v>189</v>
      </c>
    </row>
    <row r="1278" s="29" customFormat="1" spans="2:5">
      <c r="B1278" s="26"/>
      <c r="C1278" s="26"/>
      <c r="D1278" s="26"/>
      <c r="E1278" s="26"/>
    </row>
    <row r="1279" s="29" customFormat="1" ht="36" spans="2:5">
      <c r="B1279" s="26" t="s">
        <v>1433</v>
      </c>
      <c r="C1279" s="26" t="s">
        <v>1433</v>
      </c>
      <c r="D1279" s="26" t="s">
        <v>1433</v>
      </c>
      <c r="E1279" s="26" t="s">
        <v>1433</v>
      </c>
    </row>
    <row r="1280" s="29" customFormat="1" spans="2:5">
      <c r="B1280" s="26" t="s">
        <v>1103</v>
      </c>
      <c r="C1280" s="26" t="s">
        <v>1103</v>
      </c>
      <c r="D1280" s="26" t="s">
        <v>1103</v>
      </c>
      <c r="E1280" s="26" t="s">
        <v>1103</v>
      </c>
    </row>
    <row r="1281" s="29" customFormat="1" ht="124" spans="2:5">
      <c r="B1281" s="11" t="s">
        <v>173</v>
      </c>
      <c r="C1281" s="11" t="s">
        <v>173</v>
      </c>
      <c r="D1281" s="11" t="s">
        <v>173</v>
      </c>
      <c r="E1281" s="11" t="s">
        <v>173</v>
      </c>
    </row>
    <row r="1282" s="29" customFormat="1" ht="156" spans="2:5">
      <c r="B1282" s="12" t="s">
        <v>174</v>
      </c>
      <c r="C1282" s="12" t="s">
        <v>174</v>
      </c>
      <c r="D1282" s="12" t="s">
        <v>174</v>
      </c>
      <c r="E1282" s="12" t="s">
        <v>174</v>
      </c>
    </row>
    <row r="1283" s="29" customFormat="1" ht="68" spans="2:5">
      <c r="B1283" s="13" t="s">
        <v>1425</v>
      </c>
      <c r="C1283" s="13" t="s">
        <v>1425</v>
      </c>
      <c r="D1283" s="13" t="s">
        <v>1425</v>
      </c>
      <c r="E1283" s="13" t="s">
        <v>1425</v>
      </c>
    </row>
    <row r="1284" s="29" customFormat="1" ht="22" spans="2:5">
      <c r="B1284" s="14" t="s">
        <v>176</v>
      </c>
      <c r="C1284" s="14" t="s">
        <v>176</v>
      </c>
      <c r="D1284" s="14" t="s">
        <v>176</v>
      </c>
      <c r="E1284" s="14" t="s">
        <v>176</v>
      </c>
    </row>
    <row r="1285" s="29" customFormat="1" spans="2:5">
      <c r="B1285" s="15" t="s">
        <v>177</v>
      </c>
      <c r="C1285" s="16" t="s">
        <v>178</v>
      </c>
      <c r="D1285" s="17" t="s">
        <v>179</v>
      </c>
      <c r="E1285" s="18" t="s">
        <v>180</v>
      </c>
    </row>
    <row r="1286" s="29" customFormat="1" ht="28" spans="2:5">
      <c r="B1286" s="19" t="s">
        <v>894</v>
      </c>
      <c r="C1286" s="20" t="s">
        <v>804</v>
      </c>
      <c r="D1286" s="21">
        <v>16</v>
      </c>
      <c r="E1286" s="22">
        <v>627027.027026</v>
      </c>
    </row>
    <row r="1287" s="29" customFormat="1" ht="28" spans="2:5">
      <c r="B1287" s="19" t="s">
        <v>894</v>
      </c>
      <c r="C1287" s="16" t="s">
        <v>183</v>
      </c>
      <c r="D1287" s="23">
        <v>42</v>
      </c>
      <c r="E1287" s="24">
        <v>1097297.297295</v>
      </c>
    </row>
    <row r="1288" s="29" customFormat="1" ht="41" spans="2:5">
      <c r="B1288" s="19" t="s">
        <v>321</v>
      </c>
      <c r="C1288" s="20" t="s">
        <v>182</v>
      </c>
      <c r="D1288" s="21">
        <v>20</v>
      </c>
      <c r="E1288" s="22">
        <v>0</v>
      </c>
    </row>
    <row r="1289" s="29" customFormat="1" ht="28" spans="2:5">
      <c r="B1289" s="19" t="s">
        <v>321</v>
      </c>
      <c r="C1289" s="20" t="s">
        <v>804</v>
      </c>
      <c r="D1289" s="21">
        <v>17</v>
      </c>
      <c r="E1289" s="22">
        <v>0</v>
      </c>
    </row>
    <row r="1290" s="29" customFormat="1" ht="28" spans="2:5">
      <c r="B1290" s="19" t="s">
        <v>321</v>
      </c>
      <c r="C1290" s="16" t="s">
        <v>183</v>
      </c>
      <c r="D1290" s="23">
        <v>37</v>
      </c>
      <c r="E1290" s="24">
        <v>0</v>
      </c>
    </row>
    <row r="1291" s="29" customFormat="1" ht="41" spans="2:5">
      <c r="B1291" s="19" t="s">
        <v>322</v>
      </c>
      <c r="C1291" s="20" t="s">
        <v>182</v>
      </c>
      <c r="D1291" s="21">
        <v>110</v>
      </c>
      <c r="E1291" s="22">
        <v>883783.783782</v>
      </c>
    </row>
    <row r="1292" s="29" customFormat="1" ht="28" spans="2:5">
      <c r="B1292" s="19" t="s">
        <v>322</v>
      </c>
      <c r="C1292" s="20" t="s">
        <v>804</v>
      </c>
      <c r="D1292" s="21">
        <v>44</v>
      </c>
      <c r="E1292" s="22">
        <v>392792.792792</v>
      </c>
    </row>
    <row r="1293" s="29" customFormat="1" ht="28" spans="2:5">
      <c r="B1293" s="19" t="s">
        <v>322</v>
      </c>
      <c r="C1293" s="16" t="s">
        <v>183</v>
      </c>
      <c r="D1293" s="23">
        <v>154</v>
      </c>
      <c r="E1293" s="24">
        <v>1276576.576574</v>
      </c>
    </row>
    <row r="1294" s="29" customFormat="1" ht="41" spans="2:5">
      <c r="B1294" s="19" t="s">
        <v>323</v>
      </c>
      <c r="C1294" s="20" t="s">
        <v>182</v>
      </c>
      <c r="D1294" s="21">
        <v>67</v>
      </c>
      <c r="E1294" s="22">
        <v>0</v>
      </c>
    </row>
    <row r="1295" s="29" customFormat="1" ht="28" spans="2:5">
      <c r="B1295" s="19" t="s">
        <v>323</v>
      </c>
      <c r="C1295" s="20" t="s">
        <v>804</v>
      </c>
      <c r="D1295" s="21">
        <v>31</v>
      </c>
      <c r="E1295" s="22">
        <v>0</v>
      </c>
    </row>
    <row r="1296" s="29" customFormat="1" ht="28" spans="2:5">
      <c r="B1296" s="19" t="s">
        <v>323</v>
      </c>
      <c r="C1296" s="16" t="s">
        <v>183</v>
      </c>
      <c r="D1296" s="23">
        <v>98</v>
      </c>
      <c r="E1296" s="24">
        <v>0</v>
      </c>
    </row>
    <row r="1297" s="29" customFormat="1" ht="41" spans="2:5">
      <c r="B1297" s="19" t="s">
        <v>325</v>
      </c>
      <c r="C1297" s="20" t="s">
        <v>182</v>
      </c>
      <c r="D1297" s="21">
        <v>6</v>
      </c>
      <c r="E1297" s="22">
        <v>529729.72973</v>
      </c>
    </row>
    <row r="1298" s="29" customFormat="1" ht="28.75" spans="2:5">
      <c r="B1298" s="19" t="s">
        <v>325</v>
      </c>
      <c r="C1298" s="16" t="s">
        <v>183</v>
      </c>
      <c r="D1298" s="23">
        <v>6</v>
      </c>
      <c r="E1298" s="24">
        <v>529729.72973</v>
      </c>
    </row>
    <row r="1299" s="29" customFormat="1" spans="2:5">
      <c r="B1299" s="25"/>
      <c r="C1299" s="25"/>
      <c r="D1299" s="25"/>
      <c r="E1299" s="25"/>
    </row>
    <row r="1300" s="29" customFormat="1" ht="36" spans="2:5">
      <c r="B1300" s="26" t="s">
        <v>189</v>
      </c>
      <c r="C1300" s="26" t="s">
        <v>189</v>
      </c>
      <c r="D1300" s="26" t="s">
        <v>189</v>
      </c>
      <c r="E1300" s="26" t="s">
        <v>189</v>
      </c>
    </row>
    <row r="1301" s="29" customFormat="1" spans="2:5">
      <c r="B1301" s="26"/>
      <c r="C1301" s="26"/>
      <c r="D1301" s="26"/>
      <c r="E1301" s="26"/>
    </row>
    <row r="1302" s="29" customFormat="1" ht="36" spans="2:5">
      <c r="B1302" s="26" t="s">
        <v>1433</v>
      </c>
      <c r="C1302" s="26" t="s">
        <v>1433</v>
      </c>
      <c r="D1302" s="26" t="s">
        <v>1433</v>
      </c>
      <c r="E1302" s="26" t="s">
        <v>1433</v>
      </c>
    </row>
    <row r="1303" s="29" customFormat="1" spans="2:5">
      <c r="B1303" s="26" t="s">
        <v>1105</v>
      </c>
      <c r="C1303" s="26" t="s">
        <v>1105</v>
      </c>
      <c r="D1303" s="26" t="s">
        <v>1105</v>
      </c>
      <c r="E1303" s="26" t="s">
        <v>1105</v>
      </c>
    </row>
    <row r="1304" s="29" customFormat="1" ht="124" spans="2:5">
      <c r="B1304" s="11" t="s">
        <v>173</v>
      </c>
      <c r="C1304" s="11" t="s">
        <v>173</v>
      </c>
      <c r="D1304" s="11" t="s">
        <v>173</v>
      </c>
      <c r="E1304" s="11" t="s">
        <v>173</v>
      </c>
    </row>
    <row r="1305" s="29" customFormat="1" ht="156" spans="2:5">
      <c r="B1305" s="12" t="s">
        <v>174</v>
      </c>
      <c r="C1305" s="12" t="s">
        <v>174</v>
      </c>
      <c r="D1305" s="12" t="s">
        <v>174</v>
      </c>
      <c r="E1305" s="12" t="s">
        <v>174</v>
      </c>
    </row>
    <row r="1306" s="29" customFormat="1" ht="68" spans="2:5">
      <c r="B1306" s="13" t="s">
        <v>1425</v>
      </c>
      <c r="C1306" s="13" t="s">
        <v>1425</v>
      </c>
      <c r="D1306" s="13" t="s">
        <v>1425</v>
      </c>
      <c r="E1306" s="13" t="s">
        <v>1425</v>
      </c>
    </row>
    <row r="1307" s="29" customFormat="1" ht="22" spans="2:5">
      <c r="B1307" s="14" t="s">
        <v>176</v>
      </c>
      <c r="C1307" s="14" t="s">
        <v>176</v>
      </c>
      <c r="D1307" s="14" t="s">
        <v>176</v>
      </c>
      <c r="E1307" s="14" t="s">
        <v>176</v>
      </c>
    </row>
    <row r="1308" s="29" customFormat="1" spans="2:5">
      <c r="B1308" s="15" t="s">
        <v>177</v>
      </c>
      <c r="C1308" s="16" t="s">
        <v>178</v>
      </c>
      <c r="D1308" s="17" t="s">
        <v>179</v>
      </c>
      <c r="E1308" s="18" t="s">
        <v>180</v>
      </c>
    </row>
    <row r="1309" s="29" customFormat="1" ht="41" spans="2:5">
      <c r="B1309" s="19" t="s">
        <v>895</v>
      </c>
      <c r="C1309" s="20" t="s">
        <v>182</v>
      </c>
      <c r="D1309" s="21">
        <v>6</v>
      </c>
      <c r="E1309" s="22">
        <v>783783.783784</v>
      </c>
    </row>
    <row r="1310" s="29" customFormat="1" ht="28" spans="2:5">
      <c r="B1310" s="19" t="s">
        <v>895</v>
      </c>
      <c r="C1310" s="20" t="s">
        <v>804</v>
      </c>
      <c r="D1310" s="21">
        <v>57</v>
      </c>
      <c r="E1310" s="22">
        <v>7445945.945952</v>
      </c>
    </row>
    <row r="1311" s="29" customFormat="1" ht="28" spans="2:5">
      <c r="B1311" s="19" t="s">
        <v>895</v>
      </c>
      <c r="C1311" s="16" t="s">
        <v>183</v>
      </c>
      <c r="D1311" s="23">
        <v>63</v>
      </c>
      <c r="E1311" s="24">
        <v>8229729.729736</v>
      </c>
    </row>
    <row r="1312" s="29" customFormat="1" ht="41" spans="2:5">
      <c r="B1312" s="19" t="s">
        <v>326</v>
      </c>
      <c r="C1312" s="20" t="s">
        <v>182</v>
      </c>
      <c r="D1312" s="21">
        <v>39</v>
      </c>
      <c r="E1312" s="22">
        <v>3581949.948841</v>
      </c>
    </row>
    <row r="1313" s="29" customFormat="1" ht="28" spans="2:5">
      <c r="B1313" s="19" t="s">
        <v>326</v>
      </c>
      <c r="C1313" s="20" t="s">
        <v>804</v>
      </c>
      <c r="D1313" s="21">
        <v>102</v>
      </c>
      <c r="E1313" s="22">
        <v>11118919.297296</v>
      </c>
    </row>
    <row r="1314" s="29" customFormat="1" ht="28" spans="2:5">
      <c r="B1314" s="19" t="s">
        <v>326</v>
      </c>
      <c r="C1314" s="16" t="s">
        <v>183</v>
      </c>
      <c r="D1314" s="23">
        <v>141</v>
      </c>
      <c r="E1314" s="24">
        <v>14700869.246137</v>
      </c>
    </row>
    <row r="1315" s="29" customFormat="1" ht="41" spans="2:5">
      <c r="B1315" s="19" t="s">
        <v>734</v>
      </c>
      <c r="C1315" s="20" t="s">
        <v>182</v>
      </c>
      <c r="D1315" s="21">
        <v>8</v>
      </c>
      <c r="E1315" s="22">
        <v>3037116.441441</v>
      </c>
    </row>
    <row r="1316" s="29" customFormat="1" ht="28" spans="2:5">
      <c r="B1316" s="19" t="s">
        <v>734</v>
      </c>
      <c r="C1316" s="20" t="s">
        <v>804</v>
      </c>
      <c r="D1316" s="21">
        <v>6</v>
      </c>
      <c r="E1316" s="22">
        <v>2277837.486486</v>
      </c>
    </row>
    <row r="1317" s="29" customFormat="1" ht="28" spans="2:5">
      <c r="B1317" s="19" t="s">
        <v>734</v>
      </c>
      <c r="C1317" s="16" t="s">
        <v>183</v>
      </c>
      <c r="D1317" s="23">
        <v>14</v>
      </c>
      <c r="E1317" s="24">
        <v>5314953.927927</v>
      </c>
    </row>
    <row r="1318" s="29" customFormat="1" ht="41" spans="2:5">
      <c r="B1318" s="19" t="s">
        <v>1538</v>
      </c>
      <c r="C1318" s="20" t="s">
        <v>182</v>
      </c>
      <c r="D1318" s="21">
        <v>2</v>
      </c>
      <c r="E1318" s="22">
        <v>848400</v>
      </c>
    </row>
    <row r="1319" s="29" customFormat="1" ht="28" spans="2:5">
      <c r="B1319" s="19" t="s">
        <v>1538</v>
      </c>
      <c r="C1319" s="16" t="s">
        <v>183</v>
      </c>
      <c r="D1319" s="23">
        <v>2</v>
      </c>
      <c r="E1319" s="24">
        <v>848400</v>
      </c>
    </row>
    <row r="1320" s="29" customFormat="1" ht="41.75" spans="2:5">
      <c r="B1320" s="20" t="s">
        <v>1539</v>
      </c>
      <c r="C1320" s="20" t="s">
        <v>182</v>
      </c>
      <c r="D1320" s="21">
        <v>2</v>
      </c>
      <c r="E1320" s="22">
        <v>964865.297297</v>
      </c>
    </row>
    <row r="1321" s="29" customFormat="1" spans="2:5">
      <c r="B1321" s="25"/>
      <c r="C1321" s="25"/>
      <c r="D1321" s="25"/>
      <c r="E1321" s="25"/>
    </row>
    <row r="1322" s="29" customFormat="1" ht="36" spans="2:5">
      <c r="B1322" s="26" t="s">
        <v>189</v>
      </c>
      <c r="C1322" s="26" t="s">
        <v>189</v>
      </c>
      <c r="D1322" s="26" t="s">
        <v>189</v>
      </c>
      <c r="E1322" s="26" t="s">
        <v>189</v>
      </c>
    </row>
    <row r="1323" s="29" customFormat="1" spans="2:5">
      <c r="B1323" s="26"/>
      <c r="C1323" s="26"/>
      <c r="D1323" s="26"/>
      <c r="E1323" s="26"/>
    </row>
    <row r="1324" s="29" customFormat="1" ht="36" spans="2:5">
      <c r="B1324" s="26" t="s">
        <v>1433</v>
      </c>
      <c r="C1324" s="26" t="s">
        <v>1433</v>
      </c>
      <c r="D1324" s="26" t="s">
        <v>1433</v>
      </c>
      <c r="E1324" s="26" t="s">
        <v>1433</v>
      </c>
    </row>
    <row r="1325" s="29" customFormat="1" spans="2:5">
      <c r="B1325" s="26" t="s">
        <v>1106</v>
      </c>
      <c r="C1325" s="26" t="s">
        <v>1106</v>
      </c>
      <c r="D1325" s="26" t="s">
        <v>1106</v>
      </c>
      <c r="E1325" s="26" t="s">
        <v>1106</v>
      </c>
    </row>
    <row r="1326" s="29" customFormat="1" ht="124" spans="2:5">
      <c r="B1326" s="11" t="s">
        <v>173</v>
      </c>
      <c r="C1326" s="11" t="s">
        <v>173</v>
      </c>
      <c r="D1326" s="11" t="s">
        <v>173</v>
      </c>
      <c r="E1326" s="11" t="s">
        <v>173</v>
      </c>
    </row>
    <row r="1327" s="29" customFormat="1" ht="156" spans="2:5">
      <c r="B1327" s="12" t="s">
        <v>174</v>
      </c>
      <c r="C1327" s="12" t="s">
        <v>174</v>
      </c>
      <c r="D1327" s="12" t="s">
        <v>174</v>
      </c>
      <c r="E1327" s="12" t="s">
        <v>174</v>
      </c>
    </row>
    <row r="1328" s="29" customFormat="1" ht="68" spans="2:5">
      <c r="B1328" s="13" t="s">
        <v>1425</v>
      </c>
      <c r="C1328" s="13" t="s">
        <v>1425</v>
      </c>
      <c r="D1328" s="13" t="s">
        <v>1425</v>
      </c>
      <c r="E1328" s="13" t="s">
        <v>1425</v>
      </c>
    </row>
    <row r="1329" s="29" customFormat="1" ht="22" spans="2:5">
      <c r="B1329" s="14" t="s">
        <v>176</v>
      </c>
      <c r="C1329" s="14" t="s">
        <v>176</v>
      </c>
      <c r="D1329" s="14" t="s">
        <v>176</v>
      </c>
      <c r="E1329" s="14" t="s">
        <v>176</v>
      </c>
    </row>
    <row r="1330" s="29" customFormat="1" spans="2:5">
      <c r="B1330" s="15" t="s">
        <v>177</v>
      </c>
      <c r="C1330" s="16" t="s">
        <v>178</v>
      </c>
      <c r="D1330" s="17" t="s">
        <v>179</v>
      </c>
      <c r="E1330" s="18" t="s">
        <v>180</v>
      </c>
    </row>
    <row r="1331" s="29" customFormat="1" ht="28" spans="2:5">
      <c r="B1331" s="19" t="s">
        <v>1539</v>
      </c>
      <c r="C1331" s="20" t="s">
        <v>804</v>
      </c>
      <c r="D1331" s="21">
        <v>2</v>
      </c>
      <c r="E1331" s="22">
        <v>964864.864865</v>
      </c>
    </row>
    <row r="1332" s="29" customFormat="1" ht="28" spans="2:5">
      <c r="B1332" s="19" t="s">
        <v>1539</v>
      </c>
      <c r="C1332" s="16" t="s">
        <v>183</v>
      </c>
      <c r="D1332" s="23">
        <v>4</v>
      </c>
      <c r="E1332" s="24">
        <v>1929730.162162</v>
      </c>
    </row>
    <row r="1333" s="29" customFormat="1" ht="41" spans="2:5">
      <c r="B1333" s="19" t="s">
        <v>622</v>
      </c>
      <c r="C1333" s="20" t="s">
        <v>182</v>
      </c>
      <c r="D1333" s="21">
        <v>2</v>
      </c>
      <c r="E1333" s="22">
        <v>759279.333333</v>
      </c>
    </row>
    <row r="1334" s="29" customFormat="1" ht="28" spans="2:5">
      <c r="B1334" s="19" t="s">
        <v>622</v>
      </c>
      <c r="C1334" s="20" t="s">
        <v>804</v>
      </c>
      <c r="D1334" s="21">
        <v>2</v>
      </c>
      <c r="E1334" s="22">
        <v>759279.279279</v>
      </c>
    </row>
    <row r="1335" s="29" customFormat="1" ht="28" spans="2:5">
      <c r="B1335" s="19" t="s">
        <v>622</v>
      </c>
      <c r="C1335" s="16" t="s">
        <v>183</v>
      </c>
      <c r="D1335" s="23">
        <v>4</v>
      </c>
      <c r="E1335" s="24">
        <v>1518558.612612</v>
      </c>
    </row>
    <row r="1336" s="29" customFormat="1" ht="28" spans="2:5">
      <c r="B1336" s="19" t="s">
        <v>1540</v>
      </c>
      <c r="C1336" s="20" t="s">
        <v>804</v>
      </c>
      <c r="D1336" s="21">
        <v>2</v>
      </c>
      <c r="E1336" s="22">
        <v>798378.378378</v>
      </c>
    </row>
    <row r="1337" s="29" customFormat="1" ht="28" spans="2:5">
      <c r="B1337" s="19" t="s">
        <v>1540</v>
      </c>
      <c r="C1337" s="16" t="s">
        <v>183</v>
      </c>
      <c r="D1337" s="23">
        <v>2</v>
      </c>
      <c r="E1337" s="24">
        <v>798378.378378</v>
      </c>
    </row>
    <row r="1338" s="29" customFormat="1" ht="28" spans="2:5">
      <c r="B1338" s="19" t="s">
        <v>1310</v>
      </c>
      <c r="C1338" s="20" t="s">
        <v>804</v>
      </c>
      <c r="D1338" s="21">
        <v>2</v>
      </c>
      <c r="E1338" s="22">
        <v>798378.378378</v>
      </c>
    </row>
    <row r="1339" s="29" customFormat="1" ht="28" spans="2:5">
      <c r="B1339" s="19" t="s">
        <v>1310</v>
      </c>
      <c r="C1339" s="16" t="s">
        <v>183</v>
      </c>
      <c r="D1339" s="23">
        <v>2</v>
      </c>
      <c r="E1339" s="24">
        <v>798378.378378</v>
      </c>
    </row>
    <row r="1340" s="29" customFormat="1" ht="28" spans="2:5">
      <c r="B1340" s="19" t="s">
        <v>896</v>
      </c>
      <c r="C1340" s="20" t="s">
        <v>804</v>
      </c>
      <c r="D1340" s="21">
        <v>4</v>
      </c>
      <c r="E1340" s="22">
        <v>1748108.108108</v>
      </c>
    </row>
    <row r="1341" s="29" customFormat="1" ht="28" spans="2:5">
      <c r="B1341" s="19" t="s">
        <v>896</v>
      </c>
      <c r="C1341" s="16" t="s">
        <v>183</v>
      </c>
      <c r="D1341" s="23">
        <v>4</v>
      </c>
      <c r="E1341" s="24">
        <v>1748108.108108</v>
      </c>
    </row>
    <row r="1342" s="29" customFormat="1" ht="28" spans="2:5">
      <c r="B1342" s="19" t="s">
        <v>1311</v>
      </c>
      <c r="C1342" s="20" t="s">
        <v>804</v>
      </c>
      <c r="D1342" s="21">
        <v>2</v>
      </c>
      <c r="E1342" s="22">
        <v>940900.585586</v>
      </c>
    </row>
    <row r="1343" s="29" customFormat="1" ht="28" spans="2:5">
      <c r="B1343" s="19" t="s">
        <v>1311</v>
      </c>
      <c r="C1343" s="16" t="s">
        <v>183</v>
      </c>
      <c r="D1343" s="23">
        <v>2</v>
      </c>
      <c r="E1343" s="24">
        <v>940900.585586</v>
      </c>
    </row>
    <row r="1344" s="29" customFormat="1" ht="41" spans="2:5">
      <c r="B1344" s="19" t="s">
        <v>1541</v>
      </c>
      <c r="C1344" s="20" t="s">
        <v>182</v>
      </c>
      <c r="D1344" s="21">
        <v>2</v>
      </c>
      <c r="E1344" s="22">
        <v>993873.873874</v>
      </c>
    </row>
    <row r="1345" s="29" customFormat="1" ht="28.75" spans="2:5">
      <c r="B1345" s="19" t="s">
        <v>1541</v>
      </c>
      <c r="C1345" s="16" t="s">
        <v>183</v>
      </c>
      <c r="D1345" s="23">
        <v>2</v>
      </c>
      <c r="E1345" s="24">
        <v>993873.873874</v>
      </c>
    </row>
    <row r="1346" s="29" customFormat="1" spans="2:5">
      <c r="B1346" s="25"/>
      <c r="C1346" s="25"/>
      <c r="D1346" s="25"/>
      <c r="E1346" s="25"/>
    </row>
    <row r="1347" s="29" customFormat="1" ht="36" spans="2:5">
      <c r="B1347" s="26" t="s">
        <v>189</v>
      </c>
      <c r="C1347" s="26" t="s">
        <v>189</v>
      </c>
      <c r="D1347" s="26" t="s">
        <v>189</v>
      </c>
      <c r="E1347" s="26" t="s">
        <v>189</v>
      </c>
    </row>
    <row r="1348" s="29" customFormat="1" spans="2:5">
      <c r="B1348" s="26"/>
      <c r="C1348" s="26"/>
      <c r="D1348" s="26"/>
      <c r="E1348" s="26"/>
    </row>
    <row r="1349" s="29" customFormat="1" ht="36" spans="2:5">
      <c r="B1349" s="26" t="s">
        <v>1433</v>
      </c>
      <c r="C1349" s="26" t="s">
        <v>1433</v>
      </c>
      <c r="D1349" s="26" t="s">
        <v>1433</v>
      </c>
      <c r="E1349" s="26" t="s">
        <v>1433</v>
      </c>
    </row>
    <row r="1350" s="29" customFormat="1" spans="2:5">
      <c r="B1350" s="26" t="s">
        <v>1109</v>
      </c>
      <c r="C1350" s="26" t="s">
        <v>1109</v>
      </c>
      <c r="D1350" s="26" t="s">
        <v>1109</v>
      </c>
      <c r="E1350" s="26" t="s">
        <v>1109</v>
      </c>
    </row>
    <row r="1351" s="29" customFormat="1" ht="124" spans="2:5">
      <c r="B1351" s="11" t="s">
        <v>173</v>
      </c>
      <c r="C1351" s="11" t="s">
        <v>173</v>
      </c>
      <c r="D1351" s="11" t="s">
        <v>173</v>
      </c>
      <c r="E1351" s="11" t="s">
        <v>173</v>
      </c>
    </row>
    <row r="1352" s="29" customFormat="1" ht="156" spans="2:5">
      <c r="B1352" s="12" t="s">
        <v>174</v>
      </c>
      <c r="C1352" s="12" t="s">
        <v>174</v>
      </c>
      <c r="D1352" s="12" t="s">
        <v>174</v>
      </c>
      <c r="E1352" s="12" t="s">
        <v>174</v>
      </c>
    </row>
    <row r="1353" s="29" customFormat="1" ht="68" spans="2:5">
      <c r="B1353" s="13" t="s">
        <v>1425</v>
      </c>
      <c r="C1353" s="13" t="s">
        <v>1425</v>
      </c>
      <c r="D1353" s="13" t="s">
        <v>1425</v>
      </c>
      <c r="E1353" s="13" t="s">
        <v>1425</v>
      </c>
    </row>
    <row r="1354" s="29" customFormat="1" ht="22" spans="2:5">
      <c r="B1354" s="14" t="s">
        <v>176</v>
      </c>
      <c r="C1354" s="14" t="s">
        <v>176</v>
      </c>
      <c r="D1354" s="14" t="s">
        <v>176</v>
      </c>
      <c r="E1354" s="14" t="s">
        <v>176</v>
      </c>
    </row>
    <row r="1355" s="29" customFormat="1" spans="2:5">
      <c r="B1355" s="15" t="s">
        <v>177</v>
      </c>
      <c r="C1355" s="16" t="s">
        <v>178</v>
      </c>
      <c r="D1355" s="17" t="s">
        <v>179</v>
      </c>
      <c r="E1355" s="18" t="s">
        <v>180</v>
      </c>
    </row>
    <row r="1356" s="29" customFormat="1" ht="41" spans="2:5">
      <c r="B1356" s="19" t="s">
        <v>735</v>
      </c>
      <c r="C1356" s="20" t="s">
        <v>182</v>
      </c>
      <c r="D1356" s="21">
        <v>2</v>
      </c>
      <c r="E1356" s="22">
        <v>940901</v>
      </c>
    </row>
    <row r="1357" s="29" customFormat="1" ht="28" spans="2:5">
      <c r="B1357" s="19" t="s">
        <v>735</v>
      </c>
      <c r="C1357" s="20" t="s">
        <v>804</v>
      </c>
      <c r="D1357" s="21">
        <v>4</v>
      </c>
      <c r="E1357" s="22">
        <v>1881801.54955</v>
      </c>
    </row>
    <row r="1358" s="29" customFormat="1" ht="28" spans="2:5">
      <c r="B1358" s="19" t="s">
        <v>735</v>
      </c>
      <c r="C1358" s="16" t="s">
        <v>183</v>
      </c>
      <c r="D1358" s="23">
        <v>6</v>
      </c>
      <c r="E1358" s="24">
        <v>2822702.54955</v>
      </c>
    </row>
    <row r="1359" s="29" customFormat="1" ht="41" spans="2:5">
      <c r="B1359" s="19" t="s">
        <v>1542</v>
      </c>
      <c r="C1359" s="20" t="s">
        <v>182</v>
      </c>
      <c r="D1359" s="21">
        <v>2</v>
      </c>
      <c r="E1359" s="22">
        <v>788288</v>
      </c>
    </row>
    <row r="1360" s="29" customFormat="1" ht="28" spans="2:5">
      <c r="B1360" s="19" t="s">
        <v>1542</v>
      </c>
      <c r="C1360" s="16" t="s">
        <v>183</v>
      </c>
      <c r="D1360" s="23">
        <v>2</v>
      </c>
      <c r="E1360" s="24">
        <v>788288</v>
      </c>
    </row>
    <row r="1361" s="29" customFormat="1" ht="41" spans="2:5">
      <c r="B1361" s="19" t="s">
        <v>1543</v>
      </c>
      <c r="C1361" s="20" t="s">
        <v>182</v>
      </c>
      <c r="D1361" s="21">
        <v>2</v>
      </c>
      <c r="E1361" s="22">
        <v>1012792.792793</v>
      </c>
    </row>
    <row r="1362" s="29" customFormat="1" ht="28" spans="2:5">
      <c r="B1362" s="19" t="s">
        <v>1543</v>
      </c>
      <c r="C1362" s="16" t="s">
        <v>183</v>
      </c>
      <c r="D1362" s="23">
        <v>2</v>
      </c>
      <c r="E1362" s="24">
        <v>1012792.792793</v>
      </c>
    </row>
    <row r="1363" s="29" customFormat="1" ht="28" spans="2:5">
      <c r="B1363" s="19" t="s">
        <v>1051</v>
      </c>
      <c r="C1363" s="20" t="s">
        <v>804</v>
      </c>
      <c r="D1363" s="21">
        <v>2</v>
      </c>
      <c r="E1363" s="22">
        <v>940901</v>
      </c>
    </row>
    <row r="1364" s="29" customFormat="1" ht="28" spans="2:5">
      <c r="B1364" s="19" t="s">
        <v>1051</v>
      </c>
      <c r="C1364" s="16" t="s">
        <v>183</v>
      </c>
      <c r="D1364" s="23">
        <v>2</v>
      </c>
      <c r="E1364" s="24">
        <v>940901</v>
      </c>
    </row>
    <row r="1365" s="29" customFormat="1" ht="41" spans="2:5">
      <c r="B1365" s="19" t="s">
        <v>1544</v>
      </c>
      <c r="C1365" s="20" t="s">
        <v>182</v>
      </c>
      <c r="D1365" s="21">
        <v>2</v>
      </c>
      <c r="E1365" s="22">
        <v>759279</v>
      </c>
    </row>
    <row r="1366" s="29" customFormat="1" ht="28" spans="2:5">
      <c r="B1366" s="19" t="s">
        <v>1544</v>
      </c>
      <c r="C1366" s="16" t="s">
        <v>183</v>
      </c>
      <c r="D1366" s="23">
        <v>2</v>
      </c>
      <c r="E1366" s="24">
        <v>759279</v>
      </c>
    </row>
    <row r="1367" s="29" customFormat="1" ht="41" spans="2:5">
      <c r="B1367" s="19" t="s">
        <v>1052</v>
      </c>
      <c r="C1367" s="20" t="s">
        <v>182</v>
      </c>
      <c r="D1367" s="21">
        <v>2</v>
      </c>
      <c r="E1367" s="22">
        <v>901801.801802</v>
      </c>
    </row>
    <row r="1368" s="29" customFormat="1" ht="28" spans="2:5">
      <c r="B1368" s="19" t="s">
        <v>1052</v>
      </c>
      <c r="C1368" s="20" t="s">
        <v>804</v>
      </c>
      <c r="D1368" s="21">
        <v>2</v>
      </c>
      <c r="E1368" s="22">
        <v>901801.801802</v>
      </c>
    </row>
    <row r="1369" s="29" customFormat="1" ht="28.75" spans="2:5">
      <c r="B1369" s="19" t="s">
        <v>1052</v>
      </c>
      <c r="C1369" s="16" t="s">
        <v>183</v>
      </c>
      <c r="D1369" s="23">
        <v>4</v>
      </c>
      <c r="E1369" s="24">
        <v>1803603.603604</v>
      </c>
    </row>
    <row r="1370" s="29" customFormat="1" spans="2:5">
      <c r="B1370" s="25"/>
      <c r="C1370" s="25"/>
      <c r="D1370" s="25"/>
      <c r="E1370" s="25"/>
    </row>
    <row r="1371" s="29" customFormat="1" ht="36" spans="2:5">
      <c r="B1371" s="26" t="s">
        <v>189</v>
      </c>
      <c r="C1371" s="26" t="s">
        <v>189</v>
      </c>
      <c r="D1371" s="26" t="s">
        <v>189</v>
      </c>
      <c r="E1371" s="26" t="s">
        <v>189</v>
      </c>
    </row>
    <row r="1372" s="29" customFormat="1" spans="2:5">
      <c r="B1372" s="26"/>
      <c r="C1372" s="26"/>
      <c r="D1372" s="26"/>
      <c r="E1372" s="26"/>
    </row>
    <row r="1373" s="29" customFormat="1" ht="36" spans="2:5">
      <c r="B1373" s="26" t="s">
        <v>1433</v>
      </c>
      <c r="C1373" s="26" t="s">
        <v>1433</v>
      </c>
      <c r="D1373" s="26" t="s">
        <v>1433</v>
      </c>
      <c r="E1373" s="26" t="s">
        <v>1433</v>
      </c>
    </row>
    <row r="1374" s="29" customFormat="1" spans="2:5">
      <c r="B1374" s="26" t="s">
        <v>1117</v>
      </c>
      <c r="C1374" s="26" t="s">
        <v>1117</v>
      </c>
      <c r="D1374" s="26" t="s">
        <v>1117</v>
      </c>
      <c r="E1374" s="26" t="s">
        <v>1117</v>
      </c>
    </row>
    <row r="1375" s="29" customFormat="1" ht="124" spans="2:5">
      <c r="B1375" s="11" t="s">
        <v>173</v>
      </c>
      <c r="C1375" s="11" t="s">
        <v>173</v>
      </c>
      <c r="D1375" s="11" t="s">
        <v>173</v>
      </c>
      <c r="E1375" s="11" t="s">
        <v>173</v>
      </c>
    </row>
    <row r="1376" s="29" customFormat="1" ht="156" spans="2:5">
      <c r="B1376" s="12" t="s">
        <v>174</v>
      </c>
      <c r="C1376" s="12" t="s">
        <v>174</v>
      </c>
      <c r="D1376" s="12" t="s">
        <v>174</v>
      </c>
      <c r="E1376" s="12" t="s">
        <v>174</v>
      </c>
    </row>
    <row r="1377" s="29" customFormat="1" ht="68" spans="2:5">
      <c r="B1377" s="13" t="s">
        <v>1425</v>
      </c>
      <c r="C1377" s="13" t="s">
        <v>1425</v>
      </c>
      <c r="D1377" s="13" t="s">
        <v>1425</v>
      </c>
      <c r="E1377" s="13" t="s">
        <v>1425</v>
      </c>
    </row>
    <row r="1378" s="29" customFormat="1" ht="22" spans="2:5">
      <c r="B1378" s="14" t="s">
        <v>176</v>
      </c>
      <c r="C1378" s="14" t="s">
        <v>176</v>
      </c>
      <c r="D1378" s="14" t="s">
        <v>176</v>
      </c>
      <c r="E1378" s="14" t="s">
        <v>176</v>
      </c>
    </row>
    <row r="1379" s="29" customFormat="1" spans="2:5">
      <c r="B1379" s="15" t="s">
        <v>177</v>
      </c>
      <c r="C1379" s="16" t="s">
        <v>178</v>
      </c>
      <c r="D1379" s="17" t="s">
        <v>179</v>
      </c>
      <c r="E1379" s="18" t="s">
        <v>180</v>
      </c>
    </row>
    <row r="1380" s="29" customFormat="1" ht="41" spans="2:5">
      <c r="B1380" s="19" t="s">
        <v>461</v>
      </c>
      <c r="C1380" s="20" t="s">
        <v>182</v>
      </c>
      <c r="D1380" s="21">
        <v>2</v>
      </c>
      <c r="E1380" s="22">
        <v>759279.198198</v>
      </c>
    </row>
    <row r="1381" s="29" customFormat="1" ht="28" spans="2:5">
      <c r="B1381" s="19" t="s">
        <v>461</v>
      </c>
      <c r="C1381" s="20" t="s">
        <v>804</v>
      </c>
      <c r="D1381" s="21">
        <v>2</v>
      </c>
      <c r="E1381" s="22">
        <v>759279.279279</v>
      </c>
    </row>
    <row r="1382" s="29" customFormat="1" ht="28" spans="2:5">
      <c r="B1382" s="19" t="s">
        <v>461</v>
      </c>
      <c r="C1382" s="16" t="s">
        <v>183</v>
      </c>
      <c r="D1382" s="23">
        <v>4</v>
      </c>
      <c r="E1382" s="24">
        <v>1518558.477477</v>
      </c>
    </row>
    <row r="1383" s="29" customFormat="1" ht="28" spans="2:5">
      <c r="B1383" s="19" t="s">
        <v>1314</v>
      </c>
      <c r="C1383" s="20" t="s">
        <v>804</v>
      </c>
      <c r="D1383" s="21">
        <v>2</v>
      </c>
      <c r="E1383" s="22">
        <v>945945.945946</v>
      </c>
    </row>
    <row r="1384" s="29" customFormat="1" ht="28" spans="2:5">
      <c r="B1384" s="19" t="s">
        <v>1314</v>
      </c>
      <c r="C1384" s="16" t="s">
        <v>183</v>
      </c>
      <c r="D1384" s="23">
        <v>2</v>
      </c>
      <c r="E1384" s="24">
        <v>945945.945946</v>
      </c>
    </row>
    <row r="1385" s="29" customFormat="1" ht="41" spans="2:5">
      <c r="B1385" s="19" t="s">
        <v>1053</v>
      </c>
      <c r="C1385" s="20" t="s">
        <v>182</v>
      </c>
      <c r="D1385" s="21">
        <v>2</v>
      </c>
      <c r="E1385" s="22">
        <v>826126.126126</v>
      </c>
    </row>
    <row r="1386" s="29" customFormat="1" ht="28" spans="2:5">
      <c r="B1386" s="19" t="s">
        <v>1053</v>
      </c>
      <c r="C1386" s="16" t="s">
        <v>183</v>
      </c>
      <c r="D1386" s="23">
        <v>2</v>
      </c>
      <c r="E1386" s="24">
        <v>826126.126126</v>
      </c>
    </row>
    <row r="1387" s="29" customFormat="1" ht="28" spans="2:5">
      <c r="B1387" s="19" t="s">
        <v>1054</v>
      </c>
      <c r="C1387" s="20" t="s">
        <v>804</v>
      </c>
      <c r="D1387" s="21">
        <v>2</v>
      </c>
      <c r="E1387" s="22">
        <v>993873.873874</v>
      </c>
    </row>
    <row r="1388" s="29" customFormat="1" ht="28" spans="2:5">
      <c r="B1388" s="19" t="s">
        <v>1054</v>
      </c>
      <c r="C1388" s="16" t="s">
        <v>183</v>
      </c>
      <c r="D1388" s="23">
        <v>2</v>
      </c>
      <c r="E1388" s="24">
        <v>993873.873874</v>
      </c>
    </row>
    <row r="1389" s="29" customFormat="1" ht="28" spans="2:5">
      <c r="B1389" s="19" t="s">
        <v>1545</v>
      </c>
      <c r="C1389" s="20" t="s">
        <v>804</v>
      </c>
      <c r="D1389" s="21">
        <v>2</v>
      </c>
      <c r="E1389" s="22">
        <v>930810.810811</v>
      </c>
    </row>
    <row r="1390" s="29" customFormat="1" ht="28" spans="2:5">
      <c r="B1390" s="19" t="s">
        <v>1545</v>
      </c>
      <c r="C1390" s="16" t="s">
        <v>183</v>
      </c>
      <c r="D1390" s="23">
        <v>2</v>
      </c>
      <c r="E1390" s="24">
        <v>930810.810811</v>
      </c>
    </row>
    <row r="1391" s="29" customFormat="1" ht="41" spans="2:5">
      <c r="B1391" s="19" t="s">
        <v>1055</v>
      </c>
      <c r="C1391" s="20" t="s">
        <v>182</v>
      </c>
      <c r="D1391" s="21">
        <v>2</v>
      </c>
      <c r="E1391" s="22">
        <v>1090297.405405</v>
      </c>
    </row>
    <row r="1392" s="29" customFormat="1" ht="28" spans="2:5">
      <c r="B1392" s="19" t="s">
        <v>1055</v>
      </c>
      <c r="C1392" s="16" t="s">
        <v>183</v>
      </c>
      <c r="D1392" s="23">
        <v>2</v>
      </c>
      <c r="E1392" s="24">
        <v>1090297.405405</v>
      </c>
    </row>
    <row r="1393" s="29" customFormat="1" ht="41" spans="2:5">
      <c r="B1393" s="19" t="s">
        <v>1056</v>
      </c>
      <c r="C1393" s="20" t="s">
        <v>182</v>
      </c>
      <c r="D1393" s="21">
        <v>2</v>
      </c>
      <c r="E1393" s="22">
        <v>1090297.297297</v>
      </c>
    </row>
    <row r="1394" s="29" customFormat="1" ht="28.75" spans="2:5">
      <c r="B1394" s="19" t="s">
        <v>1056</v>
      </c>
      <c r="C1394" s="16" t="s">
        <v>183</v>
      </c>
      <c r="D1394" s="23">
        <v>2</v>
      </c>
      <c r="E1394" s="24">
        <v>1090297.297297</v>
      </c>
    </row>
    <row r="1395" s="29" customFormat="1" spans="2:5">
      <c r="B1395" s="25"/>
      <c r="C1395" s="25"/>
      <c r="D1395" s="25"/>
      <c r="E1395" s="25"/>
    </row>
    <row r="1396" s="29" customFormat="1" ht="36" spans="2:5">
      <c r="B1396" s="26" t="s">
        <v>189</v>
      </c>
      <c r="C1396" s="26" t="s">
        <v>189</v>
      </c>
      <c r="D1396" s="26" t="s">
        <v>189</v>
      </c>
      <c r="E1396" s="26" t="s">
        <v>189</v>
      </c>
    </row>
    <row r="1397" s="29" customFormat="1" spans="2:5">
      <c r="B1397" s="26"/>
      <c r="C1397" s="26"/>
      <c r="D1397" s="26"/>
      <c r="E1397" s="26"/>
    </row>
    <row r="1398" s="29" customFormat="1" ht="36" spans="2:5">
      <c r="B1398" s="26" t="s">
        <v>1433</v>
      </c>
      <c r="C1398" s="26" t="s">
        <v>1433</v>
      </c>
      <c r="D1398" s="26" t="s">
        <v>1433</v>
      </c>
      <c r="E1398" s="26" t="s">
        <v>1433</v>
      </c>
    </row>
    <row r="1399" s="29" customFormat="1" spans="2:5">
      <c r="B1399" s="26" t="s">
        <v>1121</v>
      </c>
      <c r="C1399" s="26" t="s">
        <v>1121</v>
      </c>
      <c r="D1399" s="26" t="s">
        <v>1121</v>
      </c>
      <c r="E1399" s="26" t="s">
        <v>1121</v>
      </c>
    </row>
    <row r="1400" s="29" customFormat="1" ht="124" spans="2:5">
      <c r="B1400" s="11" t="s">
        <v>173</v>
      </c>
      <c r="C1400" s="11" t="s">
        <v>173</v>
      </c>
      <c r="D1400" s="11" t="s">
        <v>173</v>
      </c>
      <c r="E1400" s="11" t="s">
        <v>173</v>
      </c>
    </row>
    <row r="1401" s="29" customFormat="1" ht="156" spans="2:5">
      <c r="B1401" s="12" t="s">
        <v>174</v>
      </c>
      <c r="C1401" s="12" t="s">
        <v>174</v>
      </c>
      <c r="D1401" s="12" t="s">
        <v>174</v>
      </c>
      <c r="E1401" s="12" t="s">
        <v>174</v>
      </c>
    </row>
    <row r="1402" s="29" customFormat="1" ht="68" spans="2:5">
      <c r="B1402" s="13" t="s">
        <v>1425</v>
      </c>
      <c r="C1402" s="13" t="s">
        <v>1425</v>
      </c>
      <c r="D1402" s="13" t="s">
        <v>1425</v>
      </c>
      <c r="E1402" s="13" t="s">
        <v>1425</v>
      </c>
    </row>
    <row r="1403" s="29" customFormat="1" ht="22" spans="2:5">
      <c r="B1403" s="14" t="s">
        <v>176</v>
      </c>
      <c r="C1403" s="14" t="s">
        <v>176</v>
      </c>
      <c r="D1403" s="14" t="s">
        <v>176</v>
      </c>
      <c r="E1403" s="14" t="s">
        <v>176</v>
      </c>
    </row>
    <row r="1404" s="29" customFormat="1" spans="2:5">
      <c r="B1404" s="15" t="s">
        <v>177</v>
      </c>
      <c r="C1404" s="16" t="s">
        <v>178</v>
      </c>
      <c r="D1404" s="17" t="s">
        <v>179</v>
      </c>
      <c r="E1404" s="18" t="s">
        <v>180</v>
      </c>
    </row>
    <row r="1405" s="29" customFormat="1" ht="41" spans="2:5">
      <c r="B1405" s="19" t="s">
        <v>736</v>
      </c>
      <c r="C1405" s="20" t="s">
        <v>182</v>
      </c>
      <c r="D1405" s="21">
        <v>4</v>
      </c>
      <c r="E1405" s="22">
        <v>2120167.576577</v>
      </c>
    </row>
    <row r="1406" s="29" customFormat="1" ht="28" spans="2:5">
      <c r="B1406" s="19" t="s">
        <v>736</v>
      </c>
      <c r="C1406" s="20" t="s">
        <v>804</v>
      </c>
      <c r="D1406" s="21">
        <v>3</v>
      </c>
      <c r="E1406" s="22">
        <v>1547568.747747</v>
      </c>
    </row>
    <row r="1407" s="29" customFormat="1" ht="28" spans="2:5">
      <c r="B1407" s="19" t="s">
        <v>736</v>
      </c>
      <c r="C1407" s="16" t="s">
        <v>183</v>
      </c>
      <c r="D1407" s="23">
        <v>7</v>
      </c>
      <c r="E1407" s="24">
        <v>3667736.324324</v>
      </c>
    </row>
    <row r="1408" s="29" customFormat="1" ht="41" spans="2:5">
      <c r="B1408" s="19" t="s">
        <v>737</v>
      </c>
      <c r="C1408" s="20" t="s">
        <v>182</v>
      </c>
      <c r="D1408" s="21">
        <v>4</v>
      </c>
      <c r="E1408" s="22">
        <v>2120167.567568</v>
      </c>
    </row>
    <row r="1409" s="29" customFormat="1" ht="28" spans="2:5">
      <c r="B1409" s="19" t="s">
        <v>737</v>
      </c>
      <c r="C1409" s="20" t="s">
        <v>804</v>
      </c>
      <c r="D1409" s="21">
        <v>3</v>
      </c>
      <c r="E1409" s="22">
        <v>1547567.567568</v>
      </c>
    </row>
    <row r="1410" s="29" customFormat="1" ht="28" spans="2:5">
      <c r="B1410" s="19" t="s">
        <v>737</v>
      </c>
      <c r="C1410" s="16" t="s">
        <v>183</v>
      </c>
      <c r="D1410" s="23">
        <v>7</v>
      </c>
      <c r="E1410" s="24">
        <v>3667735.135136</v>
      </c>
    </row>
    <row r="1411" s="29" customFormat="1" ht="41" spans="2:5">
      <c r="B1411" s="19" t="s">
        <v>1546</v>
      </c>
      <c r="C1411" s="20" t="s">
        <v>182</v>
      </c>
      <c r="D1411" s="21">
        <v>2</v>
      </c>
      <c r="E1411" s="22">
        <v>1017932.567568</v>
      </c>
    </row>
    <row r="1412" s="29" customFormat="1" ht="28" spans="2:5">
      <c r="B1412" s="19" t="s">
        <v>1546</v>
      </c>
      <c r="C1412" s="16" t="s">
        <v>183</v>
      </c>
      <c r="D1412" s="23">
        <v>2</v>
      </c>
      <c r="E1412" s="24">
        <v>1017932.567568</v>
      </c>
    </row>
    <row r="1413" s="29" customFormat="1" ht="41" spans="2:5">
      <c r="B1413" s="19" t="s">
        <v>1547</v>
      </c>
      <c r="C1413" s="20" t="s">
        <v>182</v>
      </c>
      <c r="D1413" s="21">
        <v>2</v>
      </c>
      <c r="E1413" s="22">
        <v>1017932.432432</v>
      </c>
    </row>
    <row r="1414" s="29" customFormat="1" ht="28" spans="2:5">
      <c r="B1414" s="19" t="s">
        <v>1547</v>
      </c>
      <c r="C1414" s="16" t="s">
        <v>183</v>
      </c>
      <c r="D1414" s="23">
        <v>2</v>
      </c>
      <c r="E1414" s="24">
        <v>1017932.432432</v>
      </c>
    </row>
    <row r="1415" s="29" customFormat="1" ht="28" spans="2:5">
      <c r="B1415" s="19" t="s">
        <v>1548</v>
      </c>
      <c r="C1415" s="20" t="s">
        <v>804</v>
      </c>
      <c r="D1415" s="21">
        <v>1</v>
      </c>
      <c r="E1415" s="22">
        <v>539188.810811</v>
      </c>
    </row>
    <row r="1416" s="29" customFormat="1" ht="28" spans="2:5">
      <c r="B1416" s="19" t="s">
        <v>1548</v>
      </c>
      <c r="C1416" s="16" t="s">
        <v>183</v>
      </c>
      <c r="D1416" s="23">
        <v>1</v>
      </c>
      <c r="E1416" s="24">
        <v>539188.810811</v>
      </c>
    </row>
    <row r="1417" s="29" customFormat="1" ht="28" spans="2:5">
      <c r="B1417" s="19" t="s">
        <v>1549</v>
      </c>
      <c r="C1417" s="20" t="s">
        <v>804</v>
      </c>
      <c r="D1417" s="21">
        <v>1</v>
      </c>
      <c r="E1417" s="22">
        <v>539189.189189</v>
      </c>
    </row>
    <row r="1418" s="29" customFormat="1" ht="28.75" spans="2:5">
      <c r="B1418" s="19" t="s">
        <v>1549</v>
      </c>
      <c r="C1418" s="16" t="s">
        <v>183</v>
      </c>
      <c r="D1418" s="23">
        <v>1</v>
      </c>
      <c r="E1418" s="24">
        <v>539189.189189</v>
      </c>
    </row>
    <row r="1419" s="29" customFormat="1" spans="2:5">
      <c r="B1419" s="25"/>
      <c r="C1419" s="25"/>
      <c r="D1419" s="25"/>
      <c r="E1419" s="25"/>
    </row>
    <row r="1420" s="29" customFormat="1" ht="36" spans="2:5">
      <c r="B1420" s="26" t="s">
        <v>189</v>
      </c>
      <c r="C1420" s="26" t="s">
        <v>189</v>
      </c>
      <c r="D1420" s="26" t="s">
        <v>189</v>
      </c>
      <c r="E1420" s="26" t="s">
        <v>189</v>
      </c>
    </row>
    <row r="1421" s="29" customFormat="1" spans="2:5">
      <c r="B1421" s="26"/>
      <c r="C1421" s="26"/>
      <c r="D1421" s="26"/>
      <c r="E1421" s="26"/>
    </row>
    <row r="1422" s="29" customFormat="1" ht="36" spans="2:5">
      <c r="B1422" s="26" t="s">
        <v>1433</v>
      </c>
      <c r="C1422" s="26" t="s">
        <v>1433</v>
      </c>
      <c r="D1422" s="26" t="s">
        <v>1433</v>
      </c>
      <c r="E1422" s="26" t="s">
        <v>1433</v>
      </c>
    </row>
    <row r="1423" s="29" customFormat="1" spans="2:5">
      <c r="B1423" s="26" t="s">
        <v>1129</v>
      </c>
      <c r="C1423" s="26" t="s">
        <v>1129</v>
      </c>
      <c r="D1423" s="26" t="s">
        <v>1129</v>
      </c>
      <c r="E1423" s="26" t="s">
        <v>1129</v>
      </c>
    </row>
    <row r="1424" s="29" customFormat="1" ht="124" spans="2:5">
      <c r="B1424" s="11" t="s">
        <v>173</v>
      </c>
      <c r="C1424" s="11" t="s">
        <v>173</v>
      </c>
      <c r="D1424" s="11" t="s">
        <v>173</v>
      </c>
      <c r="E1424" s="11" t="s">
        <v>173</v>
      </c>
    </row>
    <row r="1425" s="29" customFormat="1" ht="156" spans="2:5">
      <c r="B1425" s="12" t="s">
        <v>174</v>
      </c>
      <c r="C1425" s="12" t="s">
        <v>174</v>
      </c>
      <c r="D1425" s="12" t="s">
        <v>174</v>
      </c>
      <c r="E1425" s="12" t="s">
        <v>174</v>
      </c>
    </row>
    <row r="1426" s="29" customFormat="1" ht="68" spans="2:5">
      <c r="B1426" s="13" t="s">
        <v>1425</v>
      </c>
      <c r="C1426" s="13" t="s">
        <v>1425</v>
      </c>
      <c r="D1426" s="13" t="s">
        <v>1425</v>
      </c>
      <c r="E1426" s="13" t="s">
        <v>1425</v>
      </c>
    </row>
    <row r="1427" s="29" customFormat="1" ht="22" spans="2:5">
      <c r="B1427" s="14" t="s">
        <v>176</v>
      </c>
      <c r="C1427" s="14" t="s">
        <v>176</v>
      </c>
      <c r="D1427" s="14" t="s">
        <v>176</v>
      </c>
      <c r="E1427" s="14" t="s">
        <v>176</v>
      </c>
    </row>
    <row r="1428" s="29" customFormat="1" spans="2:5">
      <c r="B1428" s="15" t="s">
        <v>177</v>
      </c>
      <c r="C1428" s="16" t="s">
        <v>178</v>
      </c>
      <c r="D1428" s="17" t="s">
        <v>179</v>
      </c>
      <c r="E1428" s="18" t="s">
        <v>180</v>
      </c>
    </row>
    <row r="1429" s="29" customFormat="1" ht="41" spans="2:5">
      <c r="B1429" s="19" t="s">
        <v>899</v>
      </c>
      <c r="C1429" s="20" t="s">
        <v>182</v>
      </c>
      <c r="D1429" s="21">
        <v>1</v>
      </c>
      <c r="E1429" s="22">
        <v>462252.747748</v>
      </c>
    </row>
    <row r="1430" s="29" customFormat="1" ht="28" spans="2:5">
      <c r="B1430" s="19" t="s">
        <v>899</v>
      </c>
      <c r="C1430" s="16" t="s">
        <v>183</v>
      </c>
      <c r="D1430" s="23">
        <v>1</v>
      </c>
      <c r="E1430" s="24">
        <v>462252.747748</v>
      </c>
    </row>
    <row r="1431" s="29" customFormat="1" ht="41" spans="2:5">
      <c r="B1431" s="19" t="s">
        <v>900</v>
      </c>
      <c r="C1431" s="20" t="s">
        <v>182</v>
      </c>
      <c r="D1431" s="21">
        <v>1</v>
      </c>
      <c r="E1431" s="22">
        <v>462252.252252</v>
      </c>
    </row>
    <row r="1432" s="29" customFormat="1" ht="28" spans="2:5">
      <c r="B1432" s="19" t="s">
        <v>900</v>
      </c>
      <c r="C1432" s="16" t="s">
        <v>183</v>
      </c>
      <c r="D1432" s="23">
        <v>1</v>
      </c>
      <c r="E1432" s="24">
        <v>462252.252252</v>
      </c>
    </row>
    <row r="1433" s="29" customFormat="1" ht="41" spans="2:5">
      <c r="B1433" s="19" t="s">
        <v>1316</v>
      </c>
      <c r="C1433" s="20" t="s">
        <v>182</v>
      </c>
      <c r="D1433" s="21">
        <v>2</v>
      </c>
      <c r="E1433" s="22">
        <v>1141441.540541</v>
      </c>
    </row>
    <row r="1434" s="29" customFormat="1" ht="28" spans="2:5">
      <c r="B1434" s="19" t="s">
        <v>1316</v>
      </c>
      <c r="C1434" s="16" t="s">
        <v>183</v>
      </c>
      <c r="D1434" s="23">
        <v>2</v>
      </c>
      <c r="E1434" s="24">
        <v>1141441.540541</v>
      </c>
    </row>
    <row r="1435" s="29" customFormat="1" ht="41" spans="2:5">
      <c r="B1435" s="19" t="s">
        <v>520</v>
      </c>
      <c r="C1435" s="20" t="s">
        <v>182</v>
      </c>
      <c r="D1435" s="21">
        <v>1</v>
      </c>
      <c r="E1435" s="22">
        <v>570720.720721</v>
      </c>
    </row>
    <row r="1436" s="29" customFormat="1" ht="28" spans="2:5">
      <c r="B1436" s="19" t="s">
        <v>520</v>
      </c>
      <c r="C1436" s="20" t="s">
        <v>804</v>
      </c>
      <c r="D1436" s="21">
        <v>1</v>
      </c>
      <c r="E1436" s="22">
        <v>570720.279279</v>
      </c>
    </row>
    <row r="1437" s="29" customFormat="1" ht="28" spans="2:5">
      <c r="B1437" s="19" t="s">
        <v>520</v>
      </c>
      <c r="C1437" s="16" t="s">
        <v>183</v>
      </c>
      <c r="D1437" s="23">
        <v>2</v>
      </c>
      <c r="E1437" s="24">
        <v>1141441</v>
      </c>
    </row>
    <row r="1438" s="29" customFormat="1" ht="41" spans="2:5">
      <c r="B1438" s="19" t="s">
        <v>1317</v>
      </c>
      <c r="C1438" s="20" t="s">
        <v>182</v>
      </c>
      <c r="D1438" s="21">
        <v>1</v>
      </c>
      <c r="E1438" s="22">
        <v>570720.720721</v>
      </c>
    </row>
    <row r="1439" s="29" customFormat="1" ht="28" spans="2:5">
      <c r="B1439" s="19" t="s">
        <v>1317</v>
      </c>
      <c r="C1439" s="20" t="s">
        <v>804</v>
      </c>
      <c r="D1439" s="21">
        <v>1</v>
      </c>
      <c r="E1439" s="22">
        <v>570720.720721</v>
      </c>
    </row>
    <row r="1440" s="29" customFormat="1" ht="28" spans="2:5">
      <c r="B1440" s="19" t="s">
        <v>1317</v>
      </c>
      <c r="C1440" s="16" t="s">
        <v>183</v>
      </c>
      <c r="D1440" s="23">
        <v>2</v>
      </c>
      <c r="E1440" s="24">
        <v>1141441.441442</v>
      </c>
    </row>
    <row r="1441" s="29" customFormat="1" ht="28" spans="2:5">
      <c r="B1441" s="19" t="s">
        <v>1550</v>
      </c>
      <c r="C1441" s="20" t="s">
        <v>804</v>
      </c>
      <c r="D1441" s="21">
        <v>2</v>
      </c>
      <c r="E1441" s="22">
        <v>1141440.981982</v>
      </c>
    </row>
    <row r="1442" s="29" customFormat="1" ht="28.75" spans="2:5">
      <c r="B1442" s="19" t="s">
        <v>1550</v>
      </c>
      <c r="C1442" s="16" t="s">
        <v>183</v>
      </c>
      <c r="D1442" s="23">
        <v>2</v>
      </c>
      <c r="E1442" s="24">
        <v>1141440.981982</v>
      </c>
    </row>
    <row r="1443" s="29" customFormat="1" spans="2:5">
      <c r="B1443" s="25"/>
      <c r="C1443" s="25"/>
      <c r="D1443" s="25"/>
      <c r="E1443" s="25"/>
    </row>
    <row r="1444" s="29" customFormat="1" ht="36" spans="2:5">
      <c r="B1444" s="26" t="s">
        <v>189</v>
      </c>
      <c r="C1444" s="26" t="s">
        <v>189</v>
      </c>
      <c r="D1444" s="26" t="s">
        <v>189</v>
      </c>
      <c r="E1444" s="26" t="s">
        <v>189</v>
      </c>
    </row>
    <row r="1445" s="29" customFormat="1" spans="2:5">
      <c r="B1445" s="26"/>
      <c r="C1445" s="26"/>
      <c r="D1445" s="26"/>
      <c r="E1445" s="26"/>
    </row>
    <row r="1446" s="29" customFormat="1" ht="36" spans="2:5">
      <c r="B1446" s="26" t="s">
        <v>1433</v>
      </c>
      <c r="C1446" s="26" t="s">
        <v>1433</v>
      </c>
      <c r="D1446" s="26" t="s">
        <v>1433</v>
      </c>
      <c r="E1446" s="26" t="s">
        <v>1433</v>
      </c>
    </row>
    <row r="1447" s="29" customFormat="1" spans="2:5">
      <c r="B1447" s="26" t="s">
        <v>1137</v>
      </c>
      <c r="C1447" s="26" t="s">
        <v>1137</v>
      </c>
      <c r="D1447" s="26" t="s">
        <v>1137</v>
      </c>
      <c r="E1447" s="26" t="s">
        <v>1137</v>
      </c>
    </row>
    <row r="1448" s="29" customFormat="1" ht="124" spans="2:5">
      <c r="B1448" s="11" t="s">
        <v>173</v>
      </c>
      <c r="C1448" s="11" t="s">
        <v>173</v>
      </c>
      <c r="D1448" s="11" t="s">
        <v>173</v>
      </c>
      <c r="E1448" s="11" t="s">
        <v>173</v>
      </c>
    </row>
    <row r="1449" s="29" customFormat="1" ht="156" spans="2:5">
      <c r="B1449" s="12" t="s">
        <v>174</v>
      </c>
      <c r="C1449" s="12" t="s">
        <v>174</v>
      </c>
      <c r="D1449" s="12" t="s">
        <v>174</v>
      </c>
      <c r="E1449" s="12" t="s">
        <v>174</v>
      </c>
    </row>
    <row r="1450" s="29" customFormat="1" ht="68" spans="2:5">
      <c r="B1450" s="13" t="s">
        <v>1425</v>
      </c>
      <c r="C1450" s="13" t="s">
        <v>1425</v>
      </c>
      <c r="D1450" s="13" t="s">
        <v>1425</v>
      </c>
      <c r="E1450" s="13" t="s">
        <v>1425</v>
      </c>
    </row>
    <row r="1451" s="29" customFormat="1" ht="22" spans="2:5">
      <c r="B1451" s="14" t="s">
        <v>176</v>
      </c>
      <c r="C1451" s="14" t="s">
        <v>176</v>
      </c>
      <c r="D1451" s="14" t="s">
        <v>176</v>
      </c>
      <c r="E1451" s="14" t="s">
        <v>176</v>
      </c>
    </row>
    <row r="1452" s="29" customFormat="1" spans="2:5">
      <c r="B1452" s="15" t="s">
        <v>177</v>
      </c>
      <c r="C1452" s="16" t="s">
        <v>178</v>
      </c>
      <c r="D1452" s="17" t="s">
        <v>179</v>
      </c>
      <c r="E1452" s="18" t="s">
        <v>180</v>
      </c>
    </row>
    <row r="1453" s="29" customFormat="1" ht="41" spans="2:5">
      <c r="B1453" s="19" t="s">
        <v>1057</v>
      </c>
      <c r="C1453" s="20" t="s">
        <v>182</v>
      </c>
      <c r="D1453" s="21">
        <v>1</v>
      </c>
      <c r="E1453" s="22">
        <v>575134.864865</v>
      </c>
    </row>
    <row r="1454" s="29" customFormat="1" ht="28" spans="2:5">
      <c r="B1454" s="19" t="s">
        <v>1057</v>
      </c>
      <c r="C1454" s="16" t="s">
        <v>183</v>
      </c>
      <c r="D1454" s="23">
        <v>1</v>
      </c>
      <c r="E1454" s="24">
        <v>575134.864865</v>
      </c>
    </row>
    <row r="1455" s="29" customFormat="1" ht="41" spans="2:5">
      <c r="B1455" s="19" t="s">
        <v>1058</v>
      </c>
      <c r="C1455" s="20" t="s">
        <v>182</v>
      </c>
      <c r="D1455" s="21">
        <v>1</v>
      </c>
      <c r="E1455" s="22">
        <v>575135.135135</v>
      </c>
    </row>
    <row r="1456" s="29" customFormat="1" ht="28" spans="2:5">
      <c r="B1456" s="19" t="s">
        <v>1058</v>
      </c>
      <c r="C1456" s="16" t="s">
        <v>183</v>
      </c>
      <c r="D1456" s="23">
        <v>1</v>
      </c>
      <c r="E1456" s="24">
        <v>575135.135135</v>
      </c>
    </row>
    <row r="1457" s="29" customFormat="1" ht="28" spans="2:5">
      <c r="B1457" s="19" t="s">
        <v>901</v>
      </c>
      <c r="C1457" s="20" t="s">
        <v>804</v>
      </c>
      <c r="D1457" s="21">
        <v>2</v>
      </c>
      <c r="E1457" s="22">
        <v>1256216.216216</v>
      </c>
    </row>
    <row r="1458" s="29" customFormat="1" ht="28" spans="2:5">
      <c r="B1458" s="19" t="s">
        <v>901</v>
      </c>
      <c r="C1458" s="16" t="s">
        <v>183</v>
      </c>
      <c r="D1458" s="23">
        <v>2</v>
      </c>
      <c r="E1458" s="24">
        <v>1256216.216216</v>
      </c>
    </row>
    <row r="1459" s="29" customFormat="1" ht="28" spans="2:5">
      <c r="B1459" s="19" t="s">
        <v>902</v>
      </c>
      <c r="C1459" s="20" t="s">
        <v>804</v>
      </c>
      <c r="D1459" s="21">
        <v>2</v>
      </c>
      <c r="E1459" s="22">
        <v>1256215.792793</v>
      </c>
    </row>
    <row r="1460" s="29" customFormat="1" ht="28" spans="2:5">
      <c r="B1460" s="19" t="s">
        <v>902</v>
      </c>
      <c r="C1460" s="16" t="s">
        <v>183</v>
      </c>
      <c r="D1460" s="23">
        <v>2</v>
      </c>
      <c r="E1460" s="24">
        <v>1256215.792793</v>
      </c>
    </row>
    <row r="1461" s="29" customFormat="1" ht="28" spans="2:5">
      <c r="B1461" s="19" t="s">
        <v>1059</v>
      </c>
      <c r="C1461" s="20" t="s">
        <v>804</v>
      </c>
      <c r="D1461" s="21">
        <v>1</v>
      </c>
      <c r="E1461" s="22">
        <v>636306.072072</v>
      </c>
    </row>
    <row r="1462" s="29" customFormat="1" ht="28" spans="2:5">
      <c r="B1462" s="19" t="s">
        <v>1059</v>
      </c>
      <c r="C1462" s="16" t="s">
        <v>183</v>
      </c>
      <c r="D1462" s="23">
        <v>1</v>
      </c>
      <c r="E1462" s="24">
        <v>636306.072072</v>
      </c>
    </row>
    <row r="1463" s="29" customFormat="1" ht="28" spans="2:5">
      <c r="B1463" s="19" t="s">
        <v>1060</v>
      </c>
      <c r="C1463" s="20" t="s">
        <v>804</v>
      </c>
      <c r="D1463" s="21">
        <v>1</v>
      </c>
      <c r="E1463" s="22">
        <v>636306.306306</v>
      </c>
    </row>
    <row r="1464" s="29" customFormat="1" ht="28" spans="2:5">
      <c r="B1464" s="19" t="s">
        <v>1060</v>
      </c>
      <c r="C1464" s="16" t="s">
        <v>183</v>
      </c>
      <c r="D1464" s="23">
        <v>1</v>
      </c>
      <c r="E1464" s="24">
        <v>636306.306306</v>
      </c>
    </row>
    <row r="1465" s="29" customFormat="1" ht="28" spans="2:5">
      <c r="B1465" s="19" t="s">
        <v>1551</v>
      </c>
      <c r="C1465" s="20" t="s">
        <v>804</v>
      </c>
      <c r="D1465" s="21">
        <v>1</v>
      </c>
      <c r="E1465" s="22">
        <v>655225.225225</v>
      </c>
    </row>
    <row r="1466" s="29" customFormat="1" ht="28" spans="2:5">
      <c r="B1466" s="19" t="s">
        <v>1551</v>
      </c>
      <c r="C1466" s="16" t="s">
        <v>183</v>
      </c>
      <c r="D1466" s="23">
        <v>1</v>
      </c>
      <c r="E1466" s="24">
        <v>655225.225225</v>
      </c>
    </row>
    <row r="1467" s="29" customFormat="1" ht="28" spans="2:5">
      <c r="B1467" s="19" t="s">
        <v>1552</v>
      </c>
      <c r="C1467" s="20" t="s">
        <v>804</v>
      </c>
      <c r="D1467" s="21">
        <v>1</v>
      </c>
      <c r="E1467" s="22">
        <v>655224.774775</v>
      </c>
    </row>
    <row r="1468" s="29" customFormat="1" ht="28.75" spans="2:5">
      <c r="B1468" s="19" t="s">
        <v>1552</v>
      </c>
      <c r="C1468" s="16" t="s">
        <v>183</v>
      </c>
      <c r="D1468" s="23">
        <v>1</v>
      </c>
      <c r="E1468" s="24">
        <v>655224.774775</v>
      </c>
    </row>
    <row r="1469" s="29" customFormat="1" spans="2:5">
      <c r="B1469" s="25"/>
      <c r="C1469" s="25"/>
      <c r="D1469" s="25"/>
      <c r="E1469" s="25"/>
    </row>
    <row r="1470" s="29" customFormat="1" ht="36" spans="2:5">
      <c r="B1470" s="26" t="s">
        <v>189</v>
      </c>
      <c r="C1470" s="26" t="s">
        <v>189</v>
      </c>
      <c r="D1470" s="26" t="s">
        <v>189</v>
      </c>
      <c r="E1470" s="26" t="s">
        <v>189</v>
      </c>
    </row>
    <row r="1471" s="29" customFormat="1" spans="2:5">
      <c r="B1471" s="26"/>
      <c r="C1471" s="26"/>
      <c r="D1471" s="26"/>
      <c r="E1471" s="26"/>
    </row>
    <row r="1472" s="29" customFormat="1" ht="36" spans="2:5">
      <c r="B1472" s="26" t="s">
        <v>1433</v>
      </c>
      <c r="C1472" s="26" t="s">
        <v>1433</v>
      </c>
      <c r="D1472" s="26" t="s">
        <v>1433</v>
      </c>
      <c r="E1472" s="26" t="s">
        <v>1433</v>
      </c>
    </row>
    <row r="1473" s="29" customFormat="1" spans="2:5">
      <c r="B1473" s="26" t="s">
        <v>1144</v>
      </c>
      <c r="C1473" s="26" t="s">
        <v>1144</v>
      </c>
      <c r="D1473" s="26" t="s">
        <v>1144</v>
      </c>
      <c r="E1473" s="26" t="s">
        <v>1144</v>
      </c>
    </row>
    <row r="1474" s="29" customFormat="1" ht="124" spans="2:5">
      <c r="B1474" s="11" t="s">
        <v>173</v>
      </c>
      <c r="C1474" s="11" t="s">
        <v>173</v>
      </c>
      <c r="D1474" s="11" t="s">
        <v>173</v>
      </c>
      <c r="E1474" s="11" t="s">
        <v>173</v>
      </c>
    </row>
    <row r="1475" s="29" customFormat="1" ht="156" spans="2:5">
      <c r="B1475" s="12" t="s">
        <v>174</v>
      </c>
      <c r="C1475" s="12" t="s">
        <v>174</v>
      </c>
      <c r="D1475" s="12" t="s">
        <v>174</v>
      </c>
      <c r="E1475" s="12" t="s">
        <v>174</v>
      </c>
    </row>
    <row r="1476" s="29" customFormat="1" ht="68" spans="2:5">
      <c r="B1476" s="13" t="s">
        <v>1425</v>
      </c>
      <c r="C1476" s="13" t="s">
        <v>1425</v>
      </c>
      <c r="D1476" s="13" t="s">
        <v>1425</v>
      </c>
      <c r="E1476" s="13" t="s">
        <v>1425</v>
      </c>
    </row>
    <row r="1477" s="29" customFormat="1" ht="22" spans="2:5">
      <c r="B1477" s="14" t="s">
        <v>176</v>
      </c>
      <c r="C1477" s="14" t="s">
        <v>176</v>
      </c>
      <c r="D1477" s="14" t="s">
        <v>176</v>
      </c>
      <c r="E1477" s="14" t="s">
        <v>176</v>
      </c>
    </row>
    <row r="1478" s="29" customFormat="1" spans="2:5">
      <c r="B1478" s="15" t="s">
        <v>177</v>
      </c>
      <c r="C1478" s="16" t="s">
        <v>178</v>
      </c>
      <c r="D1478" s="17" t="s">
        <v>179</v>
      </c>
      <c r="E1478" s="18" t="s">
        <v>180</v>
      </c>
    </row>
    <row r="1479" s="29" customFormat="1" ht="41" spans="2:5">
      <c r="B1479" s="19" t="s">
        <v>1553</v>
      </c>
      <c r="C1479" s="20" t="s">
        <v>182</v>
      </c>
      <c r="D1479" s="21">
        <v>1</v>
      </c>
      <c r="E1479" s="22">
        <v>588378.378378</v>
      </c>
    </row>
    <row r="1480" s="29" customFormat="1" ht="28" spans="2:5">
      <c r="B1480" s="19" t="s">
        <v>1553</v>
      </c>
      <c r="C1480" s="16" t="s">
        <v>183</v>
      </c>
      <c r="D1480" s="23">
        <v>1</v>
      </c>
      <c r="E1480" s="24">
        <v>588378.378378</v>
      </c>
    </row>
    <row r="1481" s="29" customFormat="1" ht="41" spans="2:5">
      <c r="B1481" s="19" t="s">
        <v>1554</v>
      </c>
      <c r="C1481" s="20" t="s">
        <v>182</v>
      </c>
      <c r="D1481" s="21">
        <v>1</v>
      </c>
      <c r="E1481" s="22">
        <v>588378.378378</v>
      </c>
    </row>
    <row r="1482" s="29" customFormat="1" ht="28" spans="2:5">
      <c r="B1482" s="19" t="s">
        <v>1554</v>
      </c>
      <c r="C1482" s="16" t="s">
        <v>183</v>
      </c>
      <c r="D1482" s="23">
        <v>1</v>
      </c>
      <c r="E1482" s="24">
        <v>588378.378378</v>
      </c>
    </row>
    <row r="1483" s="29" customFormat="1" ht="41" spans="2:5">
      <c r="B1483" s="19" t="s">
        <v>1318</v>
      </c>
      <c r="C1483" s="20" t="s">
        <v>182</v>
      </c>
      <c r="D1483" s="21">
        <v>1</v>
      </c>
      <c r="E1483" s="22">
        <v>584594.603604</v>
      </c>
    </row>
    <row r="1484" s="29" customFormat="1" ht="28" spans="2:5">
      <c r="B1484" s="19" t="s">
        <v>1318</v>
      </c>
      <c r="C1484" s="16" t="s">
        <v>183</v>
      </c>
      <c r="D1484" s="23">
        <v>1</v>
      </c>
      <c r="E1484" s="24">
        <v>584594.603604</v>
      </c>
    </row>
    <row r="1485" s="29" customFormat="1" ht="41" spans="2:5">
      <c r="B1485" s="19" t="s">
        <v>1319</v>
      </c>
      <c r="C1485" s="20" t="s">
        <v>182</v>
      </c>
      <c r="D1485" s="21">
        <v>1</v>
      </c>
      <c r="E1485" s="22">
        <v>584594.594595</v>
      </c>
    </row>
    <row r="1486" s="29" customFormat="1" ht="28" spans="2:5">
      <c r="B1486" s="19" t="s">
        <v>1319</v>
      </c>
      <c r="C1486" s="16" t="s">
        <v>183</v>
      </c>
      <c r="D1486" s="23">
        <v>1</v>
      </c>
      <c r="E1486" s="24">
        <v>584594.594595</v>
      </c>
    </row>
    <row r="1487" s="29" customFormat="1" ht="28" spans="2:5">
      <c r="B1487" s="19" t="s">
        <v>1061</v>
      </c>
      <c r="C1487" s="20" t="s">
        <v>804</v>
      </c>
      <c r="D1487" s="21">
        <v>2</v>
      </c>
      <c r="E1487" s="22">
        <v>1131351.063063</v>
      </c>
    </row>
    <row r="1488" s="29" customFormat="1" ht="28" spans="2:5">
      <c r="B1488" s="19" t="s">
        <v>1061</v>
      </c>
      <c r="C1488" s="16" t="s">
        <v>183</v>
      </c>
      <c r="D1488" s="23">
        <v>2</v>
      </c>
      <c r="E1488" s="24">
        <v>1131351.063063</v>
      </c>
    </row>
    <row r="1489" s="29" customFormat="1" ht="28" spans="2:5">
      <c r="B1489" s="19" t="s">
        <v>1062</v>
      </c>
      <c r="C1489" s="20" t="s">
        <v>804</v>
      </c>
      <c r="D1489" s="21">
        <v>2</v>
      </c>
      <c r="E1489" s="22">
        <v>1131351.351352</v>
      </c>
    </row>
    <row r="1490" s="29" customFormat="1" ht="28" spans="2:5">
      <c r="B1490" s="19" t="s">
        <v>1062</v>
      </c>
      <c r="C1490" s="16" t="s">
        <v>183</v>
      </c>
      <c r="D1490" s="23">
        <v>2</v>
      </c>
      <c r="E1490" s="24">
        <v>1131351.351352</v>
      </c>
    </row>
    <row r="1491" s="29" customFormat="1" ht="28" spans="2:5">
      <c r="B1491" s="19" t="s">
        <v>1063</v>
      </c>
      <c r="C1491" s="20" t="s">
        <v>804</v>
      </c>
      <c r="D1491" s="21">
        <v>2</v>
      </c>
      <c r="E1491" s="22">
        <v>1040540.540541</v>
      </c>
    </row>
    <row r="1492" s="29" customFormat="1" ht="28.75" spans="2:5">
      <c r="B1492" s="19" t="s">
        <v>1063</v>
      </c>
      <c r="C1492" s="16" t="s">
        <v>183</v>
      </c>
      <c r="D1492" s="23">
        <v>2</v>
      </c>
      <c r="E1492" s="24">
        <v>1040540.540541</v>
      </c>
    </row>
    <row r="1493" s="29" customFormat="1" spans="2:5">
      <c r="B1493" s="25"/>
      <c r="C1493" s="25"/>
      <c r="D1493" s="25"/>
      <c r="E1493" s="25"/>
    </row>
    <row r="1494" s="29" customFormat="1" ht="36" spans="2:5">
      <c r="B1494" s="26" t="s">
        <v>189</v>
      </c>
      <c r="C1494" s="26" t="s">
        <v>189</v>
      </c>
      <c r="D1494" s="26" t="s">
        <v>189</v>
      </c>
      <c r="E1494" s="26" t="s">
        <v>189</v>
      </c>
    </row>
    <row r="1495" s="29" customFormat="1" spans="2:5">
      <c r="B1495" s="26"/>
      <c r="C1495" s="26"/>
      <c r="D1495" s="26"/>
      <c r="E1495" s="26"/>
    </row>
    <row r="1496" s="29" customFormat="1" ht="36" spans="2:5">
      <c r="B1496" s="26" t="s">
        <v>1433</v>
      </c>
      <c r="C1496" s="26" t="s">
        <v>1433</v>
      </c>
      <c r="D1496" s="26" t="s">
        <v>1433</v>
      </c>
      <c r="E1496" s="26" t="s">
        <v>1433</v>
      </c>
    </row>
    <row r="1497" s="29" customFormat="1" spans="2:5">
      <c r="B1497" s="26" t="s">
        <v>1152</v>
      </c>
      <c r="C1497" s="26" t="s">
        <v>1152</v>
      </c>
      <c r="D1497" s="26" t="s">
        <v>1152</v>
      </c>
      <c r="E1497" s="26" t="s">
        <v>1152</v>
      </c>
    </row>
    <row r="1498" s="29" customFormat="1" ht="124" spans="2:5">
      <c r="B1498" s="11" t="s">
        <v>173</v>
      </c>
      <c r="C1498" s="11" t="s">
        <v>173</v>
      </c>
      <c r="D1498" s="11" t="s">
        <v>173</v>
      </c>
      <c r="E1498" s="11" t="s">
        <v>173</v>
      </c>
    </row>
    <row r="1499" s="29" customFormat="1" ht="156" spans="2:5">
      <c r="B1499" s="12" t="s">
        <v>174</v>
      </c>
      <c r="C1499" s="12" t="s">
        <v>174</v>
      </c>
      <c r="D1499" s="12" t="s">
        <v>174</v>
      </c>
      <c r="E1499" s="12" t="s">
        <v>174</v>
      </c>
    </row>
    <row r="1500" s="29" customFormat="1" ht="68" spans="2:5">
      <c r="B1500" s="13" t="s">
        <v>1425</v>
      </c>
      <c r="C1500" s="13" t="s">
        <v>1425</v>
      </c>
      <c r="D1500" s="13" t="s">
        <v>1425</v>
      </c>
      <c r="E1500" s="13" t="s">
        <v>1425</v>
      </c>
    </row>
    <row r="1501" s="29" customFormat="1" ht="22" spans="2:5">
      <c r="B1501" s="14" t="s">
        <v>176</v>
      </c>
      <c r="C1501" s="14" t="s">
        <v>176</v>
      </c>
      <c r="D1501" s="14" t="s">
        <v>176</v>
      </c>
      <c r="E1501" s="14" t="s">
        <v>176</v>
      </c>
    </row>
    <row r="1502" s="29" customFormat="1" spans="2:5">
      <c r="B1502" s="15" t="s">
        <v>177</v>
      </c>
      <c r="C1502" s="16" t="s">
        <v>178</v>
      </c>
      <c r="D1502" s="17" t="s">
        <v>179</v>
      </c>
      <c r="E1502" s="18" t="s">
        <v>180</v>
      </c>
    </row>
    <row r="1503" s="29" customFormat="1" ht="41" spans="2:5">
      <c r="B1503" s="19" t="s">
        <v>738</v>
      </c>
      <c r="C1503" s="20" t="s">
        <v>182</v>
      </c>
      <c r="D1503" s="21">
        <v>1</v>
      </c>
      <c r="E1503" s="22">
        <v>762432.432432</v>
      </c>
    </row>
    <row r="1504" s="29" customFormat="1" ht="28" spans="2:5">
      <c r="B1504" s="19" t="s">
        <v>738</v>
      </c>
      <c r="C1504" s="16" t="s">
        <v>183</v>
      </c>
      <c r="D1504" s="23">
        <v>1</v>
      </c>
      <c r="E1504" s="24">
        <v>762432.432432</v>
      </c>
    </row>
    <row r="1505" s="29" customFormat="1" ht="41" spans="2:5">
      <c r="B1505" s="19" t="s">
        <v>739</v>
      </c>
      <c r="C1505" s="20" t="s">
        <v>182</v>
      </c>
      <c r="D1505" s="21">
        <v>1</v>
      </c>
      <c r="E1505" s="22">
        <v>762432.432432</v>
      </c>
    </row>
    <row r="1506" s="29" customFormat="1" ht="28" spans="2:5">
      <c r="B1506" s="19" t="s">
        <v>739</v>
      </c>
      <c r="C1506" s="16" t="s">
        <v>183</v>
      </c>
      <c r="D1506" s="23">
        <v>1</v>
      </c>
      <c r="E1506" s="24">
        <v>762432.432432</v>
      </c>
    </row>
    <row r="1507" s="29" customFormat="1" ht="41" spans="2:5">
      <c r="B1507" s="19" t="s">
        <v>1555</v>
      </c>
      <c r="C1507" s="20" t="s">
        <v>182</v>
      </c>
      <c r="D1507" s="21">
        <v>2</v>
      </c>
      <c r="E1507" s="22">
        <v>1540000.126126</v>
      </c>
    </row>
    <row r="1508" s="29" customFormat="1" ht="28" spans="2:5">
      <c r="B1508" s="19" t="s">
        <v>1555</v>
      </c>
      <c r="C1508" s="16" t="s">
        <v>183</v>
      </c>
      <c r="D1508" s="23">
        <v>2</v>
      </c>
      <c r="E1508" s="24">
        <v>1540000.126126</v>
      </c>
    </row>
    <row r="1509" s="29" customFormat="1" ht="41" spans="2:5">
      <c r="B1509" s="19" t="s">
        <v>1556</v>
      </c>
      <c r="C1509" s="20" t="s">
        <v>182</v>
      </c>
      <c r="D1509" s="21">
        <v>2</v>
      </c>
      <c r="E1509" s="22">
        <v>1540000</v>
      </c>
    </row>
    <row r="1510" s="29" customFormat="1" ht="28" spans="2:5">
      <c r="B1510" s="19" t="s">
        <v>1556</v>
      </c>
      <c r="C1510" s="16" t="s">
        <v>183</v>
      </c>
      <c r="D1510" s="23">
        <v>2</v>
      </c>
      <c r="E1510" s="24">
        <v>1540000</v>
      </c>
    </row>
    <row r="1511" s="29" customFormat="1" ht="41" spans="2:5">
      <c r="B1511" s="19" t="s">
        <v>1557</v>
      </c>
      <c r="C1511" s="20" t="s">
        <v>182</v>
      </c>
      <c r="D1511" s="21">
        <v>1</v>
      </c>
      <c r="E1511" s="22">
        <v>770000</v>
      </c>
    </row>
    <row r="1512" s="29" customFormat="1" ht="28" spans="2:5">
      <c r="B1512" s="19" t="s">
        <v>1557</v>
      </c>
      <c r="C1512" s="16" t="s">
        <v>183</v>
      </c>
      <c r="D1512" s="23">
        <v>1</v>
      </c>
      <c r="E1512" s="24">
        <v>770000</v>
      </c>
    </row>
    <row r="1513" s="29" customFormat="1" ht="41" spans="2:5">
      <c r="B1513" s="19" t="s">
        <v>1558</v>
      </c>
      <c r="C1513" s="20" t="s">
        <v>182</v>
      </c>
      <c r="D1513" s="21">
        <v>1</v>
      </c>
      <c r="E1513" s="22">
        <v>770000</v>
      </c>
    </row>
    <row r="1514" s="29" customFormat="1" ht="28.75" spans="2:5">
      <c r="B1514" s="19" t="s">
        <v>1558</v>
      </c>
      <c r="C1514" s="16" t="s">
        <v>183</v>
      </c>
      <c r="D1514" s="23">
        <v>1</v>
      </c>
      <c r="E1514" s="24">
        <v>770000</v>
      </c>
    </row>
    <row r="1515" s="29" customFormat="1" spans="2:5">
      <c r="B1515" s="25"/>
      <c r="C1515" s="25"/>
      <c r="D1515" s="25"/>
      <c r="E1515" s="25"/>
    </row>
    <row r="1516" s="29" customFormat="1" ht="36" spans="2:5">
      <c r="B1516" s="26" t="s">
        <v>189</v>
      </c>
      <c r="C1516" s="26" t="s">
        <v>189</v>
      </c>
      <c r="D1516" s="26" t="s">
        <v>189</v>
      </c>
      <c r="E1516" s="26" t="s">
        <v>189</v>
      </c>
    </row>
    <row r="1517" s="29" customFormat="1" spans="2:5">
      <c r="B1517" s="26"/>
      <c r="C1517" s="26"/>
      <c r="D1517" s="26"/>
      <c r="E1517" s="26"/>
    </row>
    <row r="1518" s="29" customFormat="1" ht="36" spans="2:5">
      <c r="B1518" s="26" t="s">
        <v>1433</v>
      </c>
      <c r="C1518" s="26" t="s">
        <v>1433</v>
      </c>
      <c r="D1518" s="26" t="s">
        <v>1433</v>
      </c>
      <c r="E1518" s="26" t="s">
        <v>1433</v>
      </c>
    </row>
    <row r="1519" s="29" customFormat="1" spans="2:5">
      <c r="B1519" s="26" t="s">
        <v>1154</v>
      </c>
      <c r="C1519" s="26" t="s">
        <v>1154</v>
      </c>
      <c r="D1519" s="26" t="s">
        <v>1154</v>
      </c>
      <c r="E1519" s="26" t="s">
        <v>1154</v>
      </c>
    </row>
    <row r="1520" s="29" customFormat="1" ht="124" spans="2:5">
      <c r="B1520" s="11" t="s">
        <v>173</v>
      </c>
      <c r="C1520" s="11" t="s">
        <v>173</v>
      </c>
      <c r="D1520" s="11" t="s">
        <v>173</v>
      </c>
      <c r="E1520" s="11" t="s">
        <v>173</v>
      </c>
    </row>
    <row r="1521" s="29" customFormat="1" ht="156" spans="2:5">
      <c r="B1521" s="12" t="s">
        <v>174</v>
      </c>
      <c r="C1521" s="12" t="s">
        <v>174</v>
      </c>
      <c r="D1521" s="12" t="s">
        <v>174</v>
      </c>
      <c r="E1521" s="12" t="s">
        <v>174</v>
      </c>
    </row>
    <row r="1522" s="29" customFormat="1" ht="68" spans="2:5">
      <c r="B1522" s="13" t="s">
        <v>1425</v>
      </c>
      <c r="C1522" s="13" t="s">
        <v>1425</v>
      </c>
      <c r="D1522" s="13" t="s">
        <v>1425</v>
      </c>
      <c r="E1522" s="13" t="s">
        <v>1425</v>
      </c>
    </row>
    <row r="1523" s="29" customFormat="1" ht="22" spans="2:5">
      <c r="B1523" s="14" t="s">
        <v>176</v>
      </c>
      <c r="C1523" s="14" t="s">
        <v>176</v>
      </c>
      <c r="D1523" s="14" t="s">
        <v>176</v>
      </c>
      <c r="E1523" s="14" t="s">
        <v>176</v>
      </c>
    </row>
    <row r="1524" s="29" customFormat="1" spans="2:5">
      <c r="B1524" s="15" t="s">
        <v>177</v>
      </c>
      <c r="C1524" s="16" t="s">
        <v>178</v>
      </c>
      <c r="D1524" s="17" t="s">
        <v>179</v>
      </c>
      <c r="E1524" s="18" t="s">
        <v>180</v>
      </c>
    </row>
    <row r="1525" s="29" customFormat="1" ht="41" spans="2:5">
      <c r="B1525" s="19" t="s">
        <v>1559</v>
      </c>
      <c r="C1525" s="20" t="s">
        <v>182</v>
      </c>
      <c r="D1525" s="21">
        <v>1</v>
      </c>
      <c r="E1525" s="22">
        <v>458657.342342</v>
      </c>
    </row>
    <row r="1526" s="29" customFormat="1" ht="28" spans="2:5">
      <c r="B1526" s="19" t="s">
        <v>1559</v>
      </c>
      <c r="C1526" s="16" t="s">
        <v>183</v>
      </c>
      <c r="D1526" s="23">
        <v>1</v>
      </c>
      <c r="E1526" s="24">
        <v>458657.342342</v>
      </c>
    </row>
    <row r="1527" s="29" customFormat="1" ht="41" spans="2:5">
      <c r="B1527" s="19" t="s">
        <v>1560</v>
      </c>
      <c r="C1527" s="20" t="s">
        <v>182</v>
      </c>
      <c r="D1527" s="21">
        <v>1</v>
      </c>
      <c r="E1527" s="22">
        <v>458657.657658</v>
      </c>
    </row>
    <row r="1528" s="29" customFormat="1" ht="28" spans="2:5">
      <c r="B1528" s="19" t="s">
        <v>1560</v>
      </c>
      <c r="C1528" s="16" t="s">
        <v>183</v>
      </c>
      <c r="D1528" s="23">
        <v>1</v>
      </c>
      <c r="E1528" s="24">
        <v>458657.657658</v>
      </c>
    </row>
    <row r="1529" s="29" customFormat="1" ht="28" spans="2:5">
      <c r="B1529" s="19" t="s">
        <v>1323</v>
      </c>
      <c r="C1529" s="20" t="s">
        <v>804</v>
      </c>
      <c r="D1529" s="21">
        <v>1</v>
      </c>
      <c r="E1529" s="22">
        <v>780720.648649</v>
      </c>
    </row>
    <row r="1530" s="29" customFormat="1" ht="28" spans="2:5">
      <c r="B1530" s="19" t="s">
        <v>1323</v>
      </c>
      <c r="C1530" s="16" t="s">
        <v>183</v>
      </c>
      <c r="D1530" s="23">
        <v>1</v>
      </c>
      <c r="E1530" s="24">
        <v>780720.648649</v>
      </c>
    </row>
    <row r="1531" s="29" customFormat="1" ht="28" spans="2:5">
      <c r="B1531" s="19" t="s">
        <v>1324</v>
      </c>
      <c r="C1531" s="20" t="s">
        <v>804</v>
      </c>
      <c r="D1531" s="21">
        <v>1</v>
      </c>
      <c r="E1531" s="22">
        <v>780720.720721</v>
      </c>
    </row>
    <row r="1532" s="29" customFormat="1" ht="28" spans="2:5">
      <c r="B1532" s="19" t="s">
        <v>1324</v>
      </c>
      <c r="C1532" s="16" t="s">
        <v>183</v>
      </c>
      <c r="D1532" s="23">
        <v>1</v>
      </c>
      <c r="E1532" s="24">
        <v>780720.720721</v>
      </c>
    </row>
    <row r="1533" s="29" customFormat="1" ht="41" spans="2:5">
      <c r="B1533" s="19" t="s">
        <v>1561</v>
      </c>
      <c r="C1533" s="20" t="s">
        <v>182</v>
      </c>
      <c r="D1533" s="21">
        <v>2</v>
      </c>
      <c r="E1533" s="22">
        <v>1012793</v>
      </c>
    </row>
    <row r="1534" s="29" customFormat="1" ht="28" spans="2:5">
      <c r="B1534" s="19" t="s">
        <v>1561</v>
      </c>
      <c r="C1534" s="16" t="s">
        <v>183</v>
      </c>
      <c r="D1534" s="23">
        <v>2</v>
      </c>
      <c r="E1534" s="24">
        <v>1012793</v>
      </c>
    </row>
    <row r="1535" s="29" customFormat="1" ht="41" spans="2:5">
      <c r="B1535" s="19" t="s">
        <v>1562</v>
      </c>
      <c r="C1535" s="20" t="s">
        <v>182</v>
      </c>
      <c r="D1535" s="21">
        <v>1</v>
      </c>
      <c r="E1535" s="22">
        <v>657116.963964</v>
      </c>
    </row>
    <row r="1536" s="29" customFormat="1" ht="28" spans="2:5">
      <c r="B1536" s="19" t="s">
        <v>1562</v>
      </c>
      <c r="C1536" s="16" t="s">
        <v>183</v>
      </c>
      <c r="D1536" s="23">
        <v>1</v>
      </c>
      <c r="E1536" s="24">
        <v>657116.963964</v>
      </c>
    </row>
    <row r="1537" s="29" customFormat="1" ht="41" spans="2:5">
      <c r="B1537" s="19" t="s">
        <v>1563</v>
      </c>
      <c r="C1537" s="20" t="s">
        <v>182</v>
      </c>
      <c r="D1537" s="21">
        <v>1</v>
      </c>
      <c r="E1537" s="22">
        <v>657117.117117</v>
      </c>
    </row>
    <row r="1538" s="29" customFormat="1" ht="28.75" spans="2:5">
      <c r="B1538" s="19" t="s">
        <v>1563</v>
      </c>
      <c r="C1538" s="16" t="s">
        <v>183</v>
      </c>
      <c r="D1538" s="23">
        <v>1</v>
      </c>
      <c r="E1538" s="24">
        <v>657117.117117</v>
      </c>
    </row>
    <row r="1539" s="29" customFormat="1" spans="2:5">
      <c r="B1539" s="25"/>
      <c r="C1539" s="25"/>
      <c r="D1539" s="25"/>
      <c r="E1539" s="25"/>
    </row>
    <row r="1540" s="29" customFormat="1" ht="36" spans="2:5">
      <c r="B1540" s="26" t="s">
        <v>189</v>
      </c>
      <c r="C1540" s="26" t="s">
        <v>189</v>
      </c>
      <c r="D1540" s="26" t="s">
        <v>189</v>
      </c>
      <c r="E1540" s="26" t="s">
        <v>189</v>
      </c>
    </row>
    <row r="1541" s="29" customFormat="1" spans="2:5">
      <c r="B1541" s="26"/>
      <c r="C1541" s="26"/>
      <c r="D1541" s="26"/>
      <c r="E1541" s="26"/>
    </row>
    <row r="1542" s="29" customFormat="1" ht="36" spans="2:5">
      <c r="B1542" s="26" t="s">
        <v>1433</v>
      </c>
      <c r="C1542" s="26" t="s">
        <v>1433</v>
      </c>
      <c r="D1542" s="26" t="s">
        <v>1433</v>
      </c>
      <c r="E1542" s="26" t="s">
        <v>1433</v>
      </c>
    </row>
    <row r="1543" s="29" customFormat="1" spans="2:5">
      <c r="B1543" s="26" t="s">
        <v>1353</v>
      </c>
      <c r="C1543" s="26" t="s">
        <v>1353</v>
      </c>
      <c r="D1543" s="26" t="s">
        <v>1353</v>
      </c>
      <c r="E1543" s="26" t="s">
        <v>1353</v>
      </c>
    </row>
    <row r="1544" s="29" customFormat="1" ht="124" spans="2:5">
      <c r="B1544" s="11" t="s">
        <v>173</v>
      </c>
      <c r="C1544" s="11" t="s">
        <v>173</v>
      </c>
      <c r="D1544" s="11" t="s">
        <v>173</v>
      </c>
      <c r="E1544" s="11" t="s">
        <v>173</v>
      </c>
    </row>
    <row r="1545" s="29" customFormat="1" ht="156" spans="2:5">
      <c r="B1545" s="12" t="s">
        <v>174</v>
      </c>
      <c r="C1545" s="12" t="s">
        <v>174</v>
      </c>
      <c r="D1545" s="12" t="s">
        <v>174</v>
      </c>
      <c r="E1545" s="12" t="s">
        <v>174</v>
      </c>
    </row>
    <row r="1546" s="29" customFormat="1" ht="68" spans="2:5">
      <c r="B1546" s="13" t="s">
        <v>1425</v>
      </c>
      <c r="C1546" s="13" t="s">
        <v>1425</v>
      </c>
      <c r="D1546" s="13" t="s">
        <v>1425</v>
      </c>
      <c r="E1546" s="13" t="s">
        <v>1425</v>
      </c>
    </row>
    <row r="1547" s="29" customFormat="1" ht="22" spans="2:5">
      <c r="B1547" s="14" t="s">
        <v>176</v>
      </c>
      <c r="C1547" s="14" t="s">
        <v>176</v>
      </c>
      <c r="D1547" s="14" t="s">
        <v>176</v>
      </c>
      <c r="E1547" s="14" t="s">
        <v>176</v>
      </c>
    </row>
    <row r="1548" s="29" customFormat="1" spans="2:5">
      <c r="B1548" s="15" t="s">
        <v>177</v>
      </c>
      <c r="C1548" s="16" t="s">
        <v>178</v>
      </c>
      <c r="D1548" s="17" t="s">
        <v>179</v>
      </c>
      <c r="E1548" s="18" t="s">
        <v>180</v>
      </c>
    </row>
    <row r="1549" s="29" customFormat="1" ht="28" spans="2:5">
      <c r="B1549" s="19" t="s">
        <v>1564</v>
      </c>
      <c r="C1549" s="20" t="s">
        <v>804</v>
      </c>
      <c r="D1549" s="21">
        <v>2</v>
      </c>
      <c r="E1549" s="22">
        <v>1244864.81081</v>
      </c>
    </row>
    <row r="1550" s="29" customFormat="1" ht="28" spans="2:5">
      <c r="B1550" s="19" t="s">
        <v>1564</v>
      </c>
      <c r="C1550" s="16" t="s">
        <v>183</v>
      </c>
      <c r="D1550" s="23">
        <v>2</v>
      </c>
      <c r="E1550" s="24">
        <v>1244864.81081</v>
      </c>
    </row>
    <row r="1551" s="29" customFormat="1" ht="28" spans="2:5">
      <c r="B1551" s="19" t="s">
        <v>1565</v>
      </c>
      <c r="C1551" s="20" t="s">
        <v>804</v>
      </c>
      <c r="D1551" s="21">
        <v>2</v>
      </c>
      <c r="E1551" s="22">
        <v>1244864.864864</v>
      </c>
    </row>
    <row r="1552" s="29" customFormat="1" ht="28" spans="2:5">
      <c r="B1552" s="19" t="s">
        <v>1565</v>
      </c>
      <c r="C1552" s="16" t="s">
        <v>183</v>
      </c>
      <c r="D1552" s="23">
        <v>2</v>
      </c>
      <c r="E1552" s="24">
        <v>1244864.864864</v>
      </c>
    </row>
    <row r="1553" s="29" customFormat="1" ht="41" spans="2:5">
      <c r="B1553" s="19" t="s">
        <v>1068</v>
      </c>
      <c r="C1553" s="20" t="s">
        <v>182</v>
      </c>
      <c r="D1553" s="21">
        <v>1</v>
      </c>
      <c r="E1553" s="22">
        <v>544234.567568</v>
      </c>
    </row>
    <row r="1554" s="29" customFormat="1" ht="28" spans="2:5">
      <c r="B1554" s="19" t="s">
        <v>1068</v>
      </c>
      <c r="C1554" s="20" t="s">
        <v>804</v>
      </c>
      <c r="D1554" s="21">
        <v>2</v>
      </c>
      <c r="E1554" s="22">
        <v>1088468.009009</v>
      </c>
    </row>
    <row r="1555" s="29" customFormat="1" ht="28" spans="2:5">
      <c r="B1555" s="19" t="s">
        <v>1068</v>
      </c>
      <c r="C1555" s="16" t="s">
        <v>183</v>
      </c>
      <c r="D1555" s="23">
        <v>3</v>
      </c>
      <c r="E1555" s="24">
        <v>1632702.576577</v>
      </c>
    </row>
    <row r="1556" s="29" customFormat="1" ht="41" spans="2:5">
      <c r="B1556" s="19" t="s">
        <v>1069</v>
      </c>
      <c r="C1556" s="20" t="s">
        <v>182</v>
      </c>
      <c r="D1556" s="21">
        <v>1</v>
      </c>
      <c r="E1556" s="22">
        <v>544234.234234</v>
      </c>
    </row>
    <row r="1557" s="29" customFormat="1" ht="28" spans="2:5">
      <c r="B1557" s="19" t="s">
        <v>1069</v>
      </c>
      <c r="C1557" s="20" t="s">
        <v>804</v>
      </c>
      <c r="D1557" s="21">
        <v>2</v>
      </c>
      <c r="E1557" s="22">
        <v>1088468.468468</v>
      </c>
    </row>
    <row r="1558" s="29" customFormat="1" ht="28" spans="2:5">
      <c r="B1558" s="19" t="s">
        <v>1069</v>
      </c>
      <c r="C1558" s="16" t="s">
        <v>183</v>
      </c>
      <c r="D1558" s="23">
        <v>3</v>
      </c>
      <c r="E1558" s="24">
        <v>1632702.702702</v>
      </c>
    </row>
    <row r="1559" s="29" customFormat="1" ht="41" spans="2:5">
      <c r="B1559" s="19" t="s">
        <v>462</v>
      </c>
      <c r="C1559" s="20" t="s">
        <v>182</v>
      </c>
      <c r="D1559" s="21">
        <v>2</v>
      </c>
      <c r="E1559" s="22">
        <v>1088468.945946</v>
      </c>
    </row>
    <row r="1560" s="29" customFormat="1" ht="28" spans="2:5">
      <c r="B1560" s="19" t="s">
        <v>462</v>
      </c>
      <c r="C1560" s="16" t="s">
        <v>183</v>
      </c>
      <c r="D1560" s="23">
        <v>2</v>
      </c>
      <c r="E1560" s="24">
        <v>1088468.945946</v>
      </c>
    </row>
    <row r="1561" s="29" customFormat="1" ht="41" spans="2:5">
      <c r="B1561" s="19" t="s">
        <v>463</v>
      </c>
      <c r="C1561" s="20" t="s">
        <v>182</v>
      </c>
      <c r="D1561" s="21">
        <v>2</v>
      </c>
      <c r="E1561" s="22">
        <v>1088468.468468</v>
      </c>
    </row>
    <row r="1562" s="29" customFormat="1" ht="28.75" spans="2:5">
      <c r="B1562" s="19" t="s">
        <v>463</v>
      </c>
      <c r="C1562" s="16" t="s">
        <v>183</v>
      </c>
      <c r="D1562" s="23">
        <v>2</v>
      </c>
      <c r="E1562" s="24">
        <v>1088468.468468</v>
      </c>
    </row>
    <row r="1563" s="29" customFormat="1" spans="2:5">
      <c r="B1563" s="25"/>
      <c r="C1563" s="25"/>
      <c r="D1563" s="25"/>
      <c r="E1563" s="25"/>
    </row>
    <row r="1564" s="29" customFormat="1" ht="36" spans="2:5">
      <c r="B1564" s="26" t="s">
        <v>189</v>
      </c>
      <c r="C1564" s="26" t="s">
        <v>189</v>
      </c>
      <c r="D1564" s="26" t="s">
        <v>189</v>
      </c>
      <c r="E1564" s="26" t="s">
        <v>189</v>
      </c>
    </row>
    <row r="1565" s="29" customFormat="1" spans="2:5">
      <c r="B1565" s="26"/>
      <c r="C1565" s="26"/>
      <c r="D1565" s="26"/>
      <c r="E1565" s="26"/>
    </row>
    <row r="1566" s="29" customFormat="1" ht="36" spans="2:5">
      <c r="B1566" s="26" t="s">
        <v>1433</v>
      </c>
      <c r="C1566" s="26" t="s">
        <v>1433</v>
      </c>
      <c r="D1566" s="26" t="s">
        <v>1433</v>
      </c>
      <c r="E1566" s="26" t="s">
        <v>1433</v>
      </c>
    </row>
    <row r="1567" s="29" customFormat="1" spans="2:5">
      <c r="B1567" s="26" t="s">
        <v>1361</v>
      </c>
      <c r="C1567" s="26" t="s">
        <v>1361</v>
      </c>
      <c r="D1567" s="26" t="s">
        <v>1361</v>
      </c>
      <c r="E1567" s="26" t="s">
        <v>1361</v>
      </c>
    </row>
    <row r="1568" s="29" customFormat="1" ht="124" spans="2:5">
      <c r="B1568" s="11" t="s">
        <v>173</v>
      </c>
      <c r="C1568" s="11" t="s">
        <v>173</v>
      </c>
      <c r="D1568" s="11" t="s">
        <v>173</v>
      </c>
      <c r="E1568" s="11" t="s">
        <v>173</v>
      </c>
    </row>
    <row r="1569" s="29" customFormat="1" ht="156" spans="2:5">
      <c r="B1569" s="12" t="s">
        <v>174</v>
      </c>
      <c r="C1569" s="12" t="s">
        <v>174</v>
      </c>
      <c r="D1569" s="12" t="s">
        <v>174</v>
      </c>
      <c r="E1569" s="12" t="s">
        <v>174</v>
      </c>
    </row>
    <row r="1570" s="29" customFormat="1" ht="68" spans="2:5">
      <c r="B1570" s="13" t="s">
        <v>1425</v>
      </c>
      <c r="C1570" s="13" t="s">
        <v>1425</v>
      </c>
      <c r="D1570" s="13" t="s">
        <v>1425</v>
      </c>
      <c r="E1570" s="13" t="s">
        <v>1425</v>
      </c>
    </row>
    <row r="1571" s="29" customFormat="1" ht="22" spans="2:5">
      <c r="B1571" s="14" t="s">
        <v>176</v>
      </c>
      <c r="C1571" s="14" t="s">
        <v>176</v>
      </c>
      <c r="D1571" s="14" t="s">
        <v>176</v>
      </c>
      <c r="E1571" s="14" t="s">
        <v>176</v>
      </c>
    </row>
    <row r="1572" s="29" customFormat="1" spans="2:5">
      <c r="B1572" s="15" t="s">
        <v>177</v>
      </c>
      <c r="C1572" s="16" t="s">
        <v>178</v>
      </c>
      <c r="D1572" s="17" t="s">
        <v>179</v>
      </c>
      <c r="E1572" s="18" t="s">
        <v>180</v>
      </c>
    </row>
    <row r="1573" s="29" customFormat="1" ht="28" spans="2:5">
      <c r="B1573" s="19" t="s">
        <v>1566</v>
      </c>
      <c r="C1573" s="20" t="s">
        <v>804</v>
      </c>
      <c r="D1573" s="21">
        <v>1</v>
      </c>
      <c r="E1573" s="22">
        <v>727747.747748</v>
      </c>
    </row>
    <row r="1574" s="29" customFormat="1" ht="28" spans="2:5">
      <c r="B1574" s="19" t="s">
        <v>1566</v>
      </c>
      <c r="C1574" s="16" t="s">
        <v>183</v>
      </c>
      <c r="D1574" s="23">
        <v>1</v>
      </c>
      <c r="E1574" s="24">
        <v>727747.747748</v>
      </c>
    </row>
    <row r="1575" s="29" customFormat="1" ht="28" spans="2:5">
      <c r="B1575" s="19" t="s">
        <v>1567</v>
      </c>
      <c r="C1575" s="20" t="s">
        <v>804</v>
      </c>
      <c r="D1575" s="21">
        <v>1</v>
      </c>
      <c r="E1575" s="22">
        <v>727747.405405</v>
      </c>
    </row>
    <row r="1576" s="29" customFormat="1" ht="28" spans="2:5">
      <c r="B1576" s="19" t="s">
        <v>1567</v>
      </c>
      <c r="C1576" s="16" t="s">
        <v>183</v>
      </c>
      <c r="D1576" s="23">
        <v>1</v>
      </c>
      <c r="E1576" s="24">
        <v>727747.405405</v>
      </c>
    </row>
    <row r="1577" s="29" customFormat="1" ht="41" spans="2:5">
      <c r="B1577" s="19" t="s">
        <v>1072</v>
      </c>
      <c r="C1577" s="20" t="s">
        <v>182</v>
      </c>
      <c r="D1577" s="21">
        <v>1</v>
      </c>
      <c r="E1577" s="22">
        <v>580179.81982</v>
      </c>
    </row>
    <row r="1578" s="29" customFormat="1" ht="28" spans="2:5">
      <c r="B1578" s="19" t="s">
        <v>1072</v>
      </c>
      <c r="C1578" s="20" t="s">
        <v>804</v>
      </c>
      <c r="D1578" s="21">
        <v>1</v>
      </c>
      <c r="E1578" s="22">
        <v>580180.225225</v>
      </c>
    </row>
    <row r="1579" s="29" customFormat="1" ht="28" spans="2:5">
      <c r="B1579" s="19" t="s">
        <v>1072</v>
      </c>
      <c r="C1579" s="16" t="s">
        <v>183</v>
      </c>
      <c r="D1579" s="23">
        <v>2</v>
      </c>
      <c r="E1579" s="24">
        <v>1160360.045045</v>
      </c>
    </row>
    <row r="1580" s="29" customFormat="1" ht="41" spans="2:5">
      <c r="B1580" s="19" t="s">
        <v>1073</v>
      </c>
      <c r="C1580" s="20" t="s">
        <v>182</v>
      </c>
      <c r="D1580" s="21">
        <v>1</v>
      </c>
      <c r="E1580" s="22">
        <v>580180.18018</v>
      </c>
    </row>
    <row r="1581" s="29" customFormat="1" ht="28" spans="2:5">
      <c r="B1581" s="19" t="s">
        <v>1073</v>
      </c>
      <c r="C1581" s="20" t="s">
        <v>804</v>
      </c>
      <c r="D1581" s="21">
        <v>1</v>
      </c>
      <c r="E1581" s="22">
        <v>580180.18018</v>
      </c>
    </row>
    <row r="1582" s="29" customFormat="1" ht="28" spans="2:5">
      <c r="B1582" s="19" t="s">
        <v>1073</v>
      </c>
      <c r="C1582" s="16" t="s">
        <v>183</v>
      </c>
      <c r="D1582" s="23">
        <v>2</v>
      </c>
      <c r="E1582" s="24">
        <v>1160360.36036</v>
      </c>
    </row>
    <row r="1583" s="29" customFormat="1" ht="28" spans="2:5">
      <c r="B1583" s="19" t="s">
        <v>1568</v>
      </c>
      <c r="C1583" s="20" t="s">
        <v>804</v>
      </c>
      <c r="D1583" s="21">
        <v>1</v>
      </c>
      <c r="E1583" s="22">
        <v>636306.702703</v>
      </c>
    </row>
    <row r="1584" s="29" customFormat="1" ht="28" spans="2:5">
      <c r="B1584" s="19" t="s">
        <v>1568</v>
      </c>
      <c r="C1584" s="16" t="s">
        <v>183</v>
      </c>
      <c r="D1584" s="23">
        <v>1</v>
      </c>
      <c r="E1584" s="24">
        <v>636306.702703</v>
      </c>
    </row>
    <row r="1585" s="29" customFormat="1" ht="28" spans="2:5">
      <c r="B1585" s="19" t="s">
        <v>1569</v>
      </c>
      <c r="C1585" s="20" t="s">
        <v>804</v>
      </c>
      <c r="D1585" s="21">
        <v>1</v>
      </c>
      <c r="E1585" s="22">
        <v>636306.306306</v>
      </c>
    </row>
    <row r="1586" s="29" customFormat="1" ht="28" spans="2:5">
      <c r="B1586" s="19" t="s">
        <v>1569</v>
      </c>
      <c r="C1586" s="16" t="s">
        <v>183</v>
      </c>
      <c r="D1586" s="23">
        <v>1</v>
      </c>
      <c r="E1586" s="24">
        <v>636306.306306</v>
      </c>
    </row>
    <row r="1587" s="29" customFormat="1" ht="41.75" spans="2:5">
      <c r="B1587" s="20" t="s">
        <v>328</v>
      </c>
      <c r="C1587" s="20" t="s">
        <v>182</v>
      </c>
      <c r="D1587" s="21">
        <v>20</v>
      </c>
      <c r="E1587" s="22">
        <v>0</v>
      </c>
    </row>
    <row r="1588" s="29" customFormat="1" spans="2:5">
      <c r="B1588" s="25"/>
      <c r="C1588" s="25"/>
      <c r="D1588" s="25"/>
      <c r="E1588" s="25"/>
    </row>
    <row r="1589" s="29" customFormat="1" ht="36" spans="2:5">
      <c r="B1589" s="26" t="s">
        <v>189</v>
      </c>
      <c r="C1589" s="26" t="s">
        <v>189</v>
      </c>
      <c r="D1589" s="26" t="s">
        <v>189</v>
      </c>
      <c r="E1589" s="26" t="s">
        <v>189</v>
      </c>
    </row>
    <row r="1590" s="29" customFormat="1" spans="2:5">
      <c r="B1590" s="26"/>
      <c r="C1590" s="26"/>
      <c r="D1590" s="26"/>
      <c r="E1590" s="26"/>
    </row>
    <row r="1591" s="29" customFormat="1" ht="36" spans="2:5">
      <c r="B1591" s="26" t="s">
        <v>1433</v>
      </c>
      <c r="C1591" s="26" t="s">
        <v>1433</v>
      </c>
      <c r="D1591" s="26" t="s">
        <v>1433</v>
      </c>
      <c r="E1591" s="26" t="s">
        <v>1433</v>
      </c>
    </row>
    <row r="1592" s="29" customFormat="1" spans="2:5">
      <c r="B1592" s="26" t="s">
        <v>1368</v>
      </c>
      <c r="C1592" s="26" t="s">
        <v>1368</v>
      </c>
      <c r="D1592" s="26" t="s">
        <v>1368</v>
      </c>
      <c r="E1592" s="26" t="s">
        <v>1368</v>
      </c>
    </row>
    <row r="1593" s="29" customFormat="1" ht="124" spans="2:5">
      <c r="B1593" s="11" t="s">
        <v>173</v>
      </c>
      <c r="C1593" s="11" t="s">
        <v>173</v>
      </c>
      <c r="D1593" s="11" t="s">
        <v>173</v>
      </c>
      <c r="E1593" s="11" t="s">
        <v>173</v>
      </c>
    </row>
    <row r="1594" s="29" customFormat="1" ht="156" spans="2:5">
      <c r="B1594" s="12" t="s">
        <v>174</v>
      </c>
      <c r="C1594" s="12" t="s">
        <v>174</v>
      </c>
      <c r="D1594" s="12" t="s">
        <v>174</v>
      </c>
      <c r="E1594" s="12" t="s">
        <v>174</v>
      </c>
    </row>
    <row r="1595" s="29" customFormat="1" ht="68" spans="2:5">
      <c r="B1595" s="13" t="s">
        <v>1425</v>
      </c>
      <c r="C1595" s="13" t="s">
        <v>1425</v>
      </c>
      <c r="D1595" s="13" t="s">
        <v>1425</v>
      </c>
      <c r="E1595" s="13" t="s">
        <v>1425</v>
      </c>
    </row>
    <row r="1596" s="29" customFormat="1" ht="22" spans="2:5">
      <c r="B1596" s="14" t="s">
        <v>176</v>
      </c>
      <c r="C1596" s="14" t="s">
        <v>176</v>
      </c>
      <c r="D1596" s="14" t="s">
        <v>176</v>
      </c>
      <c r="E1596" s="14" t="s">
        <v>176</v>
      </c>
    </row>
    <row r="1597" s="29" customFormat="1" spans="2:5">
      <c r="B1597" s="15" t="s">
        <v>177</v>
      </c>
      <c r="C1597" s="16" t="s">
        <v>178</v>
      </c>
      <c r="D1597" s="17" t="s">
        <v>179</v>
      </c>
      <c r="E1597" s="18" t="s">
        <v>180</v>
      </c>
    </row>
    <row r="1598" s="29" customFormat="1" ht="28" spans="2:5">
      <c r="B1598" s="19" t="s">
        <v>328</v>
      </c>
      <c r="C1598" s="20" t="s">
        <v>804</v>
      </c>
      <c r="D1598" s="21">
        <v>26</v>
      </c>
      <c r="E1598" s="22">
        <v>2766486.720719</v>
      </c>
    </row>
    <row r="1599" s="29" customFormat="1" ht="28" spans="2:5">
      <c r="B1599" s="19" t="s">
        <v>328</v>
      </c>
      <c r="C1599" s="16" t="s">
        <v>183</v>
      </c>
      <c r="D1599" s="23">
        <v>46</v>
      </c>
      <c r="E1599" s="24">
        <v>2766486.720719</v>
      </c>
    </row>
    <row r="1600" s="29" customFormat="1" ht="41" spans="2:5">
      <c r="B1600" s="19" t="s">
        <v>329</v>
      </c>
      <c r="C1600" s="20" t="s">
        <v>182</v>
      </c>
      <c r="D1600" s="21">
        <v>8</v>
      </c>
      <c r="E1600" s="22">
        <v>673873.873874</v>
      </c>
    </row>
    <row r="1601" s="29" customFormat="1" ht="28" spans="2:5">
      <c r="B1601" s="19" t="s">
        <v>329</v>
      </c>
      <c r="C1601" s="20" t="s">
        <v>804</v>
      </c>
      <c r="D1601" s="21">
        <v>5</v>
      </c>
      <c r="E1601" s="22">
        <v>585225.225225</v>
      </c>
    </row>
    <row r="1602" s="29" customFormat="1" ht="28" spans="2:5">
      <c r="B1602" s="19" t="s">
        <v>329</v>
      </c>
      <c r="C1602" s="16" t="s">
        <v>183</v>
      </c>
      <c r="D1602" s="23">
        <v>13</v>
      </c>
      <c r="E1602" s="24">
        <v>1259099.099099</v>
      </c>
    </row>
    <row r="1603" s="29" customFormat="1" ht="41" spans="2:5">
      <c r="B1603" s="19" t="s">
        <v>464</v>
      </c>
      <c r="C1603" s="20" t="s">
        <v>182</v>
      </c>
      <c r="D1603" s="21">
        <v>16</v>
      </c>
      <c r="E1603" s="22">
        <v>0</v>
      </c>
    </row>
    <row r="1604" s="29" customFormat="1" ht="28" spans="2:5">
      <c r="B1604" s="19" t="s">
        <v>464</v>
      </c>
      <c r="C1604" s="16" t="s">
        <v>183</v>
      </c>
      <c r="D1604" s="23">
        <v>16</v>
      </c>
      <c r="E1604" s="24">
        <v>0</v>
      </c>
    </row>
    <row r="1605" s="29" customFormat="1" ht="41" spans="2:5">
      <c r="B1605" s="19" t="s">
        <v>330</v>
      </c>
      <c r="C1605" s="20" t="s">
        <v>182</v>
      </c>
      <c r="D1605" s="21">
        <v>10</v>
      </c>
      <c r="E1605" s="22">
        <v>333333.720721</v>
      </c>
    </row>
    <row r="1606" s="29" customFormat="1" ht="28" spans="2:5">
      <c r="B1606" s="19" t="s">
        <v>330</v>
      </c>
      <c r="C1606" s="16" t="s">
        <v>183</v>
      </c>
      <c r="D1606" s="23">
        <v>10</v>
      </c>
      <c r="E1606" s="24">
        <v>333333.720721</v>
      </c>
    </row>
    <row r="1607" s="29" customFormat="1" ht="41" spans="2:5">
      <c r="B1607" s="19" t="s">
        <v>466</v>
      </c>
      <c r="C1607" s="20" t="s">
        <v>182</v>
      </c>
      <c r="D1607" s="21">
        <v>4</v>
      </c>
      <c r="E1607" s="22">
        <v>0</v>
      </c>
    </row>
    <row r="1608" s="29" customFormat="1" ht="28" spans="2:5">
      <c r="B1608" s="19" t="s">
        <v>466</v>
      </c>
      <c r="C1608" s="16" t="s">
        <v>183</v>
      </c>
      <c r="D1608" s="23">
        <v>4</v>
      </c>
      <c r="E1608" s="24">
        <v>0</v>
      </c>
    </row>
    <row r="1609" s="29" customFormat="1" ht="28" spans="2:5">
      <c r="B1609" s="19" t="s">
        <v>1332</v>
      </c>
      <c r="C1609" s="20" t="s">
        <v>804</v>
      </c>
      <c r="D1609" s="21">
        <v>2</v>
      </c>
      <c r="E1609" s="22">
        <v>0</v>
      </c>
    </row>
    <row r="1610" s="29" customFormat="1" ht="28" spans="2:5">
      <c r="B1610" s="19" t="s">
        <v>1332</v>
      </c>
      <c r="C1610" s="16" t="s">
        <v>183</v>
      </c>
      <c r="D1610" s="23">
        <v>2</v>
      </c>
      <c r="E1610" s="24">
        <v>0</v>
      </c>
    </row>
    <row r="1611" s="29" customFormat="1" ht="28" spans="2:5">
      <c r="B1611" s="19" t="s">
        <v>334</v>
      </c>
      <c r="C1611" s="20" t="s">
        <v>804</v>
      </c>
      <c r="D1611" s="21">
        <v>8</v>
      </c>
      <c r="E1611" s="22">
        <v>1845045.045046</v>
      </c>
    </row>
    <row r="1612" s="29" customFormat="1" ht="28.75" spans="2:5">
      <c r="B1612" s="19" t="s">
        <v>334</v>
      </c>
      <c r="C1612" s="16" t="s">
        <v>183</v>
      </c>
      <c r="D1612" s="23">
        <v>8</v>
      </c>
      <c r="E1612" s="24">
        <v>1845045.045046</v>
      </c>
    </row>
    <row r="1613" s="29" customFormat="1" spans="2:5">
      <c r="B1613" s="25"/>
      <c r="C1613" s="25"/>
      <c r="D1613" s="25"/>
      <c r="E1613" s="25"/>
    </row>
    <row r="1614" s="29" customFormat="1" ht="36" spans="2:5">
      <c r="B1614" s="26" t="s">
        <v>189</v>
      </c>
      <c r="C1614" s="26" t="s">
        <v>189</v>
      </c>
      <c r="D1614" s="26" t="s">
        <v>189</v>
      </c>
      <c r="E1614" s="26" t="s">
        <v>189</v>
      </c>
    </row>
    <row r="1615" s="29" customFormat="1" spans="2:5">
      <c r="B1615" s="26"/>
      <c r="C1615" s="26"/>
      <c r="D1615" s="26"/>
      <c r="E1615" s="26"/>
    </row>
    <row r="1616" s="29" customFormat="1" ht="36" spans="2:5">
      <c r="B1616" s="26" t="s">
        <v>1433</v>
      </c>
      <c r="C1616" s="26" t="s">
        <v>1433</v>
      </c>
      <c r="D1616" s="26" t="s">
        <v>1433</v>
      </c>
      <c r="E1616" s="26" t="s">
        <v>1433</v>
      </c>
    </row>
    <row r="1617" s="29" customFormat="1" spans="2:5">
      <c r="B1617" s="26" t="s">
        <v>1373</v>
      </c>
      <c r="C1617" s="26" t="s">
        <v>1373</v>
      </c>
      <c r="D1617" s="26" t="s">
        <v>1373</v>
      </c>
      <c r="E1617" s="26" t="s">
        <v>1373</v>
      </c>
    </row>
    <row r="1618" s="29" customFormat="1" ht="124" spans="2:5">
      <c r="B1618" s="11" t="s">
        <v>173</v>
      </c>
      <c r="C1618" s="11" t="s">
        <v>173</v>
      </c>
      <c r="D1618" s="11" t="s">
        <v>173</v>
      </c>
      <c r="E1618" s="11" t="s">
        <v>173</v>
      </c>
    </row>
    <row r="1619" s="29" customFormat="1" ht="156" spans="2:5">
      <c r="B1619" s="12" t="s">
        <v>174</v>
      </c>
      <c r="C1619" s="12" t="s">
        <v>174</v>
      </c>
      <c r="D1619" s="12" t="s">
        <v>174</v>
      </c>
      <c r="E1619" s="12" t="s">
        <v>174</v>
      </c>
    </row>
    <row r="1620" s="29" customFormat="1" ht="68" spans="2:5">
      <c r="B1620" s="13" t="s">
        <v>1425</v>
      </c>
      <c r="C1620" s="13" t="s">
        <v>1425</v>
      </c>
      <c r="D1620" s="13" t="s">
        <v>1425</v>
      </c>
      <c r="E1620" s="13" t="s">
        <v>1425</v>
      </c>
    </row>
    <row r="1621" s="29" customFormat="1" ht="22" spans="2:5">
      <c r="B1621" s="14" t="s">
        <v>176</v>
      </c>
      <c r="C1621" s="14" t="s">
        <v>176</v>
      </c>
      <c r="D1621" s="14" t="s">
        <v>176</v>
      </c>
      <c r="E1621" s="14" t="s">
        <v>176</v>
      </c>
    </row>
    <row r="1622" s="29" customFormat="1" spans="2:5">
      <c r="B1622" s="15" t="s">
        <v>177</v>
      </c>
      <c r="C1622" s="16" t="s">
        <v>178</v>
      </c>
      <c r="D1622" s="17" t="s">
        <v>179</v>
      </c>
      <c r="E1622" s="18" t="s">
        <v>180</v>
      </c>
    </row>
    <row r="1623" s="29" customFormat="1" ht="41" spans="2:5">
      <c r="B1623" s="19" t="s">
        <v>1570</v>
      </c>
      <c r="C1623" s="20" t="s">
        <v>182</v>
      </c>
      <c r="D1623" s="21">
        <v>4</v>
      </c>
      <c r="E1623" s="22">
        <v>1230000</v>
      </c>
    </row>
    <row r="1624" s="29" customFormat="1" ht="28" spans="2:5">
      <c r="B1624" s="19" t="s">
        <v>1570</v>
      </c>
      <c r="C1624" s="16" t="s">
        <v>183</v>
      </c>
      <c r="D1624" s="23">
        <v>4</v>
      </c>
      <c r="E1624" s="24">
        <v>1230000</v>
      </c>
    </row>
    <row r="1625" s="29" customFormat="1" ht="41" spans="2:5">
      <c r="B1625" s="19" t="s">
        <v>1571</v>
      </c>
      <c r="C1625" s="20" t="s">
        <v>182</v>
      </c>
      <c r="D1625" s="21">
        <v>1</v>
      </c>
      <c r="E1625" s="22">
        <v>0</v>
      </c>
    </row>
    <row r="1626" s="29" customFormat="1" ht="28" spans="2:5">
      <c r="B1626" s="19" t="s">
        <v>1571</v>
      </c>
      <c r="C1626" s="16" t="s">
        <v>183</v>
      </c>
      <c r="D1626" s="23">
        <v>1</v>
      </c>
      <c r="E1626" s="24">
        <v>0</v>
      </c>
    </row>
    <row r="1627" s="29" customFormat="1" ht="41" spans="2:5">
      <c r="B1627" s="19" t="s">
        <v>1082</v>
      </c>
      <c r="C1627" s="20" t="s">
        <v>182</v>
      </c>
      <c r="D1627" s="21">
        <v>1</v>
      </c>
      <c r="E1627" s="22">
        <v>0</v>
      </c>
    </row>
    <row r="1628" s="29" customFormat="1" spans="2:5">
      <c r="B1628" s="19" t="s">
        <v>1082</v>
      </c>
      <c r="C1628" s="16" t="s">
        <v>183</v>
      </c>
      <c r="D1628" s="23">
        <v>1</v>
      </c>
      <c r="E1628" s="24">
        <v>0</v>
      </c>
    </row>
    <row r="1629" s="29" customFormat="1" ht="41" spans="2:5">
      <c r="B1629" s="19" t="s">
        <v>470</v>
      </c>
      <c r="C1629" s="20" t="s">
        <v>182</v>
      </c>
      <c r="D1629" s="21">
        <v>32</v>
      </c>
      <c r="E1629" s="22">
        <v>1418288.17117</v>
      </c>
    </row>
    <row r="1630" s="29" customFormat="1" ht="28" spans="2:5">
      <c r="B1630" s="19" t="s">
        <v>470</v>
      </c>
      <c r="C1630" s="20" t="s">
        <v>804</v>
      </c>
      <c r="D1630" s="21">
        <v>13</v>
      </c>
      <c r="E1630" s="22">
        <v>1229729.729729</v>
      </c>
    </row>
    <row r="1631" s="29" customFormat="1" ht="28" spans="2:5">
      <c r="B1631" s="19" t="s">
        <v>470</v>
      </c>
      <c r="C1631" s="16" t="s">
        <v>183</v>
      </c>
      <c r="D1631" s="23">
        <v>45</v>
      </c>
      <c r="E1631" s="24">
        <v>2648017.900899</v>
      </c>
    </row>
    <row r="1632" s="29" customFormat="1" ht="41" spans="2:5">
      <c r="B1632" s="19" t="s">
        <v>1572</v>
      </c>
      <c r="C1632" s="20" t="s">
        <v>182</v>
      </c>
      <c r="D1632" s="21">
        <v>1</v>
      </c>
      <c r="E1632" s="22">
        <v>0</v>
      </c>
    </row>
    <row r="1633" s="29" customFormat="1" ht="28" spans="2:5">
      <c r="B1633" s="19" t="s">
        <v>1572</v>
      </c>
      <c r="C1633" s="16" t="s">
        <v>183</v>
      </c>
      <c r="D1633" s="23">
        <v>1</v>
      </c>
      <c r="E1633" s="24">
        <v>0</v>
      </c>
    </row>
    <row r="1634" s="29" customFormat="1" ht="28" spans="2:5">
      <c r="B1634" s="19" t="s">
        <v>1573</v>
      </c>
      <c r="C1634" s="20" t="s">
        <v>804</v>
      </c>
      <c r="D1634" s="21">
        <v>2</v>
      </c>
      <c r="E1634" s="22">
        <v>450000</v>
      </c>
    </row>
    <row r="1635" s="29" customFormat="1" ht="17.55" spans="2:5">
      <c r="B1635" s="19" t="s">
        <v>1573</v>
      </c>
      <c r="C1635" s="16" t="s">
        <v>183</v>
      </c>
      <c r="D1635" s="23">
        <v>2</v>
      </c>
      <c r="E1635" s="24">
        <v>450000</v>
      </c>
    </row>
    <row r="1636" s="29" customFormat="1" spans="2:5">
      <c r="B1636" s="25"/>
      <c r="C1636" s="25"/>
      <c r="D1636" s="25"/>
      <c r="E1636" s="25"/>
    </row>
    <row r="1637" s="29" customFormat="1" ht="36" spans="2:5">
      <c r="B1637" s="26" t="s">
        <v>189</v>
      </c>
      <c r="C1637" s="26" t="s">
        <v>189</v>
      </c>
      <c r="D1637" s="26" t="s">
        <v>189</v>
      </c>
      <c r="E1637" s="26" t="s">
        <v>189</v>
      </c>
    </row>
    <row r="1638" s="29" customFormat="1" spans="2:5">
      <c r="B1638" s="26"/>
      <c r="C1638" s="26"/>
      <c r="D1638" s="26"/>
      <c r="E1638" s="26"/>
    </row>
    <row r="1639" s="29" customFormat="1" ht="36" spans="2:5">
      <c r="B1639" s="26" t="s">
        <v>1433</v>
      </c>
      <c r="C1639" s="26" t="s">
        <v>1433</v>
      </c>
      <c r="D1639" s="26" t="s">
        <v>1433</v>
      </c>
      <c r="E1639" s="26" t="s">
        <v>1433</v>
      </c>
    </row>
    <row r="1640" s="29" customFormat="1" spans="2:5">
      <c r="B1640" s="26" t="s">
        <v>1377</v>
      </c>
      <c r="C1640" s="26" t="s">
        <v>1377</v>
      </c>
      <c r="D1640" s="26" t="s">
        <v>1377</v>
      </c>
      <c r="E1640" s="26" t="s">
        <v>1377</v>
      </c>
    </row>
    <row r="1641" s="29" customFormat="1" ht="124" spans="2:5">
      <c r="B1641" s="11" t="s">
        <v>173</v>
      </c>
      <c r="C1641" s="11" t="s">
        <v>173</v>
      </c>
      <c r="D1641" s="11" t="s">
        <v>173</v>
      </c>
      <c r="E1641" s="11" t="s">
        <v>173</v>
      </c>
    </row>
    <row r="1642" s="29" customFormat="1" ht="156" spans="2:5">
      <c r="B1642" s="12" t="s">
        <v>174</v>
      </c>
      <c r="C1642" s="12" t="s">
        <v>174</v>
      </c>
      <c r="D1642" s="12" t="s">
        <v>174</v>
      </c>
      <c r="E1642" s="12" t="s">
        <v>174</v>
      </c>
    </row>
    <row r="1643" s="29" customFormat="1" ht="68" spans="2:5">
      <c r="B1643" s="13" t="s">
        <v>1425</v>
      </c>
      <c r="C1643" s="13" t="s">
        <v>1425</v>
      </c>
      <c r="D1643" s="13" t="s">
        <v>1425</v>
      </c>
      <c r="E1643" s="13" t="s">
        <v>1425</v>
      </c>
    </row>
    <row r="1644" s="29" customFormat="1" ht="22" spans="2:5">
      <c r="B1644" s="14" t="s">
        <v>176</v>
      </c>
      <c r="C1644" s="14" t="s">
        <v>176</v>
      </c>
      <c r="D1644" s="14" t="s">
        <v>176</v>
      </c>
      <c r="E1644" s="14" t="s">
        <v>176</v>
      </c>
    </row>
    <row r="1645" s="29" customFormat="1" spans="2:5">
      <c r="B1645" s="15" t="s">
        <v>177</v>
      </c>
      <c r="C1645" s="16" t="s">
        <v>178</v>
      </c>
      <c r="D1645" s="17" t="s">
        <v>179</v>
      </c>
      <c r="E1645" s="18" t="s">
        <v>180</v>
      </c>
    </row>
    <row r="1646" s="29" customFormat="1" ht="41" spans="2:5">
      <c r="B1646" s="19" t="s">
        <v>1574</v>
      </c>
      <c r="C1646" s="20" t="s">
        <v>182</v>
      </c>
      <c r="D1646" s="21">
        <v>1</v>
      </c>
      <c r="E1646" s="22">
        <v>285000</v>
      </c>
    </row>
    <row r="1647" s="29" customFormat="1" ht="28" spans="2:5">
      <c r="B1647" s="19" t="s">
        <v>1574</v>
      </c>
      <c r="C1647" s="16" t="s">
        <v>183</v>
      </c>
      <c r="D1647" s="23">
        <v>1</v>
      </c>
      <c r="E1647" s="24">
        <v>285000</v>
      </c>
    </row>
    <row r="1648" s="29" customFormat="1" ht="41" spans="2:5">
      <c r="B1648" s="19" t="s">
        <v>1575</v>
      </c>
      <c r="C1648" s="20" t="s">
        <v>182</v>
      </c>
      <c r="D1648" s="21">
        <v>1</v>
      </c>
      <c r="E1648" s="22">
        <v>0</v>
      </c>
    </row>
    <row r="1649" s="29" customFormat="1" ht="28" spans="2:5">
      <c r="B1649" s="19" t="s">
        <v>1575</v>
      </c>
      <c r="C1649" s="16" t="s">
        <v>183</v>
      </c>
      <c r="D1649" s="23">
        <v>1</v>
      </c>
      <c r="E1649" s="24">
        <v>0</v>
      </c>
    </row>
    <row r="1650" s="29" customFormat="1" ht="41" spans="2:5">
      <c r="B1650" s="19" t="s">
        <v>909</v>
      </c>
      <c r="C1650" s="20" t="s">
        <v>182</v>
      </c>
      <c r="D1650" s="21">
        <v>1</v>
      </c>
      <c r="E1650" s="22">
        <v>0</v>
      </c>
    </row>
    <row r="1651" s="29" customFormat="1" ht="28" spans="2:5">
      <c r="B1651" s="19" t="s">
        <v>909</v>
      </c>
      <c r="C1651" s="16" t="s">
        <v>183</v>
      </c>
      <c r="D1651" s="23">
        <v>1</v>
      </c>
      <c r="E1651" s="24">
        <v>0</v>
      </c>
    </row>
    <row r="1652" s="29" customFormat="1" ht="41" spans="2:5">
      <c r="B1652" s="19" t="s">
        <v>1576</v>
      </c>
      <c r="C1652" s="20" t="s">
        <v>182</v>
      </c>
      <c r="D1652" s="21">
        <v>1</v>
      </c>
      <c r="E1652" s="22">
        <v>65000</v>
      </c>
    </row>
    <row r="1653" s="29" customFormat="1" spans="2:5">
      <c r="B1653" s="19" t="s">
        <v>1576</v>
      </c>
      <c r="C1653" s="16" t="s">
        <v>183</v>
      </c>
      <c r="D1653" s="23">
        <v>1</v>
      </c>
      <c r="E1653" s="24">
        <v>65000</v>
      </c>
    </row>
    <row r="1654" s="29" customFormat="1" ht="28" spans="2:5">
      <c r="B1654" s="19" t="s">
        <v>1577</v>
      </c>
      <c r="C1654" s="20" t="s">
        <v>804</v>
      </c>
      <c r="D1654" s="21">
        <v>1</v>
      </c>
      <c r="E1654" s="22">
        <v>149000</v>
      </c>
    </row>
    <row r="1655" s="29" customFormat="1" ht="28" spans="2:5">
      <c r="B1655" s="19" t="s">
        <v>1577</v>
      </c>
      <c r="C1655" s="16" t="s">
        <v>183</v>
      </c>
      <c r="D1655" s="23">
        <v>1</v>
      </c>
      <c r="E1655" s="24">
        <v>149000</v>
      </c>
    </row>
    <row r="1656" s="29" customFormat="1" ht="28" spans="2:5">
      <c r="B1656" s="19" t="s">
        <v>1578</v>
      </c>
      <c r="C1656" s="20" t="s">
        <v>804</v>
      </c>
      <c r="D1656" s="21">
        <v>1</v>
      </c>
      <c r="E1656" s="22">
        <v>131000</v>
      </c>
    </row>
    <row r="1657" s="29" customFormat="1" ht="28" spans="2:5">
      <c r="B1657" s="19" t="s">
        <v>1578</v>
      </c>
      <c r="C1657" s="16" t="s">
        <v>183</v>
      </c>
      <c r="D1657" s="23">
        <v>1</v>
      </c>
      <c r="E1657" s="24">
        <v>131000</v>
      </c>
    </row>
    <row r="1658" s="29" customFormat="1" ht="28" spans="2:5">
      <c r="B1658" s="19" t="s">
        <v>1579</v>
      </c>
      <c r="C1658" s="20" t="s">
        <v>804</v>
      </c>
      <c r="D1658" s="21">
        <v>1</v>
      </c>
      <c r="E1658" s="22">
        <v>349099.099099</v>
      </c>
    </row>
    <row r="1659" s="29" customFormat="1" ht="17.55" spans="2:5">
      <c r="B1659" s="19" t="s">
        <v>1579</v>
      </c>
      <c r="C1659" s="16" t="s">
        <v>183</v>
      </c>
      <c r="D1659" s="23">
        <v>1</v>
      </c>
      <c r="E1659" s="24">
        <v>349099.099099</v>
      </c>
    </row>
    <row r="1660" s="29" customFormat="1" spans="2:5">
      <c r="B1660" s="25"/>
      <c r="C1660" s="25"/>
      <c r="D1660" s="25"/>
      <c r="E1660" s="25"/>
    </row>
    <row r="1661" s="29" customFormat="1" ht="36" spans="2:5">
      <c r="B1661" s="26" t="s">
        <v>189</v>
      </c>
      <c r="C1661" s="26" t="s">
        <v>189</v>
      </c>
      <c r="D1661" s="26" t="s">
        <v>189</v>
      </c>
      <c r="E1661" s="26" t="s">
        <v>189</v>
      </c>
    </row>
    <row r="1662" s="29" customFormat="1" spans="2:5">
      <c r="B1662" s="26"/>
      <c r="C1662" s="26"/>
      <c r="D1662" s="26"/>
      <c r="E1662" s="26"/>
    </row>
    <row r="1663" s="29" customFormat="1" ht="36" spans="2:5">
      <c r="B1663" s="26" t="s">
        <v>1433</v>
      </c>
      <c r="C1663" s="26" t="s">
        <v>1433</v>
      </c>
      <c r="D1663" s="26" t="s">
        <v>1433</v>
      </c>
      <c r="E1663" s="26" t="s">
        <v>1433</v>
      </c>
    </row>
    <row r="1664" s="29" customFormat="1" spans="2:5">
      <c r="B1664" s="26" t="s">
        <v>1378</v>
      </c>
      <c r="C1664" s="26" t="s">
        <v>1378</v>
      </c>
      <c r="D1664" s="26" t="s">
        <v>1378</v>
      </c>
      <c r="E1664" s="26" t="s">
        <v>1378</v>
      </c>
    </row>
    <row r="1665" s="29" customFormat="1" ht="124" spans="2:5">
      <c r="B1665" s="11" t="s">
        <v>173</v>
      </c>
      <c r="C1665" s="11" t="s">
        <v>173</v>
      </c>
      <c r="D1665" s="11" t="s">
        <v>173</v>
      </c>
      <c r="E1665" s="11" t="s">
        <v>173</v>
      </c>
    </row>
    <row r="1666" s="29" customFormat="1" ht="156" spans="2:5">
      <c r="B1666" s="12" t="s">
        <v>174</v>
      </c>
      <c r="C1666" s="12" t="s">
        <v>174</v>
      </c>
      <c r="D1666" s="12" t="s">
        <v>174</v>
      </c>
      <c r="E1666" s="12" t="s">
        <v>174</v>
      </c>
    </row>
    <row r="1667" s="29" customFormat="1" ht="68" spans="2:5">
      <c r="B1667" s="13" t="s">
        <v>1425</v>
      </c>
      <c r="C1667" s="13" t="s">
        <v>1425</v>
      </c>
      <c r="D1667" s="13" t="s">
        <v>1425</v>
      </c>
      <c r="E1667" s="13" t="s">
        <v>1425</v>
      </c>
    </row>
    <row r="1668" s="29" customFormat="1" ht="22" spans="2:5">
      <c r="B1668" s="14" t="s">
        <v>176</v>
      </c>
      <c r="C1668" s="14" t="s">
        <v>176</v>
      </c>
      <c r="D1668" s="14" t="s">
        <v>176</v>
      </c>
      <c r="E1668" s="14" t="s">
        <v>176</v>
      </c>
    </row>
    <row r="1669" s="29" customFormat="1" spans="2:5">
      <c r="B1669" s="15" t="s">
        <v>177</v>
      </c>
      <c r="C1669" s="16" t="s">
        <v>178</v>
      </c>
      <c r="D1669" s="17" t="s">
        <v>179</v>
      </c>
      <c r="E1669" s="18" t="s">
        <v>180</v>
      </c>
    </row>
    <row r="1670" s="29" customFormat="1" ht="28" spans="2:5">
      <c r="B1670" s="19" t="s">
        <v>1580</v>
      </c>
      <c r="C1670" s="20" t="s">
        <v>804</v>
      </c>
      <c r="D1670" s="21">
        <v>1</v>
      </c>
      <c r="E1670" s="22">
        <v>529729.72973</v>
      </c>
    </row>
    <row r="1671" s="29" customFormat="1" spans="2:5">
      <c r="B1671" s="19" t="s">
        <v>1580</v>
      </c>
      <c r="C1671" s="16" t="s">
        <v>183</v>
      </c>
      <c r="D1671" s="23">
        <v>1</v>
      </c>
      <c r="E1671" s="24">
        <v>529729.72973</v>
      </c>
    </row>
    <row r="1672" s="29" customFormat="1" ht="28" spans="2:5">
      <c r="B1672" s="19" t="s">
        <v>1581</v>
      </c>
      <c r="C1672" s="20" t="s">
        <v>804</v>
      </c>
      <c r="D1672" s="21">
        <v>1</v>
      </c>
      <c r="E1672" s="22">
        <v>349099.099099</v>
      </c>
    </row>
    <row r="1673" s="29" customFormat="1" ht="28" spans="2:5">
      <c r="B1673" s="19" t="s">
        <v>1581</v>
      </c>
      <c r="C1673" s="16" t="s">
        <v>183</v>
      </c>
      <c r="D1673" s="23">
        <v>1</v>
      </c>
      <c r="E1673" s="24">
        <v>349099.099099</v>
      </c>
    </row>
    <row r="1674" s="29" customFormat="1" ht="28" spans="2:5">
      <c r="B1674" s="19" t="s">
        <v>1582</v>
      </c>
      <c r="C1674" s="20" t="s">
        <v>804</v>
      </c>
      <c r="D1674" s="21">
        <v>2</v>
      </c>
      <c r="E1674" s="22">
        <v>981981.981982</v>
      </c>
    </row>
    <row r="1675" s="29" customFormat="1" spans="2:5">
      <c r="B1675" s="19" t="s">
        <v>1582</v>
      </c>
      <c r="C1675" s="16" t="s">
        <v>183</v>
      </c>
      <c r="D1675" s="23">
        <v>2</v>
      </c>
      <c r="E1675" s="24">
        <v>981981.981982</v>
      </c>
    </row>
    <row r="1676" s="29" customFormat="1" ht="28" spans="2:5">
      <c r="B1676" s="19" t="s">
        <v>1583</v>
      </c>
      <c r="C1676" s="20" t="s">
        <v>804</v>
      </c>
      <c r="D1676" s="21">
        <v>1</v>
      </c>
      <c r="E1676" s="22">
        <v>349099.099099</v>
      </c>
    </row>
    <row r="1677" s="29" customFormat="1" ht="28" spans="2:5">
      <c r="B1677" s="19" t="s">
        <v>1583</v>
      </c>
      <c r="C1677" s="16" t="s">
        <v>183</v>
      </c>
      <c r="D1677" s="23">
        <v>1</v>
      </c>
      <c r="E1677" s="24">
        <v>349099.099099</v>
      </c>
    </row>
    <row r="1678" s="29" customFormat="1" ht="28" spans="2:5">
      <c r="B1678" s="19" t="s">
        <v>1584</v>
      </c>
      <c r="C1678" s="20" t="s">
        <v>804</v>
      </c>
      <c r="D1678" s="21">
        <v>2</v>
      </c>
      <c r="E1678" s="22">
        <v>705405</v>
      </c>
    </row>
    <row r="1679" s="29" customFormat="1" ht="28" spans="2:5">
      <c r="B1679" s="19" t="s">
        <v>1584</v>
      </c>
      <c r="C1679" s="16" t="s">
        <v>183</v>
      </c>
      <c r="D1679" s="23">
        <v>2</v>
      </c>
      <c r="E1679" s="24">
        <v>705405</v>
      </c>
    </row>
    <row r="1680" s="29" customFormat="1" ht="28" spans="2:5">
      <c r="B1680" s="19" t="s">
        <v>1585</v>
      </c>
      <c r="C1680" s="20" t="s">
        <v>804</v>
      </c>
      <c r="D1680" s="21">
        <v>1</v>
      </c>
      <c r="E1680" s="22">
        <v>900000</v>
      </c>
    </row>
    <row r="1681" s="29" customFormat="1" ht="28" spans="2:5">
      <c r="B1681" s="19" t="s">
        <v>1585</v>
      </c>
      <c r="C1681" s="16" t="s">
        <v>183</v>
      </c>
      <c r="D1681" s="23">
        <v>1</v>
      </c>
      <c r="E1681" s="24">
        <v>900000</v>
      </c>
    </row>
    <row r="1682" s="29" customFormat="1" ht="41" spans="2:5">
      <c r="B1682" s="19" t="s">
        <v>751</v>
      </c>
      <c r="C1682" s="20" t="s">
        <v>182</v>
      </c>
      <c r="D1682" s="21">
        <v>4</v>
      </c>
      <c r="E1682" s="22">
        <v>36036.036036</v>
      </c>
    </row>
    <row r="1683" s="29" customFormat="1" spans="2:5">
      <c r="B1683" s="19" t="s">
        <v>751</v>
      </c>
      <c r="C1683" s="16" t="s">
        <v>183</v>
      </c>
      <c r="D1683" s="23">
        <v>4</v>
      </c>
      <c r="E1683" s="24">
        <v>36036.036036</v>
      </c>
    </row>
    <row r="1684" s="29" customFormat="1" ht="41" spans="2:5">
      <c r="B1684" s="19" t="s">
        <v>752</v>
      </c>
      <c r="C1684" s="20" t="s">
        <v>182</v>
      </c>
      <c r="D1684" s="21">
        <v>2</v>
      </c>
      <c r="E1684" s="22">
        <v>18018.018018</v>
      </c>
    </row>
    <row r="1685" s="29" customFormat="1" ht="17.55" spans="2:5">
      <c r="B1685" s="19" t="s">
        <v>752</v>
      </c>
      <c r="C1685" s="16" t="s">
        <v>183</v>
      </c>
      <c r="D1685" s="23">
        <v>2</v>
      </c>
      <c r="E1685" s="24">
        <v>18018.018018</v>
      </c>
    </row>
    <row r="1686" s="29" customFormat="1" spans="2:5">
      <c r="B1686" s="25"/>
      <c r="C1686" s="25"/>
      <c r="D1686" s="25"/>
      <c r="E1686" s="25"/>
    </row>
    <row r="1687" s="29" customFormat="1" ht="36" spans="2:5">
      <c r="B1687" s="26" t="s">
        <v>189</v>
      </c>
      <c r="C1687" s="26" t="s">
        <v>189</v>
      </c>
      <c r="D1687" s="26" t="s">
        <v>189</v>
      </c>
      <c r="E1687" s="26" t="s">
        <v>189</v>
      </c>
    </row>
    <row r="1688" s="29" customFormat="1" spans="2:5">
      <c r="B1688" s="26"/>
      <c r="C1688" s="26"/>
      <c r="D1688" s="26"/>
      <c r="E1688" s="26"/>
    </row>
    <row r="1689" s="29" customFormat="1" ht="36" spans="2:5">
      <c r="B1689" s="26" t="s">
        <v>1433</v>
      </c>
      <c r="C1689" s="26" t="s">
        <v>1433</v>
      </c>
      <c r="D1689" s="26" t="s">
        <v>1433</v>
      </c>
      <c r="E1689" s="26" t="s">
        <v>1433</v>
      </c>
    </row>
    <row r="1690" s="29" customFormat="1" spans="2:5">
      <c r="B1690" s="26" t="s">
        <v>1379</v>
      </c>
      <c r="C1690" s="26" t="s">
        <v>1379</v>
      </c>
      <c r="D1690" s="26" t="s">
        <v>1379</v>
      </c>
      <c r="E1690" s="26" t="s">
        <v>1379</v>
      </c>
    </row>
    <row r="1691" s="29" customFormat="1" ht="124" spans="2:5">
      <c r="B1691" s="11" t="s">
        <v>173</v>
      </c>
      <c r="C1691" s="11" t="s">
        <v>173</v>
      </c>
      <c r="D1691" s="11" t="s">
        <v>173</v>
      </c>
      <c r="E1691" s="11" t="s">
        <v>173</v>
      </c>
    </row>
    <row r="1692" s="29" customFormat="1" ht="156" spans="2:5">
      <c r="B1692" s="12" t="s">
        <v>174</v>
      </c>
      <c r="C1692" s="12" t="s">
        <v>174</v>
      </c>
      <c r="D1692" s="12" t="s">
        <v>174</v>
      </c>
      <c r="E1692" s="12" t="s">
        <v>174</v>
      </c>
    </row>
    <row r="1693" s="29" customFormat="1" ht="68" spans="2:5">
      <c r="B1693" s="13" t="s">
        <v>1425</v>
      </c>
      <c r="C1693" s="13" t="s">
        <v>1425</v>
      </c>
      <c r="D1693" s="13" t="s">
        <v>1425</v>
      </c>
      <c r="E1693" s="13" t="s">
        <v>1425</v>
      </c>
    </row>
    <row r="1694" s="29" customFormat="1" ht="22" spans="2:5">
      <c r="B1694" s="14" t="s">
        <v>176</v>
      </c>
      <c r="C1694" s="14" t="s">
        <v>176</v>
      </c>
      <c r="D1694" s="14" t="s">
        <v>176</v>
      </c>
      <c r="E1694" s="14" t="s">
        <v>176</v>
      </c>
    </row>
    <row r="1695" s="29" customFormat="1" spans="2:5">
      <c r="B1695" s="15" t="s">
        <v>177</v>
      </c>
      <c r="C1695" s="16" t="s">
        <v>178</v>
      </c>
      <c r="D1695" s="17" t="s">
        <v>179</v>
      </c>
      <c r="E1695" s="18" t="s">
        <v>180</v>
      </c>
    </row>
    <row r="1696" s="29" customFormat="1" ht="41" spans="2:5">
      <c r="B1696" s="19" t="s">
        <v>753</v>
      </c>
      <c r="C1696" s="20" t="s">
        <v>182</v>
      </c>
      <c r="D1696" s="21">
        <v>2</v>
      </c>
      <c r="E1696" s="22">
        <v>18018.018018</v>
      </c>
    </row>
    <row r="1697" s="29" customFormat="1" spans="2:5">
      <c r="B1697" s="19" t="s">
        <v>753</v>
      </c>
      <c r="C1697" s="16" t="s">
        <v>183</v>
      </c>
      <c r="D1697" s="23">
        <v>2</v>
      </c>
      <c r="E1697" s="24">
        <v>18018.018018</v>
      </c>
    </row>
    <row r="1698" s="29" customFormat="1" ht="28" spans="2:5">
      <c r="B1698" s="19" t="s">
        <v>1586</v>
      </c>
      <c r="C1698" s="20" t="s">
        <v>804</v>
      </c>
      <c r="D1698" s="21">
        <v>1</v>
      </c>
      <c r="E1698" s="22">
        <v>211711.711712</v>
      </c>
    </row>
    <row r="1699" s="29" customFormat="1" ht="28" spans="2:5">
      <c r="B1699" s="19" t="s">
        <v>1586</v>
      </c>
      <c r="C1699" s="16" t="s">
        <v>183</v>
      </c>
      <c r="D1699" s="23">
        <v>1</v>
      </c>
      <c r="E1699" s="24">
        <v>211711.711712</v>
      </c>
    </row>
    <row r="1700" s="29" customFormat="1" ht="41" spans="2:5">
      <c r="B1700" s="19" t="s">
        <v>1587</v>
      </c>
      <c r="C1700" s="20" t="s">
        <v>182</v>
      </c>
      <c r="D1700" s="21">
        <v>1</v>
      </c>
      <c r="E1700" s="22">
        <v>165000</v>
      </c>
    </row>
    <row r="1701" s="29" customFormat="1" spans="2:5">
      <c r="B1701" s="19" t="s">
        <v>1587</v>
      </c>
      <c r="C1701" s="16" t="s">
        <v>183</v>
      </c>
      <c r="D1701" s="23">
        <v>1</v>
      </c>
      <c r="E1701" s="24">
        <v>165000</v>
      </c>
    </row>
    <row r="1702" s="29" customFormat="1" ht="28" spans="2:5">
      <c r="B1702" s="19" t="s">
        <v>1588</v>
      </c>
      <c r="C1702" s="20" t="s">
        <v>804</v>
      </c>
      <c r="D1702" s="21">
        <v>1</v>
      </c>
      <c r="E1702" s="22">
        <v>171171.171171</v>
      </c>
    </row>
    <row r="1703" s="29" customFormat="1" ht="28" spans="2:5">
      <c r="B1703" s="19" t="s">
        <v>1588</v>
      </c>
      <c r="C1703" s="16" t="s">
        <v>183</v>
      </c>
      <c r="D1703" s="23">
        <v>1</v>
      </c>
      <c r="E1703" s="24">
        <v>171171.171171</v>
      </c>
    </row>
    <row r="1704" s="29" customFormat="1" ht="28" spans="2:5">
      <c r="B1704" s="19" t="s">
        <v>1589</v>
      </c>
      <c r="C1704" s="20" t="s">
        <v>804</v>
      </c>
      <c r="D1704" s="21">
        <v>1</v>
      </c>
      <c r="E1704" s="22">
        <v>315315.315315</v>
      </c>
    </row>
    <row r="1705" s="29" customFormat="1" spans="2:5">
      <c r="B1705" s="19" t="s">
        <v>1589</v>
      </c>
      <c r="C1705" s="16" t="s">
        <v>183</v>
      </c>
      <c r="D1705" s="23">
        <v>1</v>
      </c>
      <c r="E1705" s="24">
        <v>315315.315315</v>
      </c>
    </row>
    <row r="1706" s="29" customFormat="1" ht="28" spans="2:5">
      <c r="B1706" s="19" t="s">
        <v>1590</v>
      </c>
      <c r="C1706" s="20" t="s">
        <v>804</v>
      </c>
      <c r="D1706" s="21">
        <v>1</v>
      </c>
      <c r="E1706" s="22">
        <v>90090.09009</v>
      </c>
    </row>
    <row r="1707" s="29" customFormat="1" spans="2:5">
      <c r="B1707" s="19" t="s">
        <v>1590</v>
      </c>
      <c r="C1707" s="16" t="s">
        <v>183</v>
      </c>
      <c r="D1707" s="23">
        <v>1</v>
      </c>
      <c r="E1707" s="24">
        <v>90090.09009</v>
      </c>
    </row>
    <row r="1708" s="29" customFormat="1" ht="41" spans="2:5">
      <c r="B1708" s="19" t="s">
        <v>1591</v>
      </c>
      <c r="C1708" s="20" t="s">
        <v>182</v>
      </c>
      <c r="D1708" s="21">
        <v>1</v>
      </c>
      <c r="E1708" s="22">
        <v>165000</v>
      </c>
    </row>
    <row r="1709" s="29" customFormat="1" ht="17.55" spans="2:5">
      <c r="B1709" s="19" t="s">
        <v>1591</v>
      </c>
      <c r="C1709" s="16" t="s">
        <v>183</v>
      </c>
      <c r="D1709" s="23">
        <v>1</v>
      </c>
      <c r="E1709" s="24">
        <v>165000</v>
      </c>
    </row>
    <row r="1710" s="29" customFormat="1" spans="2:5">
      <c r="B1710" s="25"/>
      <c r="C1710" s="25"/>
      <c r="D1710" s="25"/>
      <c r="E1710" s="25"/>
    </row>
    <row r="1711" s="29" customFormat="1" ht="36" spans="2:5">
      <c r="B1711" s="26" t="s">
        <v>189</v>
      </c>
      <c r="C1711" s="26" t="s">
        <v>189</v>
      </c>
      <c r="D1711" s="26" t="s">
        <v>189</v>
      </c>
      <c r="E1711" s="26" t="s">
        <v>189</v>
      </c>
    </row>
    <row r="1712" s="29" customFormat="1" spans="2:5">
      <c r="B1712" s="26"/>
      <c r="C1712" s="26"/>
      <c r="D1712" s="26"/>
      <c r="E1712" s="26"/>
    </row>
    <row r="1713" s="29" customFormat="1" ht="36" spans="2:5">
      <c r="B1713" s="26" t="s">
        <v>1433</v>
      </c>
      <c r="C1713" s="26" t="s">
        <v>1433</v>
      </c>
      <c r="D1713" s="26" t="s">
        <v>1433</v>
      </c>
      <c r="E1713" s="26" t="s">
        <v>1433</v>
      </c>
    </row>
    <row r="1714" s="29" customFormat="1" spans="2:5">
      <c r="B1714" s="26" t="s">
        <v>1383</v>
      </c>
      <c r="C1714" s="26" t="s">
        <v>1383</v>
      </c>
      <c r="D1714" s="26" t="s">
        <v>1383</v>
      </c>
      <c r="E1714" s="26" t="s">
        <v>1383</v>
      </c>
    </row>
    <row r="1715" s="29" customFormat="1" ht="124" spans="2:5">
      <c r="B1715" s="11" t="s">
        <v>173</v>
      </c>
      <c r="C1715" s="11" t="s">
        <v>173</v>
      </c>
      <c r="D1715" s="11" t="s">
        <v>173</v>
      </c>
      <c r="E1715" s="11" t="s">
        <v>173</v>
      </c>
    </row>
    <row r="1716" s="29" customFormat="1" ht="156" spans="2:5">
      <c r="B1716" s="12" t="s">
        <v>174</v>
      </c>
      <c r="C1716" s="12" t="s">
        <v>174</v>
      </c>
      <c r="D1716" s="12" t="s">
        <v>174</v>
      </c>
      <c r="E1716" s="12" t="s">
        <v>174</v>
      </c>
    </row>
    <row r="1717" s="29" customFormat="1" ht="68" spans="2:5">
      <c r="B1717" s="13" t="s">
        <v>1425</v>
      </c>
      <c r="C1717" s="13" t="s">
        <v>1425</v>
      </c>
      <c r="D1717" s="13" t="s">
        <v>1425</v>
      </c>
      <c r="E1717" s="13" t="s">
        <v>1425</v>
      </c>
    </row>
    <row r="1718" s="29" customFormat="1" ht="22" spans="2:5">
      <c r="B1718" s="14" t="s">
        <v>176</v>
      </c>
      <c r="C1718" s="14" t="s">
        <v>176</v>
      </c>
      <c r="D1718" s="14" t="s">
        <v>176</v>
      </c>
      <c r="E1718" s="14" t="s">
        <v>176</v>
      </c>
    </row>
    <row r="1719" s="29" customFormat="1" spans="2:5">
      <c r="B1719" s="15" t="s">
        <v>177</v>
      </c>
      <c r="C1719" s="16" t="s">
        <v>178</v>
      </c>
      <c r="D1719" s="17" t="s">
        <v>179</v>
      </c>
      <c r="E1719" s="18" t="s">
        <v>180</v>
      </c>
    </row>
    <row r="1720" s="29" customFormat="1" ht="41" spans="2:5">
      <c r="B1720" s="19" t="s">
        <v>1592</v>
      </c>
      <c r="C1720" s="20" t="s">
        <v>182</v>
      </c>
      <c r="D1720" s="21">
        <v>1</v>
      </c>
      <c r="E1720" s="22">
        <v>1080000</v>
      </c>
    </row>
    <row r="1721" s="29" customFormat="1" ht="28" spans="2:5">
      <c r="B1721" s="19" t="s">
        <v>1592</v>
      </c>
      <c r="C1721" s="16" t="s">
        <v>183</v>
      </c>
      <c r="D1721" s="23">
        <v>1</v>
      </c>
      <c r="E1721" s="24">
        <v>1080000</v>
      </c>
    </row>
    <row r="1722" s="29" customFormat="1" ht="41" spans="2:5">
      <c r="B1722" s="19" t="s">
        <v>1593</v>
      </c>
      <c r="C1722" s="20" t="s">
        <v>182</v>
      </c>
      <c r="D1722" s="21">
        <v>220</v>
      </c>
      <c r="E1722" s="22">
        <v>0</v>
      </c>
    </row>
    <row r="1723" s="29" customFormat="1" ht="28" spans="2:5">
      <c r="B1723" s="19" t="s">
        <v>1593</v>
      </c>
      <c r="C1723" s="20" t="s">
        <v>804</v>
      </c>
      <c r="D1723" s="21">
        <v>59</v>
      </c>
      <c r="E1723" s="22">
        <v>42342.342342</v>
      </c>
    </row>
    <row r="1724" s="29" customFormat="1" ht="28" spans="2:5">
      <c r="B1724" s="19" t="s">
        <v>1593</v>
      </c>
      <c r="C1724" s="16" t="s">
        <v>183</v>
      </c>
      <c r="D1724" s="23">
        <v>279</v>
      </c>
      <c r="E1724" s="24">
        <v>42342.342342</v>
      </c>
    </row>
    <row r="1725" s="29" customFormat="1" ht="41" spans="2:5">
      <c r="B1725" s="19" t="s">
        <v>1594</v>
      </c>
      <c r="C1725" s="20" t="s">
        <v>182</v>
      </c>
      <c r="D1725" s="21">
        <v>259</v>
      </c>
      <c r="E1725" s="22">
        <v>0</v>
      </c>
    </row>
    <row r="1726" s="29" customFormat="1" ht="28" spans="2:5">
      <c r="B1726" s="19" t="s">
        <v>1594</v>
      </c>
      <c r="C1726" s="20" t="s">
        <v>804</v>
      </c>
      <c r="D1726" s="21">
        <v>60</v>
      </c>
      <c r="E1726" s="22">
        <v>0</v>
      </c>
    </row>
    <row r="1727" s="29" customFormat="1" ht="28" spans="2:5">
      <c r="B1727" s="19" t="s">
        <v>1594</v>
      </c>
      <c r="C1727" s="16" t="s">
        <v>183</v>
      </c>
      <c r="D1727" s="23">
        <v>319</v>
      </c>
      <c r="E1727" s="24">
        <v>0</v>
      </c>
    </row>
    <row r="1728" s="29" customFormat="1" ht="28" spans="2:5">
      <c r="B1728" s="19" t="s">
        <v>1595</v>
      </c>
      <c r="C1728" s="20" t="s">
        <v>804</v>
      </c>
      <c r="D1728" s="21">
        <v>1</v>
      </c>
      <c r="E1728" s="22">
        <v>1920000</v>
      </c>
    </row>
    <row r="1729" s="29" customFormat="1" spans="2:5">
      <c r="B1729" s="19" t="s">
        <v>1595</v>
      </c>
      <c r="C1729" s="16" t="s">
        <v>183</v>
      </c>
      <c r="D1729" s="23">
        <v>1</v>
      </c>
      <c r="E1729" s="24">
        <v>1920000</v>
      </c>
    </row>
    <row r="1730" s="29" customFormat="1" ht="41" spans="2:5">
      <c r="B1730" s="19" t="s">
        <v>631</v>
      </c>
      <c r="C1730" s="20" t="s">
        <v>182</v>
      </c>
      <c r="D1730" s="21">
        <v>1</v>
      </c>
      <c r="E1730" s="22">
        <v>0</v>
      </c>
    </row>
    <row r="1731" s="29" customFormat="1" ht="28" spans="2:5">
      <c r="B1731" s="19" t="s">
        <v>631</v>
      </c>
      <c r="C1731" s="16" t="s">
        <v>183</v>
      </c>
      <c r="D1731" s="23">
        <v>1</v>
      </c>
      <c r="E1731" s="24">
        <v>0</v>
      </c>
    </row>
    <row r="1732" s="29" customFormat="1" ht="41" spans="2:5">
      <c r="B1732" s="19" t="s">
        <v>472</v>
      </c>
      <c r="C1732" s="20" t="s">
        <v>182</v>
      </c>
      <c r="D1732" s="21">
        <v>7</v>
      </c>
      <c r="E1732" s="22">
        <v>0</v>
      </c>
    </row>
    <row r="1733" s="29" customFormat="1" ht="28.75" spans="2:5">
      <c r="B1733" s="19" t="s">
        <v>472</v>
      </c>
      <c r="C1733" s="16" t="s">
        <v>183</v>
      </c>
      <c r="D1733" s="23">
        <v>7</v>
      </c>
      <c r="E1733" s="24">
        <v>0</v>
      </c>
    </row>
    <row r="1734" s="29" customFormat="1" spans="2:5">
      <c r="B1734" s="25"/>
      <c r="C1734" s="25"/>
      <c r="D1734" s="25"/>
      <c r="E1734" s="25"/>
    </row>
    <row r="1735" s="29" customFormat="1" ht="36" spans="2:5">
      <c r="B1735" s="26" t="s">
        <v>189</v>
      </c>
      <c r="C1735" s="26" t="s">
        <v>189</v>
      </c>
      <c r="D1735" s="26" t="s">
        <v>189</v>
      </c>
      <c r="E1735" s="26" t="s">
        <v>189</v>
      </c>
    </row>
    <row r="1736" s="29" customFormat="1" spans="2:5">
      <c r="B1736" s="26"/>
      <c r="C1736" s="26"/>
      <c r="D1736" s="26"/>
      <c r="E1736" s="26"/>
    </row>
    <row r="1737" s="29" customFormat="1" ht="36" spans="2:5">
      <c r="B1737" s="26" t="s">
        <v>1433</v>
      </c>
      <c r="C1737" s="26" t="s">
        <v>1433</v>
      </c>
      <c r="D1737" s="26" t="s">
        <v>1433</v>
      </c>
      <c r="E1737" s="26" t="s">
        <v>1433</v>
      </c>
    </row>
    <row r="1738" s="29" customFormat="1" spans="2:5">
      <c r="B1738" s="26" t="s">
        <v>1389</v>
      </c>
      <c r="C1738" s="26" t="s">
        <v>1389</v>
      </c>
      <c r="D1738" s="26" t="s">
        <v>1389</v>
      </c>
      <c r="E1738" s="26" t="s">
        <v>1389</v>
      </c>
    </row>
    <row r="1739" s="29" customFormat="1" ht="124" spans="2:5">
      <c r="B1739" s="11" t="s">
        <v>173</v>
      </c>
      <c r="C1739" s="11" t="s">
        <v>173</v>
      </c>
      <c r="D1739" s="11" t="s">
        <v>173</v>
      </c>
      <c r="E1739" s="11" t="s">
        <v>173</v>
      </c>
    </row>
    <row r="1740" s="29" customFormat="1" ht="156" spans="2:5">
      <c r="B1740" s="12" t="s">
        <v>174</v>
      </c>
      <c r="C1740" s="12" t="s">
        <v>174</v>
      </c>
      <c r="D1740" s="12" t="s">
        <v>174</v>
      </c>
      <c r="E1740" s="12" t="s">
        <v>174</v>
      </c>
    </row>
    <row r="1741" s="29" customFormat="1" ht="68" spans="2:5">
      <c r="B1741" s="13" t="s">
        <v>1425</v>
      </c>
      <c r="C1741" s="13" t="s">
        <v>1425</v>
      </c>
      <c r="D1741" s="13" t="s">
        <v>1425</v>
      </c>
      <c r="E1741" s="13" t="s">
        <v>1425</v>
      </c>
    </row>
    <row r="1742" s="29" customFormat="1" ht="22" spans="2:5">
      <c r="B1742" s="14" t="s">
        <v>176</v>
      </c>
      <c r="C1742" s="14" t="s">
        <v>176</v>
      </c>
      <c r="D1742" s="14" t="s">
        <v>176</v>
      </c>
      <c r="E1742" s="14" t="s">
        <v>176</v>
      </c>
    </row>
    <row r="1743" s="29" customFormat="1" spans="2:5">
      <c r="B1743" s="15" t="s">
        <v>177</v>
      </c>
      <c r="C1743" s="16" t="s">
        <v>178</v>
      </c>
      <c r="D1743" s="17" t="s">
        <v>179</v>
      </c>
      <c r="E1743" s="18" t="s">
        <v>180</v>
      </c>
    </row>
    <row r="1744" s="29" customFormat="1" ht="28" spans="2:5">
      <c r="B1744" s="19" t="s">
        <v>755</v>
      </c>
      <c r="C1744" s="20" t="s">
        <v>804</v>
      </c>
      <c r="D1744" s="21">
        <v>2</v>
      </c>
      <c r="E1744" s="22">
        <v>0</v>
      </c>
    </row>
    <row r="1745" s="29" customFormat="1" spans="2:5">
      <c r="B1745" s="19" t="s">
        <v>755</v>
      </c>
      <c r="C1745" s="16" t="s">
        <v>183</v>
      </c>
      <c r="D1745" s="23">
        <v>2</v>
      </c>
      <c r="E1745" s="24">
        <v>0</v>
      </c>
    </row>
    <row r="1746" s="29" customFormat="1" ht="41" spans="2:5">
      <c r="B1746" s="19" t="s">
        <v>916</v>
      </c>
      <c r="C1746" s="20" t="s">
        <v>182</v>
      </c>
      <c r="D1746" s="21">
        <v>27</v>
      </c>
      <c r="E1746" s="22">
        <v>2164865.252255</v>
      </c>
    </row>
    <row r="1747" s="29" customFormat="1" ht="28" spans="2:5">
      <c r="B1747" s="19" t="s">
        <v>916</v>
      </c>
      <c r="C1747" s="20" t="s">
        <v>804</v>
      </c>
      <c r="D1747" s="21">
        <v>40</v>
      </c>
      <c r="E1747" s="22">
        <v>3207207.828832</v>
      </c>
    </row>
    <row r="1748" s="29" customFormat="1" ht="28" spans="2:5">
      <c r="B1748" s="19" t="s">
        <v>916</v>
      </c>
      <c r="C1748" s="16" t="s">
        <v>183</v>
      </c>
      <c r="D1748" s="23">
        <v>67</v>
      </c>
      <c r="E1748" s="24">
        <v>5372073.081087</v>
      </c>
    </row>
    <row r="1749" s="29" customFormat="1" ht="28" spans="2:5">
      <c r="B1749" s="19" t="s">
        <v>1101</v>
      </c>
      <c r="C1749" s="20" t="s">
        <v>804</v>
      </c>
      <c r="D1749" s="21">
        <v>15</v>
      </c>
      <c r="E1749" s="22">
        <v>1069600</v>
      </c>
    </row>
    <row r="1750" s="29" customFormat="1" ht="28" spans="2:5">
      <c r="B1750" s="19" t="s">
        <v>1101</v>
      </c>
      <c r="C1750" s="16" t="s">
        <v>183</v>
      </c>
      <c r="D1750" s="23">
        <v>15</v>
      </c>
      <c r="E1750" s="24">
        <v>1069600</v>
      </c>
    </row>
    <row r="1751" s="29" customFormat="1" ht="41" spans="2:5">
      <c r="B1751" s="19" t="s">
        <v>917</v>
      </c>
      <c r="C1751" s="20" t="s">
        <v>182</v>
      </c>
      <c r="D1751" s="21">
        <v>2</v>
      </c>
      <c r="E1751" s="22">
        <v>0</v>
      </c>
    </row>
    <row r="1752" s="29" customFormat="1" ht="28" spans="2:5">
      <c r="B1752" s="19" t="s">
        <v>917</v>
      </c>
      <c r="C1752" s="20" t="s">
        <v>804</v>
      </c>
      <c r="D1752" s="21">
        <v>6</v>
      </c>
      <c r="E1752" s="22">
        <v>837200</v>
      </c>
    </row>
    <row r="1753" s="29" customFormat="1" ht="28" spans="2:5">
      <c r="B1753" s="19" t="s">
        <v>917</v>
      </c>
      <c r="C1753" s="16" t="s">
        <v>183</v>
      </c>
      <c r="D1753" s="23">
        <v>8</v>
      </c>
      <c r="E1753" s="24">
        <v>837200</v>
      </c>
    </row>
    <row r="1754" s="29" customFormat="1" ht="41" spans="2:5">
      <c r="B1754" s="19" t="s">
        <v>1102</v>
      </c>
      <c r="C1754" s="20" t="s">
        <v>182</v>
      </c>
      <c r="D1754" s="21">
        <v>32</v>
      </c>
      <c r="E1754" s="22">
        <v>0</v>
      </c>
    </row>
    <row r="1755" s="29" customFormat="1" ht="28" spans="2:5">
      <c r="B1755" s="19" t="s">
        <v>1102</v>
      </c>
      <c r="C1755" s="20" t="s">
        <v>804</v>
      </c>
      <c r="D1755" s="21">
        <v>8</v>
      </c>
      <c r="E1755" s="22">
        <v>0</v>
      </c>
    </row>
    <row r="1756" s="29" customFormat="1" ht="28.75" spans="2:5">
      <c r="B1756" s="19" t="s">
        <v>1102</v>
      </c>
      <c r="C1756" s="16" t="s">
        <v>183</v>
      </c>
      <c r="D1756" s="23">
        <v>40</v>
      </c>
      <c r="E1756" s="24">
        <v>0</v>
      </c>
    </row>
    <row r="1757" s="29" customFormat="1" spans="2:5">
      <c r="B1757" s="25"/>
      <c r="C1757" s="25"/>
      <c r="D1757" s="25"/>
      <c r="E1757" s="25"/>
    </row>
    <row r="1758" s="29" customFormat="1" ht="36" spans="2:5">
      <c r="B1758" s="26" t="s">
        <v>189</v>
      </c>
      <c r="C1758" s="26" t="s">
        <v>189</v>
      </c>
      <c r="D1758" s="26" t="s">
        <v>189</v>
      </c>
      <c r="E1758" s="26" t="s">
        <v>189</v>
      </c>
    </row>
    <row r="1759" s="29" customFormat="1" spans="2:5">
      <c r="B1759" s="26"/>
      <c r="C1759" s="26"/>
      <c r="D1759" s="26"/>
      <c r="E1759" s="26"/>
    </row>
    <row r="1760" s="29" customFormat="1" ht="36" spans="2:5">
      <c r="B1760" s="26" t="s">
        <v>1433</v>
      </c>
      <c r="C1760" s="26" t="s">
        <v>1433</v>
      </c>
      <c r="D1760" s="26" t="s">
        <v>1433</v>
      </c>
      <c r="E1760" s="26" t="s">
        <v>1433</v>
      </c>
    </row>
    <row r="1761" s="29" customFormat="1" spans="2:5">
      <c r="B1761" s="26" t="s">
        <v>1396</v>
      </c>
      <c r="C1761" s="26" t="s">
        <v>1396</v>
      </c>
      <c r="D1761" s="26" t="s">
        <v>1396</v>
      </c>
      <c r="E1761" s="26" t="s">
        <v>1396</v>
      </c>
    </row>
    <row r="1762" s="29" customFormat="1" ht="124" spans="2:5">
      <c r="B1762" s="11" t="s">
        <v>173</v>
      </c>
      <c r="C1762" s="11" t="s">
        <v>173</v>
      </c>
      <c r="D1762" s="11" t="s">
        <v>173</v>
      </c>
      <c r="E1762" s="11" t="s">
        <v>173</v>
      </c>
    </row>
    <row r="1763" s="29" customFormat="1" ht="156" spans="2:5">
      <c r="B1763" s="12" t="s">
        <v>174</v>
      </c>
      <c r="C1763" s="12" t="s">
        <v>174</v>
      </c>
      <c r="D1763" s="12" t="s">
        <v>174</v>
      </c>
      <c r="E1763" s="12" t="s">
        <v>174</v>
      </c>
    </row>
    <row r="1764" s="29" customFormat="1" ht="68" spans="2:5">
      <c r="B1764" s="13" t="s">
        <v>1425</v>
      </c>
      <c r="C1764" s="13" t="s">
        <v>1425</v>
      </c>
      <c r="D1764" s="13" t="s">
        <v>1425</v>
      </c>
      <c r="E1764" s="13" t="s">
        <v>1425</v>
      </c>
    </row>
    <row r="1765" s="29" customFormat="1" ht="22" spans="2:5">
      <c r="B1765" s="14" t="s">
        <v>176</v>
      </c>
      <c r="C1765" s="14" t="s">
        <v>176</v>
      </c>
      <c r="D1765" s="14" t="s">
        <v>176</v>
      </c>
      <c r="E1765" s="14" t="s">
        <v>176</v>
      </c>
    </row>
    <row r="1766" s="29" customFormat="1" spans="2:5">
      <c r="B1766" s="15" t="s">
        <v>177</v>
      </c>
      <c r="C1766" s="16" t="s">
        <v>178</v>
      </c>
      <c r="D1766" s="17" t="s">
        <v>179</v>
      </c>
      <c r="E1766" s="18" t="s">
        <v>180</v>
      </c>
    </row>
    <row r="1767" s="29" customFormat="1" ht="41" spans="2:5">
      <c r="B1767" s="19" t="s">
        <v>918</v>
      </c>
      <c r="C1767" s="20" t="s">
        <v>1191</v>
      </c>
      <c r="D1767" s="21">
        <v>1</v>
      </c>
      <c r="E1767" s="22">
        <v>337000</v>
      </c>
    </row>
    <row r="1768" s="29" customFormat="1" ht="41" spans="2:5">
      <c r="B1768" s="19" t="s">
        <v>918</v>
      </c>
      <c r="C1768" s="20" t="s">
        <v>182</v>
      </c>
      <c r="D1768" s="21">
        <v>29</v>
      </c>
      <c r="E1768" s="22">
        <v>0</v>
      </c>
    </row>
    <row r="1769" s="29" customFormat="1" ht="28" spans="2:5">
      <c r="B1769" s="19" t="s">
        <v>918</v>
      </c>
      <c r="C1769" s="20" t="s">
        <v>804</v>
      </c>
      <c r="D1769" s="21">
        <v>6</v>
      </c>
      <c r="E1769" s="22">
        <v>0</v>
      </c>
    </row>
    <row r="1770" s="29" customFormat="1" ht="28" spans="2:5">
      <c r="B1770" s="19" t="s">
        <v>918</v>
      </c>
      <c r="C1770" s="16" t="s">
        <v>183</v>
      </c>
      <c r="D1770" s="23">
        <v>36</v>
      </c>
      <c r="E1770" s="24">
        <v>337000</v>
      </c>
    </row>
    <row r="1771" s="29" customFormat="1" ht="41" spans="2:5">
      <c r="B1771" s="19" t="s">
        <v>919</v>
      </c>
      <c r="C1771" s="20" t="s">
        <v>182</v>
      </c>
      <c r="D1771" s="21">
        <v>32</v>
      </c>
      <c r="E1771" s="22">
        <v>0</v>
      </c>
    </row>
    <row r="1772" s="29" customFormat="1" ht="28" spans="2:5">
      <c r="B1772" s="19" t="s">
        <v>919</v>
      </c>
      <c r="C1772" s="20" t="s">
        <v>804</v>
      </c>
      <c r="D1772" s="21">
        <v>7</v>
      </c>
      <c r="E1772" s="22">
        <v>292455</v>
      </c>
    </row>
    <row r="1773" s="29" customFormat="1" ht="28" spans="2:5">
      <c r="B1773" s="19" t="s">
        <v>919</v>
      </c>
      <c r="C1773" s="16" t="s">
        <v>183</v>
      </c>
      <c r="D1773" s="23">
        <v>39</v>
      </c>
      <c r="E1773" s="24">
        <v>292455</v>
      </c>
    </row>
    <row r="1774" s="29" customFormat="1" ht="41" spans="2:5">
      <c r="B1774" s="19" t="s">
        <v>757</v>
      </c>
      <c r="C1774" s="20" t="s">
        <v>182</v>
      </c>
      <c r="D1774" s="21">
        <v>42</v>
      </c>
      <c r="E1774" s="22">
        <v>1147747.765766</v>
      </c>
    </row>
    <row r="1775" s="29" customFormat="1" ht="28" spans="2:5">
      <c r="B1775" s="19" t="s">
        <v>757</v>
      </c>
      <c r="C1775" s="20" t="s">
        <v>804</v>
      </c>
      <c r="D1775" s="21">
        <v>10</v>
      </c>
      <c r="E1775" s="22">
        <v>491891.891892</v>
      </c>
    </row>
    <row r="1776" s="29" customFormat="1" ht="28" spans="2:5">
      <c r="B1776" s="19" t="s">
        <v>757</v>
      </c>
      <c r="C1776" s="16" t="s">
        <v>183</v>
      </c>
      <c r="D1776" s="23">
        <v>52</v>
      </c>
      <c r="E1776" s="24">
        <v>1639639.657658</v>
      </c>
    </row>
    <row r="1777" s="29" customFormat="1" ht="41" spans="2:5">
      <c r="B1777" s="19" t="s">
        <v>632</v>
      </c>
      <c r="C1777" s="20" t="s">
        <v>182</v>
      </c>
      <c r="D1777" s="21">
        <v>37</v>
      </c>
      <c r="E1777" s="22">
        <v>0</v>
      </c>
    </row>
    <row r="1778" s="29" customFormat="1" ht="28" spans="2:5">
      <c r="B1778" s="19" t="s">
        <v>632</v>
      </c>
      <c r="C1778" s="20" t="s">
        <v>804</v>
      </c>
      <c r="D1778" s="21">
        <v>12</v>
      </c>
      <c r="E1778" s="22">
        <v>0</v>
      </c>
    </row>
    <row r="1779" s="29" customFormat="1" ht="28.75" spans="2:5">
      <c r="B1779" s="19" t="s">
        <v>632</v>
      </c>
      <c r="C1779" s="16" t="s">
        <v>183</v>
      </c>
      <c r="D1779" s="23">
        <v>49</v>
      </c>
      <c r="E1779" s="24">
        <v>0</v>
      </c>
    </row>
    <row r="1780" s="29" customFormat="1" spans="2:5">
      <c r="B1780" s="25"/>
      <c r="C1780" s="25"/>
      <c r="D1780" s="25"/>
      <c r="E1780" s="25"/>
    </row>
    <row r="1781" s="29" customFormat="1" ht="36" spans="2:5">
      <c r="B1781" s="26" t="s">
        <v>189</v>
      </c>
      <c r="C1781" s="26" t="s">
        <v>189</v>
      </c>
      <c r="D1781" s="26" t="s">
        <v>189</v>
      </c>
      <c r="E1781" s="26" t="s">
        <v>189</v>
      </c>
    </row>
    <row r="1782" s="29" customFormat="1" spans="2:5">
      <c r="B1782" s="26"/>
      <c r="C1782" s="26"/>
      <c r="D1782" s="26"/>
      <c r="E1782" s="26"/>
    </row>
    <row r="1783" s="29" customFormat="1" ht="36" spans="2:5">
      <c r="B1783" s="26" t="s">
        <v>1433</v>
      </c>
      <c r="C1783" s="26" t="s">
        <v>1433</v>
      </c>
      <c r="D1783" s="26" t="s">
        <v>1433</v>
      </c>
      <c r="E1783" s="26" t="s">
        <v>1433</v>
      </c>
    </row>
    <row r="1784" s="29" customFormat="1" spans="2:5">
      <c r="B1784" s="26" t="s">
        <v>1403</v>
      </c>
      <c r="C1784" s="26" t="s">
        <v>1403</v>
      </c>
      <c r="D1784" s="26" t="s">
        <v>1403</v>
      </c>
      <c r="E1784" s="26" t="s">
        <v>1403</v>
      </c>
    </row>
    <row r="1785" s="29" customFormat="1" ht="124" spans="2:5">
      <c r="B1785" s="11" t="s">
        <v>173</v>
      </c>
      <c r="C1785" s="11" t="s">
        <v>173</v>
      </c>
      <c r="D1785" s="11" t="s">
        <v>173</v>
      </c>
      <c r="E1785" s="11" t="s">
        <v>173</v>
      </c>
    </row>
    <row r="1786" s="29" customFormat="1" ht="156" spans="2:5">
      <c r="B1786" s="12" t="s">
        <v>174</v>
      </c>
      <c r="C1786" s="12" t="s">
        <v>174</v>
      </c>
      <c r="D1786" s="12" t="s">
        <v>174</v>
      </c>
      <c r="E1786" s="12" t="s">
        <v>174</v>
      </c>
    </row>
    <row r="1787" s="29" customFormat="1" ht="68" spans="2:5">
      <c r="B1787" s="13" t="s">
        <v>1425</v>
      </c>
      <c r="C1787" s="13" t="s">
        <v>1425</v>
      </c>
      <c r="D1787" s="13" t="s">
        <v>1425</v>
      </c>
      <c r="E1787" s="13" t="s">
        <v>1425</v>
      </c>
    </row>
    <row r="1788" s="29" customFormat="1" ht="22" spans="2:5">
      <c r="B1788" s="14" t="s">
        <v>176</v>
      </c>
      <c r="C1788" s="14" t="s">
        <v>176</v>
      </c>
      <c r="D1788" s="14" t="s">
        <v>176</v>
      </c>
      <c r="E1788" s="14" t="s">
        <v>176</v>
      </c>
    </row>
    <row r="1789" s="29" customFormat="1" spans="2:5">
      <c r="B1789" s="15" t="s">
        <v>177</v>
      </c>
      <c r="C1789" s="16" t="s">
        <v>178</v>
      </c>
      <c r="D1789" s="17" t="s">
        <v>179</v>
      </c>
      <c r="E1789" s="18" t="s">
        <v>180</v>
      </c>
    </row>
    <row r="1790" s="29" customFormat="1" ht="41" spans="2:5">
      <c r="B1790" s="19" t="s">
        <v>1104</v>
      </c>
      <c r="C1790" s="20" t="s">
        <v>182</v>
      </c>
      <c r="D1790" s="21">
        <v>88</v>
      </c>
      <c r="E1790" s="22">
        <v>1500000</v>
      </c>
    </row>
    <row r="1791" s="29" customFormat="1" ht="28" spans="2:5">
      <c r="B1791" s="19" t="s">
        <v>1104</v>
      </c>
      <c r="C1791" s="20" t="s">
        <v>804</v>
      </c>
      <c r="D1791" s="21">
        <v>13</v>
      </c>
      <c r="E1791" s="22">
        <v>112612.612613</v>
      </c>
    </row>
    <row r="1792" s="29" customFormat="1" ht="28" spans="2:5">
      <c r="B1792" s="19" t="s">
        <v>1104</v>
      </c>
      <c r="C1792" s="16" t="s">
        <v>183</v>
      </c>
      <c r="D1792" s="23">
        <v>101</v>
      </c>
      <c r="E1792" s="24">
        <v>1612612.612613</v>
      </c>
    </row>
    <row r="1793" s="29" customFormat="1" ht="41" spans="2:5">
      <c r="B1793" s="19" t="s">
        <v>920</v>
      </c>
      <c r="C1793" s="20" t="s">
        <v>1191</v>
      </c>
      <c r="D1793" s="21">
        <v>1</v>
      </c>
      <c r="E1793" s="22">
        <v>343000</v>
      </c>
    </row>
    <row r="1794" s="29" customFormat="1" ht="41" spans="2:5">
      <c r="B1794" s="19" t="s">
        <v>920</v>
      </c>
      <c r="C1794" s="20" t="s">
        <v>182</v>
      </c>
      <c r="D1794" s="21">
        <v>39</v>
      </c>
      <c r="E1794" s="22">
        <v>0</v>
      </c>
    </row>
    <row r="1795" s="29" customFormat="1" ht="28" spans="2:5">
      <c r="B1795" s="19" t="s">
        <v>920</v>
      </c>
      <c r="C1795" s="20" t="s">
        <v>804</v>
      </c>
      <c r="D1795" s="21">
        <v>14</v>
      </c>
      <c r="E1795" s="22">
        <v>0</v>
      </c>
    </row>
    <row r="1796" s="29" customFormat="1" ht="28" spans="2:5">
      <c r="B1796" s="19" t="s">
        <v>920</v>
      </c>
      <c r="C1796" s="16" t="s">
        <v>183</v>
      </c>
      <c r="D1796" s="23">
        <v>54</v>
      </c>
      <c r="E1796" s="24">
        <v>343000</v>
      </c>
    </row>
    <row r="1797" s="29" customFormat="1" ht="41" spans="2:5">
      <c r="B1797" s="19" t="s">
        <v>633</v>
      </c>
      <c r="C1797" s="20" t="s">
        <v>182</v>
      </c>
      <c r="D1797" s="21">
        <v>18</v>
      </c>
      <c r="E1797" s="22">
        <v>1301621.621622</v>
      </c>
    </row>
    <row r="1798" s="29" customFormat="1" ht="28" spans="2:5">
      <c r="B1798" s="19" t="s">
        <v>633</v>
      </c>
      <c r="C1798" s="20" t="s">
        <v>804</v>
      </c>
      <c r="D1798" s="21">
        <v>5</v>
      </c>
      <c r="E1798" s="22">
        <v>151351.351351</v>
      </c>
    </row>
    <row r="1799" s="29" customFormat="1" ht="28" spans="2:5">
      <c r="B1799" s="19" t="s">
        <v>633</v>
      </c>
      <c r="C1799" s="16" t="s">
        <v>183</v>
      </c>
      <c r="D1799" s="23">
        <v>23</v>
      </c>
      <c r="E1799" s="24">
        <v>1452972.972973</v>
      </c>
    </row>
    <row r="1800" s="29" customFormat="1" ht="41" spans="2:5">
      <c r="B1800" s="19" t="s">
        <v>634</v>
      </c>
      <c r="C1800" s="20" t="s">
        <v>182</v>
      </c>
      <c r="D1800" s="21">
        <v>16</v>
      </c>
      <c r="E1800" s="22">
        <v>0</v>
      </c>
    </row>
    <row r="1801" s="29" customFormat="1" ht="28" spans="2:5">
      <c r="B1801" s="19" t="s">
        <v>634</v>
      </c>
      <c r="C1801" s="20" t="s">
        <v>804</v>
      </c>
      <c r="D1801" s="21">
        <v>5</v>
      </c>
      <c r="E1801" s="22">
        <v>0</v>
      </c>
    </row>
    <row r="1802" s="29" customFormat="1" ht="28.75" spans="2:5">
      <c r="B1802" s="19" t="s">
        <v>634</v>
      </c>
      <c r="C1802" s="16" t="s">
        <v>183</v>
      </c>
      <c r="D1802" s="23">
        <v>21</v>
      </c>
      <c r="E1802" s="24">
        <v>0</v>
      </c>
    </row>
    <row r="1803" s="29" customFormat="1" spans="2:5">
      <c r="B1803" s="25"/>
      <c r="C1803" s="25"/>
      <c r="D1803" s="25"/>
      <c r="E1803" s="25"/>
    </row>
    <row r="1804" s="29" customFormat="1" ht="36" spans="2:5">
      <c r="B1804" s="26" t="s">
        <v>189</v>
      </c>
      <c r="C1804" s="26" t="s">
        <v>189</v>
      </c>
      <c r="D1804" s="26" t="s">
        <v>189</v>
      </c>
      <c r="E1804" s="26" t="s">
        <v>189</v>
      </c>
    </row>
    <row r="1805" s="29" customFormat="1" spans="2:5">
      <c r="B1805" s="26"/>
      <c r="C1805" s="26"/>
      <c r="D1805" s="26"/>
      <c r="E1805" s="26"/>
    </row>
    <row r="1806" s="29" customFormat="1" ht="36" spans="2:5">
      <c r="B1806" s="26" t="s">
        <v>1433</v>
      </c>
      <c r="C1806" s="26" t="s">
        <v>1433</v>
      </c>
      <c r="D1806" s="26" t="s">
        <v>1433</v>
      </c>
      <c r="E1806" s="26" t="s">
        <v>1433</v>
      </c>
    </row>
    <row r="1807" s="29" customFormat="1" spans="2:5">
      <c r="B1807" s="26" t="s">
        <v>1409</v>
      </c>
      <c r="C1807" s="26" t="s">
        <v>1409</v>
      </c>
      <c r="D1807" s="26" t="s">
        <v>1409</v>
      </c>
      <c r="E1807" s="26" t="s">
        <v>1409</v>
      </c>
    </row>
    <row r="1808" s="29" customFormat="1" ht="124" spans="2:5">
      <c r="B1808" s="11" t="s">
        <v>173</v>
      </c>
      <c r="C1808" s="11" t="s">
        <v>173</v>
      </c>
      <c r="D1808" s="11" t="s">
        <v>173</v>
      </c>
      <c r="E1808" s="11" t="s">
        <v>173</v>
      </c>
    </row>
    <row r="1809" s="29" customFormat="1" ht="156" spans="2:5">
      <c r="B1809" s="12" t="s">
        <v>174</v>
      </c>
      <c r="C1809" s="12" t="s">
        <v>174</v>
      </c>
      <c r="D1809" s="12" t="s">
        <v>174</v>
      </c>
      <c r="E1809" s="12" t="s">
        <v>174</v>
      </c>
    </row>
    <row r="1810" s="29" customFormat="1" ht="68" spans="2:5">
      <c r="B1810" s="13" t="s">
        <v>1425</v>
      </c>
      <c r="C1810" s="13" t="s">
        <v>1425</v>
      </c>
      <c r="D1810" s="13" t="s">
        <v>1425</v>
      </c>
      <c r="E1810" s="13" t="s">
        <v>1425</v>
      </c>
    </row>
    <row r="1811" s="29" customFormat="1" ht="22" spans="2:5">
      <c r="B1811" s="14" t="s">
        <v>176</v>
      </c>
      <c r="C1811" s="14" t="s">
        <v>176</v>
      </c>
      <c r="D1811" s="14" t="s">
        <v>176</v>
      </c>
      <c r="E1811" s="14" t="s">
        <v>176</v>
      </c>
    </row>
    <row r="1812" s="29" customFormat="1" spans="2:5">
      <c r="B1812" s="15" t="s">
        <v>177</v>
      </c>
      <c r="C1812" s="16" t="s">
        <v>178</v>
      </c>
      <c r="D1812" s="17" t="s">
        <v>179</v>
      </c>
      <c r="E1812" s="18" t="s">
        <v>180</v>
      </c>
    </row>
    <row r="1813" s="29" customFormat="1" ht="41" spans="2:5">
      <c r="B1813" s="19" t="s">
        <v>921</v>
      </c>
      <c r="C1813" s="20" t="s">
        <v>182</v>
      </c>
      <c r="D1813" s="21">
        <v>33</v>
      </c>
      <c r="E1813" s="22">
        <v>2645945.945951</v>
      </c>
    </row>
    <row r="1814" s="29" customFormat="1" ht="28" spans="2:5">
      <c r="B1814" s="19" t="s">
        <v>921</v>
      </c>
      <c r="C1814" s="20" t="s">
        <v>804</v>
      </c>
      <c r="D1814" s="21">
        <v>36</v>
      </c>
      <c r="E1814" s="22">
        <v>2886486.945947</v>
      </c>
    </row>
    <row r="1815" s="29" customFormat="1" ht="28" spans="2:5">
      <c r="B1815" s="19" t="s">
        <v>921</v>
      </c>
      <c r="C1815" s="16" t="s">
        <v>183</v>
      </c>
      <c r="D1815" s="23">
        <v>69</v>
      </c>
      <c r="E1815" s="24">
        <v>5532432.891898</v>
      </c>
    </row>
    <row r="1816" s="29" customFormat="1" ht="41" spans="2:5">
      <c r="B1816" s="19" t="s">
        <v>635</v>
      </c>
      <c r="C1816" s="20" t="s">
        <v>182</v>
      </c>
      <c r="D1816" s="21">
        <v>34</v>
      </c>
      <c r="E1816" s="22">
        <v>3604585.09009</v>
      </c>
    </row>
    <row r="1817" s="29" customFormat="1" ht="28" spans="2:5">
      <c r="B1817" s="19" t="s">
        <v>635</v>
      </c>
      <c r="C1817" s="20" t="s">
        <v>804</v>
      </c>
      <c r="D1817" s="21">
        <v>27</v>
      </c>
      <c r="E1817" s="22">
        <v>2943243.243243</v>
      </c>
    </row>
    <row r="1818" s="29" customFormat="1" ht="28" spans="2:5">
      <c r="B1818" s="19" t="s">
        <v>635</v>
      </c>
      <c r="C1818" s="16" t="s">
        <v>183</v>
      </c>
      <c r="D1818" s="23">
        <v>61</v>
      </c>
      <c r="E1818" s="24">
        <v>6547828.333333</v>
      </c>
    </row>
    <row r="1819" s="29" customFormat="1" ht="41" spans="2:5">
      <c r="B1819" s="19" t="s">
        <v>636</v>
      </c>
      <c r="C1819" s="20" t="s">
        <v>182</v>
      </c>
      <c r="D1819" s="21">
        <v>32</v>
      </c>
      <c r="E1819" s="22">
        <v>3942161.297296</v>
      </c>
    </row>
    <row r="1820" s="29" customFormat="1" ht="28" spans="2:5">
      <c r="B1820" s="19" t="s">
        <v>636</v>
      </c>
      <c r="C1820" s="20" t="s">
        <v>804</v>
      </c>
      <c r="D1820" s="21">
        <v>4</v>
      </c>
      <c r="E1820" s="22">
        <v>515315.315315</v>
      </c>
    </row>
    <row r="1821" s="29" customFormat="1" ht="28" spans="2:5">
      <c r="B1821" s="19" t="s">
        <v>636</v>
      </c>
      <c r="C1821" s="16" t="s">
        <v>183</v>
      </c>
      <c r="D1821" s="23">
        <v>36</v>
      </c>
      <c r="E1821" s="24">
        <v>4457476.612611</v>
      </c>
    </row>
    <row r="1822" s="29" customFormat="1" ht="28" spans="2:5">
      <c r="B1822" s="19" t="s">
        <v>389</v>
      </c>
      <c r="C1822" s="20" t="s">
        <v>804</v>
      </c>
      <c r="D1822" s="21">
        <v>54</v>
      </c>
      <c r="E1822" s="22">
        <v>0</v>
      </c>
    </row>
    <row r="1823" s="29" customFormat="1" ht="28" spans="2:5">
      <c r="B1823" s="19" t="s">
        <v>389</v>
      </c>
      <c r="C1823" s="16" t="s">
        <v>183</v>
      </c>
      <c r="D1823" s="23">
        <v>54</v>
      </c>
      <c r="E1823" s="24">
        <v>0</v>
      </c>
    </row>
    <row r="1824" s="29" customFormat="1" ht="41" spans="2:5">
      <c r="B1824" s="19" t="s">
        <v>1596</v>
      </c>
      <c r="C1824" s="20" t="s">
        <v>182</v>
      </c>
      <c r="D1824" s="21">
        <v>4</v>
      </c>
      <c r="E1824" s="22">
        <v>108108.108108</v>
      </c>
    </row>
    <row r="1825" s="29" customFormat="1" ht="28.75" spans="2:5">
      <c r="B1825" s="19" t="s">
        <v>1596</v>
      </c>
      <c r="C1825" s="16" t="s">
        <v>183</v>
      </c>
      <c r="D1825" s="23">
        <v>4</v>
      </c>
      <c r="E1825" s="24">
        <v>108108.108108</v>
      </c>
    </row>
    <row r="1826" s="29" customFormat="1" spans="2:5">
      <c r="B1826" s="25"/>
      <c r="C1826" s="25"/>
      <c r="D1826" s="25"/>
      <c r="E1826" s="25"/>
    </row>
    <row r="1827" s="29" customFormat="1" ht="36" spans="2:5">
      <c r="B1827" s="26" t="s">
        <v>189</v>
      </c>
      <c r="C1827" s="26" t="s">
        <v>189</v>
      </c>
      <c r="D1827" s="26" t="s">
        <v>189</v>
      </c>
      <c r="E1827" s="26" t="s">
        <v>189</v>
      </c>
    </row>
    <row r="1828" s="29" customFormat="1" spans="2:5">
      <c r="B1828" s="26"/>
      <c r="C1828" s="26"/>
      <c r="D1828" s="26"/>
      <c r="E1828" s="26"/>
    </row>
    <row r="1829" s="29" customFormat="1" ht="36" spans="2:5">
      <c r="B1829" s="26" t="s">
        <v>1433</v>
      </c>
      <c r="C1829" s="26" t="s">
        <v>1433</v>
      </c>
      <c r="D1829" s="26" t="s">
        <v>1433</v>
      </c>
      <c r="E1829" s="26" t="s">
        <v>1433</v>
      </c>
    </row>
    <row r="1830" s="29" customFormat="1" spans="2:5">
      <c r="B1830" s="26" t="s">
        <v>1416</v>
      </c>
      <c r="C1830" s="26" t="s">
        <v>1416</v>
      </c>
      <c r="D1830" s="26" t="s">
        <v>1416</v>
      </c>
      <c r="E1830" s="26" t="s">
        <v>1416</v>
      </c>
    </row>
    <row r="1831" s="29" customFormat="1" ht="124" spans="2:5">
      <c r="B1831" s="11" t="s">
        <v>173</v>
      </c>
      <c r="C1831" s="11" t="s">
        <v>173</v>
      </c>
      <c r="D1831" s="11" t="s">
        <v>173</v>
      </c>
      <c r="E1831" s="11" t="s">
        <v>173</v>
      </c>
    </row>
    <row r="1832" s="29" customFormat="1" ht="156" spans="2:5">
      <c r="B1832" s="12" t="s">
        <v>174</v>
      </c>
      <c r="C1832" s="12" t="s">
        <v>174</v>
      </c>
      <c r="D1832" s="12" t="s">
        <v>174</v>
      </c>
      <c r="E1832" s="12" t="s">
        <v>174</v>
      </c>
    </row>
    <row r="1833" s="29" customFormat="1" ht="68" spans="2:5">
      <c r="B1833" s="13" t="s">
        <v>1425</v>
      </c>
      <c r="C1833" s="13" t="s">
        <v>1425</v>
      </c>
      <c r="D1833" s="13" t="s">
        <v>1425</v>
      </c>
      <c r="E1833" s="13" t="s">
        <v>1425</v>
      </c>
    </row>
    <row r="1834" s="29" customFormat="1" ht="22" spans="2:5">
      <c r="B1834" s="14" t="s">
        <v>176</v>
      </c>
      <c r="C1834" s="14" t="s">
        <v>176</v>
      </c>
      <c r="D1834" s="14" t="s">
        <v>176</v>
      </c>
      <c r="E1834" s="14" t="s">
        <v>176</v>
      </c>
    </row>
    <row r="1835" s="29" customFormat="1" spans="2:5">
      <c r="B1835" s="15" t="s">
        <v>177</v>
      </c>
      <c r="C1835" s="16" t="s">
        <v>178</v>
      </c>
      <c r="D1835" s="17" t="s">
        <v>179</v>
      </c>
      <c r="E1835" s="18" t="s">
        <v>180</v>
      </c>
    </row>
    <row r="1836" s="29" customFormat="1" ht="28" spans="2:5">
      <c r="B1836" s="19" t="s">
        <v>1597</v>
      </c>
      <c r="C1836" s="20" t="s">
        <v>804</v>
      </c>
      <c r="D1836" s="21">
        <v>1</v>
      </c>
      <c r="E1836" s="22">
        <v>3050000</v>
      </c>
    </row>
    <row r="1837" s="29" customFormat="1" spans="2:5">
      <c r="B1837" s="19" t="s">
        <v>1597</v>
      </c>
      <c r="C1837" s="16" t="s">
        <v>183</v>
      </c>
      <c r="D1837" s="23">
        <v>1</v>
      </c>
      <c r="E1837" s="24">
        <v>3050000</v>
      </c>
    </row>
    <row r="1838" s="29" customFormat="1" ht="28" spans="2:5">
      <c r="B1838" s="19" t="s">
        <v>1598</v>
      </c>
      <c r="C1838" s="20" t="s">
        <v>804</v>
      </c>
      <c r="D1838" s="21">
        <v>2</v>
      </c>
      <c r="E1838" s="22">
        <v>276000</v>
      </c>
    </row>
    <row r="1839" s="29" customFormat="1" ht="28" spans="2:5">
      <c r="B1839" s="19" t="s">
        <v>1598</v>
      </c>
      <c r="C1839" s="16" t="s">
        <v>183</v>
      </c>
      <c r="D1839" s="23">
        <v>2</v>
      </c>
      <c r="E1839" s="24">
        <v>276000</v>
      </c>
    </row>
    <row r="1840" s="29" customFormat="1" ht="41" spans="2:5">
      <c r="B1840" s="19" t="s">
        <v>1599</v>
      </c>
      <c r="C1840" s="20" t="s">
        <v>182</v>
      </c>
      <c r="D1840" s="21">
        <v>1</v>
      </c>
      <c r="E1840" s="22">
        <v>532000</v>
      </c>
    </row>
    <row r="1841" s="29" customFormat="1" spans="2:5">
      <c r="B1841" s="19" t="s">
        <v>1599</v>
      </c>
      <c r="C1841" s="16" t="s">
        <v>183</v>
      </c>
      <c r="D1841" s="23">
        <v>1</v>
      </c>
      <c r="E1841" s="24">
        <v>532000</v>
      </c>
    </row>
    <row r="1842" s="29" customFormat="1" ht="28" spans="2:5">
      <c r="B1842" s="19" t="s">
        <v>1600</v>
      </c>
      <c r="C1842" s="20" t="s">
        <v>804</v>
      </c>
      <c r="D1842" s="21">
        <v>2</v>
      </c>
      <c r="E1842" s="22">
        <v>1450000</v>
      </c>
    </row>
    <row r="1843" s="29" customFormat="1" spans="2:5">
      <c r="B1843" s="19" t="s">
        <v>1600</v>
      </c>
      <c r="C1843" s="16" t="s">
        <v>183</v>
      </c>
      <c r="D1843" s="23">
        <v>2</v>
      </c>
      <c r="E1843" s="24">
        <v>1450000</v>
      </c>
    </row>
    <row r="1844" s="29" customFormat="1" ht="28" spans="2:5">
      <c r="B1844" s="19" t="s">
        <v>1601</v>
      </c>
      <c r="C1844" s="20" t="s">
        <v>804</v>
      </c>
      <c r="D1844" s="21">
        <v>2</v>
      </c>
      <c r="E1844" s="22">
        <v>500000</v>
      </c>
    </row>
    <row r="1845" s="29" customFormat="1" spans="2:5">
      <c r="B1845" s="19" t="s">
        <v>1601</v>
      </c>
      <c r="C1845" s="16" t="s">
        <v>183</v>
      </c>
      <c r="D1845" s="23">
        <v>2</v>
      </c>
      <c r="E1845" s="24">
        <v>500000</v>
      </c>
    </row>
    <row r="1846" s="29" customFormat="1" ht="41" spans="2:5">
      <c r="B1846" s="19" t="s">
        <v>1602</v>
      </c>
      <c r="C1846" s="20" t="s">
        <v>182</v>
      </c>
      <c r="D1846" s="21">
        <v>1</v>
      </c>
      <c r="E1846" s="22">
        <v>91700</v>
      </c>
    </row>
    <row r="1847" s="29" customFormat="1" ht="28" spans="2:5">
      <c r="B1847" s="19" t="s">
        <v>1602</v>
      </c>
      <c r="C1847" s="16" t="s">
        <v>183</v>
      </c>
      <c r="D1847" s="23">
        <v>1</v>
      </c>
      <c r="E1847" s="24">
        <v>91700</v>
      </c>
    </row>
    <row r="1848" s="29" customFormat="1" ht="41" spans="2:5">
      <c r="B1848" s="19" t="s">
        <v>1603</v>
      </c>
      <c r="C1848" s="20" t="s">
        <v>182</v>
      </c>
      <c r="D1848" s="21">
        <v>1</v>
      </c>
      <c r="E1848" s="22">
        <v>290000</v>
      </c>
    </row>
    <row r="1849" s="29" customFormat="1" ht="28.75" spans="2:5">
      <c r="B1849" s="19" t="s">
        <v>1603</v>
      </c>
      <c r="C1849" s="16" t="s">
        <v>183</v>
      </c>
      <c r="D1849" s="23">
        <v>1</v>
      </c>
      <c r="E1849" s="24">
        <v>290000</v>
      </c>
    </row>
    <row r="1850" s="29" customFormat="1" spans="2:5">
      <c r="B1850" s="25"/>
      <c r="C1850" s="25"/>
      <c r="D1850" s="25"/>
      <c r="E1850" s="25"/>
    </row>
    <row r="1851" s="29" customFormat="1" ht="36" spans="2:5">
      <c r="B1851" s="26" t="s">
        <v>189</v>
      </c>
      <c r="C1851" s="26" t="s">
        <v>189</v>
      </c>
      <c r="D1851" s="26" t="s">
        <v>189</v>
      </c>
      <c r="E1851" s="26" t="s">
        <v>189</v>
      </c>
    </row>
    <row r="1852" s="29" customFormat="1" spans="2:5">
      <c r="B1852" s="26"/>
      <c r="C1852" s="26"/>
      <c r="D1852" s="26"/>
      <c r="E1852" s="26"/>
    </row>
    <row r="1853" s="29" customFormat="1" ht="36" spans="2:5">
      <c r="B1853" s="26" t="s">
        <v>1433</v>
      </c>
      <c r="C1853" s="26" t="s">
        <v>1433</v>
      </c>
      <c r="D1853" s="26" t="s">
        <v>1433</v>
      </c>
      <c r="E1853" s="26" t="s">
        <v>1433</v>
      </c>
    </row>
    <row r="1854" s="29" customFormat="1" spans="2:5">
      <c r="B1854" s="26" t="s">
        <v>1422</v>
      </c>
      <c r="C1854" s="26" t="s">
        <v>1422</v>
      </c>
      <c r="D1854" s="26" t="s">
        <v>1422</v>
      </c>
      <c r="E1854" s="26" t="s">
        <v>1422</v>
      </c>
    </row>
    <row r="1855" s="29" customFormat="1" ht="124" spans="2:5">
      <c r="B1855" s="11" t="s">
        <v>173</v>
      </c>
      <c r="C1855" s="11" t="s">
        <v>173</v>
      </c>
      <c r="D1855" s="11" t="s">
        <v>173</v>
      </c>
      <c r="E1855" s="11" t="s">
        <v>173</v>
      </c>
    </row>
    <row r="1856" s="29" customFormat="1" ht="156" spans="2:5">
      <c r="B1856" s="12" t="s">
        <v>174</v>
      </c>
      <c r="C1856" s="12" t="s">
        <v>174</v>
      </c>
      <c r="D1856" s="12" t="s">
        <v>174</v>
      </c>
      <c r="E1856" s="12" t="s">
        <v>174</v>
      </c>
    </row>
    <row r="1857" s="29" customFormat="1" ht="68" spans="2:5">
      <c r="B1857" s="13" t="s">
        <v>1425</v>
      </c>
      <c r="C1857" s="13" t="s">
        <v>1425</v>
      </c>
      <c r="D1857" s="13" t="s">
        <v>1425</v>
      </c>
      <c r="E1857" s="13" t="s">
        <v>1425</v>
      </c>
    </row>
    <row r="1858" s="29" customFormat="1" ht="22" spans="2:5">
      <c r="B1858" s="14" t="s">
        <v>176</v>
      </c>
      <c r="C1858" s="14" t="s">
        <v>176</v>
      </c>
      <c r="D1858" s="14" t="s">
        <v>176</v>
      </c>
      <c r="E1858" s="14" t="s">
        <v>176</v>
      </c>
    </row>
    <row r="1859" s="29" customFormat="1" spans="2:5">
      <c r="B1859" s="15" t="s">
        <v>177</v>
      </c>
      <c r="C1859" s="16" t="s">
        <v>178</v>
      </c>
      <c r="D1859" s="17" t="s">
        <v>179</v>
      </c>
      <c r="E1859" s="18" t="s">
        <v>180</v>
      </c>
    </row>
    <row r="1860" s="29" customFormat="1" ht="41" spans="2:5">
      <c r="B1860" s="19" t="s">
        <v>1604</v>
      </c>
      <c r="C1860" s="20" t="s">
        <v>182</v>
      </c>
      <c r="D1860" s="21">
        <v>4</v>
      </c>
      <c r="E1860" s="22">
        <v>248000</v>
      </c>
    </row>
    <row r="1861" s="29" customFormat="1" ht="28" spans="2:5">
      <c r="B1861" s="19" t="s">
        <v>1604</v>
      </c>
      <c r="C1861" s="16" t="s">
        <v>183</v>
      </c>
      <c r="D1861" s="23">
        <v>4</v>
      </c>
      <c r="E1861" s="24">
        <v>248000</v>
      </c>
    </row>
    <row r="1862" s="29" customFormat="1" ht="41" spans="2:5">
      <c r="B1862" s="19" t="s">
        <v>646</v>
      </c>
      <c r="C1862" s="20" t="s">
        <v>182</v>
      </c>
      <c r="D1862" s="21">
        <v>1</v>
      </c>
      <c r="E1862" s="22">
        <v>0</v>
      </c>
    </row>
    <row r="1863" s="29" customFormat="1" ht="28" spans="2:5">
      <c r="B1863" s="19" t="s">
        <v>646</v>
      </c>
      <c r="C1863" s="20" t="s">
        <v>804</v>
      </c>
      <c r="D1863" s="21">
        <v>1</v>
      </c>
      <c r="E1863" s="22">
        <v>0</v>
      </c>
    </row>
    <row r="1864" s="29" customFormat="1" ht="28" spans="2:5">
      <c r="B1864" s="19" t="s">
        <v>646</v>
      </c>
      <c r="C1864" s="16" t="s">
        <v>183</v>
      </c>
      <c r="D1864" s="23">
        <v>2</v>
      </c>
      <c r="E1864" s="24">
        <v>0</v>
      </c>
    </row>
    <row r="1865" s="29" customFormat="1" ht="41" spans="2:5">
      <c r="B1865" s="19" t="s">
        <v>769</v>
      </c>
      <c r="C1865" s="20" t="s">
        <v>182</v>
      </c>
      <c r="D1865" s="21">
        <v>1</v>
      </c>
      <c r="E1865" s="22">
        <v>0</v>
      </c>
    </row>
    <row r="1866" s="29" customFormat="1" ht="28" spans="2:5">
      <c r="B1866" s="19" t="s">
        <v>769</v>
      </c>
      <c r="C1866" s="16" t="s">
        <v>183</v>
      </c>
      <c r="D1866" s="23">
        <v>1</v>
      </c>
      <c r="E1866" s="24">
        <v>0</v>
      </c>
    </row>
    <row r="1867" s="29" customFormat="1" ht="41" spans="2:5">
      <c r="B1867" s="19" t="s">
        <v>931</v>
      </c>
      <c r="C1867" s="20" t="s">
        <v>182</v>
      </c>
      <c r="D1867" s="21">
        <v>1</v>
      </c>
      <c r="E1867" s="22">
        <v>0</v>
      </c>
    </row>
    <row r="1868" s="29" customFormat="1" ht="28" spans="2:5">
      <c r="B1868" s="19" t="s">
        <v>931</v>
      </c>
      <c r="C1868" s="16" t="s">
        <v>183</v>
      </c>
      <c r="D1868" s="23">
        <v>1</v>
      </c>
      <c r="E1868" s="24">
        <v>0</v>
      </c>
    </row>
    <row r="1869" s="29" customFormat="1" ht="41" spans="2:5">
      <c r="B1869" s="19" t="s">
        <v>1605</v>
      </c>
      <c r="C1869" s="20" t="s">
        <v>182</v>
      </c>
      <c r="D1869" s="21">
        <v>1</v>
      </c>
      <c r="E1869" s="22">
        <v>900000</v>
      </c>
    </row>
    <row r="1870" s="29" customFormat="1" ht="28" spans="2:5">
      <c r="B1870" s="19" t="s">
        <v>1605</v>
      </c>
      <c r="C1870" s="16" t="s">
        <v>183</v>
      </c>
      <c r="D1870" s="23">
        <v>1</v>
      </c>
      <c r="E1870" s="24">
        <v>900000</v>
      </c>
    </row>
    <row r="1871" s="29" customFormat="1" ht="41" spans="2:5">
      <c r="B1871" s="19" t="s">
        <v>1606</v>
      </c>
      <c r="C1871" s="20" t="s">
        <v>182</v>
      </c>
      <c r="D1871" s="21">
        <v>2</v>
      </c>
      <c r="E1871" s="22">
        <v>2660000</v>
      </c>
    </row>
    <row r="1872" s="29" customFormat="1" ht="28.75" spans="2:5">
      <c r="B1872" s="19" t="s">
        <v>1606</v>
      </c>
      <c r="C1872" s="16" t="s">
        <v>183</v>
      </c>
      <c r="D1872" s="23">
        <v>2</v>
      </c>
      <c r="E1872" s="24">
        <v>2660000</v>
      </c>
    </row>
    <row r="1873" s="29" customFormat="1" spans="2:5">
      <c r="B1873" s="25"/>
      <c r="C1873" s="25"/>
      <c r="D1873" s="25"/>
      <c r="E1873" s="25"/>
    </row>
    <row r="1874" s="29" customFormat="1" ht="36" spans="2:5">
      <c r="B1874" s="26" t="s">
        <v>189</v>
      </c>
      <c r="C1874" s="26" t="s">
        <v>189</v>
      </c>
      <c r="D1874" s="26" t="s">
        <v>189</v>
      </c>
      <c r="E1874" s="26" t="s">
        <v>189</v>
      </c>
    </row>
    <row r="1875" s="29" customFormat="1" spans="2:5">
      <c r="B1875" s="26"/>
      <c r="C1875" s="26"/>
      <c r="D1875" s="26"/>
      <c r="E1875" s="26"/>
    </row>
    <row r="1876" s="29" customFormat="1" ht="36" spans="2:5">
      <c r="B1876" s="26" t="s">
        <v>1433</v>
      </c>
      <c r="C1876" s="26" t="s">
        <v>1433</v>
      </c>
      <c r="D1876" s="26" t="s">
        <v>1433</v>
      </c>
      <c r="E1876" s="26" t="s">
        <v>1433</v>
      </c>
    </row>
    <row r="1877" s="29" customFormat="1" spans="2:5">
      <c r="B1877" s="26" t="s">
        <v>1424</v>
      </c>
      <c r="C1877" s="26" t="s">
        <v>1424</v>
      </c>
      <c r="D1877" s="26" t="s">
        <v>1424</v>
      </c>
      <c r="E1877" s="26" t="s">
        <v>1424</v>
      </c>
    </row>
    <row r="1878" s="29" customFormat="1" ht="124" spans="2:5">
      <c r="B1878" s="11" t="s">
        <v>173</v>
      </c>
      <c r="C1878" s="11" t="s">
        <v>173</v>
      </c>
      <c r="D1878" s="11" t="s">
        <v>173</v>
      </c>
      <c r="E1878" s="11" t="s">
        <v>173</v>
      </c>
    </row>
    <row r="1879" s="29" customFormat="1" ht="156" spans="2:5">
      <c r="B1879" s="12" t="s">
        <v>174</v>
      </c>
      <c r="C1879" s="12" t="s">
        <v>174</v>
      </c>
      <c r="D1879" s="12" t="s">
        <v>174</v>
      </c>
      <c r="E1879" s="12" t="s">
        <v>174</v>
      </c>
    </row>
    <row r="1880" s="29" customFormat="1" ht="68" spans="2:5">
      <c r="B1880" s="13" t="s">
        <v>1425</v>
      </c>
      <c r="C1880" s="13" t="s">
        <v>1425</v>
      </c>
      <c r="D1880" s="13" t="s">
        <v>1425</v>
      </c>
      <c r="E1880" s="13" t="s">
        <v>1425</v>
      </c>
    </row>
    <row r="1881" s="29" customFormat="1" ht="22" spans="2:5">
      <c r="B1881" s="14" t="s">
        <v>176</v>
      </c>
      <c r="C1881" s="14" t="s">
        <v>176</v>
      </c>
      <c r="D1881" s="14" t="s">
        <v>176</v>
      </c>
      <c r="E1881" s="14" t="s">
        <v>176</v>
      </c>
    </row>
    <row r="1882" s="29" customFormat="1" spans="2:5">
      <c r="B1882" s="15" t="s">
        <v>177</v>
      </c>
      <c r="C1882" s="16" t="s">
        <v>178</v>
      </c>
      <c r="D1882" s="17" t="s">
        <v>179</v>
      </c>
      <c r="E1882" s="18" t="s">
        <v>180</v>
      </c>
    </row>
    <row r="1883" s="29" customFormat="1" ht="41" spans="2:5">
      <c r="B1883" s="19" t="s">
        <v>1607</v>
      </c>
      <c r="C1883" s="20" t="s">
        <v>182</v>
      </c>
      <c r="D1883" s="21">
        <v>4</v>
      </c>
      <c r="E1883" s="22">
        <v>200000</v>
      </c>
    </row>
    <row r="1884" s="29" customFormat="1" spans="2:5">
      <c r="B1884" s="19" t="s">
        <v>1607</v>
      </c>
      <c r="C1884" s="16" t="s">
        <v>183</v>
      </c>
      <c r="D1884" s="23">
        <v>4</v>
      </c>
      <c r="E1884" s="24">
        <v>200000</v>
      </c>
    </row>
    <row r="1885" s="29" customFormat="1" ht="41" spans="2:5">
      <c r="B1885" s="19" t="s">
        <v>1608</v>
      </c>
      <c r="C1885" s="20" t="s">
        <v>182</v>
      </c>
      <c r="D1885" s="21">
        <v>1</v>
      </c>
      <c r="E1885" s="22">
        <v>74000</v>
      </c>
    </row>
    <row r="1886" s="29" customFormat="1" ht="28" spans="2:5">
      <c r="B1886" s="19" t="s">
        <v>1608</v>
      </c>
      <c r="C1886" s="16" t="s">
        <v>183</v>
      </c>
      <c r="D1886" s="23">
        <v>1</v>
      </c>
      <c r="E1886" s="24">
        <v>74000</v>
      </c>
    </row>
    <row r="1887" s="29" customFormat="1" ht="41" spans="2:5">
      <c r="B1887" s="19" t="s">
        <v>1609</v>
      </c>
      <c r="C1887" s="20" t="s">
        <v>182</v>
      </c>
      <c r="D1887" s="21">
        <v>1</v>
      </c>
      <c r="E1887" s="22">
        <v>340000</v>
      </c>
    </row>
    <row r="1888" s="29" customFormat="1" ht="28" spans="2:5">
      <c r="B1888" s="19" t="s">
        <v>1609</v>
      </c>
      <c r="C1888" s="16" t="s">
        <v>183</v>
      </c>
      <c r="D1888" s="23">
        <v>1</v>
      </c>
      <c r="E1888" s="24">
        <v>340000</v>
      </c>
    </row>
    <row r="1889" s="29" customFormat="1" ht="41" spans="2:5">
      <c r="B1889" s="19" t="s">
        <v>1610</v>
      </c>
      <c r="C1889" s="20" t="s">
        <v>182</v>
      </c>
      <c r="D1889" s="21">
        <v>2</v>
      </c>
      <c r="E1889" s="22">
        <v>1120000</v>
      </c>
    </row>
    <row r="1890" s="29" customFormat="1" ht="28" spans="2:5">
      <c r="B1890" s="19" t="s">
        <v>1610</v>
      </c>
      <c r="C1890" s="16" t="s">
        <v>183</v>
      </c>
      <c r="D1890" s="23">
        <v>2</v>
      </c>
      <c r="E1890" s="24">
        <v>1120000</v>
      </c>
    </row>
    <row r="1891" s="29" customFormat="1" ht="28" spans="2:5">
      <c r="B1891" s="19" t="s">
        <v>1611</v>
      </c>
      <c r="C1891" s="20" t="s">
        <v>804</v>
      </c>
      <c r="D1891" s="21">
        <v>1</v>
      </c>
      <c r="E1891" s="22">
        <v>0</v>
      </c>
    </row>
    <row r="1892" s="29" customFormat="1" ht="28" spans="2:5">
      <c r="B1892" s="19" t="s">
        <v>1611</v>
      </c>
      <c r="C1892" s="16" t="s">
        <v>183</v>
      </c>
      <c r="D1892" s="23">
        <v>1</v>
      </c>
      <c r="E1892" s="24">
        <v>0</v>
      </c>
    </row>
    <row r="1893" s="29" customFormat="1" ht="28" spans="2:5">
      <c r="B1893" s="19" t="s">
        <v>1612</v>
      </c>
      <c r="C1893" s="20" t="s">
        <v>804</v>
      </c>
      <c r="D1893" s="21">
        <v>1</v>
      </c>
      <c r="E1893" s="22">
        <v>990990.738739</v>
      </c>
    </row>
    <row r="1894" s="29" customFormat="1" ht="28" spans="2:5">
      <c r="B1894" s="19" t="s">
        <v>1612</v>
      </c>
      <c r="C1894" s="16" t="s">
        <v>183</v>
      </c>
      <c r="D1894" s="23">
        <v>1</v>
      </c>
      <c r="E1894" s="24">
        <v>990990.738739</v>
      </c>
    </row>
    <row r="1895" s="29" customFormat="1" ht="41" spans="2:5">
      <c r="B1895" s="19" t="s">
        <v>1613</v>
      </c>
      <c r="C1895" s="20" t="s">
        <v>1614</v>
      </c>
      <c r="D1895" s="21">
        <v>2</v>
      </c>
      <c r="E1895" s="22">
        <v>2205405.405405</v>
      </c>
    </row>
    <row r="1896" s="29" customFormat="1" ht="28.75" spans="2:5">
      <c r="B1896" s="19" t="s">
        <v>1613</v>
      </c>
      <c r="C1896" s="16" t="s">
        <v>183</v>
      </c>
      <c r="D1896" s="23">
        <v>2</v>
      </c>
      <c r="E1896" s="24">
        <v>2205405.405405</v>
      </c>
    </row>
    <row r="1897" s="29" customFormat="1" spans="2:5">
      <c r="B1897" s="25"/>
      <c r="C1897" s="25"/>
      <c r="D1897" s="25"/>
      <c r="E1897" s="25"/>
    </row>
    <row r="1898" s="29" customFormat="1" ht="36" spans="2:5">
      <c r="B1898" s="26" t="s">
        <v>189</v>
      </c>
      <c r="C1898" s="26" t="s">
        <v>189</v>
      </c>
      <c r="D1898" s="26" t="s">
        <v>189</v>
      </c>
      <c r="E1898" s="26" t="s">
        <v>189</v>
      </c>
    </row>
    <row r="1899" s="29" customFormat="1" spans="2:5">
      <c r="B1899" s="26"/>
      <c r="C1899" s="26"/>
      <c r="D1899" s="26"/>
      <c r="E1899" s="26"/>
    </row>
    <row r="1900" s="29" customFormat="1" ht="36" spans="2:5">
      <c r="B1900" s="26" t="s">
        <v>1433</v>
      </c>
      <c r="C1900" s="26" t="s">
        <v>1433</v>
      </c>
      <c r="D1900" s="26" t="s">
        <v>1433</v>
      </c>
      <c r="E1900" s="26" t="s">
        <v>1433</v>
      </c>
    </row>
    <row r="1901" s="29" customFormat="1" spans="2:5">
      <c r="B1901" s="26" t="s">
        <v>1615</v>
      </c>
      <c r="C1901" s="26" t="s">
        <v>1615</v>
      </c>
      <c r="D1901" s="26" t="s">
        <v>1615</v>
      </c>
      <c r="E1901" s="26" t="s">
        <v>1615</v>
      </c>
    </row>
    <row r="1902" s="29" customFormat="1" ht="124" spans="2:5">
      <c r="B1902" s="11" t="s">
        <v>173</v>
      </c>
      <c r="C1902" s="11" t="s">
        <v>173</v>
      </c>
      <c r="D1902" s="11" t="s">
        <v>173</v>
      </c>
      <c r="E1902" s="11" t="s">
        <v>173</v>
      </c>
    </row>
    <row r="1903" s="29" customFormat="1" ht="156" spans="2:5">
      <c r="B1903" s="12" t="s">
        <v>174</v>
      </c>
      <c r="C1903" s="12" t="s">
        <v>174</v>
      </c>
      <c r="D1903" s="12" t="s">
        <v>174</v>
      </c>
      <c r="E1903" s="12" t="s">
        <v>174</v>
      </c>
    </row>
    <row r="1904" s="29" customFormat="1" ht="68" spans="2:5">
      <c r="B1904" s="13" t="s">
        <v>1425</v>
      </c>
      <c r="C1904" s="13" t="s">
        <v>1425</v>
      </c>
      <c r="D1904" s="13" t="s">
        <v>1425</v>
      </c>
      <c r="E1904" s="13" t="s">
        <v>1425</v>
      </c>
    </row>
    <row r="1905" s="29" customFormat="1" ht="22" spans="2:5">
      <c r="B1905" s="14" t="s">
        <v>176</v>
      </c>
      <c r="C1905" s="14" t="s">
        <v>176</v>
      </c>
      <c r="D1905" s="14" t="s">
        <v>176</v>
      </c>
      <c r="E1905" s="14" t="s">
        <v>176</v>
      </c>
    </row>
    <row r="1906" s="29" customFormat="1" spans="2:5">
      <c r="B1906" s="15" t="s">
        <v>177</v>
      </c>
      <c r="C1906" s="16" t="s">
        <v>178</v>
      </c>
      <c r="D1906" s="17" t="s">
        <v>179</v>
      </c>
      <c r="E1906" s="18" t="s">
        <v>180</v>
      </c>
    </row>
    <row r="1907" s="29" customFormat="1" ht="55" spans="2:5">
      <c r="B1907" s="19" t="s">
        <v>1616</v>
      </c>
      <c r="C1907" s="20" t="s">
        <v>1481</v>
      </c>
      <c r="D1907" s="21">
        <v>4</v>
      </c>
      <c r="E1907" s="22">
        <v>1781982</v>
      </c>
    </row>
    <row r="1908" s="29" customFormat="1" ht="28" spans="2:5">
      <c r="B1908" s="19" t="s">
        <v>1616</v>
      </c>
      <c r="C1908" s="16" t="s">
        <v>183</v>
      </c>
      <c r="D1908" s="23">
        <v>4</v>
      </c>
      <c r="E1908" s="24">
        <v>1781982</v>
      </c>
    </row>
    <row r="1909" s="29" customFormat="1" ht="55" spans="2:5">
      <c r="B1909" s="19" t="s">
        <v>1617</v>
      </c>
      <c r="C1909" s="20" t="s">
        <v>1481</v>
      </c>
      <c r="D1909" s="21">
        <v>2</v>
      </c>
      <c r="E1909" s="22">
        <v>803604</v>
      </c>
    </row>
    <row r="1910" s="29" customFormat="1" ht="28" spans="2:5">
      <c r="B1910" s="19" t="s">
        <v>1617</v>
      </c>
      <c r="C1910" s="16" t="s">
        <v>183</v>
      </c>
      <c r="D1910" s="23">
        <v>2</v>
      </c>
      <c r="E1910" s="24">
        <v>803604</v>
      </c>
    </row>
    <row r="1911" s="29" customFormat="1" ht="55" spans="2:5">
      <c r="B1911" s="19" t="s">
        <v>1618</v>
      </c>
      <c r="C1911" s="20" t="s">
        <v>1481</v>
      </c>
      <c r="D1911" s="21">
        <v>4</v>
      </c>
      <c r="E1911" s="22">
        <v>3466666.18018</v>
      </c>
    </row>
    <row r="1912" s="29" customFormat="1" ht="28" spans="2:5">
      <c r="B1912" s="19" t="s">
        <v>1618</v>
      </c>
      <c r="C1912" s="16" t="s">
        <v>183</v>
      </c>
      <c r="D1912" s="23">
        <v>4</v>
      </c>
      <c r="E1912" s="24">
        <v>3466666.18018</v>
      </c>
    </row>
    <row r="1913" s="29" customFormat="1" ht="55" spans="2:5">
      <c r="B1913" s="19" t="s">
        <v>1619</v>
      </c>
      <c r="C1913" s="20" t="s">
        <v>1481</v>
      </c>
      <c r="D1913" s="21">
        <v>2</v>
      </c>
      <c r="E1913" s="22">
        <v>1221622</v>
      </c>
    </row>
    <row r="1914" s="29" customFormat="1" ht="28" spans="2:5">
      <c r="B1914" s="19" t="s">
        <v>1619</v>
      </c>
      <c r="C1914" s="16" t="s">
        <v>183</v>
      </c>
      <c r="D1914" s="23">
        <v>2</v>
      </c>
      <c r="E1914" s="24">
        <v>1221622</v>
      </c>
    </row>
    <row r="1915" s="29" customFormat="1" ht="55" spans="2:5">
      <c r="B1915" s="19" t="s">
        <v>1620</v>
      </c>
      <c r="C1915" s="20" t="s">
        <v>1481</v>
      </c>
      <c r="D1915" s="21">
        <v>2</v>
      </c>
      <c r="E1915" s="22">
        <v>1634234.279279</v>
      </c>
    </row>
    <row r="1916" s="29" customFormat="1" ht="28" spans="2:5">
      <c r="B1916" s="19" t="s">
        <v>1620</v>
      </c>
      <c r="C1916" s="16" t="s">
        <v>183</v>
      </c>
      <c r="D1916" s="23">
        <v>2</v>
      </c>
      <c r="E1916" s="24">
        <v>1634234.279279</v>
      </c>
    </row>
    <row r="1917" s="29" customFormat="1" ht="55" spans="2:5">
      <c r="B1917" s="19" t="s">
        <v>1621</v>
      </c>
      <c r="C1917" s="20" t="s">
        <v>1481</v>
      </c>
      <c r="D1917" s="21">
        <v>2</v>
      </c>
      <c r="E1917" s="22">
        <v>1789189.522523</v>
      </c>
    </row>
    <row r="1918" s="29" customFormat="1" ht="28" spans="2:5">
      <c r="B1918" s="19" t="s">
        <v>1621</v>
      </c>
      <c r="C1918" s="16" t="s">
        <v>183</v>
      </c>
      <c r="D1918" s="23">
        <v>2</v>
      </c>
      <c r="E1918" s="24">
        <v>1789189.522523</v>
      </c>
    </row>
    <row r="1919" s="29" customFormat="1" ht="28" spans="2:5">
      <c r="B1919" s="19" t="s">
        <v>1622</v>
      </c>
      <c r="C1919" s="20" t="s">
        <v>804</v>
      </c>
      <c r="D1919" s="21">
        <v>2</v>
      </c>
      <c r="E1919" s="22">
        <v>1383784</v>
      </c>
    </row>
    <row r="1920" s="29" customFormat="1" ht="28.75" spans="2:5">
      <c r="B1920" s="19" t="s">
        <v>1622</v>
      </c>
      <c r="C1920" s="16" t="s">
        <v>183</v>
      </c>
      <c r="D1920" s="23">
        <v>2</v>
      </c>
      <c r="E1920" s="24">
        <v>1383784</v>
      </c>
    </row>
    <row r="1921" s="29" customFormat="1" spans="2:5">
      <c r="B1921" s="25"/>
      <c r="C1921" s="25"/>
      <c r="D1921" s="25"/>
      <c r="E1921" s="25"/>
    </row>
    <row r="1922" s="29" customFormat="1" ht="36" spans="2:5">
      <c r="B1922" s="26" t="s">
        <v>189</v>
      </c>
      <c r="C1922" s="26" t="s">
        <v>189</v>
      </c>
      <c r="D1922" s="26" t="s">
        <v>189</v>
      </c>
      <c r="E1922" s="26" t="s">
        <v>189</v>
      </c>
    </row>
    <row r="1923" s="29" customFormat="1" spans="2:5">
      <c r="B1923" s="26"/>
      <c r="C1923" s="26"/>
      <c r="D1923" s="26"/>
      <c r="E1923" s="26"/>
    </row>
    <row r="1924" s="29" customFormat="1" ht="36" spans="2:5">
      <c r="B1924" s="26" t="s">
        <v>1433</v>
      </c>
      <c r="C1924" s="26" t="s">
        <v>1433</v>
      </c>
      <c r="D1924" s="26" t="s">
        <v>1433</v>
      </c>
      <c r="E1924" s="26" t="s">
        <v>1433</v>
      </c>
    </row>
    <row r="1925" s="29" customFormat="1" spans="2:5">
      <c r="B1925" s="26" t="s">
        <v>1623</v>
      </c>
      <c r="C1925" s="26" t="s">
        <v>1623</v>
      </c>
      <c r="D1925" s="26" t="s">
        <v>1623</v>
      </c>
      <c r="E1925" s="26" t="s">
        <v>1623</v>
      </c>
    </row>
    <row r="1926" s="29" customFormat="1" ht="124" spans="2:5">
      <c r="B1926" s="11" t="s">
        <v>173</v>
      </c>
      <c r="C1926" s="11" t="s">
        <v>173</v>
      </c>
      <c r="D1926" s="11" t="s">
        <v>173</v>
      </c>
      <c r="E1926" s="11" t="s">
        <v>173</v>
      </c>
    </row>
    <row r="1927" s="29" customFormat="1" ht="156" spans="2:5">
      <c r="B1927" s="12" t="s">
        <v>174</v>
      </c>
      <c r="C1927" s="12" t="s">
        <v>174</v>
      </c>
      <c r="D1927" s="12" t="s">
        <v>174</v>
      </c>
      <c r="E1927" s="12" t="s">
        <v>174</v>
      </c>
    </row>
    <row r="1928" s="29" customFormat="1" ht="68" spans="2:5">
      <c r="B1928" s="13" t="s">
        <v>1425</v>
      </c>
      <c r="C1928" s="13" t="s">
        <v>1425</v>
      </c>
      <c r="D1928" s="13" t="s">
        <v>1425</v>
      </c>
      <c r="E1928" s="13" t="s">
        <v>1425</v>
      </c>
    </row>
    <row r="1929" s="29" customFormat="1" ht="22" spans="2:5">
      <c r="B1929" s="14" t="s">
        <v>176</v>
      </c>
      <c r="C1929" s="14" t="s">
        <v>176</v>
      </c>
      <c r="D1929" s="14" t="s">
        <v>176</v>
      </c>
      <c r="E1929" s="14" t="s">
        <v>176</v>
      </c>
    </row>
    <row r="1930" s="29" customFormat="1" spans="2:5">
      <c r="B1930" s="15" t="s">
        <v>177</v>
      </c>
      <c r="C1930" s="16" t="s">
        <v>178</v>
      </c>
      <c r="D1930" s="17" t="s">
        <v>179</v>
      </c>
      <c r="E1930" s="18" t="s">
        <v>180</v>
      </c>
    </row>
    <row r="1931" s="29" customFormat="1" ht="55" spans="2:5">
      <c r="B1931" s="19" t="s">
        <v>1624</v>
      </c>
      <c r="C1931" s="20" t="s">
        <v>1481</v>
      </c>
      <c r="D1931" s="21">
        <v>2</v>
      </c>
      <c r="E1931" s="22">
        <v>1156757</v>
      </c>
    </row>
    <row r="1932" s="29" customFormat="1" ht="28" spans="2:5">
      <c r="B1932" s="19" t="s">
        <v>1624</v>
      </c>
      <c r="C1932" s="16" t="s">
        <v>183</v>
      </c>
      <c r="D1932" s="23">
        <v>2</v>
      </c>
      <c r="E1932" s="24">
        <v>1156757</v>
      </c>
    </row>
    <row r="1933" s="29" customFormat="1" ht="55" spans="2:5">
      <c r="B1933" s="19" t="s">
        <v>1625</v>
      </c>
      <c r="C1933" s="20" t="s">
        <v>1481</v>
      </c>
      <c r="D1933" s="21">
        <v>2</v>
      </c>
      <c r="E1933" s="22">
        <v>1331531.765766</v>
      </c>
    </row>
    <row r="1934" s="29" customFormat="1" ht="28" spans="2:5">
      <c r="B1934" s="19" t="s">
        <v>1625</v>
      </c>
      <c r="C1934" s="16" t="s">
        <v>183</v>
      </c>
      <c r="D1934" s="23">
        <v>2</v>
      </c>
      <c r="E1934" s="24">
        <v>1331531.765766</v>
      </c>
    </row>
    <row r="1935" s="29" customFormat="1" ht="55" spans="2:5">
      <c r="B1935" s="19" t="s">
        <v>1626</v>
      </c>
      <c r="C1935" s="20" t="s">
        <v>1481</v>
      </c>
      <c r="D1935" s="21">
        <v>6</v>
      </c>
      <c r="E1935" s="22">
        <v>4169368.918919</v>
      </c>
    </row>
    <row r="1936" s="29" customFormat="1" ht="41" spans="2:5">
      <c r="B1936" s="19" t="s">
        <v>1626</v>
      </c>
      <c r="C1936" s="20" t="s">
        <v>1614</v>
      </c>
      <c r="D1936" s="21">
        <v>4</v>
      </c>
      <c r="E1936" s="22">
        <v>3437838.018018</v>
      </c>
    </row>
    <row r="1937" s="29" customFormat="1" ht="28" spans="2:5">
      <c r="B1937" s="19" t="s">
        <v>1626</v>
      </c>
      <c r="C1937" s="16" t="s">
        <v>183</v>
      </c>
      <c r="D1937" s="23">
        <v>10</v>
      </c>
      <c r="E1937" s="24">
        <v>7607206.936937</v>
      </c>
    </row>
    <row r="1938" s="29" customFormat="1" ht="55" spans="2:5">
      <c r="B1938" s="19" t="s">
        <v>1627</v>
      </c>
      <c r="C1938" s="20" t="s">
        <v>1481</v>
      </c>
      <c r="D1938" s="21">
        <v>2</v>
      </c>
      <c r="E1938" s="22">
        <v>1866667</v>
      </c>
    </row>
    <row r="1939" s="29" customFormat="1" ht="41" spans="2:5">
      <c r="B1939" s="19" t="s">
        <v>1627</v>
      </c>
      <c r="C1939" s="20" t="s">
        <v>1614</v>
      </c>
      <c r="D1939" s="21">
        <v>4</v>
      </c>
      <c r="E1939" s="22">
        <v>3733333.468468</v>
      </c>
    </row>
    <row r="1940" s="29" customFormat="1" ht="28" spans="2:5">
      <c r="B1940" s="19" t="s">
        <v>1627</v>
      </c>
      <c r="C1940" s="16" t="s">
        <v>183</v>
      </c>
      <c r="D1940" s="23">
        <v>6</v>
      </c>
      <c r="E1940" s="24">
        <v>5600000.468468</v>
      </c>
    </row>
    <row r="1941" s="29" customFormat="1" ht="55" spans="2:5">
      <c r="B1941" s="19" t="s">
        <v>1628</v>
      </c>
      <c r="C1941" s="20" t="s">
        <v>1481</v>
      </c>
      <c r="D1941" s="21">
        <v>6</v>
      </c>
      <c r="E1941" s="22">
        <v>5740540.513514</v>
      </c>
    </row>
    <row r="1942" s="29" customFormat="1" ht="41" spans="2:5">
      <c r="B1942" s="19" t="s">
        <v>1628</v>
      </c>
      <c r="C1942" s="20" t="s">
        <v>1614</v>
      </c>
      <c r="D1942" s="21">
        <v>2</v>
      </c>
      <c r="E1942" s="22">
        <v>1913513.513514</v>
      </c>
    </row>
    <row r="1943" s="29" customFormat="1" ht="28.75" spans="2:5">
      <c r="B1943" s="19" t="s">
        <v>1628</v>
      </c>
      <c r="C1943" s="16" t="s">
        <v>183</v>
      </c>
      <c r="D1943" s="23">
        <v>8</v>
      </c>
      <c r="E1943" s="24">
        <v>7654054.027028</v>
      </c>
    </row>
    <row r="1944" s="29" customFormat="1" spans="2:5">
      <c r="B1944" s="25"/>
      <c r="C1944" s="25"/>
      <c r="D1944" s="25"/>
      <c r="E1944" s="25"/>
    </row>
    <row r="1945" s="29" customFormat="1" ht="36" spans="2:5">
      <c r="B1945" s="26" t="s">
        <v>189</v>
      </c>
      <c r="C1945" s="26" t="s">
        <v>189</v>
      </c>
      <c r="D1945" s="26" t="s">
        <v>189</v>
      </c>
      <c r="E1945" s="26" t="s">
        <v>189</v>
      </c>
    </row>
    <row r="1946" s="29" customFormat="1" spans="2:5">
      <c r="B1946" s="26"/>
      <c r="C1946" s="26"/>
      <c r="D1946" s="26"/>
      <c r="E1946" s="26"/>
    </row>
    <row r="1947" s="29" customFormat="1" ht="36" spans="2:5">
      <c r="B1947" s="26" t="s">
        <v>1433</v>
      </c>
      <c r="C1947" s="26" t="s">
        <v>1433</v>
      </c>
      <c r="D1947" s="26" t="s">
        <v>1433</v>
      </c>
      <c r="E1947" s="26" t="s">
        <v>1433</v>
      </c>
    </row>
    <row r="1948" s="29" customFormat="1" spans="2:5">
      <c r="B1948" s="26" t="s">
        <v>1629</v>
      </c>
      <c r="C1948" s="26" t="s">
        <v>1629</v>
      </c>
      <c r="D1948" s="26" t="s">
        <v>1629</v>
      </c>
      <c r="E1948" s="26" t="s">
        <v>1629</v>
      </c>
    </row>
    <row r="1949" s="29" customFormat="1" ht="124" spans="2:5">
      <c r="B1949" s="11" t="s">
        <v>173</v>
      </c>
      <c r="C1949" s="11" t="s">
        <v>173</v>
      </c>
      <c r="D1949" s="11" t="s">
        <v>173</v>
      </c>
      <c r="E1949" s="11" t="s">
        <v>173</v>
      </c>
    </row>
    <row r="1950" s="29" customFormat="1" ht="156" spans="2:5">
      <c r="B1950" s="12" t="s">
        <v>174</v>
      </c>
      <c r="C1950" s="12" t="s">
        <v>174</v>
      </c>
      <c r="D1950" s="12" t="s">
        <v>174</v>
      </c>
      <c r="E1950" s="12" t="s">
        <v>174</v>
      </c>
    </row>
    <row r="1951" s="29" customFormat="1" ht="68" spans="2:5">
      <c r="B1951" s="13" t="s">
        <v>1425</v>
      </c>
      <c r="C1951" s="13" t="s">
        <v>1425</v>
      </c>
      <c r="D1951" s="13" t="s">
        <v>1425</v>
      </c>
      <c r="E1951" s="13" t="s">
        <v>1425</v>
      </c>
    </row>
    <row r="1952" s="29" customFormat="1" ht="22" spans="2:5">
      <c r="B1952" s="14" t="s">
        <v>176</v>
      </c>
      <c r="C1952" s="14" t="s">
        <v>176</v>
      </c>
      <c r="D1952" s="14" t="s">
        <v>176</v>
      </c>
      <c r="E1952" s="14" t="s">
        <v>176</v>
      </c>
    </row>
    <row r="1953" s="29" customFormat="1" spans="2:5">
      <c r="B1953" s="15" t="s">
        <v>177</v>
      </c>
      <c r="C1953" s="16" t="s">
        <v>178</v>
      </c>
      <c r="D1953" s="17" t="s">
        <v>179</v>
      </c>
      <c r="E1953" s="18" t="s">
        <v>180</v>
      </c>
    </row>
    <row r="1954" s="29" customFormat="1" ht="55" spans="2:5">
      <c r="B1954" s="19" t="s">
        <v>1630</v>
      </c>
      <c r="C1954" s="20" t="s">
        <v>1481</v>
      </c>
      <c r="D1954" s="21">
        <v>2</v>
      </c>
      <c r="E1954" s="22">
        <v>1902703</v>
      </c>
    </row>
    <row r="1955" s="29" customFormat="1" ht="28" spans="2:5">
      <c r="B1955" s="19" t="s">
        <v>1630</v>
      </c>
      <c r="C1955" s="16" t="s">
        <v>183</v>
      </c>
      <c r="D1955" s="23">
        <v>2</v>
      </c>
      <c r="E1955" s="24">
        <v>1902703</v>
      </c>
    </row>
    <row r="1956" s="29" customFormat="1" ht="55" spans="2:5">
      <c r="B1956" s="19" t="s">
        <v>1631</v>
      </c>
      <c r="C1956" s="20" t="s">
        <v>1481</v>
      </c>
      <c r="D1956" s="21">
        <v>8</v>
      </c>
      <c r="E1956" s="22">
        <v>6205405.495495</v>
      </c>
    </row>
    <row r="1957" s="29" customFormat="1" ht="28" spans="2:5">
      <c r="B1957" s="19" t="s">
        <v>1631</v>
      </c>
      <c r="C1957" s="16" t="s">
        <v>183</v>
      </c>
      <c r="D1957" s="23">
        <v>8</v>
      </c>
      <c r="E1957" s="24">
        <v>6205405.495495</v>
      </c>
    </row>
    <row r="1958" s="29" customFormat="1" ht="55" spans="2:5">
      <c r="B1958" s="19" t="s">
        <v>1632</v>
      </c>
      <c r="C1958" s="20" t="s">
        <v>1481</v>
      </c>
      <c r="D1958" s="21">
        <v>4</v>
      </c>
      <c r="E1958" s="22">
        <v>2472071.90991</v>
      </c>
    </row>
    <row r="1959" s="29" customFormat="1" ht="28" spans="2:5">
      <c r="B1959" s="19" t="s">
        <v>1632</v>
      </c>
      <c r="C1959" s="16" t="s">
        <v>183</v>
      </c>
      <c r="D1959" s="23">
        <v>4</v>
      </c>
      <c r="E1959" s="24">
        <v>2472071.90991</v>
      </c>
    </row>
    <row r="1960" s="29" customFormat="1" ht="55" spans="2:5">
      <c r="B1960" s="19" t="s">
        <v>1633</v>
      </c>
      <c r="C1960" s="20" t="s">
        <v>1481</v>
      </c>
      <c r="D1960" s="21">
        <v>2</v>
      </c>
      <c r="E1960" s="22">
        <v>1877477</v>
      </c>
    </row>
    <row r="1961" s="29" customFormat="1" ht="28" spans="2:5">
      <c r="B1961" s="19" t="s">
        <v>1633</v>
      </c>
      <c r="C1961" s="16" t="s">
        <v>183</v>
      </c>
      <c r="D1961" s="23">
        <v>2</v>
      </c>
      <c r="E1961" s="24">
        <v>1877477</v>
      </c>
    </row>
    <row r="1962" s="29" customFormat="1" ht="55" spans="2:5">
      <c r="B1962" s="19" t="s">
        <v>1634</v>
      </c>
      <c r="C1962" s="20" t="s">
        <v>1481</v>
      </c>
      <c r="D1962" s="21">
        <v>2</v>
      </c>
      <c r="E1962" s="22">
        <v>1353153</v>
      </c>
    </row>
    <row r="1963" s="29" customFormat="1" ht="28" spans="2:5">
      <c r="B1963" s="19" t="s">
        <v>1634</v>
      </c>
      <c r="C1963" s="16" t="s">
        <v>183</v>
      </c>
      <c r="D1963" s="23">
        <v>2</v>
      </c>
      <c r="E1963" s="24">
        <v>1353153</v>
      </c>
    </row>
    <row r="1964" s="29" customFormat="1" ht="55" spans="2:5">
      <c r="B1964" s="19" t="s">
        <v>1635</v>
      </c>
      <c r="C1964" s="20" t="s">
        <v>1481</v>
      </c>
      <c r="D1964" s="21">
        <v>2</v>
      </c>
      <c r="E1964" s="22">
        <v>1034234.432432</v>
      </c>
    </row>
    <row r="1965" s="29" customFormat="1" ht="28" spans="2:5">
      <c r="B1965" s="19" t="s">
        <v>1635</v>
      </c>
      <c r="C1965" s="16" t="s">
        <v>183</v>
      </c>
      <c r="D1965" s="23">
        <v>2</v>
      </c>
      <c r="E1965" s="24">
        <v>1034234.432432</v>
      </c>
    </row>
    <row r="1966" s="29" customFormat="1" ht="55.75" spans="2:5">
      <c r="B1966" s="20" t="s">
        <v>1636</v>
      </c>
      <c r="C1966" s="20" t="s">
        <v>1481</v>
      </c>
      <c r="D1966" s="21">
        <v>4</v>
      </c>
      <c r="E1966" s="22">
        <v>2486486</v>
      </c>
    </row>
    <row r="1967" s="29" customFormat="1" spans="2:5">
      <c r="B1967" s="25"/>
      <c r="C1967" s="25"/>
      <c r="D1967" s="25"/>
      <c r="E1967" s="25"/>
    </row>
    <row r="1968" s="29" customFormat="1" ht="36" spans="2:5">
      <c r="B1968" s="26" t="s">
        <v>189</v>
      </c>
      <c r="C1968" s="26" t="s">
        <v>189</v>
      </c>
      <c r="D1968" s="26" t="s">
        <v>189</v>
      </c>
      <c r="E1968" s="26" t="s">
        <v>189</v>
      </c>
    </row>
    <row r="1969" s="29" customFormat="1" spans="2:5">
      <c r="B1969" s="26"/>
      <c r="C1969" s="26"/>
      <c r="D1969" s="26"/>
      <c r="E1969" s="26"/>
    </row>
    <row r="1970" s="29" customFormat="1" ht="36" spans="2:5">
      <c r="B1970" s="26" t="s">
        <v>1433</v>
      </c>
      <c r="C1970" s="26" t="s">
        <v>1433</v>
      </c>
      <c r="D1970" s="26" t="s">
        <v>1433</v>
      </c>
      <c r="E1970" s="26" t="s">
        <v>1433</v>
      </c>
    </row>
    <row r="1971" s="29" customFormat="1" spans="2:5">
      <c r="B1971" s="26" t="s">
        <v>1637</v>
      </c>
      <c r="C1971" s="26" t="s">
        <v>1637</v>
      </c>
      <c r="D1971" s="26" t="s">
        <v>1637</v>
      </c>
      <c r="E1971" s="26" t="s">
        <v>1637</v>
      </c>
    </row>
    <row r="1972" s="29" customFormat="1" ht="124" spans="2:5">
      <c r="B1972" s="11" t="s">
        <v>173</v>
      </c>
      <c r="C1972" s="11" t="s">
        <v>173</v>
      </c>
      <c r="D1972" s="11" t="s">
        <v>173</v>
      </c>
      <c r="E1972" s="11" t="s">
        <v>173</v>
      </c>
    </row>
    <row r="1973" s="29" customFormat="1" ht="156" spans="2:5">
      <c r="B1973" s="12" t="s">
        <v>174</v>
      </c>
      <c r="C1973" s="12" t="s">
        <v>174</v>
      </c>
      <c r="D1973" s="12" t="s">
        <v>174</v>
      </c>
      <c r="E1973" s="12" t="s">
        <v>174</v>
      </c>
    </row>
    <row r="1974" s="29" customFormat="1" ht="68" spans="2:5">
      <c r="B1974" s="13" t="s">
        <v>1425</v>
      </c>
      <c r="C1974" s="13" t="s">
        <v>1425</v>
      </c>
      <c r="D1974" s="13" t="s">
        <v>1425</v>
      </c>
      <c r="E1974" s="13" t="s">
        <v>1425</v>
      </c>
    </row>
    <row r="1975" s="29" customFormat="1" ht="22" spans="2:5">
      <c r="B1975" s="14" t="s">
        <v>176</v>
      </c>
      <c r="C1975" s="14" t="s">
        <v>176</v>
      </c>
      <c r="D1975" s="14" t="s">
        <v>176</v>
      </c>
      <c r="E1975" s="14" t="s">
        <v>176</v>
      </c>
    </row>
    <row r="1976" s="29" customFormat="1" spans="2:5">
      <c r="B1976" s="15" t="s">
        <v>177</v>
      </c>
      <c r="C1976" s="16" t="s">
        <v>178</v>
      </c>
      <c r="D1976" s="17" t="s">
        <v>179</v>
      </c>
      <c r="E1976" s="18" t="s">
        <v>180</v>
      </c>
    </row>
    <row r="1977" s="29" customFormat="1" ht="41" spans="2:5">
      <c r="B1977" s="19" t="s">
        <v>1636</v>
      </c>
      <c r="C1977" s="20" t="s">
        <v>1614</v>
      </c>
      <c r="D1977" s="21">
        <v>2</v>
      </c>
      <c r="E1977" s="22">
        <v>1243243.621622</v>
      </c>
    </row>
    <row r="1978" s="29" customFormat="1" ht="28" spans="2:5">
      <c r="B1978" s="19" t="s">
        <v>1636</v>
      </c>
      <c r="C1978" s="16" t="s">
        <v>183</v>
      </c>
      <c r="D1978" s="23">
        <v>6</v>
      </c>
      <c r="E1978" s="24">
        <v>3729729.621622</v>
      </c>
    </row>
    <row r="1979" s="29" customFormat="1" ht="55" spans="2:5">
      <c r="B1979" s="19" t="s">
        <v>1638</v>
      </c>
      <c r="C1979" s="20" t="s">
        <v>1481</v>
      </c>
      <c r="D1979" s="21">
        <v>2</v>
      </c>
      <c r="E1979" s="22">
        <v>1504504.369369</v>
      </c>
    </row>
    <row r="1980" s="29" customFormat="1" ht="41" spans="2:5">
      <c r="B1980" s="19" t="s">
        <v>1638</v>
      </c>
      <c r="C1980" s="20" t="s">
        <v>1614</v>
      </c>
      <c r="D1980" s="21">
        <v>4</v>
      </c>
      <c r="E1980" s="22">
        <v>3009009.009009</v>
      </c>
    </row>
    <row r="1981" s="29" customFormat="1" ht="28" spans="2:5">
      <c r="B1981" s="19" t="s">
        <v>1638</v>
      </c>
      <c r="C1981" s="16" t="s">
        <v>183</v>
      </c>
      <c r="D1981" s="23">
        <v>6</v>
      </c>
      <c r="E1981" s="24">
        <v>4513513.378378</v>
      </c>
    </row>
    <row r="1982" s="29" customFormat="1" ht="41" spans="2:5">
      <c r="B1982" s="19" t="s">
        <v>1639</v>
      </c>
      <c r="C1982" s="20" t="s">
        <v>1614</v>
      </c>
      <c r="D1982" s="21">
        <v>2</v>
      </c>
      <c r="E1982" s="22">
        <v>4203603.603604</v>
      </c>
    </row>
    <row r="1983" s="29" customFormat="1" ht="28" spans="2:5">
      <c r="B1983" s="19" t="s">
        <v>1639</v>
      </c>
      <c r="C1983" s="16" t="s">
        <v>183</v>
      </c>
      <c r="D1983" s="23">
        <v>2</v>
      </c>
      <c r="E1983" s="24">
        <v>4203603.603604</v>
      </c>
    </row>
    <row r="1984" s="29" customFormat="1" ht="41" spans="2:5">
      <c r="B1984" s="19" t="s">
        <v>946</v>
      </c>
      <c r="C1984" s="20" t="s">
        <v>182</v>
      </c>
      <c r="D1984" s="21">
        <v>1</v>
      </c>
      <c r="E1984" s="22">
        <v>183220.720721</v>
      </c>
    </row>
    <row r="1985" s="29" customFormat="1" ht="28" spans="2:5">
      <c r="B1985" s="19" t="s">
        <v>946</v>
      </c>
      <c r="C1985" s="20" t="s">
        <v>804</v>
      </c>
      <c r="D1985" s="21">
        <v>1</v>
      </c>
      <c r="E1985" s="22">
        <v>90090.018018</v>
      </c>
    </row>
    <row r="1986" s="29" customFormat="1" ht="28" spans="2:5">
      <c r="B1986" s="19" t="s">
        <v>946</v>
      </c>
      <c r="C1986" s="16" t="s">
        <v>183</v>
      </c>
      <c r="D1986" s="23">
        <v>2</v>
      </c>
      <c r="E1986" s="24">
        <v>273310.738739</v>
      </c>
    </row>
    <row r="1987" s="29" customFormat="1" ht="28" spans="2:5">
      <c r="B1987" s="19" t="s">
        <v>1640</v>
      </c>
      <c r="C1987" s="20" t="s">
        <v>804</v>
      </c>
      <c r="D1987" s="21">
        <v>1</v>
      </c>
      <c r="E1987" s="22">
        <v>360360.36036</v>
      </c>
    </row>
    <row r="1988" s="29" customFormat="1" spans="2:5">
      <c r="B1988" s="19" t="s">
        <v>1640</v>
      </c>
      <c r="C1988" s="16" t="s">
        <v>183</v>
      </c>
      <c r="D1988" s="23">
        <v>1</v>
      </c>
      <c r="E1988" s="24">
        <v>360360.36036</v>
      </c>
    </row>
    <row r="1989" s="29" customFormat="1" ht="28" spans="2:5">
      <c r="B1989" s="19" t="s">
        <v>1641</v>
      </c>
      <c r="C1989" s="20" t="s">
        <v>804</v>
      </c>
      <c r="D1989" s="21">
        <v>1</v>
      </c>
      <c r="E1989" s="22">
        <v>0</v>
      </c>
    </row>
    <row r="1990" s="29" customFormat="1" ht="17.55" spans="2:5">
      <c r="B1990" s="19" t="s">
        <v>1641</v>
      </c>
      <c r="C1990" s="16" t="s">
        <v>183</v>
      </c>
      <c r="D1990" s="23">
        <v>1</v>
      </c>
      <c r="E1990" s="24">
        <v>0</v>
      </c>
    </row>
    <row r="1991" s="29" customFormat="1" spans="2:5">
      <c r="B1991" s="25"/>
      <c r="C1991" s="25"/>
      <c r="D1991" s="25"/>
      <c r="E1991" s="25"/>
    </row>
    <row r="1992" s="29" customFormat="1" ht="36" spans="2:5">
      <c r="B1992" s="26" t="s">
        <v>189</v>
      </c>
      <c r="C1992" s="26" t="s">
        <v>189</v>
      </c>
      <c r="D1992" s="26" t="s">
        <v>189</v>
      </c>
      <c r="E1992" s="26" t="s">
        <v>189</v>
      </c>
    </row>
    <row r="1993" s="29" customFormat="1" spans="2:5">
      <c r="B1993" s="26"/>
      <c r="C1993" s="26"/>
      <c r="D1993" s="26"/>
      <c r="E1993" s="26"/>
    </row>
    <row r="1994" s="29" customFormat="1" ht="36" spans="2:5">
      <c r="B1994" s="26" t="s">
        <v>1433</v>
      </c>
      <c r="C1994" s="26" t="s">
        <v>1433</v>
      </c>
      <c r="D1994" s="26" t="s">
        <v>1433</v>
      </c>
      <c r="E1994" s="26" t="s">
        <v>1433</v>
      </c>
    </row>
    <row r="1995" s="29" customFormat="1" spans="2:5">
      <c r="B1995" s="26" t="s">
        <v>1642</v>
      </c>
      <c r="C1995" s="26" t="s">
        <v>1642</v>
      </c>
      <c r="D1995" s="26" t="s">
        <v>1642</v>
      </c>
      <c r="E1995" s="26" t="s">
        <v>1642</v>
      </c>
    </row>
    <row r="1996" s="29" customFormat="1" ht="124" spans="2:5">
      <c r="B1996" s="11" t="s">
        <v>173</v>
      </c>
      <c r="C1996" s="11" t="s">
        <v>173</v>
      </c>
      <c r="D1996" s="11" t="s">
        <v>173</v>
      </c>
      <c r="E1996" s="11" t="s">
        <v>173</v>
      </c>
    </row>
    <row r="1997" s="29" customFormat="1" ht="156" spans="2:5">
      <c r="B1997" s="12" t="s">
        <v>174</v>
      </c>
      <c r="C1997" s="12" t="s">
        <v>174</v>
      </c>
      <c r="D1997" s="12" t="s">
        <v>174</v>
      </c>
      <c r="E1997" s="12" t="s">
        <v>174</v>
      </c>
    </row>
    <row r="1998" s="29" customFormat="1" ht="68" spans="2:5">
      <c r="B1998" s="13" t="s">
        <v>1425</v>
      </c>
      <c r="C1998" s="13" t="s">
        <v>1425</v>
      </c>
      <c r="D1998" s="13" t="s">
        <v>1425</v>
      </c>
      <c r="E1998" s="13" t="s">
        <v>1425</v>
      </c>
    </row>
    <row r="1999" s="29" customFormat="1" ht="22" spans="2:5">
      <c r="B1999" s="14" t="s">
        <v>176</v>
      </c>
      <c r="C1999" s="14" t="s">
        <v>176</v>
      </c>
      <c r="D1999" s="14" t="s">
        <v>176</v>
      </c>
      <c r="E1999" s="14" t="s">
        <v>176</v>
      </c>
    </row>
    <row r="2000" s="29" customFormat="1" spans="2:5">
      <c r="B2000" s="15" t="s">
        <v>177</v>
      </c>
      <c r="C2000" s="16" t="s">
        <v>178</v>
      </c>
      <c r="D2000" s="17" t="s">
        <v>179</v>
      </c>
      <c r="E2000" s="18" t="s">
        <v>180</v>
      </c>
    </row>
    <row r="2001" s="29" customFormat="1" ht="28" spans="2:5">
      <c r="B2001" s="19" t="s">
        <v>1643</v>
      </c>
      <c r="C2001" s="20" t="s">
        <v>804</v>
      </c>
      <c r="D2001" s="21">
        <v>1</v>
      </c>
      <c r="E2001" s="22">
        <v>131000</v>
      </c>
    </row>
    <row r="2002" s="29" customFormat="1" spans="2:5">
      <c r="B2002" s="19" t="s">
        <v>1643</v>
      </c>
      <c r="C2002" s="16" t="s">
        <v>183</v>
      </c>
      <c r="D2002" s="23">
        <v>1</v>
      </c>
      <c r="E2002" s="24">
        <v>131000</v>
      </c>
    </row>
    <row r="2003" s="29" customFormat="1" ht="17.55" spans="2:5">
      <c r="B2003" s="28" t="s">
        <v>341</v>
      </c>
      <c r="C2003" s="28" t="s">
        <v>341</v>
      </c>
      <c r="D2003" s="23">
        <v>8186</v>
      </c>
      <c r="E2003" s="24">
        <v>500829665.052448</v>
      </c>
    </row>
    <row r="2004" s="29" customFormat="1" spans="2:5">
      <c r="B2004" s="25"/>
      <c r="C2004" s="25"/>
      <c r="D2004" s="25"/>
      <c r="E2004" s="25"/>
    </row>
    <row r="2005" s="29" customFormat="1" ht="36" spans="2:5">
      <c r="B2005" s="26" t="s">
        <v>189</v>
      </c>
      <c r="C2005" s="26" t="s">
        <v>189</v>
      </c>
      <c r="D2005" s="26" t="s">
        <v>189</v>
      </c>
      <c r="E2005" s="26" t="s">
        <v>189</v>
      </c>
    </row>
    <row r="2006" s="29" customFormat="1" spans="2:5">
      <c r="B2006" s="26"/>
      <c r="C2006" s="26"/>
      <c r="D2006" s="26"/>
      <c r="E2006" s="26"/>
    </row>
    <row r="2007" s="29" customFormat="1" ht="36" spans="2:5">
      <c r="B2007" s="26" t="s">
        <v>1433</v>
      </c>
      <c r="C2007" s="26" t="s">
        <v>1433</v>
      </c>
      <c r="D2007" s="26" t="s">
        <v>1433</v>
      </c>
      <c r="E2007" s="26" t="s">
        <v>1433</v>
      </c>
    </row>
    <row r="2008" s="29" customFormat="1" spans="2:5">
      <c r="B2008" s="26" t="s">
        <v>1644</v>
      </c>
      <c r="C2008" s="26" t="s">
        <v>1644</v>
      </c>
      <c r="D2008" s="26" t="s">
        <v>1644</v>
      </c>
      <c r="E2008" s="26" t="s">
        <v>1644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46"/>
  <sheetViews>
    <sheetView workbookViewId="0">
      <selection activeCell="B4" sqref="B4:B925"/>
    </sheetView>
  </sheetViews>
  <sheetFormatPr defaultColWidth="8.63392857142857" defaultRowHeight="16.8" outlineLevelCol="6"/>
  <cols>
    <col min="1" max="1" width="1.45535714285714" style="29" customWidth="1"/>
    <col min="2" max="2" width="27.5" style="9" customWidth="1"/>
    <col min="3" max="3" width="15.2767857142857" style="9" customWidth="1"/>
    <col min="4" max="4" width="9.16964285714286" style="9" customWidth="1"/>
    <col min="5" max="5" width="13.75" style="9" customWidth="1"/>
    <col min="6" max="7" width="1.45535714285714" style="29" customWidth="1"/>
    <col min="8" max="16384" width="8.63392857142857" style="29"/>
  </cols>
  <sheetData>
    <row r="1" s="29" customFormat="1" ht="124" spans="1:7">
      <c r="A1" s="30" t="s">
        <v>172</v>
      </c>
      <c r="B1" s="11" t="s">
        <v>173</v>
      </c>
      <c r="C1" s="11" t="s">
        <v>173</v>
      </c>
      <c r="D1" s="11" t="s">
        <v>173</v>
      </c>
      <c r="E1" s="11" t="s">
        <v>173</v>
      </c>
      <c r="F1" s="30" t="s">
        <v>172</v>
      </c>
      <c r="G1" s="30" t="s">
        <v>172</v>
      </c>
    </row>
    <row r="2" s="29" customFormat="1" ht="156" spans="1:7">
      <c r="A2" s="30" t="s">
        <v>172</v>
      </c>
      <c r="B2" s="12" t="s">
        <v>174</v>
      </c>
      <c r="C2" s="12" t="s">
        <v>174</v>
      </c>
      <c r="D2" s="12" t="s">
        <v>174</v>
      </c>
      <c r="E2" s="12" t="s">
        <v>174</v>
      </c>
      <c r="F2" s="30" t="s">
        <v>172</v>
      </c>
      <c r="G2" s="30" t="s">
        <v>172</v>
      </c>
    </row>
    <row r="3" s="29" customFormat="1" ht="68" spans="1:7">
      <c r="A3" s="30" t="s">
        <v>172</v>
      </c>
      <c r="B3" s="13" t="s">
        <v>1645</v>
      </c>
      <c r="C3" s="13" t="s">
        <v>1645</v>
      </c>
      <c r="D3" s="13" t="s">
        <v>1645</v>
      </c>
      <c r="E3" s="13" t="s">
        <v>1645</v>
      </c>
      <c r="F3" s="30" t="s">
        <v>172</v>
      </c>
      <c r="G3" s="30" t="s">
        <v>172</v>
      </c>
    </row>
    <row r="4" s="29" customFormat="1" ht="22" spans="1:7">
      <c r="A4" s="30" t="s">
        <v>172</v>
      </c>
      <c r="B4" s="14" t="s">
        <v>176</v>
      </c>
      <c r="C4" s="14" t="s">
        <v>176</v>
      </c>
      <c r="D4" s="14" t="s">
        <v>176</v>
      </c>
      <c r="E4" s="14" t="s">
        <v>176</v>
      </c>
      <c r="F4" s="30" t="s">
        <v>172</v>
      </c>
      <c r="G4" s="30" t="s">
        <v>172</v>
      </c>
    </row>
    <row r="5" s="29" customFormat="1" spans="1:7">
      <c r="A5" s="30" t="s">
        <v>172</v>
      </c>
      <c r="B5" s="15" t="s">
        <v>177</v>
      </c>
      <c r="C5" s="16" t="s">
        <v>178</v>
      </c>
      <c r="D5" s="17" t="s">
        <v>179</v>
      </c>
      <c r="E5" s="18" t="s">
        <v>180</v>
      </c>
      <c r="F5" s="30" t="s">
        <v>172</v>
      </c>
      <c r="G5" s="30" t="s">
        <v>172</v>
      </c>
    </row>
    <row r="6" s="29" customFormat="1" ht="41" spans="1:7">
      <c r="A6" s="30" t="s">
        <v>172</v>
      </c>
      <c r="B6" s="19" t="s">
        <v>1646</v>
      </c>
      <c r="C6" s="20" t="s">
        <v>182</v>
      </c>
      <c r="D6" s="21">
        <v>1</v>
      </c>
      <c r="E6" s="22">
        <v>300000</v>
      </c>
      <c r="F6" s="30" t="s">
        <v>172</v>
      </c>
      <c r="G6" s="30" t="s">
        <v>172</v>
      </c>
    </row>
    <row r="7" s="29" customFormat="1" ht="28" spans="1:7">
      <c r="A7" s="30" t="s">
        <v>172</v>
      </c>
      <c r="B7" s="19" t="s">
        <v>1646</v>
      </c>
      <c r="C7" s="16" t="s">
        <v>183</v>
      </c>
      <c r="D7" s="23">
        <v>1</v>
      </c>
      <c r="E7" s="24">
        <v>300000</v>
      </c>
      <c r="F7" s="30" t="s">
        <v>172</v>
      </c>
      <c r="G7" s="30" t="s">
        <v>172</v>
      </c>
    </row>
    <row r="8" s="29" customFormat="1" ht="41" spans="1:7">
      <c r="A8" s="30" t="s">
        <v>172</v>
      </c>
      <c r="B8" s="19" t="s">
        <v>1647</v>
      </c>
      <c r="C8" s="20" t="s">
        <v>182</v>
      </c>
      <c r="D8" s="21">
        <v>2</v>
      </c>
      <c r="E8" s="22">
        <v>860000</v>
      </c>
      <c r="F8" s="30" t="s">
        <v>172</v>
      </c>
      <c r="G8" s="30" t="s">
        <v>172</v>
      </c>
    </row>
    <row r="9" s="29" customFormat="1" ht="28" spans="1:7">
      <c r="A9" s="30" t="s">
        <v>172</v>
      </c>
      <c r="B9" s="19" t="s">
        <v>1647</v>
      </c>
      <c r="C9" s="16" t="s">
        <v>183</v>
      </c>
      <c r="D9" s="23">
        <v>2</v>
      </c>
      <c r="E9" s="24">
        <v>860000</v>
      </c>
      <c r="F9" s="30" t="s">
        <v>172</v>
      </c>
      <c r="G9" s="30" t="s">
        <v>172</v>
      </c>
    </row>
    <row r="10" s="29" customFormat="1" ht="41" spans="1:7">
      <c r="A10" s="30" t="s">
        <v>172</v>
      </c>
      <c r="B10" s="19" t="s">
        <v>1648</v>
      </c>
      <c r="C10" s="20" t="s">
        <v>1191</v>
      </c>
      <c r="D10" s="21">
        <v>2</v>
      </c>
      <c r="E10" s="22">
        <v>988000</v>
      </c>
      <c r="F10" s="30" t="s">
        <v>172</v>
      </c>
      <c r="G10" s="30" t="s">
        <v>172</v>
      </c>
    </row>
    <row r="11" s="29" customFormat="1" ht="28" spans="1:7">
      <c r="A11" s="30" t="s">
        <v>172</v>
      </c>
      <c r="B11" s="19" t="s">
        <v>1648</v>
      </c>
      <c r="C11" s="16" t="s">
        <v>183</v>
      </c>
      <c r="D11" s="23">
        <v>2</v>
      </c>
      <c r="E11" s="24">
        <v>988000</v>
      </c>
      <c r="F11" s="30" t="s">
        <v>172</v>
      </c>
      <c r="G11" s="30" t="s">
        <v>172</v>
      </c>
    </row>
    <row r="12" s="29" customFormat="1" ht="41" spans="1:7">
      <c r="A12" s="30" t="s">
        <v>172</v>
      </c>
      <c r="B12" s="19" t="s">
        <v>1649</v>
      </c>
      <c r="C12" s="20" t="s">
        <v>1191</v>
      </c>
      <c r="D12" s="21">
        <v>2</v>
      </c>
      <c r="E12" s="22">
        <v>600000</v>
      </c>
      <c r="F12" s="30" t="s">
        <v>172</v>
      </c>
      <c r="G12" s="30" t="s">
        <v>172</v>
      </c>
    </row>
    <row r="13" s="29" customFormat="1" spans="1:7">
      <c r="A13" s="30" t="s">
        <v>172</v>
      </c>
      <c r="B13" s="19" t="s">
        <v>1649</v>
      </c>
      <c r="C13" s="16" t="s">
        <v>183</v>
      </c>
      <c r="D13" s="23">
        <v>2</v>
      </c>
      <c r="E13" s="24">
        <v>600000</v>
      </c>
      <c r="F13" s="30" t="s">
        <v>172</v>
      </c>
      <c r="G13" s="30" t="s">
        <v>172</v>
      </c>
    </row>
    <row r="14" s="29" customFormat="1" ht="41" spans="1:7">
      <c r="A14" s="30" t="s">
        <v>172</v>
      </c>
      <c r="B14" s="19" t="s">
        <v>1650</v>
      </c>
      <c r="C14" s="20" t="s">
        <v>182</v>
      </c>
      <c r="D14" s="21">
        <v>2</v>
      </c>
      <c r="E14" s="22">
        <v>700000</v>
      </c>
      <c r="F14" s="30" t="s">
        <v>172</v>
      </c>
      <c r="G14" s="30" t="s">
        <v>172</v>
      </c>
    </row>
    <row r="15" s="29" customFormat="1" ht="28" spans="1:7">
      <c r="A15" s="30" t="s">
        <v>172</v>
      </c>
      <c r="B15" s="19" t="s">
        <v>1650</v>
      </c>
      <c r="C15" s="16" t="s">
        <v>183</v>
      </c>
      <c r="D15" s="23">
        <v>2</v>
      </c>
      <c r="E15" s="24">
        <v>700000</v>
      </c>
      <c r="F15" s="30" t="s">
        <v>172</v>
      </c>
      <c r="G15" s="30" t="s">
        <v>172</v>
      </c>
    </row>
    <row r="16" s="29" customFormat="1" ht="41" spans="1:7">
      <c r="A16" s="30" t="s">
        <v>172</v>
      </c>
      <c r="B16" s="19" t="s">
        <v>1651</v>
      </c>
      <c r="C16" s="20" t="s">
        <v>182</v>
      </c>
      <c r="D16" s="21">
        <v>2</v>
      </c>
      <c r="E16" s="22">
        <v>874000</v>
      </c>
      <c r="F16" s="30" t="s">
        <v>172</v>
      </c>
      <c r="G16" s="30" t="s">
        <v>172</v>
      </c>
    </row>
    <row r="17" s="29" customFormat="1" spans="1:7">
      <c r="A17" s="30" t="s">
        <v>172</v>
      </c>
      <c r="B17" s="19" t="s">
        <v>1651</v>
      </c>
      <c r="C17" s="16" t="s">
        <v>183</v>
      </c>
      <c r="D17" s="23">
        <v>2</v>
      </c>
      <c r="E17" s="24">
        <v>874000</v>
      </c>
      <c r="F17" s="30" t="s">
        <v>172</v>
      </c>
      <c r="G17" s="30" t="s">
        <v>172</v>
      </c>
    </row>
    <row r="18" s="29" customFormat="1" ht="41" spans="1:7">
      <c r="A18" s="30" t="s">
        <v>172</v>
      </c>
      <c r="B18" s="19" t="s">
        <v>1652</v>
      </c>
      <c r="C18" s="20" t="s">
        <v>1191</v>
      </c>
      <c r="D18" s="21">
        <v>2</v>
      </c>
      <c r="E18" s="22">
        <v>600000</v>
      </c>
      <c r="F18" s="30" t="s">
        <v>172</v>
      </c>
      <c r="G18" s="30" t="s">
        <v>172</v>
      </c>
    </row>
    <row r="19" s="29" customFormat="1" ht="17.55" spans="1:7">
      <c r="A19" s="30" t="s">
        <v>172</v>
      </c>
      <c r="B19" s="19" t="s">
        <v>1652</v>
      </c>
      <c r="C19" s="16" t="s">
        <v>183</v>
      </c>
      <c r="D19" s="23">
        <v>2</v>
      </c>
      <c r="E19" s="24">
        <v>600000</v>
      </c>
      <c r="F19" s="30" t="s">
        <v>172</v>
      </c>
      <c r="G19" s="30" t="s">
        <v>172</v>
      </c>
    </row>
    <row r="20" s="29" customFormat="1" spans="1:7">
      <c r="A20" s="30" t="s">
        <v>172</v>
      </c>
      <c r="B20" s="25"/>
      <c r="C20" s="25"/>
      <c r="D20" s="25"/>
      <c r="E20" s="25"/>
      <c r="F20" s="30" t="s">
        <v>172</v>
      </c>
      <c r="G20" s="30" t="s">
        <v>172</v>
      </c>
    </row>
    <row r="21" s="29" customFormat="1" ht="36" spans="1:7">
      <c r="A21" s="30" t="s">
        <v>172</v>
      </c>
      <c r="B21" s="26" t="s">
        <v>189</v>
      </c>
      <c r="C21" s="26" t="s">
        <v>189</v>
      </c>
      <c r="D21" s="26" t="s">
        <v>189</v>
      </c>
      <c r="E21" s="26" t="s">
        <v>189</v>
      </c>
      <c r="F21" s="30" t="s">
        <v>172</v>
      </c>
      <c r="G21" s="30" t="s">
        <v>172</v>
      </c>
    </row>
    <row r="22" s="29" customFormat="1" spans="1:7">
      <c r="A22" s="30" t="s">
        <v>172</v>
      </c>
      <c r="B22" s="26"/>
      <c r="C22" s="26"/>
      <c r="D22" s="26"/>
      <c r="E22" s="26"/>
      <c r="F22" s="30" t="s">
        <v>172</v>
      </c>
      <c r="G22" s="30" t="s">
        <v>172</v>
      </c>
    </row>
    <row r="23" s="29" customFormat="1" ht="36" spans="1:7">
      <c r="A23" s="30" t="s">
        <v>172</v>
      </c>
      <c r="B23" s="26" t="s">
        <v>1653</v>
      </c>
      <c r="C23" s="26" t="s">
        <v>1653</v>
      </c>
      <c r="D23" s="26" t="s">
        <v>1653</v>
      </c>
      <c r="E23" s="26" t="s">
        <v>1653</v>
      </c>
      <c r="F23" s="30" t="s">
        <v>172</v>
      </c>
      <c r="G23" s="30" t="s">
        <v>172</v>
      </c>
    </row>
    <row r="24" s="29" customFormat="1" spans="1:7">
      <c r="A24" s="30" t="s">
        <v>172</v>
      </c>
      <c r="B24" s="26" t="s">
        <v>191</v>
      </c>
      <c r="C24" s="26" t="s">
        <v>191</v>
      </c>
      <c r="D24" s="26" t="s">
        <v>191</v>
      </c>
      <c r="E24" s="26" t="s">
        <v>191</v>
      </c>
      <c r="F24" s="30" t="s">
        <v>172</v>
      </c>
      <c r="G24" s="30" t="s">
        <v>172</v>
      </c>
    </row>
    <row r="25" s="29" customFormat="1" ht="124" spans="1:7">
      <c r="A25" s="30" t="s">
        <v>172</v>
      </c>
      <c r="B25" s="11" t="s">
        <v>173</v>
      </c>
      <c r="C25" s="11" t="s">
        <v>173</v>
      </c>
      <c r="D25" s="11" t="s">
        <v>173</v>
      </c>
      <c r="E25" s="11" t="s">
        <v>173</v>
      </c>
      <c r="F25" s="30" t="s">
        <v>172</v>
      </c>
      <c r="G25" s="30" t="s">
        <v>172</v>
      </c>
    </row>
    <row r="26" s="29" customFormat="1" ht="156" spans="1:7">
      <c r="A26" s="30" t="s">
        <v>172</v>
      </c>
      <c r="B26" s="12" t="s">
        <v>174</v>
      </c>
      <c r="C26" s="12" t="s">
        <v>174</v>
      </c>
      <c r="D26" s="12" t="s">
        <v>174</v>
      </c>
      <c r="E26" s="12" t="s">
        <v>174</v>
      </c>
      <c r="F26" s="30" t="s">
        <v>172</v>
      </c>
      <c r="G26" s="30" t="s">
        <v>172</v>
      </c>
    </row>
    <row r="27" s="29" customFormat="1" ht="68" spans="1:7">
      <c r="A27" s="30" t="s">
        <v>172</v>
      </c>
      <c r="B27" s="13" t="s">
        <v>1645</v>
      </c>
      <c r="C27" s="13" t="s">
        <v>1645</v>
      </c>
      <c r="D27" s="13" t="s">
        <v>1645</v>
      </c>
      <c r="E27" s="13" t="s">
        <v>1645</v>
      </c>
      <c r="F27" s="30" t="s">
        <v>172</v>
      </c>
      <c r="G27" s="30" t="s">
        <v>172</v>
      </c>
    </row>
    <row r="28" s="29" customFormat="1" ht="22" spans="1:7">
      <c r="A28" s="30" t="s">
        <v>172</v>
      </c>
      <c r="B28" s="14" t="s">
        <v>176</v>
      </c>
      <c r="C28" s="14" t="s">
        <v>176</v>
      </c>
      <c r="D28" s="14" t="s">
        <v>176</v>
      </c>
      <c r="E28" s="14" t="s">
        <v>176</v>
      </c>
      <c r="F28" s="30" t="s">
        <v>172</v>
      </c>
      <c r="G28" s="30" t="s">
        <v>172</v>
      </c>
    </row>
    <row r="29" s="29" customFormat="1" spans="1:7">
      <c r="A29" s="30" t="s">
        <v>172</v>
      </c>
      <c r="B29" s="15" t="s">
        <v>177</v>
      </c>
      <c r="C29" s="16" t="s">
        <v>178</v>
      </c>
      <c r="D29" s="17" t="s">
        <v>179</v>
      </c>
      <c r="E29" s="18" t="s">
        <v>180</v>
      </c>
      <c r="F29" s="30" t="s">
        <v>172</v>
      </c>
      <c r="G29" s="30" t="s">
        <v>172</v>
      </c>
    </row>
    <row r="30" s="29" customFormat="1" ht="28" spans="1:7">
      <c r="A30" s="30" t="s">
        <v>172</v>
      </c>
      <c r="B30" s="19" t="s">
        <v>1654</v>
      </c>
      <c r="C30" s="20" t="s">
        <v>804</v>
      </c>
      <c r="D30" s="21">
        <v>1</v>
      </c>
      <c r="E30" s="22">
        <v>8700000</v>
      </c>
      <c r="F30" s="30" t="s">
        <v>172</v>
      </c>
      <c r="G30" s="30" t="s">
        <v>172</v>
      </c>
    </row>
    <row r="31" s="29" customFormat="1" spans="1:7">
      <c r="A31" s="30" t="s">
        <v>172</v>
      </c>
      <c r="B31" s="19" t="s">
        <v>1654</v>
      </c>
      <c r="C31" s="16" t="s">
        <v>183</v>
      </c>
      <c r="D31" s="23">
        <v>1</v>
      </c>
      <c r="E31" s="24">
        <v>8700000</v>
      </c>
      <c r="F31" s="30" t="s">
        <v>172</v>
      </c>
      <c r="G31" s="30" t="s">
        <v>172</v>
      </c>
    </row>
    <row r="32" s="29" customFormat="1" ht="28" spans="1:7">
      <c r="A32" s="30" t="s">
        <v>172</v>
      </c>
      <c r="B32" s="19" t="s">
        <v>1655</v>
      </c>
      <c r="C32" s="20" t="s">
        <v>804</v>
      </c>
      <c r="D32" s="21">
        <v>2</v>
      </c>
      <c r="E32" s="22">
        <v>522522.522523</v>
      </c>
      <c r="F32" s="30" t="s">
        <v>172</v>
      </c>
      <c r="G32" s="30" t="s">
        <v>172</v>
      </c>
    </row>
    <row r="33" s="29" customFormat="1" ht="28" spans="1:7">
      <c r="A33" s="30" t="s">
        <v>172</v>
      </c>
      <c r="B33" s="19" t="s">
        <v>1655</v>
      </c>
      <c r="C33" s="16" t="s">
        <v>183</v>
      </c>
      <c r="D33" s="23">
        <v>2</v>
      </c>
      <c r="E33" s="24">
        <v>522522.522523</v>
      </c>
      <c r="F33" s="30" t="s">
        <v>172</v>
      </c>
      <c r="G33" s="30" t="s">
        <v>172</v>
      </c>
    </row>
    <row r="34" s="29" customFormat="1" ht="28" spans="1:7">
      <c r="A34" s="30" t="s">
        <v>172</v>
      </c>
      <c r="B34" s="19" t="s">
        <v>1656</v>
      </c>
      <c r="C34" s="20" t="s">
        <v>804</v>
      </c>
      <c r="D34" s="21">
        <v>2</v>
      </c>
      <c r="E34" s="22">
        <v>2180180.18018</v>
      </c>
      <c r="F34" s="30" t="s">
        <v>172</v>
      </c>
      <c r="G34" s="30" t="s">
        <v>172</v>
      </c>
    </row>
    <row r="35" s="29" customFormat="1" ht="28" spans="1:7">
      <c r="A35" s="30" t="s">
        <v>172</v>
      </c>
      <c r="B35" s="19" t="s">
        <v>1656</v>
      </c>
      <c r="C35" s="16" t="s">
        <v>183</v>
      </c>
      <c r="D35" s="23">
        <v>2</v>
      </c>
      <c r="E35" s="24">
        <v>2180180.18018</v>
      </c>
      <c r="F35" s="30" t="s">
        <v>172</v>
      </c>
      <c r="G35" s="30" t="s">
        <v>172</v>
      </c>
    </row>
    <row r="36" s="29" customFormat="1" ht="28" spans="1:7">
      <c r="A36" s="30" t="s">
        <v>172</v>
      </c>
      <c r="B36" s="19" t="s">
        <v>1657</v>
      </c>
      <c r="C36" s="20" t="s">
        <v>804</v>
      </c>
      <c r="D36" s="21">
        <v>1</v>
      </c>
      <c r="E36" s="22">
        <v>166666.666667</v>
      </c>
      <c r="F36" s="30" t="s">
        <v>172</v>
      </c>
      <c r="G36" s="30" t="s">
        <v>172</v>
      </c>
    </row>
    <row r="37" s="29" customFormat="1" ht="28" spans="1:7">
      <c r="A37" s="30" t="s">
        <v>172</v>
      </c>
      <c r="B37" s="19" t="s">
        <v>1657</v>
      </c>
      <c r="C37" s="16" t="s">
        <v>183</v>
      </c>
      <c r="D37" s="23">
        <v>1</v>
      </c>
      <c r="E37" s="24">
        <v>166666.666667</v>
      </c>
      <c r="F37" s="30" t="s">
        <v>172</v>
      </c>
      <c r="G37" s="30" t="s">
        <v>172</v>
      </c>
    </row>
    <row r="38" s="29" customFormat="1" ht="28" spans="1:7">
      <c r="A38" s="30" t="s">
        <v>172</v>
      </c>
      <c r="B38" s="19" t="s">
        <v>1658</v>
      </c>
      <c r="C38" s="20" t="s">
        <v>804</v>
      </c>
      <c r="D38" s="21">
        <v>2</v>
      </c>
      <c r="E38" s="22">
        <v>1513513.513514</v>
      </c>
      <c r="F38" s="30" t="s">
        <v>172</v>
      </c>
      <c r="G38" s="30" t="s">
        <v>172</v>
      </c>
    </row>
    <row r="39" s="29" customFormat="1" ht="28" spans="1:7">
      <c r="A39" s="30" t="s">
        <v>172</v>
      </c>
      <c r="B39" s="19" t="s">
        <v>1658</v>
      </c>
      <c r="C39" s="16" t="s">
        <v>183</v>
      </c>
      <c r="D39" s="23">
        <v>2</v>
      </c>
      <c r="E39" s="24">
        <v>1513513.513514</v>
      </c>
      <c r="F39" s="30" t="s">
        <v>172</v>
      </c>
      <c r="G39" s="30" t="s">
        <v>172</v>
      </c>
    </row>
    <row r="40" s="29" customFormat="1" ht="28" spans="1:7">
      <c r="A40" s="30" t="s">
        <v>172</v>
      </c>
      <c r="B40" s="19" t="s">
        <v>1659</v>
      </c>
      <c r="C40" s="20" t="s">
        <v>804</v>
      </c>
      <c r="D40" s="21">
        <v>2</v>
      </c>
      <c r="E40" s="22">
        <v>720721</v>
      </c>
      <c r="F40" s="30" t="s">
        <v>172</v>
      </c>
      <c r="G40" s="30" t="s">
        <v>172</v>
      </c>
    </row>
    <row r="41" s="29" customFormat="1" ht="28" spans="1:7">
      <c r="A41" s="30" t="s">
        <v>172</v>
      </c>
      <c r="B41" s="19" t="s">
        <v>1659</v>
      </c>
      <c r="C41" s="16" t="s">
        <v>183</v>
      </c>
      <c r="D41" s="23">
        <v>2</v>
      </c>
      <c r="E41" s="24">
        <v>720721</v>
      </c>
      <c r="F41" s="30" t="s">
        <v>172</v>
      </c>
      <c r="G41" s="30" t="s">
        <v>172</v>
      </c>
    </row>
    <row r="42" s="29" customFormat="1" ht="28" spans="1:7">
      <c r="A42" s="30" t="s">
        <v>172</v>
      </c>
      <c r="B42" s="19" t="s">
        <v>1660</v>
      </c>
      <c r="C42" s="20" t="s">
        <v>804</v>
      </c>
      <c r="D42" s="21">
        <v>1</v>
      </c>
      <c r="E42" s="22">
        <v>450450.54955</v>
      </c>
      <c r="F42" s="30" t="s">
        <v>172</v>
      </c>
      <c r="G42" s="30" t="s">
        <v>172</v>
      </c>
    </row>
    <row r="43" s="29" customFormat="1" spans="1:7">
      <c r="A43" s="30" t="s">
        <v>172</v>
      </c>
      <c r="B43" s="19" t="s">
        <v>1660</v>
      </c>
      <c r="C43" s="16" t="s">
        <v>183</v>
      </c>
      <c r="D43" s="23">
        <v>1</v>
      </c>
      <c r="E43" s="24">
        <v>450450.54955</v>
      </c>
      <c r="F43" s="30" t="s">
        <v>172</v>
      </c>
      <c r="G43" s="30" t="s">
        <v>172</v>
      </c>
    </row>
    <row r="44" s="29" customFormat="1" ht="28" spans="1:7">
      <c r="A44" s="30" t="s">
        <v>172</v>
      </c>
      <c r="B44" s="19" t="s">
        <v>1661</v>
      </c>
      <c r="C44" s="20" t="s">
        <v>804</v>
      </c>
      <c r="D44" s="21">
        <v>1</v>
      </c>
      <c r="E44" s="22">
        <v>450450.45045</v>
      </c>
      <c r="F44" s="30" t="s">
        <v>172</v>
      </c>
      <c r="G44" s="30" t="s">
        <v>172</v>
      </c>
    </row>
    <row r="45" s="29" customFormat="1" ht="17.55" spans="1:7">
      <c r="A45" s="30" t="s">
        <v>172</v>
      </c>
      <c r="B45" s="19" t="s">
        <v>1661</v>
      </c>
      <c r="C45" s="16" t="s">
        <v>183</v>
      </c>
      <c r="D45" s="23">
        <v>1</v>
      </c>
      <c r="E45" s="24">
        <v>450450.45045</v>
      </c>
      <c r="F45" s="30" t="s">
        <v>172</v>
      </c>
      <c r="G45" s="30" t="s">
        <v>172</v>
      </c>
    </row>
    <row r="46" s="29" customFormat="1" spans="1:7">
      <c r="A46" s="30" t="s">
        <v>172</v>
      </c>
      <c r="B46" s="25"/>
      <c r="C46" s="25"/>
      <c r="D46" s="25"/>
      <c r="E46" s="25"/>
      <c r="F46" s="30" t="s">
        <v>172</v>
      </c>
      <c r="G46" s="30" t="s">
        <v>172</v>
      </c>
    </row>
    <row r="47" s="29" customFormat="1" ht="36" spans="1:7">
      <c r="A47" s="30" t="s">
        <v>172</v>
      </c>
      <c r="B47" s="26" t="s">
        <v>189</v>
      </c>
      <c r="C47" s="26" t="s">
        <v>189</v>
      </c>
      <c r="D47" s="26" t="s">
        <v>189</v>
      </c>
      <c r="E47" s="26" t="s">
        <v>189</v>
      </c>
      <c r="F47" s="30" t="s">
        <v>172</v>
      </c>
      <c r="G47" s="30" t="s">
        <v>172</v>
      </c>
    </row>
    <row r="48" s="29" customFormat="1" spans="1:7">
      <c r="A48" s="30" t="s">
        <v>172</v>
      </c>
      <c r="B48" s="26"/>
      <c r="C48" s="26"/>
      <c r="D48" s="26"/>
      <c r="E48" s="26"/>
      <c r="F48" s="30" t="s">
        <v>172</v>
      </c>
      <c r="G48" s="30" t="s">
        <v>172</v>
      </c>
    </row>
    <row r="49" s="29" customFormat="1" ht="36" spans="1:7">
      <c r="A49" s="30" t="s">
        <v>172</v>
      </c>
      <c r="B49" s="26" t="s">
        <v>1653</v>
      </c>
      <c r="C49" s="26" t="s">
        <v>1653</v>
      </c>
      <c r="D49" s="26" t="s">
        <v>1653</v>
      </c>
      <c r="E49" s="26" t="s">
        <v>1653</v>
      </c>
      <c r="F49" s="30" t="s">
        <v>172</v>
      </c>
      <c r="G49" s="30" t="s">
        <v>172</v>
      </c>
    </row>
    <row r="50" s="29" customFormat="1" spans="1:7">
      <c r="A50" s="30" t="s">
        <v>172</v>
      </c>
      <c r="B50" s="26" t="s">
        <v>198</v>
      </c>
      <c r="C50" s="26" t="s">
        <v>198</v>
      </c>
      <c r="D50" s="26" t="s">
        <v>198</v>
      </c>
      <c r="E50" s="26" t="s">
        <v>198</v>
      </c>
      <c r="F50" s="30" t="s">
        <v>172</v>
      </c>
      <c r="G50" s="30" t="s">
        <v>172</v>
      </c>
    </row>
    <row r="51" s="29" customFormat="1" ht="124" spans="1:7">
      <c r="B51" s="11" t="s">
        <v>173</v>
      </c>
      <c r="C51" s="11" t="s">
        <v>173</v>
      </c>
      <c r="D51" s="11" t="s">
        <v>173</v>
      </c>
      <c r="E51" s="11" t="s">
        <v>173</v>
      </c>
    </row>
    <row r="52" s="29" customFormat="1" ht="156" spans="1:7">
      <c r="B52" s="12" t="s">
        <v>174</v>
      </c>
      <c r="C52" s="12" t="s">
        <v>174</v>
      </c>
      <c r="D52" s="12" t="s">
        <v>174</v>
      </c>
      <c r="E52" s="12" t="s">
        <v>174</v>
      </c>
    </row>
    <row r="53" s="29" customFormat="1" ht="68" spans="1:7">
      <c r="B53" s="13" t="s">
        <v>1645</v>
      </c>
      <c r="C53" s="13" t="s">
        <v>1645</v>
      </c>
      <c r="D53" s="13" t="s">
        <v>1645</v>
      </c>
      <c r="E53" s="13" t="s">
        <v>1645</v>
      </c>
    </row>
    <row r="54" s="29" customFormat="1" ht="22" spans="1:7">
      <c r="B54" s="14" t="s">
        <v>176</v>
      </c>
      <c r="C54" s="14" t="s">
        <v>176</v>
      </c>
      <c r="D54" s="14" t="s">
        <v>176</v>
      </c>
      <c r="E54" s="14" t="s">
        <v>176</v>
      </c>
    </row>
    <row r="55" s="29" customFormat="1" spans="1:7">
      <c r="B55" s="15" t="s">
        <v>177</v>
      </c>
      <c r="C55" s="16" t="s">
        <v>178</v>
      </c>
      <c r="D55" s="17" t="s">
        <v>179</v>
      </c>
      <c r="E55" s="18" t="s">
        <v>180</v>
      </c>
    </row>
    <row r="56" s="29" customFormat="1" ht="41" spans="1:7">
      <c r="B56" s="19" t="s">
        <v>1163</v>
      </c>
      <c r="C56" s="20" t="s">
        <v>182</v>
      </c>
      <c r="D56" s="21">
        <v>1</v>
      </c>
      <c r="E56" s="22">
        <v>45000</v>
      </c>
    </row>
    <row r="57" s="29" customFormat="1" spans="1:7">
      <c r="B57" s="19" t="s">
        <v>1163</v>
      </c>
      <c r="C57" s="16" t="s">
        <v>183</v>
      </c>
      <c r="D57" s="23">
        <v>1</v>
      </c>
      <c r="E57" s="24">
        <v>45000</v>
      </c>
    </row>
    <row r="58" s="29" customFormat="1" ht="41" spans="1:7">
      <c r="B58" s="19" t="s">
        <v>1662</v>
      </c>
      <c r="C58" s="20" t="s">
        <v>182</v>
      </c>
      <c r="D58" s="21">
        <v>1</v>
      </c>
      <c r="E58" s="22">
        <v>50000</v>
      </c>
    </row>
    <row r="59" s="29" customFormat="1" spans="1:7">
      <c r="B59" s="19" t="s">
        <v>1662</v>
      </c>
      <c r="C59" s="16" t="s">
        <v>183</v>
      </c>
      <c r="D59" s="23">
        <v>1</v>
      </c>
      <c r="E59" s="24">
        <v>50000</v>
      </c>
    </row>
    <row r="60" s="29" customFormat="1" ht="28" spans="1:7">
      <c r="B60" s="19" t="s">
        <v>1663</v>
      </c>
      <c r="C60" s="20" t="s">
        <v>1664</v>
      </c>
      <c r="D60" s="21">
        <v>1</v>
      </c>
      <c r="E60" s="22">
        <v>100000</v>
      </c>
    </row>
    <row r="61" s="29" customFormat="1" spans="1:7">
      <c r="B61" s="19" t="s">
        <v>1663</v>
      </c>
      <c r="C61" s="16" t="s">
        <v>183</v>
      </c>
      <c r="D61" s="23">
        <v>1</v>
      </c>
      <c r="E61" s="24">
        <v>100000</v>
      </c>
    </row>
    <row r="62" s="29" customFormat="1" ht="41" spans="1:7">
      <c r="B62" s="19" t="s">
        <v>1665</v>
      </c>
      <c r="C62" s="20" t="s">
        <v>182</v>
      </c>
      <c r="D62" s="21">
        <v>2</v>
      </c>
      <c r="E62" s="22">
        <v>1946000</v>
      </c>
    </row>
    <row r="63" s="29" customFormat="1" ht="28" spans="1:7">
      <c r="B63" s="19" t="s">
        <v>1665</v>
      </c>
      <c r="C63" s="16" t="s">
        <v>183</v>
      </c>
      <c r="D63" s="23">
        <v>2</v>
      </c>
      <c r="E63" s="24">
        <v>1946000</v>
      </c>
    </row>
    <row r="64" s="29" customFormat="1" ht="41" spans="1:7">
      <c r="B64" s="19" t="s">
        <v>1666</v>
      </c>
      <c r="C64" s="20" t="s">
        <v>182</v>
      </c>
      <c r="D64" s="21">
        <v>1</v>
      </c>
      <c r="E64" s="22">
        <v>1069000</v>
      </c>
    </row>
    <row r="65" s="29" customFormat="1" ht="28" spans="2:5">
      <c r="B65" s="19" t="s">
        <v>1666</v>
      </c>
      <c r="C65" s="16" t="s">
        <v>183</v>
      </c>
      <c r="D65" s="23">
        <v>1</v>
      </c>
      <c r="E65" s="24">
        <v>1069000</v>
      </c>
    </row>
    <row r="66" s="29" customFormat="1" ht="28" spans="2:5">
      <c r="B66" s="19" t="s">
        <v>1667</v>
      </c>
      <c r="C66" s="20" t="s">
        <v>1664</v>
      </c>
      <c r="D66" s="21">
        <v>2</v>
      </c>
      <c r="E66" s="22">
        <v>520000</v>
      </c>
    </row>
    <row r="67" s="29" customFormat="1" spans="2:5">
      <c r="B67" s="19" t="s">
        <v>1667</v>
      </c>
      <c r="C67" s="16" t="s">
        <v>183</v>
      </c>
      <c r="D67" s="23">
        <v>2</v>
      </c>
      <c r="E67" s="24">
        <v>520000</v>
      </c>
    </row>
    <row r="68" s="29" customFormat="1" ht="28" spans="2:5">
      <c r="B68" s="19" t="s">
        <v>1668</v>
      </c>
      <c r="C68" s="20" t="s">
        <v>804</v>
      </c>
      <c r="D68" s="21">
        <v>1</v>
      </c>
      <c r="E68" s="22">
        <v>616216.216216</v>
      </c>
    </row>
    <row r="69" s="29" customFormat="1" ht="28.75" spans="2:5">
      <c r="B69" s="19" t="s">
        <v>1668</v>
      </c>
      <c r="C69" s="16" t="s">
        <v>183</v>
      </c>
      <c r="D69" s="23">
        <v>1</v>
      </c>
      <c r="E69" s="24">
        <v>616216.216216</v>
      </c>
    </row>
    <row r="70" s="29" customFormat="1" spans="2:5">
      <c r="B70" s="25"/>
      <c r="C70" s="25"/>
      <c r="D70" s="25"/>
      <c r="E70" s="25"/>
    </row>
    <row r="71" s="29" customFormat="1" ht="36" spans="2:5">
      <c r="B71" s="26" t="s">
        <v>189</v>
      </c>
      <c r="C71" s="26" t="s">
        <v>189</v>
      </c>
      <c r="D71" s="26" t="s">
        <v>189</v>
      </c>
      <c r="E71" s="26" t="s">
        <v>189</v>
      </c>
    </row>
    <row r="72" s="29" customFormat="1" spans="2:5">
      <c r="B72" s="26"/>
      <c r="C72" s="26"/>
      <c r="D72" s="26"/>
      <c r="E72" s="26"/>
    </row>
    <row r="73" s="29" customFormat="1" ht="36" spans="2:5">
      <c r="B73" s="26" t="s">
        <v>1653</v>
      </c>
      <c r="C73" s="26" t="s">
        <v>1653</v>
      </c>
      <c r="D73" s="26" t="s">
        <v>1653</v>
      </c>
      <c r="E73" s="26" t="s">
        <v>1653</v>
      </c>
    </row>
    <row r="74" s="29" customFormat="1" spans="2:5">
      <c r="B74" s="26" t="s">
        <v>205</v>
      </c>
      <c r="C74" s="26" t="s">
        <v>205</v>
      </c>
      <c r="D74" s="26" t="s">
        <v>205</v>
      </c>
      <c r="E74" s="26" t="s">
        <v>205</v>
      </c>
    </row>
    <row r="75" s="29" customFormat="1" ht="124" spans="2:5">
      <c r="B75" s="11" t="s">
        <v>173</v>
      </c>
      <c r="C75" s="11" t="s">
        <v>173</v>
      </c>
      <c r="D75" s="11" t="s">
        <v>173</v>
      </c>
      <c r="E75" s="11" t="s">
        <v>173</v>
      </c>
    </row>
    <row r="76" s="29" customFormat="1" ht="156" spans="2:5">
      <c r="B76" s="12" t="s">
        <v>174</v>
      </c>
      <c r="C76" s="12" t="s">
        <v>174</v>
      </c>
      <c r="D76" s="12" t="s">
        <v>174</v>
      </c>
      <c r="E76" s="12" t="s">
        <v>174</v>
      </c>
    </row>
    <row r="77" s="29" customFormat="1" ht="68" spans="2:5">
      <c r="B77" s="13" t="s">
        <v>1645</v>
      </c>
      <c r="C77" s="13" t="s">
        <v>1645</v>
      </c>
      <c r="D77" s="13" t="s">
        <v>1645</v>
      </c>
      <c r="E77" s="13" t="s">
        <v>1645</v>
      </c>
    </row>
    <row r="78" s="29" customFormat="1" ht="22" spans="2:5">
      <c r="B78" s="14" t="s">
        <v>176</v>
      </c>
      <c r="C78" s="14" t="s">
        <v>176</v>
      </c>
      <c r="D78" s="14" t="s">
        <v>176</v>
      </c>
      <c r="E78" s="14" t="s">
        <v>176</v>
      </c>
    </row>
    <row r="79" s="29" customFormat="1" spans="2:5">
      <c r="B79" s="15" t="s">
        <v>177</v>
      </c>
      <c r="C79" s="16" t="s">
        <v>178</v>
      </c>
      <c r="D79" s="17" t="s">
        <v>179</v>
      </c>
      <c r="E79" s="18" t="s">
        <v>180</v>
      </c>
    </row>
    <row r="80" s="29" customFormat="1" ht="28" spans="2:5">
      <c r="B80" s="19" t="s">
        <v>1669</v>
      </c>
      <c r="C80" s="20" t="s">
        <v>804</v>
      </c>
      <c r="D80" s="21">
        <v>1</v>
      </c>
      <c r="E80" s="22">
        <v>274774.774775</v>
      </c>
    </row>
    <row r="81" s="29" customFormat="1" ht="28" spans="2:5">
      <c r="B81" s="19" t="s">
        <v>1669</v>
      </c>
      <c r="C81" s="16" t="s">
        <v>183</v>
      </c>
      <c r="D81" s="23">
        <v>1</v>
      </c>
      <c r="E81" s="24">
        <v>274774.774775</v>
      </c>
    </row>
    <row r="82" s="29" customFormat="1" ht="28" spans="2:5">
      <c r="B82" s="19" t="s">
        <v>1670</v>
      </c>
      <c r="C82" s="20" t="s">
        <v>804</v>
      </c>
      <c r="D82" s="21">
        <v>1</v>
      </c>
      <c r="E82" s="22">
        <v>374774.288288</v>
      </c>
    </row>
    <row r="83" s="29" customFormat="1" ht="28" spans="2:5">
      <c r="B83" s="19" t="s">
        <v>1670</v>
      </c>
      <c r="C83" s="16" t="s">
        <v>183</v>
      </c>
      <c r="D83" s="23">
        <v>1</v>
      </c>
      <c r="E83" s="24">
        <v>374774.288288</v>
      </c>
    </row>
    <row r="84" s="29" customFormat="1" ht="41" spans="2:5">
      <c r="B84" s="19" t="s">
        <v>1172</v>
      </c>
      <c r="C84" s="20" t="s">
        <v>182</v>
      </c>
      <c r="D84" s="21">
        <v>1</v>
      </c>
      <c r="E84" s="22">
        <v>392792.792793</v>
      </c>
    </row>
    <row r="85" s="29" customFormat="1" ht="28" spans="2:5">
      <c r="B85" s="19" t="s">
        <v>1172</v>
      </c>
      <c r="C85" s="20" t="s">
        <v>804</v>
      </c>
      <c r="D85" s="21">
        <v>1</v>
      </c>
      <c r="E85" s="22">
        <v>392792.792793</v>
      </c>
    </row>
    <row r="86" s="29" customFormat="1" ht="28" spans="2:5">
      <c r="B86" s="19" t="s">
        <v>1172</v>
      </c>
      <c r="C86" s="16" t="s">
        <v>183</v>
      </c>
      <c r="D86" s="23">
        <v>2</v>
      </c>
      <c r="E86" s="24">
        <v>785585.585586</v>
      </c>
    </row>
    <row r="87" s="29" customFormat="1" ht="28" spans="2:5">
      <c r="B87" s="19" t="s">
        <v>1671</v>
      </c>
      <c r="C87" s="20" t="s">
        <v>804</v>
      </c>
      <c r="D87" s="21">
        <v>2</v>
      </c>
      <c r="E87" s="22">
        <v>998198.198198</v>
      </c>
    </row>
    <row r="88" s="29" customFormat="1" spans="2:5">
      <c r="B88" s="19" t="s">
        <v>1671</v>
      </c>
      <c r="C88" s="16" t="s">
        <v>183</v>
      </c>
      <c r="D88" s="23">
        <v>2</v>
      </c>
      <c r="E88" s="24">
        <v>998198.198198</v>
      </c>
    </row>
    <row r="89" s="29" customFormat="1" ht="41" spans="2:5">
      <c r="B89" s="19" t="s">
        <v>1672</v>
      </c>
      <c r="C89" s="20" t="s">
        <v>182</v>
      </c>
      <c r="D89" s="21">
        <v>2</v>
      </c>
      <c r="E89" s="22">
        <v>1095495.495496</v>
      </c>
    </row>
    <row r="90" s="29" customFormat="1" ht="28" spans="2:5">
      <c r="B90" s="19" t="s">
        <v>1672</v>
      </c>
      <c r="C90" s="20" t="s">
        <v>804</v>
      </c>
      <c r="D90" s="21">
        <v>1</v>
      </c>
      <c r="E90" s="22">
        <v>547747.747748</v>
      </c>
    </row>
    <row r="91" s="29" customFormat="1" spans="2:5">
      <c r="B91" s="19" t="s">
        <v>1672</v>
      </c>
      <c r="C91" s="16" t="s">
        <v>183</v>
      </c>
      <c r="D91" s="23">
        <v>3</v>
      </c>
      <c r="E91" s="24">
        <v>1643243.243244</v>
      </c>
    </row>
    <row r="92" s="29" customFormat="1" ht="41" spans="2:5">
      <c r="B92" s="19" t="s">
        <v>1673</v>
      </c>
      <c r="C92" s="20" t="s">
        <v>182</v>
      </c>
      <c r="D92" s="21">
        <v>1</v>
      </c>
      <c r="E92" s="22">
        <v>535135.135135</v>
      </c>
    </row>
    <row r="93" s="29" customFormat="1" ht="17.55" spans="2:5">
      <c r="B93" s="19" t="s">
        <v>1673</v>
      </c>
      <c r="C93" s="16" t="s">
        <v>183</v>
      </c>
      <c r="D93" s="23">
        <v>1</v>
      </c>
      <c r="E93" s="24">
        <v>535135.135135</v>
      </c>
    </row>
    <row r="94" s="29" customFormat="1" spans="2:5">
      <c r="B94" s="25"/>
      <c r="C94" s="25"/>
      <c r="D94" s="25"/>
      <c r="E94" s="25"/>
    </row>
    <row r="95" s="29" customFormat="1" ht="36" spans="2:5">
      <c r="B95" s="26" t="s">
        <v>189</v>
      </c>
      <c r="C95" s="26" t="s">
        <v>189</v>
      </c>
      <c r="D95" s="26" t="s">
        <v>189</v>
      </c>
      <c r="E95" s="26" t="s">
        <v>189</v>
      </c>
    </row>
    <row r="96" s="29" customFormat="1" spans="2:5">
      <c r="B96" s="26"/>
      <c r="C96" s="26"/>
      <c r="D96" s="26"/>
      <c r="E96" s="26"/>
    </row>
    <row r="97" s="29" customFormat="1" ht="36" spans="2:5">
      <c r="B97" s="26" t="s">
        <v>1653</v>
      </c>
      <c r="C97" s="26" t="s">
        <v>1653</v>
      </c>
      <c r="D97" s="26" t="s">
        <v>1653</v>
      </c>
      <c r="E97" s="26" t="s">
        <v>1653</v>
      </c>
    </row>
    <row r="98" s="29" customFormat="1" spans="2:5">
      <c r="B98" s="26" t="s">
        <v>212</v>
      </c>
      <c r="C98" s="26" t="s">
        <v>212</v>
      </c>
      <c r="D98" s="26" t="s">
        <v>212</v>
      </c>
      <c r="E98" s="26" t="s">
        <v>212</v>
      </c>
    </row>
    <row r="99" s="29" customFormat="1" ht="124" spans="2:5">
      <c r="B99" s="11" t="s">
        <v>173</v>
      </c>
      <c r="C99" s="11" t="s">
        <v>173</v>
      </c>
      <c r="D99" s="11" t="s">
        <v>173</v>
      </c>
      <c r="E99" s="11" t="s">
        <v>173</v>
      </c>
    </row>
    <row r="100" s="29" customFormat="1" ht="156" spans="2:5">
      <c r="B100" s="12" t="s">
        <v>174</v>
      </c>
      <c r="C100" s="12" t="s">
        <v>174</v>
      </c>
      <c r="D100" s="12" t="s">
        <v>174</v>
      </c>
      <c r="E100" s="12" t="s">
        <v>174</v>
      </c>
    </row>
    <row r="101" s="29" customFormat="1" ht="68" spans="2:5">
      <c r="B101" s="13" t="s">
        <v>1645</v>
      </c>
      <c r="C101" s="13" t="s">
        <v>1645</v>
      </c>
      <c r="D101" s="13" t="s">
        <v>1645</v>
      </c>
      <c r="E101" s="13" t="s">
        <v>1645</v>
      </c>
    </row>
    <row r="102" s="29" customFormat="1" ht="22" spans="2:5">
      <c r="B102" s="14" t="s">
        <v>176</v>
      </c>
      <c r="C102" s="14" t="s">
        <v>176</v>
      </c>
      <c r="D102" s="14" t="s">
        <v>176</v>
      </c>
      <c r="E102" s="14" t="s">
        <v>176</v>
      </c>
    </row>
    <row r="103" s="29" customFormat="1" spans="2:5">
      <c r="B103" s="15" t="s">
        <v>177</v>
      </c>
      <c r="C103" s="16" t="s">
        <v>178</v>
      </c>
      <c r="D103" s="17" t="s">
        <v>179</v>
      </c>
      <c r="E103" s="18" t="s">
        <v>180</v>
      </c>
    </row>
    <row r="104" s="29" customFormat="1" ht="41" spans="2:5">
      <c r="B104" s="19" t="s">
        <v>1674</v>
      </c>
      <c r="C104" s="20" t="s">
        <v>182</v>
      </c>
      <c r="D104" s="21">
        <v>1</v>
      </c>
      <c r="E104" s="22">
        <v>314414.414414</v>
      </c>
    </row>
    <row r="105" s="29" customFormat="1" ht="28" spans="2:5">
      <c r="B105" s="19" t="s">
        <v>1674</v>
      </c>
      <c r="C105" s="20" t="s">
        <v>804</v>
      </c>
      <c r="D105" s="21">
        <v>1</v>
      </c>
      <c r="E105" s="22">
        <v>314414.414414</v>
      </c>
    </row>
    <row r="106" s="29" customFormat="1" spans="2:5">
      <c r="B106" s="19" t="s">
        <v>1674</v>
      </c>
      <c r="C106" s="16" t="s">
        <v>183</v>
      </c>
      <c r="D106" s="23">
        <v>2</v>
      </c>
      <c r="E106" s="24">
        <v>628828.828828</v>
      </c>
    </row>
    <row r="107" s="29" customFormat="1" ht="28" spans="2:5">
      <c r="B107" s="19" t="s">
        <v>1174</v>
      </c>
      <c r="C107" s="20" t="s">
        <v>804</v>
      </c>
      <c r="D107" s="21">
        <v>1</v>
      </c>
      <c r="E107" s="22">
        <v>517117.117117</v>
      </c>
    </row>
    <row r="108" s="29" customFormat="1" spans="2:5">
      <c r="B108" s="19" t="s">
        <v>1174</v>
      </c>
      <c r="C108" s="16" t="s">
        <v>183</v>
      </c>
      <c r="D108" s="23">
        <v>1</v>
      </c>
      <c r="E108" s="24">
        <v>517117.117117</v>
      </c>
    </row>
    <row r="109" s="29" customFormat="1" ht="41" spans="2:5">
      <c r="B109" s="19" t="s">
        <v>1675</v>
      </c>
      <c r="C109" s="20" t="s">
        <v>182</v>
      </c>
      <c r="D109" s="21">
        <v>1</v>
      </c>
      <c r="E109" s="22">
        <v>474774.774775</v>
      </c>
    </row>
    <row r="110" s="29" customFormat="1" spans="2:5">
      <c r="B110" s="19" t="s">
        <v>1675</v>
      </c>
      <c r="C110" s="16" t="s">
        <v>183</v>
      </c>
      <c r="D110" s="23">
        <v>1</v>
      </c>
      <c r="E110" s="24">
        <v>474774.774775</v>
      </c>
    </row>
    <row r="111" s="29" customFormat="1" ht="41" spans="2:5">
      <c r="B111" s="19" t="s">
        <v>1676</v>
      </c>
      <c r="C111" s="20" t="s">
        <v>182</v>
      </c>
      <c r="D111" s="21">
        <v>1</v>
      </c>
      <c r="E111" s="22">
        <v>554000</v>
      </c>
    </row>
    <row r="112" s="29" customFormat="1" spans="2:5">
      <c r="B112" s="19" t="s">
        <v>1676</v>
      </c>
      <c r="C112" s="16" t="s">
        <v>183</v>
      </c>
      <c r="D112" s="23">
        <v>1</v>
      </c>
      <c r="E112" s="24">
        <v>554000</v>
      </c>
    </row>
    <row r="113" s="29" customFormat="1" ht="28" spans="2:5">
      <c r="B113" s="19" t="s">
        <v>1448</v>
      </c>
      <c r="C113" s="20" t="s">
        <v>804</v>
      </c>
      <c r="D113" s="21">
        <v>1</v>
      </c>
      <c r="E113" s="22">
        <v>451351.351351</v>
      </c>
    </row>
    <row r="114" s="29" customFormat="1" spans="2:5">
      <c r="B114" s="19" t="s">
        <v>1448</v>
      </c>
      <c r="C114" s="16" t="s">
        <v>183</v>
      </c>
      <c r="D114" s="23">
        <v>1</v>
      </c>
      <c r="E114" s="24">
        <v>451351.351351</v>
      </c>
    </row>
    <row r="115" s="29" customFormat="1" ht="41" spans="2:5">
      <c r="B115" s="19" t="s">
        <v>1677</v>
      </c>
      <c r="C115" s="20" t="s">
        <v>182</v>
      </c>
      <c r="D115" s="21">
        <v>1</v>
      </c>
      <c r="E115" s="22">
        <v>535135.135135</v>
      </c>
    </row>
    <row r="116" s="29" customFormat="1" spans="2:5">
      <c r="B116" s="19" t="s">
        <v>1677</v>
      </c>
      <c r="C116" s="16" t="s">
        <v>183</v>
      </c>
      <c r="D116" s="23">
        <v>1</v>
      </c>
      <c r="E116" s="24">
        <v>535135.135135</v>
      </c>
    </row>
    <row r="117" s="29" customFormat="1" ht="28" spans="2:5">
      <c r="B117" s="19" t="s">
        <v>1449</v>
      </c>
      <c r="C117" s="20" t="s">
        <v>804</v>
      </c>
      <c r="D117" s="21">
        <v>1</v>
      </c>
      <c r="E117" s="22">
        <v>504504.504505</v>
      </c>
    </row>
    <row r="118" s="29" customFormat="1" ht="17.55" spans="2:5">
      <c r="B118" s="19" t="s">
        <v>1449</v>
      </c>
      <c r="C118" s="16" t="s">
        <v>183</v>
      </c>
      <c r="D118" s="23">
        <v>1</v>
      </c>
      <c r="E118" s="24">
        <v>504504.504505</v>
      </c>
    </row>
    <row r="119" s="29" customFormat="1" spans="2:5">
      <c r="B119" s="25"/>
      <c r="C119" s="25"/>
      <c r="D119" s="25"/>
      <c r="E119" s="25"/>
    </row>
    <row r="120" s="29" customFormat="1" ht="36" spans="2:5">
      <c r="B120" s="26" t="s">
        <v>189</v>
      </c>
      <c r="C120" s="26" t="s">
        <v>189</v>
      </c>
      <c r="D120" s="26" t="s">
        <v>189</v>
      </c>
      <c r="E120" s="26" t="s">
        <v>189</v>
      </c>
    </row>
    <row r="121" s="29" customFormat="1" spans="2:5">
      <c r="B121" s="26"/>
      <c r="C121" s="26"/>
      <c r="D121" s="26"/>
      <c r="E121" s="26"/>
    </row>
    <row r="122" s="29" customFormat="1" ht="36" spans="2:5">
      <c r="B122" s="26" t="s">
        <v>1653</v>
      </c>
      <c r="C122" s="26" t="s">
        <v>1653</v>
      </c>
      <c r="D122" s="26" t="s">
        <v>1653</v>
      </c>
      <c r="E122" s="26" t="s">
        <v>1653</v>
      </c>
    </row>
    <row r="123" s="29" customFormat="1" spans="2:5">
      <c r="B123" s="26" t="s">
        <v>219</v>
      </c>
      <c r="C123" s="26" t="s">
        <v>219</v>
      </c>
      <c r="D123" s="26" t="s">
        <v>219</v>
      </c>
      <c r="E123" s="26" t="s">
        <v>219</v>
      </c>
    </row>
    <row r="124" s="29" customFormat="1" ht="124" spans="2:5">
      <c r="B124" s="11" t="s">
        <v>173</v>
      </c>
      <c r="C124" s="11" t="s">
        <v>173</v>
      </c>
      <c r="D124" s="11" t="s">
        <v>173</v>
      </c>
      <c r="E124" s="11" t="s">
        <v>173</v>
      </c>
    </row>
    <row r="125" s="29" customFormat="1" ht="156" spans="2:5">
      <c r="B125" s="12" t="s">
        <v>174</v>
      </c>
      <c r="C125" s="12" t="s">
        <v>174</v>
      </c>
      <c r="D125" s="12" t="s">
        <v>174</v>
      </c>
      <c r="E125" s="12" t="s">
        <v>174</v>
      </c>
    </row>
    <row r="126" s="29" customFormat="1" ht="68" spans="2:5">
      <c r="B126" s="13" t="s">
        <v>1645</v>
      </c>
      <c r="C126" s="13" t="s">
        <v>1645</v>
      </c>
      <c r="D126" s="13" t="s">
        <v>1645</v>
      </c>
      <c r="E126" s="13" t="s">
        <v>1645</v>
      </c>
    </row>
    <row r="127" s="29" customFormat="1" ht="22" spans="2:5">
      <c r="B127" s="14" t="s">
        <v>176</v>
      </c>
      <c r="C127" s="14" t="s">
        <v>176</v>
      </c>
      <c r="D127" s="14" t="s">
        <v>176</v>
      </c>
      <c r="E127" s="14" t="s">
        <v>176</v>
      </c>
    </row>
    <row r="128" s="29" customFormat="1" spans="2:5">
      <c r="B128" s="15" t="s">
        <v>177</v>
      </c>
      <c r="C128" s="16" t="s">
        <v>178</v>
      </c>
      <c r="D128" s="17" t="s">
        <v>179</v>
      </c>
      <c r="E128" s="18" t="s">
        <v>180</v>
      </c>
    </row>
    <row r="129" s="29" customFormat="1" ht="28" spans="2:5">
      <c r="B129" s="19" t="s">
        <v>1678</v>
      </c>
      <c r="C129" s="20" t="s">
        <v>804</v>
      </c>
      <c r="D129" s="21">
        <v>1</v>
      </c>
      <c r="E129" s="22">
        <v>529729.72973</v>
      </c>
    </row>
    <row r="130" s="29" customFormat="1" spans="2:5">
      <c r="B130" s="19" t="s">
        <v>1678</v>
      </c>
      <c r="C130" s="16" t="s">
        <v>183</v>
      </c>
      <c r="D130" s="23">
        <v>1</v>
      </c>
      <c r="E130" s="24">
        <v>529729.72973</v>
      </c>
    </row>
    <row r="131" s="29" customFormat="1" ht="41" spans="2:5">
      <c r="B131" s="19" t="s">
        <v>1179</v>
      </c>
      <c r="C131" s="20" t="s">
        <v>182</v>
      </c>
      <c r="D131" s="21">
        <v>1</v>
      </c>
      <c r="E131" s="22">
        <v>517117.117117</v>
      </c>
    </row>
    <row r="132" s="29" customFormat="1" spans="2:5">
      <c r="B132" s="19" t="s">
        <v>1179</v>
      </c>
      <c r="C132" s="16" t="s">
        <v>183</v>
      </c>
      <c r="D132" s="23">
        <v>1</v>
      </c>
      <c r="E132" s="24">
        <v>517117.117117</v>
      </c>
    </row>
    <row r="133" s="29" customFormat="1" ht="41" spans="2:5">
      <c r="B133" s="19" t="s">
        <v>1180</v>
      </c>
      <c r="C133" s="20" t="s">
        <v>182</v>
      </c>
      <c r="D133" s="21">
        <v>1</v>
      </c>
      <c r="E133" s="22">
        <v>405405.405405</v>
      </c>
    </row>
    <row r="134" s="29" customFormat="1" ht="28" spans="2:5">
      <c r="B134" s="19" t="s">
        <v>1180</v>
      </c>
      <c r="C134" s="20" t="s">
        <v>804</v>
      </c>
      <c r="D134" s="21">
        <v>2</v>
      </c>
      <c r="E134" s="22">
        <v>810810.81081</v>
      </c>
    </row>
    <row r="135" s="29" customFormat="1" spans="2:5">
      <c r="B135" s="19" t="s">
        <v>1180</v>
      </c>
      <c r="C135" s="16" t="s">
        <v>183</v>
      </c>
      <c r="D135" s="23">
        <v>3</v>
      </c>
      <c r="E135" s="24">
        <v>1216216.216215</v>
      </c>
    </row>
    <row r="136" s="29" customFormat="1" ht="41" spans="2:5">
      <c r="B136" s="19" t="s">
        <v>1452</v>
      </c>
      <c r="C136" s="20" t="s">
        <v>182</v>
      </c>
      <c r="D136" s="21">
        <v>1</v>
      </c>
      <c r="E136" s="22">
        <v>523423.423423</v>
      </c>
    </row>
    <row r="137" s="29" customFormat="1" spans="2:5">
      <c r="B137" s="19" t="s">
        <v>1452</v>
      </c>
      <c r="C137" s="16" t="s">
        <v>183</v>
      </c>
      <c r="D137" s="23">
        <v>1</v>
      </c>
      <c r="E137" s="24">
        <v>523423.423423</v>
      </c>
    </row>
    <row r="138" s="29" customFormat="1" ht="41" spans="2:5">
      <c r="B138" s="19" t="s">
        <v>1181</v>
      </c>
      <c r="C138" s="20" t="s">
        <v>182</v>
      </c>
      <c r="D138" s="21">
        <v>1</v>
      </c>
      <c r="E138" s="22">
        <v>474774.774775</v>
      </c>
    </row>
    <row r="139" s="29" customFormat="1" spans="2:5">
      <c r="B139" s="19" t="s">
        <v>1181</v>
      </c>
      <c r="C139" s="16" t="s">
        <v>183</v>
      </c>
      <c r="D139" s="23">
        <v>1</v>
      </c>
      <c r="E139" s="24">
        <v>474774.774775</v>
      </c>
    </row>
    <row r="140" s="29" customFormat="1" ht="41" spans="2:5">
      <c r="B140" s="19" t="s">
        <v>1182</v>
      </c>
      <c r="C140" s="20" t="s">
        <v>182</v>
      </c>
      <c r="D140" s="21">
        <v>1</v>
      </c>
      <c r="E140" s="22">
        <v>481081.081081</v>
      </c>
    </row>
    <row r="141" s="29" customFormat="1" ht="17.55" spans="2:5">
      <c r="B141" s="19" t="s">
        <v>1182</v>
      </c>
      <c r="C141" s="16" t="s">
        <v>183</v>
      </c>
      <c r="D141" s="23">
        <v>1</v>
      </c>
      <c r="E141" s="24">
        <v>481081.081081</v>
      </c>
    </row>
    <row r="142" s="29" customFormat="1" spans="2:5">
      <c r="B142" s="25"/>
      <c r="C142" s="25"/>
      <c r="D142" s="25"/>
      <c r="E142" s="25"/>
    </row>
    <row r="143" s="29" customFormat="1" ht="36" spans="2:5">
      <c r="B143" s="26" t="s">
        <v>189</v>
      </c>
      <c r="C143" s="26" t="s">
        <v>189</v>
      </c>
      <c r="D143" s="26" t="s">
        <v>189</v>
      </c>
      <c r="E143" s="26" t="s">
        <v>189</v>
      </c>
    </row>
    <row r="144" s="29" customFormat="1" spans="2:5">
      <c r="B144" s="26"/>
      <c r="C144" s="26"/>
      <c r="D144" s="26"/>
      <c r="E144" s="26"/>
    </row>
    <row r="145" s="29" customFormat="1" ht="36" spans="2:5">
      <c r="B145" s="26" t="s">
        <v>1653</v>
      </c>
      <c r="C145" s="26" t="s">
        <v>1653</v>
      </c>
      <c r="D145" s="26" t="s">
        <v>1653</v>
      </c>
      <c r="E145" s="26" t="s">
        <v>1653</v>
      </c>
    </row>
    <row r="146" s="29" customFormat="1" spans="2:5">
      <c r="B146" s="26" t="s">
        <v>226</v>
      </c>
      <c r="C146" s="26" t="s">
        <v>226</v>
      </c>
      <c r="D146" s="26" t="s">
        <v>226</v>
      </c>
      <c r="E146" s="26" t="s">
        <v>226</v>
      </c>
    </row>
    <row r="147" s="29" customFormat="1" ht="124" spans="2:5">
      <c r="B147" s="11" t="s">
        <v>173</v>
      </c>
      <c r="C147" s="11" t="s">
        <v>173</v>
      </c>
      <c r="D147" s="11" t="s">
        <v>173</v>
      </c>
      <c r="E147" s="11" t="s">
        <v>173</v>
      </c>
    </row>
    <row r="148" s="29" customFormat="1" ht="156" spans="2:5">
      <c r="B148" s="12" t="s">
        <v>174</v>
      </c>
      <c r="C148" s="12" t="s">
        <v>174</v>
      </c>
      <c r="D148" s="12" t="s">
        <v>174</v>
      </c>
      <c r="E148" s="12" t="s">
        <v>174</v>
      </c>
    </row>
    <row r="149" s="29" customFormat="1" ht="68" spans="2:5">
      <c r="B149" s="13" t="s">
        <v>1645</v>
      </c>
      <c r="C149" s="13" t="s">
        <v>1645</v>
      </c>
      <c r="D149" s="13" t="s">
        <v>1645</v>
      </c>
      <c r="E149" s="13" t="s">
        <v>1645</v>
      </c>
    </row>
    <row r="150" s="29" customFormat="1" ht="22" spans="2:5">
      <c r="B150" s="14" t="s">
        <v>176</v>
      </c>
      <c r="C150" s="14" t="s">
        <v>176</v>
      </c>
      <c r="D150" s="14" t="s">
        <v>176</v>
      </c>
      <c r="E150" s="14" t="s">
        <v>176</v>
      </c>
    </row>
    <row r="151" s="29" customFormat="1" spans="2:5">
      <c r="B151" s="15" t="s">
        <v>177</v>
      </c>
      <c r="C151" s="16" t="s">
        <v>178</v>
      </c>
      <c r="D151" s="17" t="s">
        <v>179</v>
      </c>
      <c r="E151" s="18" t="s">
        <v>180</v>
      </c>
    </row>
    <row r="152" s="29" customFormat="1" ht="41" spans="2:5">
      <c r="B152" s="19" t="s">
        <v>1183</v>
      </c>
      <c r="C152" s="20" t="s">
        <v>182</v>
      </c>
      <c r="D152" s="21">
        <v>1</v>
      </c>
      <c r="E152" s="22">
        <v>490090.09009</v>
      </c>
    </row>
    <row r="153" s="29" customFormat="1" spans="2:5">
      <c r="B153" s="19" t="s">
        <v>1183</v>
      </c>
      <c r="C153" s="16" t="s">
        <v>183</v>
      </c>
      <c r="D153" s="23">
        <v>1</v>
      </c>
      <c r="E153" s="24">
        <v>490090.09009</v>
      </c>
    </row>
    <row r="154" s="29" customFormat="1" ht="41" spans="2:5">
      <c r="B154" s="19" t="s">
        <v>1679</v>
      </c>
      <c r="C154" s="20" t="s">
        <v>182</v>
      </c>
      <c r="D154" s="21">
        <v>1</v>
      </c>
      <c r="E154" s="22">
        <v>491000</v>
      </c>
    </row>
    <row r="155" s="29" customFormat="1" ht="28" spans="2:5">
      <c r="B155" s="19" t="s">
        <v>1679</v>
      </c>
      <c r="C155" s="16" t="s">
        <v>183</v>
      </c>
      <c r="D155" s="23">
        <v>1</v>
      </c>
      <c r="E155" s="24">
        <v>491000</v>
      </c>
    </row>
    <row r="156" s="29" customFormat="1" ht="41" spans="2:5">
      <c r="B156" s="19" t="s">
        <v>1680</v>
      </c>
      <c r="C156" s="20" t="s">
        <v>182</v>
      </c>
      <c r="D156" s="21">
        <v>2</v>
      </c>
      <c r="E156" s="22">
        <v>1300000</v>
      </c>
    </row>
    <row r="157" s="29" customFormat="1" ht="28" spans="2:5">
      <c r="B157" s="19" t="s">
        <v>1680</v>
      </c>
      <c r="C157" s="16" t="s">
        <v>183</v>
      </c>
      <c r="D157" s="23">
        <v>2</v>
      </c>
      <c r="E157" s="24">
        <v>1300000</v>
      </c>
    </row>
    <row r="158" s="29" customFormat="1" ht="41" spans="2:5">
      <c r="B158" s="19" t="s">
        <v>1681</v>
      </c>
      <c r="C158" s="20" t="s">
        <v>1191</v>
      </c>
      <c r="D158" s="21">
        <v>2</v>
      </c>
      <c r="E158" s="22">
        <v>470600</v>
      </c>
    </row>
    <row r="159" s="29" customFormat="1" ht="28" spans="2:5">
      <c r="B159" s="19" t="s">
        <v>1681</v>
      </c>
      <c r="C159" s="16" t="s">
        <v>183</v>
      </c>
      <c r="D159" s="23">
        <v>2</v>
      </c>
      <c r="E159" s="24">
        <v>470600</v>
      </c>
    </row>
    <row r="160" s="29" customFormat="1" ht="28" spans="2:5">
      <c r="B160" s="19" t="s">
        <v>1682</v>
      </c>
      <c r="C160" s="20" t="s">
        <v>1664</v>
      </c>
      <c r="D160" s="21">
        <v>2</v>
      </c>
      <c r="E160" s="22">
        <v>290000</v>
      </c>
    </row>
    <row r="161" s="29" customFormat="1" ht="28" spans="2:5">
      <c r="B161" s="19" t="s">
        <v>1682</v>
      </c>
      <c r="C161" s="16" t="s">
        <v>183</v>
      </c>
      <c r="D161" s="23">
        <v>2</v>
      </c>
      <c r="E161" s="24">
        <v>290000</v>
      </c>
    </row>
    <row r="162" s="29" customFormat="1" ht="28" spans="2:5">
      <c r="B162" s="19" t="s">
        <v>1189</v>
      </c>
      <c r="C162" s="20" t="s">
        <v>804</v>
      </c>
      <c r="D162" s="21">
        <v>1</v>
      </c>
      <c r="E162" s="22">
        <v>160810.810811</v>
      </c>
    </row>
    <row r="163" s="29" customFormat="1" spans="2:5">
      <c r="B163" s="19" t="s">
        <v>1189</v>
      </c>
      <c r="C163" s="16" t="s">
        <v>183</v>
      </c>
      <c r="D163" s="23">
        <v>1</v>
      </c>
      <c r="E163" s="24">
        <v>160810.810811</v>
      </c>
    </row>
    <row r="164" s="29" customFormat="1" ht="41" spans="2:5">
      <c r="B164" s="19" t="s">
        <v>485</v>
      </c>
      <c r="C164" s="20" t="s">
        <v>1191</v>
      </c>
      <c r="D164" s="21">
        <v>5</v>
      </c>
      <c r="E164" s="22">
        <v>789750</v>
      </c>
    </row>
    <row r="165" s="29" customFormat="1" ht="41.75" spans="2:5">
      <c r="B165" s="19" t="s">
        <v>485</v>
      </c>
      <c r="C165" s="20" t="s">
        <v>182</v>
      </c>
      <c r="D165" s="21">
        <v>2</v>
      </c>
      <c r="E165" s="22">
        <v>355855.855856</v>
      </c>
    </row>
    <row r="166" s="29" customFormat="1" spans="2:5">
      <c r="B166" s="25"/>
      <c r="C166" s="25"/>
      <c r="D166" s="25"/>
      <c r="E166" s="25"/>
    </row>
    <row r="167" s="29" customFormat="1" ht="36" spans="2:5">
      <c r="B167" s="26" t="s">
        <v>189</v>
      </c>
      <c r="C167" s="26" t="s">
        <v>189</v>
      </c>
      <c r="D167" s="26" t="s">
        <v>189</v>
      </c>
      <c r="E167" s="26" t="s">
        <v>189</v>
      </c>
    </row>
    <row r="168" s="29" customFormat="1" spans="2:5">
      <c r="B168" s="26"/>
      <c r="C168" s="26"/>
      <c r="D168" s="26"/>
      <c r="E168" s="26"/>
    </row>
    <row r="169" s="29" customFormat="1" ht="36" spans="2:5">
      <c r="B169" s="26" t="s">
        <v>1653</v>
      </c>
      <c r="C169" s="26" t="s">
        <v>1653</v>
      </c>
      <c r="D169" s="26" t="s">
        <v>1653</v>
      </c>
      <c r="E169" s="26" t="s">
        <v>1653</v>
      </c>
    </row>
    <row r="170" s="29" customFormat="1" spans="2:5">
      <c r="B170" s="26" t="s">
        <v>233</v>
      </c>
      <c r="C170" s="26" t="s">
        <v>233</v>
      </c>
      <c r="D170" s="26" t="s">
        <v>233</v>
      </c>
      <c r="E170" s="26" t="s">
        <v>233</v>
      </c>
    </row>
    <row r="171" s="29" customFormat="1" ht="124" spans="2:5">
      <c r="B171" s="11" t="s">
        <v>173</v>
      </c>
      <c r="C171" s="11" t="s">
        <v>173</v>
      </c>
      <c r="D171" s="11" t="s">
        <v>173</v>
      </c>
      <c r="E171" s="11" t="s">
        <v>173</v>
      </c>
    </row>
    <row r="172" s="29" customFormat="1" ht="156" spans="2:5">
      <c r="B172" s="12" t="s">
        <v>174</v>
      </c>
      <c r="C172" s="12" t="s">
        <v>174</v>
      </c>
      <c r="D172" s="12" t="s">
        <v>174</v>
      </c>
      <c r="E172" s="12" t="s">
        <v>174</v>
      </c>
    </row>
    <row r="173" s="29" customFormat="1" ht="68" spans="2:5">
      <c r="B173" s="13" t="s">
        <v>1645</v>
      </c>
      <c r="C173" s="13" t="s">
        <v>1645</v>
      </c>
      <c r="D173" s="13" t="s">
        <v>1645</v>
      </c>
      <c r="E173" s="13" t="s">
        <v>1645</v>
      </c>
    </row>
    <row r="174" s="29" customFormat="1" ht="22" spans="2:5">
      <c r="B174" s="14" t="s">
        <v>176</v>
      </c>
      <c r="C174" s="14" t="s">
        <v>176</v>
      </c>
      <c r="D174" s="14" t="s">
        <v>176</v>
      </c>
      <c r="E174" s="14" t="s">
        <v>176</v>
      </c>
    </row>
    <row r="175" s="29" customFormat="1" spans="2:5">
      <c r="B175" s="15" t="s">
        <v>177</v>
      </c>
      <c r="C175" s="16" t="s">
        <v>178</v>
      </c>
      <c r="D175" s="17" t="s">
        <v>179</v>
      </c>
      <c r="E175" s="18" t="s">
        <v>180</v>
      </c>
    </row>
    <row r="176" s="29" customFormat="1" ht="28" spans="2:5">
      <c r="B176" s="19" t="s">
        <v>485</v>
      </c>
      <c r="C176" s="20" t="s">
        <v>804</v>
      </c>
      <c r="D176" s="21">
        <v>1</v>
      </c>
      <c r="E176" s="22">
        <v>177927.927928</v>
      </c>
    </row>
    <row r="177" s="29" customFormat="1" spans="2:5">
      <c r="B177" s="19" t="s">
        <v>485</v>
      </c>
      <c r="C177" s="16" t="s">
        <v>183</v>
      </c>
      <c r="D177" s="23">
        <v>8</v>
      </c>
      <c r="E177" s="24">
        <v>1323533.783784</v>
      </c>
    </row>
    <row r="178" s="29" customFormat="1" ht="41" spans="2:5">
      <c r="B178" s="19" t="s">
        <v>1454</v>
      </c>
      <c r="C178" s="20" t="s">
        <v>182</v>
      </c>
      <c r="D178" s="21">
        <v>1</v>
      </c>
      <c r="E178" s="22">
        <v>102252.252252</v>
      </c>
    </row>
    <row r="179" s="29" customFormat="1" spans="2:5">
      <c r="B179" s="19" t="s">
        <v>1454</v>
      </c>
      <c r="C179" s="16" t="s">
        <v>183</v>
      </c>
      <c r="D179" s="23">
        <v>1</v>
      </c>
      <c r="E179" s="24">
        <v>102252.252252</v>
      </c>
    </row>
    <row r="180" s="29" customFormat="1" ht="41" spans="2:5">
      <c r="B180" s="19" t="s">
        <v>344</v>
      </c>
      <c r="C180" s="20" t="s">
        <v>182</v>
      </c>
      <c r="D180" s="21">
        <v>4</v>
      </c>
      <c r="E180" s="22">
        <v>373972.972973</v>
      </c>
    </row>
    <row r="181" s="29" customFormat="1" ht="28" spans="2:5">
      <c r="B181" s="19" t="s">
        <v>344</v>
      </c>
      <c r="C181" s="20" t="s">
        <v>804</v>
      </c>
      <c r="D181" s="21">
        <v>5</v>
      </c>
      <c r="E181" s="22">
        <v>454954.882883</v>
      </c>
    </row>
    <row r="182" s="29" customFormat="1" spans="2:5">
      <c r="B182" s="19" t="s">
        <v>344</v>
      </c>
      <c r="C182" s="16" t="s">
        <v>183</v>
      </c>
      <c r="D182" s="23">
        <v>9</v>
      </c>
      <c r="E182" s="24">
        <v>828927.855856</v>
      </c>
    </row>
    <row r="183" s="29" customFormat="1" ht="28" spans="2:5">
      <c r="B183" s="19" t="s">
        <v>1683</v>
      </c>
      <c r="C183" s="20" t="s">
        <v>804</v>
      </c>
      <c r="D183" s="21">
        <v>1</v>
      </c>
      <c r="E183" s="22">
        <v>172072.072072</v>
      </c>
    </row>
    <row r="184" s="29" customFormat="1" spans="2:5">
      <c r="B184" s="19" t="s">
        <v>1683</v>
      </c>
      <c r="C184" s="16" t="s">
        <v>183</v>
      </c>
      <c r="D184" s="23">
        <v>1</v>
      </c>
      <c r="E184" s="24">
        <v>172072.072072</v>
      </c>
    </row>
    <row r="185" s="29" customFormat="1" ht="41" spans="2:5">
      <c r="B185" s="19" t="s">
        <v>394</v>
      </c>
      <c r="C185" s="20" t="s">
        <v>1191</v>
      </c>
      <c r="D185" s="21">
        <v>3</v>
      </c>
      <c r="E185" s="22">
        <v>347100</v>
      </c>
    </row>
    <row r="186" s="29" customFormat="1" ht="41" spans="2:5">
      <c r="B186" s="19" t="s">
        <v>394</v>
      </c>
      <c r="C186" s="20" t="s">
        <v>182</v>
      </c>
      <c r="D186" s="21">
        <v>6</v>
      </c>
      <c r="E186" s="22">
        <v>808108.10811</v>
      </c>
    </row>
    <row r="187" s="29" customFormat="1" ht="28" spans="2:5">
      <c r="B187" s="19" t="s">
        <v>394</v>
      </c>
      <c r="C187" s="20" t="s">
        <v>804</v>
      </c>
      <c r="D187" s="21">
        <v>2</v>
      </c>
      <c r="E187" s="22">
        <v>269369.36937</v>
      </c>
    </row>
    <row r="188" s="29" customFormat="1" spans="2:5">
      <c r="B188" s="19" t="s">
        <v>394</v>
      </c>
      <c r="C188" s="16" t="s">
        <v>183</v>
      </c>
      <c r="D188" s="23">
        <v>11</v>
      </c>
      <c r="E188" s="24">
        <v>1424577.47748</v>
      </c>
    </row>
    <row r="189" s="29" customFormat="1" ht="41" spans="2:5">
      <c r="B189" s="19" t="s">
        <v>1684</v>
      </c>
      <c r="C189" s="20" t="s">
        <v>1191</v>
      </c>
      <c r="D189" s="21">
        <v>1</v>
      </c>
      <c r="E189" s="22">
        <v>1000620</v>
      </c>
    </row>
    <row r="190" s="29" customFormat="1" ht="28.75" spans="2:5">
      <c r="B190" s="19" t="s">
        <v>1684</v>
      </c>
      <c r="C190" s="16" t="s">
        <v>183</v>
      </c>
      <c r="D190" s="23">
        <v>1</v>
      </c>
      <c r="E190" s="24">
        <v>1000620</v>
      </c>
    </row>
    <row r="191" s="29" customFormat="1" spans="2:5">
      <c r="B191" s="25"/>
      <c r="C191" s="25"/>
      <c r="D191" s="25"/>
      <c r="E191" s="25"/>
    </row>
    <row r="192" s="29" customFormat="1" ht="36" spans="2:5">
      <c r="B192" s="26" t="s">
        <v>189</v>
      </c>
      <c r="C192" s="26" t="s">
        <v>189</v>
      </c>
      <c r="D192" s="26" t="s">
        <v>189</v>
      </c>
      <c r="E192" s="26" t="s">
        <v>189</v>
      </c>
    </row>
    <row r="193" s="29" customFormat="1" spans="2:5">
      <c r="B193" s="26"/>
      <c r="C193" s="26"/>
      <c r="D193" s="26"/>
      <c r="E193" s="26"/>
    </row>
    <row r="194" s="29" customFormat="1" ht="36" spans="2:5">
      <c r="B194" s="26" t="s">
        <v>1653</v>
      </c>
      <c r="C194" s="26" t="s">
        <v>1653</v>
      </c>
      <c r="D194" s="26" t="s">
        <v>1653</v>
      </c>
      <c r="E194" s="26" t="s">
        <v>1653</v>
      </c>
    </row>
    <row r="195" s="29" customFormat="1" spans="2:5">
      <c r="B195" s="26" t="s">
        <v>240</v>
      </c>
      <c r="C195" s="26" t="s">
        <v>240</v>
      </c>
      <c r="D195" s="26" t="s">
        <v>240</v>
      </c>
      <c r="E195" s="26" t="s">
        <v>240</v>
      </c>
    </row>
    <row r="196" s="29" customFormat="1" ht="124" spans="2:5">
      <c r="B196" s="11" t="s">
        <v>173</v>
      </c>
      <c r="C196" s="11" t="s">
        <v>173</v>
      </c>
      <c r="D196" s="11" t="s">
        <v>173</v>
      </c>
      <c r="E196" s="11" t="s">
        <v>173</v>
      </c>
    </row>
    <row r="197" s="29" customFormat="1" ht="156" spans="2:5">
      <c r="B197" s="12" t="s">
        <v>174</v>
      </c>
      <c r="C197" s="12" t="s">
        <v>174</v>
      </c>
      <c r="D197" s="12" t="s">
        <v>174</v>
      </c>
      <c r="E197" s="12" t="s">
        <v>174</v>
      </c>
    </row>
    <row r="198" s="29" customFormat="1" ht="68" spans="2:5">
      <c r="B198" s="13" t="s">
        <v>1645</v>
      </c>
      <c r="C198" s="13" t="s">
        <v>1645</v>
      </c>
      <c r="D198" s="13" t="s">
        <v>1645</v>
      </c>
      <c r="E198" s="13" t="s">
        <v>1645</v>
      </c>
    </row>
    <row r="199" s="29" customFormat="1" ht="22" spans="2:5">
      <c r="B199" s="14" t="s">
        <v>176</v>
      </c>
      <c r="C199" s="14" t="s">
        <v>176</v>
      </c>
      <c r="D199" s="14" t="s">
        <v>176</v>
      </c>
      <c r="E199" s="14" t="s">
        <v>176</v>
      </c>
    </row>
    <row r="200" s="29" customFormat="1" spans="2:5">
      <c r="B200" s="15" t="s">
        <v>177</v>
      </c>
      <c r="C200" s="16" t="s">
        <v>178</v>
      </c>
      <c r="D200" s="17" t="s">
        <v>179</v>
      </c>
      <c r="E200" s="18" t="s">
        <v>180</v>
      </c>
    </row>
    <row r="201" s="29" customFormat="1" ht="41" spans="2:5">
      <c r="B201" s="19" t="s">
        <v>184</v>
      </c>
      <c r="C201" s="20" t="s">
        <v>1191</v>
      </c>
      <c r="D201" s="21">
        <v>5</v>
      </c>
      <c r="E201" s="22">
        <v>4400400</v>
      </c>
    </row>
    <row r="202" s="29" customFormat="1" ht="28" spans="2:5">
      <c r="B202" s="19" t="s">
        <v>184</v>
      </c>
      <c r="C202" s="20" t="s">
        <v>804</v>
      </c>
      <c r="D202" s="21">
        <v>1</v>
      </c>
      <c r="E202" s="22">
        <v>880080</v>
      </c>
    </row>
    <row r="203" s="29" customFormat="1" ht="28" spans="2:5">
      <c r="B203" s="19" t="s">
        <v>184</v>
      </c>
      <c r="C203" s="16" t="s">
        <v>183</v>
      </c>
      <c r="D203" s="23">
        <v>6</v>
      </c>
      <c r="E203" s="24">
        <v>5280480</v>
      </c>
    </row>
    <row r="204" s="29" customFormat="1" ht="41" spans="2:5">
      <c r="B204" s="19" t="s">
        <v>1685</v>
      </c>
      <c r="C204" s="20" t="s">
        <v>1191</v>
      </c>
      <c r="D204" s="21">
        <v>1</v>
      </c>
      <c r="E204" s="22">
        <v>0</v>
      </c>
    </row>
    <row r="205" s="29" customFormat="1" ht="28" spans="2:5">
      <c r="B205" s="19" t="s">
        <v>1685</v>
      </c>
      <c r="C205" s="16" t="s">
        <v>183</v>
      </c>
      <c r="D205" s="23">
        <v>1</v>
      </c>
      <c r="E205" s="24">
        <v>0</v>
      </c>
    </row>
    <row r="206" s="29" customFormat="1" ht="41" spans="2:5">
      <c r="B206" s="19" t="s">
        <v>575</v>
      </c>
      <c r="C206" s="20" t="s">
        <v>1191</v>
      </c>
      <c r="D206" s="21">
        <v>5</v>
      </c>
      <c r="E206" s="22">
        <v>3139060</v>
      </c>
    </row>
    <row r="207" s="29" customFormat="1" ht="28" spans="2:5">
      <c r="B207" s="19" t="s">
        <v>575</v>
      </c>
      <c r="C207" s="20" t="s">
        <v>804</v>
      </c>
      <c r="D207" s="21">
        <v>1</v>
      </c>
      <c r="E207" s="22">
        <v>834234</v>
      </c>
    </row>
    <row r="208" s="29" customFormat="1" ht="28" spans="2:5">
      <c r="B208" s="19" t="s">
        <v>575</v>
      </c>
      <c r="C208" s="16" t="s">
        <v>183</v>
      </c>
      <c r="D208" s="23">
        <v>6</v>
      </c>
      <c r="E208" s="24">
        <v>3973294</v>
      </c>
    </row>
    <row r="209" s="29" customFormat="1" ht="41" spans="2:5">
      <c r="B209" s="19" t="s">
        <v>346</v>
      </c>
      <c r="C209" s="20" t="s">
        <v>1191</v>
      </c>
      <c r="D209" s="21">
        <v>4</v>
      </c>
      <c r="E209" s="22">
        <v>2470080</v>
      </c>
    </row>
    <row r="210" s="29" customFormat="1" ht="41" spans="2:5">
      <c r="B210" s="19" t="s">
        <v>346</v>
      </c>
      <c r="C210" s="20" t="s">
        <v>182</v>
      </c>
      <c r="D210" s="21">
        <v>3</v>
      </c>
      <c r="E210" s="22">
        <v>2565765.765765</v>
      </c>
    </row>
    <row r="211" s="29" customFormat="1" ht="28" spans="2:5">
      <c r="B211" s="19" t="s">
        <v>346</v>
      </c>
      <c r="C211" s="20" t="s">
        <v>804</v>
      </c>
      <c r="D211" s="21">
        <v>6</v>
      </c>
      <c r="E211" s="22">
        <v>5257656.648648</v>
      </c>
    </row>
    <row r="212" s="29" customFormat="1" ht="28" spans="2:5">
      <c r="B212" s="19" t="s">
        <v>346</v>
      </c>
      <c r="C212" s="16" t="s">
        <v>183</v>
      </c>
      <c r="D212" s="23">
        <v>13</v>
      </c>
      <c r="E212" s="24">
        <v>10293502.414413</v>
      </c>
    </row>
    <row r="213" s="29" customFormat="1" ht="41" spans="2:5">
      <c r="B213" s="19" t="s">
        <v>397</v>
      </c>
      <c r="C213" s="20" t="s">
        <v>1191</v>
      </c>
      <c r="D213" s="21">
        <v>5</v>
      </c>
      <c r="E213" s="22">
        <v>3378300</v>
      </c>
    </row>
    <row r="214" s="29" customFormat="1" ht="28" spans="2:5">
      <c r="B214" s="19" t="s">
        <v>397</v>
      </c>
      <c r="C214" s="16" t="s">
        <v>183</v>
      </c>
      <c r="D214" s="23">
        <v>5</v>
      </c>
      <c r="E214" s="24">
        <v>3378300</v>
      </c>
    </row>
    <row r="215" s="29" customFormat="1" ht="41" spans="2:5">
      <c r="B215" s="19" t="s">
        <v>185</v>
      </c>
      <c r="C215" s="20" t="s">
        <v>1191</v>
      </c>
      <c r="D215" s="21">
        <v>5</v>
      </c>
      <c r="E215" s="22">
        <v>3378300</v>
      </c>
    </row>
    <row r="216" s="29" customFormat="1" ht="28.75" spans="2:5">
      <c r="B216" s="19" t="s">
        <v>185</v>
      </c>
      <c r="C216" s="16" t="s">
        <v>183</v>
      </c>
      <c r="D216" s="23">
        <v>5</v>
      </c>
      <c r="E216" s="24">
        <v>3378300</v>
      </c>
    </row>
    <row r="217" s="29" customFormat="1" spans="2:5">
      <c r="B217" s="25"/>
      <c r="C217" s="25"/>
      <c r="D217" s="25"/>
      <c r="E217" s="25"/>
    </row>
    <row r="218" s="29" customFormat="1" ht="36" spans="2:5">
      <c r="B218" s="26" t="s">
        <v>189</v>
      </c>
      <c r="C218" s="26" t="s">
        <v>189</v>
      </c>
      <c r="D218" s="26" t="s">
        <v>189</v>
      </c>
      <c r="E218" s="26" t="s">
        <v>189</v>
      </c>
    </row>
    <row r="219" s="29" customFormat="1" spans="2:5">
      <c r="B219" s="26"/>
      <c r="C219" s="26"/>
      <c r="D219" s="26"/>
      <c r="E219" s="26"/>
    </row>
    <row r="220" s="29" customFormat="1" ht="36" spans="2:5">
      <c r="B220" s="26" t="s">
        <v>1653</v>
      </c>
      <c r="C220" s="26" t="s">
        <v>1653</v>
      </c>
      <c r="D220" s="26" t="s">
        <v>1653</v>
      </c>
      <c r="E220" s="26" t="s">
        <v>1653</v>
      </c>
    </row>
    <row r="221" s="29" customFormat="1" spans="2:5">
      <c r="B221" s="26" t="s">
        <v>247</v>
      </c>
      <c r="C221" s="26" t="s">
        <v>247</v>
      </c>
      <c r="D221" s="26" t="s">
        <v>247</v>
      </c>
      <c r="E221" s="26" t="s">
        <v>247</v>
      </c>
    </row>
    <row r="222" s="29" customFormat="1" ht="124" spans="2:5">
      <c r="B222" s="11" t="s">
        <v>173</v>
      </c>
      <c r="C222" s="11" t="s">
        <v>173</v>
      </c>
      <c r="D222" s="11" t="s">
        <v>173</v>
      </c>
      <c r="E222" s="11" t="s">
        <v>173</v>
      </c>
    </row>
    <row r="223" s="29" customFormat="1" ht="156" spans="2:5">
      <c r="B223" s="12" t="s">
        <v>174</v>
      </c>
      <c r="C223" s="12" t="s">
        <v>174</v>
      </c>
      <c r="D223" s="12" t="s">
        <v>174</v>
      </c>
      <c r="E223" s="12" t="s">
        <v>174</v>
      </c>
    </row>
    <row r="224" s="29" customFormat="1" ht="68" spans="2:5">
      <c r="B224" s="13" t="s">
        <v>1645</v>
      </c>
      <c r="C224" s="13" t="s">
        <v>1645</v>
      </c>
      <c r="D224" s="13" t="s">
        <v>1645</v>
      </c>
      <c r="E224" s="13" t="s">
        <v>1645</v>
      </c>
    </row>
    <row r="225" s="29" customFormat="1" ht="22" spans="2:5">
      <c r="B225" s="14" t="s">
        <v>176</v>
      </c>
      <c r="C225" s="14" t="s">
        <v>176</v>
      </c>
      <c r="D225" s="14" t="s">
        <v>176</v>
      </c>
      <c r="E225" s="14" t="s">
        <v>176</v>
      </c>
    </row>
    <row r="226" s="29" customFormat="1" spans="2:5">
      <c r="B226" s="15" t="s">
        <v>177</v>
      </c>
      <c r="C226" s="16" t="s">
        <v>178</v>
      </c>
      <c r="D226" s="17" t="s">
        <v>179</v>
      </c>
      <c r="E226" s="18" t="s">
        <v>180</v>
      </c>
    </row>
    <row r="227" s="29" customFormat="1" ht="41" spans="2:5">
      <c r="B227" s="19" t="s">
        <v>347</v>
      </c>
      <c r="C227" s="20" t="s">
        <v>182</v>
      </c>
      <c r="D227" s="21">
        <v>1</v>
      </c>
      <c r="E227" s="22">
        <v>914414.414414</v>
      </c>
    </row>
    <row r="228" s="29" customFormat="1" ht="28" spans="2:5">
      <c r="B228" s="19" t="s">
        <v>347</v>
      </c>
      <c r="C228" s="16" t="s">
        <v>183</v>
      </c>
      <c r="D228" s="23">
        <v>1</v>
      </c>
      <c r="E228" s="24">
        <v>914414.414414</v>
      </c>
    </row>
    <row r="229" s="29" customFormat="1" ht="41" spans="2:5">
      <c r="B229" s="19" t="s">
        <v>1190</v>
      </c>
      <c r="C229" s="20" t="s">
        <v>1191</v>
      </c>
      <c r="D229" s="21">
        <v>1</v>
      </c>
      <c r="E229" s="22">
        <v>705060</v>
      </c>
    </row>
    <row r="230" s="29" customFormat="1" ht="28" spans="2:5">
      <c r="B230" s="19" t="s">
        <v>1190</v>
      </c>
      <c r="C230" s="16" t="s">
        <v>183</v>
      </c>
      <c r="D230" s="23">
        <v>1</v>
      </c>
      <c r="E230" s="24">
        <v>705060</v>
      </c>
    </row>
    <row r="231" s="29" customFormat="1" ht="41" spans="2:5">
      <c r="B231" s="19" t="s">
        <v>1192</v>
      </c>
      <c r="C231" s="20" t="s">
        <v>182</v>
      </c>
      <c r="D231" s="21">
        <v>1</v>
      </c>
      <c r="E231" s="22">
        <v>948648.279279</v>
      </c>
    </row>
    <row r="232" s="29" customFormat="1" ht="28" spans="2:5">
      <c r="B232" s="19" t="s">
        <v>1192</v>
      </c>
      <c r="C232" s="16" t="s">
        <v>183</v>
      </c>
      <c r="D232" s="23">
        <v>1</v>
      </c>
      <c r="E232" s="24">
        <v>948648.279279</v>
      </c>
    </row>
    <row r="233" s="29" customFormat="1" ht="41" spans="2:5">
      <c r="B233" s="19" t="s">
        <v>398</v>
      </c>
      <c r="C233" s="20" t="s">
        <v>182</v>
      </c>
      <c r="D233" s="21">
        <v>1</v>
      </c>
      <c r="E233" s="22">
        <v>1352703</v>
      </c>
    </row>
    <row r="234" s="29" customFormat="1" ht="28" spans="2:5">
      <c r="B234" s="19" t="s">
        <v>398</v>
      </c>
      <c r="C234" s="20" t="s">
        <v>804</v>
      </c>
      <c r="D234" s="21">
        <v>1</v>
      </c>
      <c r="E234" s="22">
        <v>1415765.765766</v>
      </c>
    </row>
    <row r="235" s="29" customFormat="1" ht="28" spans="2:5">
      <c r="B235" s="19" t="s">
        <v>398</v>
      </c>
      <c r="C235" s="16" t="s">
        <v>183</v>
      </c>
      <c r="D235" s="23">
        <v>2</v>
      </c>
      <c r="E235" s="24">
        <v>2768468.765766</v>
      </c>
    </row>
    <row r="236" s="29" customFormat="1" ht="41" spans="2:5">
      <c r="B236" s="19" t="s">
        <v>1686</v>
      </c>
      <c r="C236" s="20" t="s">
        <v>1191</v>
      </c>
      <c r="D236" s="21">
        <v>5</v>
      </c>
      <c r="E236" s="22">
        <v>6756756</v>
      </c>
    </row>
    <row r="237" s="29" customFormat="1" ht="41" spans="2:5">
      <c r="B237" s="19" t="s">
        <v>1686</v>
      </c>
      <c r="C237" s="20" t="s">
        <v>182</v>
      </c>
      <c r="D237" s="21">
        <v>1</v>
      </c>
      <c r="E237" s="22">
        <v>1803153</v>
      </c>
    </row>
    <row r="238" s="29" customFormat="1" ht="28" spans="2:5">
      <c r="B238" s="19" t="s">
        <v>1686</v>
      </c>
      <c r="C238" s="16" t="s">
        <v>183</v>
      </c>
      <c r="D238" s="23">
        <v>6</v>
      </c>
      <c r="E238" s="24">
        <v>8559909</v>
      </c>
    </row>
    <row r="239" s="29" customFormat="1" ht="28" spans="2:5">
      <c r="B239" s="19" t="s">
        <v>1457</v>
      </c>
      <c r="C239" s="20" t="s">
        <v>804</v>
      </c>
      <c r="D239" s="21">
        <v>1</v>
      </c>
      <c r="E239" s="22">
        <v>2743693.954955</v>
      </c>
    </row>
    <row r="240" s="29" customFormat="1" ht="28.75" spans="2:5">
      <c r="B240" s="19" t="s">
        <v>1457</v>
      </c>
      <c r="C240" s="16" t="s">
        <v>183</v>
      </c>
      <c r="D240" s="23">
        <v>1</v>
      </c>
      <c r="E240" s="24">
        <v>2743693.954955</v>
      </c>
    </row>
    <row r="241" s="29" customFormat="1" spans="2:5">
      <c r="B241" s="25"/>
      <c r="C241" s="25"/>
      <c r="D241" s="25"/>
      <c r="E241" s="25"/>
    </row>
    <row r="242" s="29" customFormat="1" ht="36" spans="2:5">
      <c r="B242" s="26" t="s">
        <v>189</v>
      </c>
      <c r="C242" s="26" t="s">
        <v>189</v>
      </c>
      <c r="D242" s="26" t="s">
        <v>189</v>
      </c>
      <c r="E242" s="26" t="s">
        <v>189</v>
      </c>
    </row>
    <row r="243" s="29" customFormat="1" spans="2:5">
      <c r="B243" s="26"/>
      <c r="C243" s="26"/>
      <c r="D243" s="26"/>
      <c r="E243" s="26"/>
    </row>
    <row r="244" s="29" customFormat="1" ht="36" spans="2:5">
      <c r="B244" s="26" t="s">
        <v>1653</v>
      </c>
      <c r="C244" s="26" t="s">
        <v>1653</v>
      </c>
      <c r="D244" s="26" t="s">
        <v>1653</v>
      </c>
      <c r="E244" s="26" t="s">
        <v>1653</v>
      </c>
    </row>
    <row r="245" s="29" customFormat="1" spans="2:5">
      <c r="B245" s="26" t="s">
        <v>254</v>
      </c>
      <c r="C245" s="26" t="s">
        <v>254</v>
      </c>
      <c r="D245" s="26" t="s">
        <v>254</v>
      </c>
      <c r="E245" s="26" t="s">
        <v>254</v>
      </c>
    </row>
    <row r="246" s="29" customFormat="1" ht="124" spans="2:5">
      <c r="B246" s="11" t="s">
        <v>173</v>
      </c>
      <c r="C246" s="11" t="s">
        <v>173</v>
      </c>
      <c r="D246" s="11" t="s">
        <v>173</v>
      </c>
      <c r="E246" s="11" t="s">
        <v>173</v>
      </c>
    </row>
    <row r="247" s="29" customFormat="1" ht="156" spans="2:5">
      <c r="B247" s="12" t="s">
        <v>174</v>
      </c>
      <c r="C247" s="12" t="s">
        <v>174</v>
      </c>
      <c r="D247" s="12" t="s">
        <v>174</v>
      </c>
      <c r="E247" s="12" t="s">
        <v>174</v>
      </c>
    </row>
    <row r="248" s="29" customFormat="1" ht="68" spans="2:5">
      <c r="B248" s="13" t="s">
        <v>1645</v>
      </c>
      <c r="C248" s="13" t="s">
        <v>1645</v>
      </c>
      <c r="D248" s="13" t="s">
        <v>1645</v>
      </c>
      <c r="E248" s="13" t="s">
        <v>1645</v>
      </c>
    </row>
    <row r="249" s="29" customFormat="1" ht="22" spans="2:5">
      <c r="B249" s="14" t="s">
        <v>176</v>
      </c>
      <c r="C249" s="14" t="s">
        <v>176</v>
      </c>
      <c r="D249" s="14" t="s">
        <v>176</v>
      </c>
      <c r="E249" s="14" t="s">
        <v>176</v>
      </c>
    </row>
    <row r="250" s="29" customFormat="1" spans="2:5">
      <c r="B250" s="15" t="s">
        <v>177</v>
      </c>
      <c r="C250" s="16" t="s">
        <v>178</v>
      </c>
      <c r="D250" s="17" t="s">
        <v>179</v>
      </c>
      <c r="E250" s="18" t="s">
        <v>180</v>
      </c>
    </row>
    <row r="251" s="29" customFormat="1" ht="41" spans="2:5">
      <c r="B251" s="19" t="s">
        <v>1193</v>
      </c>
      <c r="C251" s="20" t="s">
        <v>1191</v>
      </c>
      <c r="D251" s="21">
        <v>5</v>
      </c>
      <c r="E251" s="22">
        <v>11160000</v>
      </c>
    </row>
    <row r="252" s="29" customFormat="1" ht="28" spans="2:5">
      <c r="B252" s="19" t="s">
        <v>1193</v>
      </c>
      <c r="C252" s="16" t="s">
        <v>183</v>
      </c>
      <c r="D252" s="23">
        <v>5</v>
      </c>
      <c r="E252" s="24">
        <v>11160000</v>
      </c>
    </row>
    <row r="253" s="29" customFormat="1" ht="28" spans="2:5">
      <c r="B253" s="19" t="s">
        <v>1194</v>
      </c>
      <c r="C253" s="20" t="s">
        <v>804</v>
      </c>
      <c r="D253" s="21">
        <v>1</v>
      </c>
      <c r="E253" s="22">
        <v>309009.009009</v>
      </c>
    </row>
    <row r="254" s="29" customFormat="1" ht="28" spans="2:5">
      <c r="B254" s="19" t="s">
        <v>1194</v>
      </c>
      <c r="C254" s="16" t="s">
        <v>183</v>
      </c>
      <c r="D254" s="23">
        <v>1</v>
      </c>
      <c r="E254" s="24">
        <v>309009.009009</v>
      </c>
    </row>
    <row r="255" s="29" customFormat="1" ht="41" spans="2:5">
      <c r="B255" s="19" t="s">
        <v>1458</v>
      </c>
      <c r="C255" s="20" t="s">
        <v>182</v>
      </c>
      <c r="D255" s="21">
        <v>2</v>
      </c>
      <c r="E255" s="22">
        <v>1169054.45045</v>
      </c>
    </row>
    <row r="256" s="29" customFormat="1" ht="28" spans="2:5">
      <c r="B256" s="19" t="s">
        <v>1458</v>
      </c>
      <c r="C256" s="16" t="s">
        <v>183</v>
      </c>
      <c r="D256" s="23">
        <v>2</v>
      </c>
      <c r="E256" s="24">
        <v>1169054.45045</v>
      </c>
    </row>
    <row r="257" s="29" customFormat="1" ht="41" spans="2:5">
      <c r="B257" s="19" t="s">
        <v>487</v>
      </c>
      <c r="C257" s="20" t="s">
        <v>182</v>
      </c>
      <c r="D257" s="21">
        <v>1</v>
      </c>
      <c r="E257" s="22">
        <v>262162.162162</v>
      </c>
    </row>
    <row r="258" s="29" customFormat="1" ht="28" spans="2:5">
      <c r="B258" s="19" t="s">
        <v>487</v>
      </c>
      <c r="C258" s="20" t="s">
        <v>804</v>
      </c>
      <c r="D258" s="21">
        <v>2</v>
      </c>
      <c r="E258" s="22">
        <v>524324.324324</v>
      </c>
    </row>
    <row r="259" s="29" customFormat="1" ht="28" spans="2:5">
      <c r="B259" s="19" t="s">
        <v>487</v>
      </c>
      <c r="C259" s="16" t="s">
        <v>183</v>
      </c>
      <c r="D259" s="23">
        <v>3</v>
      </c>
      <c r="E259" s="24">
        <v>786486.486486</v>
      </c>
    </row>
    <row r="260" s="29" customFormat="1" ht="41" spans="2:5">
      <c r="B260" s="19" t="s">
        <v>1195</v>
      </c>
      <c r="C260" s="20" t="s">
        <v>182</v>
      </c>
      <c r="D260" s="21">
        <v>2</v>
      </c>
      <c r="E260" s="22">
        <v>643243.621622</v>
      </c>
    </row>
    <row r="261" s="29" customFormat="1" ht="28" spans="2:5">
      <c r="B261" s="19" t="s">
        <v>1195</v>
      </c>
      <c r="C261" s="16" t="s">
        <v>183</v>
      </c>
      <c r="D261" s="23">
        <v>2</v>
      </c>
      <c r="E261" s="24">
        <v>643243.621622</v>
      </c>
    </row>
    <row r="262" s="29" customFormat="1" ht="28" spans="2:5">
      <c r="B262" s="19" t="s">
        <v>812</v>
      </c>
      <c r="C262" s="20" t="s">
        <v>804</v>
      </c>
      <c r="D262" s="21">
        <v>3</v>
      </c>
      <c r="E262" s="22">
        <v>1194594.603603</v>
      </c>
    </row>
    <row r="263" s="29" customFormat="1" ht="28" spans="2:5">
      <c r="B263" s="19" t="s">
        <v>812</v>
      </c>
      <c r="C263" s="16" t="s">
        <v>183</v>
      </c>
      <c r="D263" s="23">
        <v>3</v>
      </c>
      <c r="E263" s="24">
        <v>1194594.603603</v>
      </c>
    </row>
    <row r="264" s="29" customFormat="1" ht="41.75" spans="2:5">
      <c r="B264" s="20" t="s">
        <v>399</v>
      </c>
      <c r="C264" s="20" t="s">
        <v>182</v>
      </c>
      <c r="D264" s="21">
        <v>1</v>
      </c>
      <c r="E264" s="22">
        <v>0</v>
      </c>
    </row>
    <row r="265" s="29" customFormat="1" spans="2:5">
      <c r="B265" s="25"/>
      <c r="C265" s="25"/>
      <c r="D265" s="25"/>
      <c r="E265" s="25"/>
    </row>
    <row r="266" s="29" customFormat="1" ht="36" spans="2:5">
      <c r="B266" s="26" t="s">
        <v>189</v>
      </c>
      <c r="C266" s="26" t="s">
        <v>189</v>
      </c>
      <c r="D266" s="26" t="s">
        <v>189</v>
      </c>
      <c r="E266" s="26" t="s">
        <v>189</v>
      </c>
    </row>
    <row r="267" s="29" customFormat="1" spans="2:5">
      <c r="B267" s="26"/>
      <c r="C267" s="26"/>
      <c r="D267" s="26"/>
      <c r="E267" s="26"/>
    </row>
    <row r="268" s="29" customFormat="1" ht="36" spans="2:5">
      <c r="B268" s="26" t="s">
        <v>1653</v>
      </c>
      <c r="C268" s="26" t="s">
        <v>1653</v>
      </c>
      <c r="D268" s="26" t="s">
        <v>1653</v>
      </c>
      <c r="E268" s="26" t="s">
        <v>1653</v>
      </c>
    </row>
    <row r="269" s="29" customFormat="1" spans="2:5">
      <c r="B269" s="26" t="s">
        <v>261</v>
      </c>
      <c r="C269" s="26" t="s">
        <v>261</v>
      </c>
      <c r="D269" s="26" t="s">
        <v>261</v>
      </c>
      <c r="E269" s="26" t="s">
        <v>261</v>
      </c>
    </row>
    <row r="270" s="29" customFormat="1" ht="124" spans="2:5">
      <c r="B270" s="11" t="s">
        <v>173</v>
      </c>
      <c r="C270" s="11" t="s">
        <v>173</v>
      </c>
      <c r="D270" s="11" t="s">
        <v>173</v>
      </c>
      <c r="E270" s="11" t="s">
        <v>173</v>
      </c>
    </row>
    <row r="271" s="29" customFormat="1" ht="156" spans="2:5">
      <c r="B271" s="12" t="s">
        <v>174</v>
      </c>
      <c r="C271" s="12" t="s">
        <v>174</v>
      </c>
      <c r="D271" s="12" t="s">
        <v>174</v>
      </c>
      <c r="E271" s="12" t="s">
        <v>174</v>
      </c>
    </row>
    <row r="272" s="29" customFormat="1" ht="68" spans="2:5">
      <c r="B272" s="13" t="s">
        <v>1645</v>
      </c>
      <c r="C272" s="13" t="s">
        <v>1645</v>
      </c>
      <c r="D272" s="13" t="s">
        <v>1645</v>
      </c>
      <c r="E272" s="13" t="s">
        <v>1645</v>
      </c>
    </row>
    <row r="273" s="29" customFormat="1" ht="22" spans="2:5">
      <c r="B273" s="14" t="s">
        <v>176</v>
      </c>
      <c r="C273" s="14" t="s">
        <v>176</v>
      </c>
      <c r="D273" s="14" t="s">
        <v>176</v>
      </c>
      <c r="E273" s="14" t="s">
        <v>176</v>
      </c>
    </row>
    <row r="274" s="29" customFormat="1" spans="2:5">
      <c r="B274" s="15" t="s">
        <v>177</v>
      </c>
      <c r="C274" s="16" t="s">
        <v>178</v>
      </c>
      <c r="D274" s="17" t="s">
        <v>179</v>
      </c>
      <c r="E274" s="18" t="s">
        <v>180</v>
      </c>
    </row>
    <row r="275" s="29" customFormat="1" ht="28" spans="2:5">
      <c r="B275" s="19" t="s">
        <v>399</v>
      </c>
      <c r="C275" s="20" t="s">
        <v>804</v>
      </c>
      <c r="D275" s="21">
        <v>1</v>
      </c>
      <c r="E275" s="22">
        <v>333333.333333</v>
      </c>
    </row>
    <row r="276" s="29" customFormat="1" ht="28" spans="2:5">
      <c r="B276" s="19" t="s">
        <v>399</v>
      </c>
      <c r="C276" s="16" t="s">
        <v>183</v>
      </c>
      <c r="D276" s="23">
        <v>2</v>
      </c>
      <c r="E276" s="24">
        <v>333333.333333</v>
      </c>
    </row>
    <row r="277" s="29" customFormat="1" ht="41" spans="2:5">
      <c r="B277" s="19" t="s">
        <v>1460</v>
      </c>
      <c r="C277" s="20" t="s">
        <v>182</v>
      </c>
      <c r="D277" s="21">
        <v>1</v>
      </c>
      <c r="E277" s="22">
        <v>0</v>
      </c>
    </row>
    <row r="278" s="29" customFormat="1" ht="28" spans="2:5">
      <c r="B278" s="19" t="s">
        <v>1460</v>
      </c>
      <c r="C278" s="16" t="s">
        <v>183</v>
      </c>
      <c r="D278" s="23">
        <v>1</v>
      </c>
      <c r="E278" s="24">
        <v>0</v>
      </c>
    </row>
    <row r="279" s="29" customFormat="1" ht="28" spans="2:5">
      <c r="B279" s="19" t="s">
        <v>960</v>
      </c>
      <c r="C279" s="20" t="s">
        <v>804</v>
      </c>
      <c r="D279" s="21">
        <v>2</v>
      </c>
      <c r="E279" s="22">
        <v>697297.297298</v>
      </c>
    </row>
    <row r="280" s="29" customFormat="1" ht="28" spans="2:5">
      <c r="B280" s="19" t="s">
        <v>960</v>
      </c>
      <c r="C280" s="16" t="s">
        <v>183</v>
      </c>
      <c r="D280" s="23">
        <v>2</v>
      </c>
      <c r="E280" s="24">
        <v>697297.297298</v>
      </c>
    </row>
    <row r="281" s="29" customFormat="1" ht="28" spans="2:5">
      <c r="B281" s="19" t="s">
        <v>401</v>
      </c>
      <c r="C281" s="20" t="s">
        <v>804</v>
      </c>
      <c r="D281" s="21">
        <v>1</v>
      </c>
      <c r="E281" s="22">
        <v>157207.207207</v>
      </c>
    </row>
    <row r="282" s="29" customFormat="1" spans="2:5">
      <c r="B282" s="19" t="s">
        <v>401</v>
      </c>
      <c r="C282" s="16" t="s">
        <v>183</v>
      </c>
      <c r="D282" s="23">
        <v>1</v>
      </c>
      <c r="E282" s="24">
        <v>157207.207207</v>
      </c>
    </row>
    <row r="283" s="29" customFormat="1" ht="41" spans="2:5">
      <c r="B283" s="19" t="s">
        <v>402</v>
      </c>
      <c r="C283" s="20" t="s">
        <v>182</v>
      </c>
      <c r="D283" s="21">
        <v>2</v>
      </c>
      <c r="E283" s="22">
        <v>0</v>
      </c>
    </row>
    <row r="284" s="29" customFormat="1" spans="2:5">
      <c r="B284" s="19" t="s">
        <v>402</v>
      </c>
      <c r="C284" s="16" t="s">
        <v>183</v>
      </c>
      <c r="D284" s="23">
        <v>2</v>
      </c>
      <c r="E284" s="24">
        <v>0</v>
      </c>
    </row>
    <row r="285" s="29" customFormat="1" ht="41" spans="2:5">
      <c r="B285" s="19" t="s">
        <v>815</v>
      </c>
      <c r="C285" s="20" t="s">
        <v>1191</v>
      </c>
      <c r="D285" s="21">
        <v>3</v>
      </c>
      <c r="E285" s="22">
        <v>476970</v>
      </c>
    </row>
    <row r="286" s="29" customFormat="1" ht="41" spans="2:5">
      <c r="B286" s="19" t="s">
        <v>815</v>
      </c>
      <c r="C286" s="20" t="s">
        <v>182</v>
      </c>
      <c r="D286" s="21">
        <v>1</v>
      </c>
      <c r="E286" s="22">
        <v>0</v>
      </c>
    </row>
    <row r="287" s="29" customFormat="1" ht="28" spans="2:5">
      <c r="B287" s="19" t="s">
        <v>815</v>
      </c>
      <c r="C287" s="20" t="s">
        <v>804</v>
      </c>
      <c r="D287" s="21">
        <v>1</v>
      </c>
      <c r="E287" s="22">
        <v>167567.567568</v>
      </c>
    </row>
    <row r="288" s="29" customFormat="1" ht="17.55" spans="2:5">
      <c r="B288" s="19" t="s">
        <v>815</v>
      </c>
      <c r="C288" s="16" t="s">
        <v>183</v>
      </c>
      <c r="D288" s="23">
        <v>5</v>
      </c>
      <c r="E288" s="24">
        <v>644537.567568</v>
      </c>
    </row>
    <row r="289" s="29" customFormat="1" spans="2:5">
      <c r="B289" s="25"/>
      <c r="C289" s="25"/>
      <c r="D289" s="25"/>
      <c r="E289" s="25"/>
    </row>
    <row r="290" s="29" customFormat="1" ht="36" spans="2:5">
      <c r="B290" s="26" t="s">
        <v>189</v>
      </c>
      <c r="C290" s="26" t="s">
        <v>189</v>
      </c>
      <c r="D290" s="26" t="s">
        <v>189</v>
      </c>
      <c r="E290" s="26" t="s">
        <v>189</v>
      </c>
    </row>
    <row r="291" s="29" customFormat="1" spans="2:5">
      <c r="B291" s="26"/>
      <c r="C291" s="26"/>
      <c r="D291" s="26"/>
      <c r="E291" s="26"/>
    </row>
    <row r="292" s="29" customFormat="1" ht="36" spans="2:5">
      <c r="B292" s="26" t="s">
        <v>1653</v>
      </c>
      <c r="C292" s="26" t="s">
        <v>1653</v>
      </c>
      <c r="D292" s="26" t="s">
        <v>1653</v>
      </c>
      <c r="E292" s="26" t="s">
        <v>1653</v>
      </c>
    </row>
    <row r="293" s="29" customFormat="1" spans="2:5">
      <c r="B293" s="26" t="s">
        <v>268</v>
      </c>
      <c r="C293" s="26" t="s">
        <v>268</v>
      </c>
      <c r="D293" s="26" t="s">
        <v>268</v>
      </c>
      <c r="E293" s="26" t="s">
        <v>268</v>
      </c>
    </row>
    <row r="294" s="29" customFormat="1" ht="124" spans="2:5">
      <c r="B294" s="11" t="s">
        <v>173</v>
      </c>
      <c r="C294" s="11" t="s">
        <v>173</v>
      </c>
      <c r="D294" s="11" t="s">
        <v>173</v>
      </c>
      <c r="E294" s="11" t="s">
        <v>173</v>
      </c>
    </row>
    <row r="295" s="29" customFormat="1" ht="156" spans="2:5">
      <c r="B295" s="12" t="s">
        <v>174</v>
      </c>
      <c r="C295" s="12" t="s">
        <v>174</v>
      </c>
      <c r="D295" s="12" t="s">
        <v>174</v>
      </c>
      <c r="E295" s="12" t="s">
        <v>174</v>
      </c>
    </row>
    <row r="296" s="29" customFormat="1" ht="68" spans="2:5">
      <c r="B296" s="13" t="s">
        <v>1645</v>
      </c>
      <c r="C296" s="13" t="s">
        <v>1645</v>
      </c>
      <c r="D296" s="13" t="s">
        <v>1645</v>
      </c>
      <c r="E296" s="13" t="s">
        <v>1645</v>
      </c>
    </row>
    <row r="297" s="29" customFormat="1" ht="22" spans="2:5">
      <c r="B297" s="14" t="s">
        <v>176</v>
      </c>
      <c r="C297" s="14" t="s">
        <v>176</v>
      </c>
      <c r="D297" s="14" t="s">
        <v>176</v>
      </c>
      <c r="E297" s="14" t="s">
        <v>176</v>
      </c>
    </row>
    <row r="298" s="29" customFormat="1" spans="2:5">
      <c r="B298" s="15" t="s">
        <v>177</v>
      </c>
      <c r="C298" s="16" t="s">
        <v>178</v>
      </c>
      <c r="D298" s="17" t="s">
        <v>179</v>
      </c>
      <c r="E298" s="18" t="s">
        <v>180</v>
      </c>
    </row>
    <row r="299" s="29" customFormat="1" ht="41" spans="2:5">
      <c r="B299" s="19" t="s">
        <v>350</v>
      </c>
      <c r="C299" s="20" t="s">
        <v>1191</v>
      </c>
      <c r="D299" s="21">
        <v>10</v>
      </c>
      <c r="E299" s="22">
        <v>1293500</v>
      </c>
    </row>
    <row r="300" s="29" customFormat="1" spans="2:5">
      <c r="B300" s="19" t="s">
        <v>350</v>
      </c>
      <c r="C300" s="16" t="s">
        <v>183</v>
      </c>
      <c r="D300" s="23">
        <v>10</v>
      </c>
      <c r="E300" s="24">
        <v>1293500</v>
      </c>
    </row>
    <row r="301" s="29" customFormat="1" ht="28" spans="2:5">
      <c r="B301" s="19" t="s">
        <v>403</v>
      </c>
      <c r="C301" s="20" t="s">
        <v>804</v>
      </c>
      <c r="D301" s="21">
        <v>4</v>
      </c>
      <c r="E301" s="22">
        <v>628828.828828</v>
      </c>
    </row>
    <row r="302" s="29" customFormat="1" spans="2:5">
      <c r="B302" s="19" t="s">
        <v>403</v>
      </c>
      <c r="C302" s="16" t="s">
        <v>183</v>
      </c>
      <c r="D302" s="23">
        <v>4</v>
      </c>
      <c r="E302" s="24">
        <v>628828.828828</v>
      </c>
    </row>
    <row r="303" s="29" customFormat="1" ht="41" spans="2:5">
      <c r="B303" s="19" t="s">
        <v>1687</v>
      </c>
      <c r="C303" s="20" t="s">
        <v>182</v>
      </c>
      <c r="D303" s="21">
        <v>1</v>
      </c>
      <c r="E303" s="22">
        <v>0</v>
      </c>
    </row>
    <row r="304" s="29" customFormat="1" spans="2:5">
      <c r="B304" s="19" t="s">
        <v>1687</v>
      </c>
      <c r="C304" s="16" t="s">
        <v>183</v>
      </c>
      <c r="D304" s="23">
        <v>1</v>
      </c>
      <c r="E304" s="24">
        <v>0</v>
      </c>
    </row>
    <row r="305" s="29" customFormat="1" ht="41" spans="2:5">
      <c r="B305" s="19" t="s">
        <v>404</v>
      </c>
      <c r="C305" s="20" t="s">
        <v>182</v>
      </c>
      <c r="D305" s="21">
        <v>3</v>
      </c>
      <c r="E305" s="22">
        <v>0</v>
      </c>
    </row>
    <row r="306" s="29" customFormat="1" ht="28" spans="2:5">
      <c r="B306" s="19" t="s">
        <v>404</v>
      </c>
      <c r="C306" s="20" t="s">
        <v>804</v>
      </c>
      <c r="D306" s="21">
        <v>4</v>
      </c>
      <c r="E306" s="22">
        <v>0</v>
      </c>
    </row>
    <row r="307" s="29" customFormat="1" spans="2:5">
      <c r="B307" s="19" t="s">
        <v>404</v>
      </c>
      <c r="C307" s="16" t="s">
        <v>183</v>
      </c>
      <c r="D307" s="23">
        <v>7</v>
      </c>
      <c r="E307" s="24">
        <v>0</v>
      </c>
    </row>
    <row r="308" s="29" customFormat="1" ht="41" spans="2:5">
      <c r="B308" s="19" t="s">
        <v>405</v>
      </c>
      <c r="C308" s="20" t="s">
        <v>182</v>
      </c>
      <c r="D308" s="21">
        <v>8</v>
      </c>
      <c r="E308" s="22">
        <v>0</v>
      </c>
    </row>
    <row r="309" s="29" customFormat="1" ht="28" spans="2:5">
      <c r="B309" s="19" t="s">
        <v>405</v>
      </c>
      <c r="C309" s="20" t="s">
        <v>804</v>
      </c>
      <c r="D309" s="21">
        <v>3</v>
      </c>
      <c r="E309" s="22">
        <v>0</v>
      </c>
    </row>
    <row r="310" s="29" customFormat="1" ht="17.55" spans="2:5">
      <c r="B310" s="19" t="s">
        <v>405</v>
      </c>
      <c r="C310" s="16" t="s">
        <v>183</v>
      </c>
      <c r="D310" s="23">
        <v>11</v>
      </c>
      <c r="E310" s="24">
        <v>0</v>
      </c>
    </row>
    <row r="311" s="29" customFormat="1" spans="2:5">
      <c r="B311" s="25"/>
      <c r="C311" s="25"/>
      <c r="D311" s="25"/>
      <c r="E311" s="25"/>
    </row>
    <row r="312" s="29" customFormat="1" ht="36" spans="2:5">
      <c r="B312" s="26" t="s">
        <v>189</v>
      </c>
      <c r="C312" s="26" t="s">
        <v>189</v>
      </c>
      <c r="D312" s="26" t="s">
        <v>189</v>
      </c>
      <c r="E312" s="26" t="s">
        <v>189</v>
      </c>
    </row>
    <row r="313" s="29" customFormat="1" spans="2:5">
      <c r="B313" s="26"/>
      <c r="C313" s="26"/>
      <c r="D313" s="26"/>
      <c r="E313" s="26"/>
    </row>
    <row r="314" s="29" customFormat="1" ht="36" spans="2:5">
      <c r="B314" s="26" t="s">
        <v>1653</v>
      </c>
      <c r="C314" s="26" t="s">
        <v>1653</v>
      </c>
      <c r="D314" s="26" t="s">
        <v>1653</v>
      </c>
      <c r="E314" s="26" t="s">
        <v>1653</v>
      </c>
    </row>
    <row r="315" s="29" customFormat="1" spans="2:5">
      <c r="B315" s="26" t="s">
        <v>275</v>
      </c>
      <c r="C315" s="26" t="s">
        <v>275</v>
      </c>
      <c r="D315" s="26" t="s">
        <v>275</v>
      </c>
      <c r="E315" s="26" t="s">
        <v>275</v>
      </c>
    </row>
    <row r="316" s="29" customFormat="1" ht="124" spans="2:5">
      <c r="B316" s="11" t="s">
        <v>173</v>
      </c>
      <c r="C316" s="11" t="s">
        <v>173</v>
      </c>
      <c r="D316" s="11" t="s">
        <v>173</v>
      </c>
      <c r="E316" s="11" t="s">
        <v>173</v>
      </c>
    </row>
    <row r="317" s="29" customFormat="1" ht="156" spans="2:5">
      <c r="B317" s="12" t="s">
        <v>174</v>
      </c>
      <c r="C317" s="12" t="s">
        <v>174</v>
      </c>
      <c r="D317" s="12" t="s">
        <v>174</v>
      </c>
      <c r="E317" s="12" t="s">
        <v>174</v>
      </c>
    </row>
    <row r="318" s="29" customFormat="1" ht="68" spans="2:5">
      <c r="B318" s="13" t="s">
        <v>1645</v>
      </c>
      <c r="C318" s="13" t="s">
        <v>1645</v>
      </c>
      <c r="D318" s="13" t="s">
        <v>1645</v>
      </c>
      <c r="E318" s="13" t="s">
        <v>1645</v>
      </c>
    </row>
    <row r="319" s="29" customFormat="1" ht="22" spans="2:5">
      <c r="B319" s="14" t="s">
        <v>176</v>
      </c>
      <c r="C319" s="14" t="s">
        <v>176</v>
      </c>
      <c r="D319" s="14" t="s">
        <v>176</v>
      </c>
      <c r="E319" s="14" t="s">
        <v>176</v>
      </c>
    </row>
    <row r="320" s="29" customFormat="1" spans="2:5">
      <c r="B320" s="15" t="s">
        <v>177</v>
      </c>
      <c r="C320" s="16" t="s">
        <v>178</v>
      </c>
      <c r="D320" s="17" t="s">
        <v>179</v>
      </c>
      <c r="E320" s="18" t="s">
        <v>180</v>
      </c>
    </row>
    <row r="321" s="29" customFormat="1" ht="41" spans="2:5">
      <c r="B321" s="19" t="s">
        <v>1688</v>
      </c>
      <c r="C321" s="20" t="s">
        <v>1191</v>
      </c>
      <c r="D321" s="21">
        <v>1</v>
      </c>
      <c r="E321" s="22">
        <v>0</v>
      </c>
    </row>
    <row r="322" s="29" customFormat="1" ht="41" spans="2:5">
      <c r="B322" s="19" t="s">
        <v>1688</v>
      </c>
      <c r="C322" s="20" t="s">
        <v>182</v>
      </c>
      <c r="D322" s="21">
        <v>1</v>
      </c>
      <c r="E322" s="22">
        <v>0</v>
      </c>
    </row>
    <row r="323" s="29" customFormat="1" spans="2:5">
      <c r="B323" s="19" t="s">
        <v>1688</v>
      </c>
      <c r="C323" s="16" t="s">
        <v>183</v>
      </c>
      <c r="D323" s="23">
        <v>2</v>
      </c>
      <c r="E323" s="24">
        <v>0</v>
      </c>
    </row>
    <row r="324" s="29" customFormat="1" ht="41" spans="2:5">
      <c r="B324" s="19" t="s">
        <v>1463</v>
      </c>
      <c r="C324" s="20" t="s">
        <v>182</v>
      </c>
      <c r="D324" s="21">
        <v>6</v>
      </c>
      <c r="E324" s="22">
        <v>0</v>
      </c>
    </row>
    <row r="325" s="29" customFormat="1" ht="28" spans="2:5">
      <c r="B325" s="19" t="s">
        <v>1463</v>
      </c>
      <c r="C325" s="20" t="s">
        <v>804</v>
      </c>
      <c r="D325" s="21">
        <v>4</v>
      </c>
      <c r="E325" s="22">
        <v>0</v>
      </c>
    </row>
    <row r="326" s="29" customFormat="1" spans="2:5">
      <c r="B326" s="19" t="s">
        <v>1463</v>
      </c>
      <c r="C326" s="16" t="s">
        <v>183</v>
      </c>
      <c r="D326" s="23">
        <v>10</v>
      </c>
      <c r="E326" s="24">
        <v>0</v>
      </c>
    </row>
    <row r="327" s="29" customFormat="1" ht="41" spans="2:5">
      <c r="B327" s="19" t="s">
        <v>187</v>
      </c>
      <c r="C327" s="20" t="s">
        <v>1191</v>
      </c>
      <c r="D327" s="21">
        <v>6</v>
      </c>
      <c r="E327" s="22">
        <v>351000</v>
      </c>
    </row>
    <row r="328" s="29" customFormat="1" ht="41" spans="2:5">
      <c r="B328" s="19" t="s">
        <v>187</v>
      </c>
      <c r="C328" s="20" t="s">
        <v>182</v>
      </c>
      <c r="D328" s="21">
        <v>6</v>
      </c>
      <c r="E328" s="22">
        <v>540540.54054</v>
      </c>
    </row>
    <row r="329" s="29" customFormat="1" spans="2:5">
      <c r="B329" s="19" t="s">
        <v>187</v>
      </c>
      <c r="C329" s="16" t="s">
        <v>183</v>
      </c>
      <c r="D329" s="23">
        <v>12</v>
      </c>
      <c r="E329" s="24">
        <v>891540.54054</v>
      </c>
    </row>
    <row r="330" s="29" customFormat="1" ht="41" spans="2:5">
      <c r="B330" s="19" t="s">
        <v>406</v>
      </c>
      <c r="C330" s="20" t="s">
        <v>182</v>
      </c>
      <c r="D330" s="21">
        <v>5</v>
      </c>
      <c r="E330" s="22">
        <v>669500</v>
      </c>
    </row>
    <row r="331" s="29" customFormat="1" ht="28" spans="2:5">
      <c r="B331" s="19" t="s">
        <v>406</v>
      </c>
      <c r="C331" s="20" t="s">
        <v>804</v>
      </c>
      <c r="D331" s="21">
        <v>3</v>
      </c>
      <c r="E331" s="22">
        <v>618918.612612</v>
      </c>
    </row>
    <row r="332" s="29" customFormat="1" spans="2:5">
      <c r="B332" s="19" t="s">
        <v>406</v>
      </c>
      <c r="C332" s="16" t="s">
        <v>183</v>
      </c>
      <c r="D332" s="23">
        <v>8</v>
      </c>
      <c r="E332" s="24">
        <v>1288418.612612</v>
      </c>
    </row>
    <row r="333" s="29" customFormat="1" ht="28" spans="2:5">
      <c r="B333" s="19" t="s">
        <v>961</v>
      </c>
      <c r="C333" s="20" t="s">
        <v>804</v>
      </c>
      <c r="D333" s="21">
        <v>2</v>
      </c>
      <c r="E333" s="22">
        <v>135135</v>
      </c>
    </row>
    <row r="334" s="29" customFormat="1" ht="28.75" spans="2:5">
      <c r="B334" s="19" t="s">
        <v>961</v>
      </c>
      <c r="C334" s="16" t="s">
        <v>183</v>
      </c>
      <c r="D334" s="23">
        <v>2</v>
      </c>
      <c r="E334" s="24">
        <v>135135</v>
      </c>
    </row>
    <row r="335" s="29" customFormat="1" spans="2:5">
      <c r="B335" s="25"/>
      <c r="C335" s="25"/>
      <c r="D335" s="25"/>
      <c r="E335" s="25"/>
    </row>
    <row r="336" s="29" customFormat="1" ht="36" spans="2:5">
      <c r="B336" s="26" t="s">
        <v>189</v>
      </c>
      <c r="C336" s="26" t="s">
        <v>189</v>
      </c>
      <c r="D336" s="26" t="s">
        <v>189</v>
      </c>
      <c r="E336" s="26" t="s">
        <v>189</v>
      </c>
    </row>
    <row r="337" s="29" customFormat="1" spans="2:5">
      <c r="B337" s="26"/>
      <c r="C337" s="26"/>
      <c r="D337" s="26"/>
      <c r="E337" s="26"/>
    </row>
    <row r="338" s="29" customFormat="1" ht="36" spans="2:5">
      <c r="B338" s="26" t="s">
        <v>1653</v>
      </c>
      <c r="C338" s="26" t="s">
        <v>1653</v>
      </c>
      <c r="D338" s="26" t="s">
        <v>1653</v>
      </c>
      <c r="E338" s="26" t="s">
        <v>1653</v>
      </c>
    </row>
    <row r="339" s="29" customFormat="1" spans="2:5">
      <c r="B339" s="26" t="s">
        <v>282</v>
      </c>
      <c r="C339" s="26" t="s">
        <v>282</v>
      </c>
      <c r="D339" s="26" t="s">
        <v>282</v>
      </c>
      <c r="E339" s="26" t="s">
        <v>282</v>
      </c>
    </row>
    <row r="340" s="29" customFormat="1" ht="124" spans="2:5">
      <c r="B340" s="11" t="s">
        <v>173</v>
      </c>
      <c r="C340" s="11" t="s">
        <v>173</v>
      </c>
      <c r="D340" s="11" t="s">
        <v>173</v>
      </c>
      <c r="E340" s="11" t="s">
        <v>173</v>
      </c>
    </row>
    <row r="341" s="29" customFormat="1" ht="156" spans="2:5">
      <c r="B341" s="12" t="s">
        <v>174</v>
      </c>
      <c r="C341" s="12" t="s">
        <v>174</v>
      </c>
      <c r="D341" s="12" t="s">
        <v>174</v>
      </c>
      <c r="E341" s="12" t="s">
        <v>174</v>
      </c>
    </row>
    <row r="342" s="29" customFormat="1" ht="68" spans="2:5">
      <c r="B342" s="13" t="s">
        <v>1645</v>
      </c>
      <c r="C342" s="13" t="s">
        <v>1645</v>
      </c>
      <c r="D342" s="13" t="s">
        <v>1645</v>
      </c>
      <c r="E342" s="13" t="s">
        <v>1645</v>
      </c>
    </row>
    <row r="343" s="29" customFormat="1" ht="22" spans="2:5">
      <c r="B343" s="14" t="s">
        <v>176</v>
      </c>
      <c r="C343" s="14" t="s">
        <v>176</v>
      </c>
      <c r="D343" s="14" t="s">
        <v>176</v>
      </c>
      <c r="E343" s="14" t="s">
        <v>176</v>
      </c>
    </row>
    <row r="344" s="29" customFormat="1" spans="2:5">
      <c r="B344" s="15" t="s">
        <v>177</v>
      </c>
      <c r="C344" s="16" t="s">
        <v>178</v>
      </c>
      <c r="D344" s="17" t="s">
        <v>179</v>
      </c>
      <c r="E344" s="18" t="s">
        <v>180</v>
      </c>
    </row>
    <row r="345" s="29" customFormat="1" ht="41" spans="2:5">
      <c r="B345" s="19" t="s">
        <v>351</v>
      </c>
      <c r="C345" s="20" t="s">
        <v>1191</v>
      </c>
      <c r="D345" s="21">
        <v>2</v>
      </c>
      <c r="E345" s="22">
        <v>239200</v>
      </c>
    </row>
    <row r="346" s="29" customFormat="1" ht="28" spans="2:5">
      <c r="B346" s="19" t="s">
        <v>351</v>
      </c>
      <c r="C346" s="20" t="s">
        <v>804</v>
      </c>
      <c r="D346" s="21">
        <v>3</v>
      </c>
      <c r="E346" s="22">
        <v>552162.846846</v>
      </c>
    </row>
    <row r="347" s="29" customFormat="1" spans="2:5">
      <c r="B347" s="19" t="s">
        <v>351</v>
      </c>
      <c r="C347" s="16" t="s">
        <v>183</v>
      </c>
      <c r="D347" s="23">
        <v>5</v>
      </c>
      <c r="E347" s="24">
        <v>791362.846846</v>
      </c>
    </row>
    <row r="348" s="29" customFormat="1" ht="41" spans="2:5">
      <c r="B348" s="19" t="s">
        <v>1196</v>
      </c>
      <c r="C348" s="20" t="s">
        <v>182</v>
      </c>
      <c r="D348" s="21">
        <v>1</v>
      </c>
      <c r="E348" s="22">
        <v>91351.351351</v>
      </c>
    </row>
    <row r="349" s="29" customFormat="1" ht="28" spans="2:5">
      <c r="B349" s="19" t="s">
        <v>1196</v>
      </c>
      <c r="C349" s="16" t="s">
        <v>183</v>
      </c>
      <c r="D349" s="23">
        <v>1</v>
      </c>
      <c r="E349" s="24">
        <v>91351.351351</v>
      </c>
    </row>
    <row r="350" s="29" customFormat="1" ht="41" spans="2:5">
      <c r="B350" s="19" t="s">
        <v>407</v>
      </c>
      <c r="C350" s="20" t="s">
        <v>182</v>
      </c>
      <c r="D350" s="21">
        <v>1</v>
      </c>
      <c r="E350" s="22">
        <v>78828.828829</v>
      </c>
    </row>
    <row r="351" s="29" customFormat="1" ht="28" spans="2:5">
      <c r="B351" s="19" t="s">
        <v>407</v>
      </c>
      <c r="C351" s="16" t="s">
        <v>183</v>
      </c>
      <c r="D351" s="23">
        <v>1</v>
      </c>
      <c r="E351" s="24">
        <v>78828.828829</v>
      </c>
    </row>
    <row r="352" s="29" customFormat="1" ht="28" spans="2:5">
      <c r="B352" s="19" t="s">
        <v>192</v>
      </c>
      <c r="C352" s="20" t="s">
        <v>804</v>
      </c>
      <c r="D352" s="21">
        <v>1</v>
      </c>
      <c r="E352" s="22">
        <v>34685</v>
      </c>
    </row>
    <row r="353" s="29" customFormat="1" ht="28" spans="2:5">
      <c r="B353" s="19" t="s">
        <v>192</v>
      </c>
      <c r="C353" s="16" t="s">
        <v>183</v>
      </c>
      <c r="D353" s="23">
        <v>1</v>
      </c>
      <c r="E353" s="24">
        <v>34685</v>
      </c>
    </row>
    <row r="354" s="29" customFormat="1" ht="41" spans="2:5">
      <c r="B354" s="19" t="s">
        <v>1197</v>
      </c>
      <c r="C354" s="20" t="s">
        <v>182</v>
      </c>
      <c r="D354" s="21">
        <v>10</v>
      </c>
      <c r="E354" s="22">
        <v>187200</v>
      </c>
    </row>
    <row r="355" s="29" customFormat="1" ht="28" spans="2:5">
      <c r="B355" s="19" t="s">
        <v>1197</v>
      </c>
      <c r="C355" s="16" t="s">
        <v>183</v>
      </c>
      <c r="D355" s="23">
        <v>10</v>
      </c>
      <c r="E355" s="24">
        <v>187200</v>
      </c>
    </row>
    <row r="356" s="29" customFormat="1" ht="41" spans="2:5">
      <c r="B356" s="19" t="s">
        <v>1689</v>
      </c>
      <c r="C356" s="20" t="s">
        <v>182</v>
      </c>
      <c r="D356" s="21">
        <v>1</v>
      </c>
      <c r="E356" s="22">
        <v>65585.585586</v>
      </c>
    </row>
    <row r="357" s="29" customFormat="1" ht="28" spans="2:5">
      <c r="B357" s="19" t="s">
        <v>1689</v>
      </c>
      <c r="C357" s="16" t="s">
        <v>183</v>
      </c>
      <c r="D357" s="23">
        <v>1</v>
      </c>
      <c r="E357" s="24">
        <v>65585.585586</v>
      </c>
    </row>
    <row r="358" s="29" customFormat="1" ht="41.75" spans="2:5">
      <c r="B358" s="20" t="s">
        <v>408</v>
      </c>
      <c r="C358" s="20" t="s">
        <v>182</v>
      </c>
      <c r="D358" s="21">
        <v>6</v>
      </c>
      <c r="E358" s="22">
        <v>48648.54054</v>
      </c>
    </row>
    <row r="359" s="29" customFormat="1" spans="2:5">
      <c r="B359" s="25"/>
      <c r="C359" s="25"/>
      <c r="D359" s="25"/>
      <c r="E359" s="25"/>
    </row>
    <row r="360" s="29" customFormat="1" ht="36" spans="2:5">
      <c r="B360" s="26" t="s">
        <v>189</v>
      </c>
      <c r="C360" s="26" t="s">
        <v>189</v>
      </c>
      <c r="D360" s="26" t="s">
        <v>189</v>
      </c>
      <c r="E360" s="26" t="s">
        <v>189</v>
      </c>
    </row>
    <row r="361" s="29" customFormat="1" spans="2:5">
      <c r="B361" s="26"/>
      <c r="C361" s="26"/>
      <c r="D361" s="26"/>
      <c r="E361" s="26"/>
    </row>
    <row r="362" s="29" customFormat="1" ht="36" spans="2:5">
      <c r="B362" s="26" t="s">
        <v>1653</v>
      </c>
      <c r="C362" s="26" t="s">
        <v>1653</v>
      </c>
      <c r="D362" s="26" t="s">
        <v>1653</v>
      </c>
      <c r="E362" s="26" t="s">
        <v>1653</v>
      </c>
    </row>
    <row r="363" s="29" customFormat="1" spans="2:5">
      <c r="B363" s="26" t="s">
        <v>289</v>
      </c>
      <c r="C363" s="26" t="s">
        <v>289</v>
      </c>
      <c r="D363" s="26" t="s">
        <v>289</v>
      </c>
      <c r="E363" s="26" t="s">
        <v>289</v>
      </c>
    </row>
    <row r="364" s="29" customFormat="1" ht="124" spans="2:5">
      <c r="B364" s="11" t="s">
        <v>173</v>
      </c>
      <c r="C364" s="11" t="s">
        <v>173</v>
      </c>
      <c r="D364" s="11" t="s">
        <v>173</v>
      </c>
      <c r="E364" s="11" t="s">
        <v>173</v>
      </c>
    </row>
    <row r="365" s="29" customFormat="1" ht="156" spans="2:5">
      <c r="B365" s="12" t="s">
        <v>174</v>
      </c>
      <c r="C365" s="12" t="s">
        <v>174</v>
      </c>
      <c r="D365" s="12" t="s">
        <v>174</v>
      </c>
      <c r="E365" s="12" t="s">
        <v>174</v>
      </c>
    </row>
    <row r="366" s="29" customFormat="1" ht="68" spans="2:5">
      <c r="B366" s="13" t="s">
        <v>1645</v>
      </c>
      <c r="C366" s="13" t="s">
        <v>1645</v>
      </c>
      <c r="D366" s="13" t="s">
        <v>1645</v>
      </c>
      <c r="E366" s="13" t="s">
        <v>1645</v>
      </c>
    </row>
    <row r="367" s="29" customFormat="1" ht="22" spans="2:5">
      <c r="B367" s="14" t="s">
        <v>176</v>
      </c>
      <c r="C367" s="14" t="s">
        <v>176</v>
      </c>
      <c r="D367" s="14" t="s">
        <v>176</v>
      </c>
      <c r="E367" s="14" t="s">
        <v>176</v>
      </c>
    </row>
    <row r="368" s="29" customFormat="1" spans="2:5">
      <c r="B368" s="15" t="s">
        <v>177</v>
      </c>
      <c r="C368" s="16" t="s">
        <v>178</v>
      </c>
      <c r="D368" s="17" t="s">
        <v>179</v>
      </c>
      <c r="E368" s="18" t="s">
        <v>180</v>
      </c>
    </row>
    <row r="369" s="29" customFormat="1" ht="28" spans="2:5">
      <c r="B369" s="19" t="s">
        <v>408</v>
      </c>
      <c r="C369" s="20" t="s">
        <v>804</v>
      </c>
      <c r="D369" s="21">
        <v>3</v>
      </c>
      <c r="E369" s="22">
        <v>24324.216216</v>
      </c>
    </row>
    <row r="370" s="29" customFormat="1" ht="28" spans="2:5">
      <c r="B370" s="19" t="s">
        <v>408</v>
      </c>
      <c r="C370" s="16" t="s">
        <v>183</v>
      </c>
      <c r="D370" s="23">
        <v>9</v>
      </c>
      <c r="E370" s="24">
        <v>72972.756756</v>
      </c>
    </row>
    <row r="371" s="29" customFormat="1" ht="41" spans="2:5">
      <c r="B371" s="19" t="s">
        <v>352</v>
      </c>
      <c r="C371" s="20" t="s">
        <v>182</v>
      </c>
      <c r="D371" s="21">
        <v>12</v>
      </c>
      <c r="E371" s="22">
        <v>57166.216216</v>
      </c>
    </row>
    <row r="372" s="29" customFormat="1" ht="28" spans="2:5">
      <c r="B372" s="19" t="s">
        <v>352</v>
      </c>
      <c r="C372" s="16" t="s">
        <v>183</v>
      </c>
      <c r="D372" s="23">
        <v>12</v>
      </c>
      <c r="E372" s="24">
        <v>57166.216216</v>
      </c>
    </row>
    <row r="373" s="29" customFormat="1" ht="28" spans="2:5">
      <c r="B373" s="19" t="s">
        <v>1199</v>
      </c>
      <c r="C373" s="20" t="s">
        <v>804</v>
      </c>
      <c r="D373" s="21">
        <v>1</v>
      </c>
      <c r="E373" s="22">
        <v>25000</v>
      </c>
    </row>
    <row r="374" s="29" customFormat="1" ht="28" spans="2:5">
      <c r="B374" s="19" t="s">
        <v>1199</v>
      </c>
      <c r="C374" s="16" t="s">
        <v>183</v>
      </c>
      <c r="D374" s="23">
        <v>1</v>
      </c>
      <c r="E374" s="24">
        <v>25000</v>
      </c>
    </row>
    <row r="375" s="29" customFormat="1" ht="41" spans="2:5">
      <c r="B375" s="19" t="s">
        <v>353</v>
      </c>
      <c r="C375" s="20" t="s">
        <v>182</v>
      </c>
      <c r="D375" s="21">
        <v>2</v>
      </c>
      <c r="E375" s="22">
        <v>39639.63964</v>
      </c>
    </row>
    <row r="376" s="29" customFormat="1" ht="28" spans="2:5">
      <c r="B376" s="19" t="s">
        <v>353</v>
      </c>
      <c r="C376" s="16" t="s">
        <v>183</v>
      </c>
      <c r="D376" s="23">
        <v>2</v>
      </c>
      <c r="E376" s="24">
        <v>39639.63964</v>
      </c>
    </row>
    <row r="377" s="29" customFormat="1" ht="41" spans="2:5">
      <c r="B377" s="19" t="s">
        <v>354</v>
      </c>
      <c r="C377" s="20" t="s">
        <v>182</v>
      </c>
      <c r="D377" s="21">
        <v>6</v>
      </c>
      <c r="E377" s="22">
        <v>26756.945945</v>
      </c>
    </row>
    <row r="378" s="29" customFormat="1" ht="28" spans="2:5">
      <c r="B378" s="19" t="s">
        <v>354</v>
      </c>
      <c r="C378" s="16" t="s">
        <v>183</v>
      </c>
      <c r="D378" s="23">
        <v>6</v>
      </c>
      <c r="E378" s="24">
        <v>26756.945945</v>
      </c>
    </row>
    <row r="379" s="29" customFormat="1" ht="41" spans="2:5">
      <c r="B379" s="19" t="s">
        <v>194</v>
      </c>
      <c r="C379" s="20" t="s">
        <v>182</v>
      </c>
      <c r="D379" s="21">
        <v>43</v>
      </c>
      <c r="E379" s="22">
        <v>0</v>
      </c>
    </row>
    <row r="380" s="29" customFormat="1" ht="28" spans="2:5">
      <c r="B380" s="19" t="s">
        <v>194</v>
      </c>
      <c r="C380" s="20" t="s">
        <v>804</v>
      </c>
      <c r="D380" s="21">
        <v>25</v>
      </c>
      <c r="E380" s="22">
        <v>105405.405406</v>
      </c>
    </row>
    <row r="381" s="29" customFormat="1" ht="17.55" spans="2:5">
      <c r="B381" s="19" t="s">
        <v>194</v>
      </c>
      <c r="C381" s="16" t="s">
        <v>183</v>
      </c>
      <c r="D381" s="23">
        <v>68</v>
      </c>
      <c r="E381" s="24">
        <v>105405.405406</v>
      </c>
    </row>
    <row r="382" s="29" customFormat="1" spans="2:5">
      <c r="B382" s="25"/>
      <c r="C382" s="25"/>
      <c r="D382" s="25"/>
      <c r="E382" s="25"/>
    </row>
    <row r="383" s="29" customFormat="1" ht="36" spans="2:5">
      <c r="B383" s="26" t="s">
        <v>189</v>
      </c>
      <c r="C383" s="26" t="s">
        <v>189</v>
      </c>
      <c r="D383" s="26" t="s">
        <v>189</v>
      </c>
      <c r="E383" s="26" t="s">
        <v>189</v>
      </c>
    </row>
    <row r="384" s="29" customFormat="1" spans="2:5">
      <c r="B384" s="26"/>
      <c r="C384" s="26"/>
      <c r="D384" s="26"/>
      <c r="E384" s="26"/>
    </row>
    <row r="385" s="29" customFormat="1" ht="36" spans="2:5">
      <c r="B385" s="26" t="s">
        <v>1653</v>
      </c>
      <c r="C385" s="26" t="s">
        <v>1653</v>
      </c>
      <c r="D385" s="26" t="s">
        <v>1653</v>
      </c>
      <c r="E385" s="26" t="s">
        <v>1653</v>
      </c>
    </row>
    <row r="386" s="29" customFormat="1" spans="2:5">
      <c r="B386" s="26" t="s">
        <v>296</v>
      </c>
      <c r="C386" s="26" t="s">
        <v>296</v>
      </c>
      <c r="D386" s="26" t="s">
        <v>296</v>
      </c>
      <c r="E386" s="26" t="s">
        <v>296</v>
      </c>
    </row>
    <row r="387" s="29" customFormat="1" ht="124" spans="2:5">
      <c r="B387" s="11" t="s">
        <v>173</v>
      </c>
      <c r="C387" s="11" t="s">
        <v>173</v>
      </c>
      <c r="D387" s="11" t="s">
        <v>173</v>
      </c>
      <c r="E387" s="11" t="s">
        <v>173</v>
      </c>
    </row>
    <row r="388" s="29" customFormat="1" ht="156" spans="2:5">
      <c r="B388" s="12" t="s">
        <v>174</v>
      </c>
      <c r="C388" s="12" t="s">
        <v>174</v>
      </c>
      <c r="D388" s="12" t="s">
        <v>174</v>
      </c>
      <c r="E388" s="12" t="s">
        <v>174</v>
      </c>
    </row>
    <row r="389" s="29" customFormat="1" ht="68" spans="2:5">
      <c r="B389" s="13" t="s">
        <v>1645</v>
      </c>
      <c r="C389" s="13" t="s">
        <v>1645</v>
      </c>
      <c r="D389" s="13" t="s">
        <v>1645</v>
      </c>
      <c r="E389" s="13" t="s">
        <v>1645</v>
      </c>
    </row>
    <row r="390" s="29" customFormat="1" ht="22" spans="2:5">
      <c r="B390" s="14" t="s">
        <v>176</v>
      </c>
      <c r="C390" s="14" t="s">
        <v>176</v>
      </c>
      <c r="D390" s="14" t="s">
        <v>176</v>
      </c>
      <c r="E390" s="14" t="s">
        <v>176</v>
      </c>
    </row>
    <row r="391" s="29" customFormat="1" spans="2:5">
      <c r="B391" s="15" t="s">
        <v>177</v>
      </c>
      <c r="C391" s="16" t="s">
        <v>178</v>
      </c>
      <c r="D391" s="17" t="s">
        <v>179</v>
      </c>
      <c r="E391" s="18" t="s">
        <v>180</v>
      </c>
    </row>
    <row r="392" s="29" customFormat="1" ht="41" spans="2:5">
      <c r="B392" s="19" t="s">
        <v>195</v>
      </c>
      <c r="C392" s="20" t="s">
        <v>1191</v>
      </c>
      <c r="D392" s="21">
        <v>5</v>
      </c>
      <c r="E392" s="22">
        <v>132600</v>
      </c>
    </row>
    <row r="393" s="29" customFormat="1" ht="41" spans="2:5">
      <c r="B393" s="19" t="s">
        <v>195</v>
      </c>
      <c r="C393" s="20" t="s">
        <v>182</v>
      </c>
      <c r="D393" s="21">
        <v>20</v>
      </c>
      <c r="E393" s="22">
        <v>0</v>
      </c>
    </row>
    <row r="394" s="29" customFormat="1" ht="28" spans="2:5">
      <c r="B394" s="19" t="s">
        <v>195</v>
      </c>
      <c r="C394" s="20" t="s">
        <v>804</v>
      </c>
      <c r="D394" s="21">
        <v>14</v>
      </c>
      <c r="E394" s="22">
        <v>0</v>
      </c>
    </row>
    <row r="395" s="29" customFormat="1" spans="2:5">
      <c r="B395" s="19" t="s">
        <v>195</v>
      </c>
      <c r="C395" s="16" t="s">
        <v>183</v>
      </c>
      <c r="D395" s="23">
        <v>39</v>
      </c>
      <c r="E395" s="24">
        <v>132600</v>
      </c>
    </row>
    <row r="396" s="29" customFormat="1" ht="41" spans="2:5">
      <c r="B396" s="19" t="s">
        <v>196</v>
      </c>
      <c r="C396" s="20" t="s">
        <v>1191</v>
      </c>
      <c r="D396" s="21">
        <v>5</v>
      </c>
      <c r="E396" s="22">
        <v>182000</v>
      </c>
    </row>
    <row r="397" s="29" customFormat="1" ht="41" spans="2:5">
      <c r="B397" s="19" t="s">
        <v>196</v>
      </c>
      <c r="C397" s="20" t="s">
        <v>182</v>
      </c>
      <c r="D397" s="21">
        <v>34</v>
      </c>
      <c r="E397" s="22">
        <v>63063.063063</v>
      </c>
    </row>
    <row r="398" s="29" customFormat="1" ht="28" spans="2:5">
      <c r="B398" s="19" t="s">
        <v>196</v>
      </c>
      <c r="C398" s="20" t="s">
        <v>804</v>
      </c>
      <c r="D398" s="21">
        <v>9</v>
      </c>
      <c r="E398" s="22">
        <v>0</v>
      </c>
    </row>
    <row r="399" s="29" customFormat="1" spans="2:5">
      <c r="B399" s="19" t="s">
        <v>196</v>
      </c>
      <c r="C399" s="16" t="s">
        <v>183</v>
      </c>
      <c r="D399" s="23">
        <v>48</v>
      </c>
      <c r="E399" s="24">
        <v>245063.063063</v>
      </c>
    </row>
    <row r="400" s="29" customFormat="1" ht="41" spans="2:5">
      <c r="B400" s="19" t="s">
        <v>197</v>
      </c>
      <c r="C400" s="20" t="s">
        <v>1191</v>
      </c>
      <c r="D400" s="21">
        <v>10</v>
      </c>
      <c r="E400" s="22">
        <v>323050</v>
      </c>
    </row>
    <row r="401" s="29" customFormat="1" ht="41" spans="2:5">
      <c r="B401" s="19" t="s">
        <v>197</v>
      </c>
      <c r="C401" s="20" t="s">
        <v>182</v>
      </c>
      <c r="D401" s="21">
        <v>6</v>
      </c>
      <c r="E401" s="22">
        <v>58108.108108</v>
      </c>
    </row>
    <row r="402" s="29" customFormat="1" ht="28" spans="2:5">
      <c r="B402" s="19" t="s">
        <v>197</v>
      </c>
      <c r="C402" s="20" t="s">
        <v>804</v>
      </c>
      <c r="D402" s="21">
        <v>7</v>
      </c>
      <c r="E402" s="22">
        <v>0</v>
      </c>
    </row>
    <row r="403" s="29" customFormat="1" spans="2:5">
      <c r="B403" s="19" t="s">
        <v>197</v>
      </c>
      <c r="C403" s="16" t="s">
        <v>183</v>
      </c>
      <c r="D403" s="23">
        <v>23</v>
      </c>
      <c r="E403" s="24">
        <v>381158.108108</v>
      </c>
    </row>
    <row r="404" s="29" customFormat="1" ht="41" spans="2:5">
      <c r="B404" s="19" t="s">
        <v>410</v>
      </c>
      <c r="C404" s="20" t="s">
        <v>182</v>
      </c>
      <c r="D404" s="21">
        <v>1</v>
      </c>
      <c r="E404" s="22">
        <v>0</v>
      </c>
    </row>
    <row r="405" s="29" customFormat="1" ht="17.55" spans="2:5">
      <c r="B405" s="19" t="s">
        <v>410</v>
      </c>
      <c r="C405" s="16" t="s">
        <v>183</v>
      </c>
      <c r="D405" s="23">
        <v>1</v>
      </c>
      <c r="E405" s="24">
        <v>0</v>
      </c>
    </row>
    <row r="406" s="29" customFormat="1" spans="2:5">
      <c r="B406" s="25"/>
      <c r="C406" s="25"/>
      <c r="D406" s="25"/>
      <c r="E406" s="25"/>
    </row>
    <row r="407" s="29" customFormat="1" ht="36" spans="2:5">
      <c r="B407" s="26" t="s">
        <v>189</v>
      </c>
      <c r="C407" s="26" t="s">
        <v>189</v>
      </c>
      <c r="D407" s="26" t="s">
        <v>189</v>
      </c>
      <c r="E407" s="26" t="s">
        <v>189</v>
      </c>
    </row>
    <row r="408" s="29" customFormat="1" spans="2:5">
      <c r="B408" s="26"/>
      <c r="C408" s="26"/>
      <c r="D408" s="26"/>
      <c r="E408" s="26"/>
    </row>
    <row r="409" s="29" customFormat="1" ht="36" spans="2:5">
      <c r="B409" s="26" t="s">
        <v>1653</v>
      </c>
      <c r="C409" s="26" t="s">
        <v>1653</v>
      </c>
      <c r="D409" s="26" t="s">
        <v>1653</v>
      </c>
      <c r="E409" s="26" t="s">
        <v>1653</v>
      </c>
    </row>
    <row r="410" s="29" customFormat="1" spans="2:5">
      <c r="B410" s="26" t="s">
        <v>303</v>
      </c>
      <c r="C410" s="26" t="s">
        <v>303</v>
      </c>
      <c r="D410" s="26" t="s">
        <v>303</v>
      </c>
      <c r="E410" s="26" t="s">
        <v>303</v>
      </c>
    </row>
    <row r="411" s="29" customFormat="1" ht="124" spans="2:5">
      <c r="B411" s="11" t="s">
        <v>173</v>
      </c>
      <c r="C411" s="11" t="s">
        <v>173</v>
      </c>
      <c r="D411" s="11" t="s">
        <v>173</v>
      </c>
      <c r="E411" s="11" t="s">
        <v>173</v>
      </c>
    </row>
    <row r="412" s="29" customFormat="1" ht="156" spans="2:5">
      <c r="B412" s="12" t="s">
        <v>174</v>
      </c>
      <c r="C412" s="12" t="s">
        <v>174</v>
      </c>
      <c r="D412" s="12" t="s">
        <v>174</v>
      </c>
      <c r="E412" s="12" t="s">
        <v>174</v>
      </c>
    </row>
    <row r="413" s="29" customFormat="1" ht="68" spans="2:5">
      <c r="B413" s="13" t="s">
        <v>1645</v>
      </c>
      <c r="C413" s="13" t="s">
        <v>1645</v>
      </c>
      <c r="D413" s="13" t="s">
        <v>1645</v>
      </c>
      <c r="E413" s="13" t="s">
        <v>1645</v>
      </c>
    </row>
    <row r="414" s="29" customFormat="1" ht="22" spans="2:5">
      <c r="B414" s="14" t="s">
        <v>176</v>
      </c>
      <c r="C414" s="14" t="s">
        <v>176</v>
      </c>
      <c r="D414" s="14" t="s">
        <v>176</v>
      </c>
      <c r="E414" s="14" t="s">
        <v>176</v>
      </c>
    </row>
    <row r="415" s="29" customFormat="1" spans="2:5">
      <c r="B415" s="15" t="s">
        <v>177</v>
      </c>
      <c r="C415" s="16" t="s">
        <v>178</v>
      </c>
      <c r="D415" s="17" t="s">
        <v>179</v>
      </c>
      <c r="E415" s="18" t="s">
        <v>180</v>
      </c>
    </row>
    <row r="416" s="29" customFormat="1" ht="41" spans="2:5">
      <c r="B416" s="19" t="s">
        <v>199</v>
      </c>
      <c r="C416" s="20" t="s">
        <v>1191</v>
      </c>
      <c r="D416" s="21">
        <v>45</v>
      </c>
      <c r="E416" s="22">
        <v>1257750</v>
      </c>
    </row>
    <row r="417" s="29" customFormat="1" ht="41" spans="2:5">
      <c r="B417" s="19" t="s">
        <v>199</v>
      </c>
      <c r="C417" s="20" t="s">
        <v>182</v>
      </c>
      <c r="D417" s="21">
        <v>93</v>
      </c>
      <c r="E417" s="22">
        <v>105405.405406</v>
      </c>
    </row>
    <row r="418" s="29" customFormat="1" ht="28" spans="2:5">
      <c r="B418" s="19" t="s">
        <v>199</v>
      </c>
      <c r="C418" s="20" t="s">
        <v>804</v>
      </c>
      <c r="D418" s="21">
        <v>31</v>
      </c>
      <c r="E418" s="22">
        <v>0</v>
      </c>
    </row>
    <row r="419" s="29" customFormat="1" spans="2:5">
      <c r="B419" s="19" t="s">
        <v>199</v>
      </c>
      <c r="C419" s="16" t="s">
        <v>183</v>
      </c>
      <c r="D419" s="23">
        <v>169</v>
      </c>
      <c r="E419" s="24">
        <v>1363155.405406</v>
      </c>
    </row>
    <row r="420" s="29" customFormat="1" ht="41" spans="2:5">
      <c r="B420" s="19" t="s">
        <v>200</v>
      </c>
      <c r="C420" s="20" t="s">
        <v>1191</v>
      </c>
      <c r="D420" s="21">
        <v>10</v>
      </c>
      <c r="E420" s="22">
        <v>325000</v>
      </c>
    </row>
    <row r="421" s="29" customFormat="1" ht="41" spans="2:5">
      <c r="B421" s="19" t="s">
        <v>200</v>
      </c>
      <c r="C421" s="20" t="s">
        <v>182</v>
      </c>
      <c r="D421" s="21">
        <v>14</v>
      </c>
      <c r="E421" s="22">
        <v>58108.108108</v>
      </c>
    </row>
    <row r="422" s="29" customFormat="1" ht="28" spans="2:5">
      <c r="B422" s="19" t="s">
        <v>200</v>
      </c>
      <c r="C422" s="20" t="s">
        <v>804</v>
      </c>
      <c r="D422" s="21">
        <v>14</v>
      </c>
      <c r="E422" s="22">
        <v>0</v>
      </c>
    </row>
    <row r="423" s="29" customFormat="1" spans="2:5">
      <c r="B423" s="19" t="s">
        <v>200</v>
      </c>
      <c r="C423" s="16" t="s">
        <v>183</v>
      </c>
      <c r="D423" s="23">
        <v>38</v>
      </c>
      <c r="E423" s="24">
        <v>383108.108108</v>
      </c>
    </row>
    <row r="424" s="29" customFormat="1" ht="41" spans="2:5">
      <c r="B424" s="19" t="s">
        <v>201</v>
      </c>
      <c r="C424" s="20" t="s">
        <v>1191</v>
      </c>
      <c r="D424" s="21">
        <v>1</v>
      </c>
      <c r="E424" s="22">
        <v>0</v>
      </c>
    </row>
    <row r="425" s="29" customFormat="1" spans="2:5">
      <c r="B425" s="19" t="s">
        <v>201</v>
      </c>
      <c r="C425" s="16" t="s">
        <v>183</v>
      </c>
      <c r="D425" s="23">
        <v>1</v>
      </c>
      <c r="E425" s="24">
        <v>0</v>
      </c>
    </row>
    <row r="426" s="29" customFormat="1" ht="41" spans="2:5">
      <c r="B426" s="19" t="s">
        <v>355</v>
      </c>
      <c r="C426" s="20" t="s">
        <v>1191</v>
      </c>
      <c r="D426" s="21">
        <v>2</v>
      </c>
      <c r="E426" s="22">
        <v>102050</v>
      </c>
    </row>
    <row r="427" s="29" customFormat="1" spans="2:5">
      <c r="B427" s="19" t="s">
        <v>355</v>
      </c>
      <c r="C427" s="16" t="s">
        <v>183</v>
      </c>
      <c r="D427" s="23">
        <v>2</v>
      </c>
      <c r="E427" s="24">
        <v>102050</v>
      </c>
    </row>
    <row r="428" s="29" customFormat="1" ht="41.75" spans="2:5">
      <c r="B428" s="20" t="s">
        <v>1466</v>
      </c>
      <c r="C428" s="20" t="s">
        <v>182</v>
      </c>
      <c r="D428" s="21">
        <v>1</v>
      </c>
      <c r="E428" s="22">
        <v>0</v>
      </c>
    </row>
    <row r="429" s="29" customFormat="1" spans="2:5">
      <c r="B429" s="25"/>
      <c r="C429" s="25"/>
      <c r="D429" s="25"/>
      <c r="E429" s="25"/>
    </row>
    <row r="430" s="29" customFormat="1" ht="36" spans="2:5">
      <c r="B430" s="26" t="s">
        <v>189</v>
      </c>
      <c r="C430" s="26" t="s">
        <v>189</v>
      </c>
      <c r="D430" s="26" t="s">
        <v>189</v>
      </c>
      <c r="E430" s="26" t="s">
        <v>189</v>
      </c>
    </row>
    <row r="431" s="29" customFormat="1" spans="2:5">
      <c r="B431" s="26"/>
      <c r="C431" s="26"/>
      <c r="D431" s="26"/>
      <c r="E431" s="26"/>
    </row>
    <row r="432" s="29" customFormat="1" ht="36" spans="2:5">
      <c r="B432" s="26" t="s">
        <v>1653</v>
      </c>
      <c r="C432" s="26" t="s">
        <v>1653</v>
      </c>
      <c r="D432" s="26" t="s">
        <v>1653</v>
      </c>
      <c r="E432" s="26" t="s">
        <v>1653</v>
      </c>
    </row>
    <row r="433" s="29" customFormat="1" spans="2:5">
      <c r="B433" s="26" t="s">
        <v>310</v>
      </c>
      <c r="C433" s="26" t="s">
        <v>310</v>
      </c>
      <c r="D433" s="26" t="s">
        <v>310</v>
      </c>
      <c r="E433" s="26" t="s">
        <v>310</v>
      </c>
    </row>
    <row r="434" s="29" customFormat="1" ht="124" spans="2:5">
      <c r="B434" s="11" t="s">
        <v>173</v>
      </c>
      <c r="C434" s="11" t="s">
        <v>173</v>
      </c>
      <c r="D434" s="11" t="s">
        <v>173</v>
      </c>
      <c r="E434" s="11" t="s">
        <v>173</v>
      </c>
    </row>
    <row r="435" s="29" customFormat="1" ht="156" spans="2:5">
      <c r="B435" s="12" t="s">
        <v>174</v>
      </c>
      <c r="C435" s="12" t="s">
        <v>174</v>
      </c>
      <c r="D435" s="12" t="s">
        <v>174</v>
      </c>
      <c r="E435" s="12" t="s">
        <v>174</v>
      </c>
    </row>
    <row r="436" s="29" customFormat="1" ht="68" spans="2:5">
      <c r="B436" s="13" t="s">
        <v>1645</v>
      </c>
      <c r="C436" s="13" t="s">
        <v>1645</v>
      </c>
      <c r="D436" s="13" t="s">
        <v>1645</v>
      </c>
      <c r="E436" s="13" t="s">
        <v>1645</v>
      </c>
    </row>
    <row r="437" s="29" customFormat="1" ht="22" spans="2:5">
      <c r="B437" s="14" t="s">
        <v>176</v>
      </c>
      <c r="C437" s="14" t="s">
        <v>176</v>
      </c>
      <c r="D437" s="14" t="s">
        <v>176</v>
      </c>
      <c r="E437" s="14" t="s">
        <v>176</v>
      </c>
    </row>
    <row r="438" s="29" customFormat="1" spans="2:5">
      <c r="B438" s="15" t="s">
        <v>177</v>
      </c>
      <c r="C438" s="16" t="s">
        <v>178</v>
      </c>
      <c r="D438" s="17" t="s">
        <v>179</v>
      </c>
      <c r="E438" s="18" t="s">
        <v>180</v>
      </c>
    </row>
    <row r="439" s="29" customFormat="1" ht="28" spans="2:5">
      <c r="B439" s="19" t="s">
        <v>1466</v>
      </c>
      <c r="C439" s="20" t="s">
        <v>804</v>
      </c>
      <c r="D439" s="21">
        <v>1</v>
      </c>
      <c r="E439" s="22">
        <v>181531.531532</v>
      </c>
    </row>
    <row r="440" s="29" customFormat="1" spans="2:5">
      <c r="B440" s="19" t="s">
        <v>1466</v>
      </c>
      <c r="C440" s="16" t="s">
        <v>183</v>
      </c>
      <c r="D440" s="23">
        <v>2</v>
      </c>
      <c r="E440" s="24">
        <v>181531.531532</v>
      </c>
    </row>
    <row r="441" s="29" customFormat="1" ht="41" spans="2:5">
      <c r="B441" s="19" t="s">
        <v>1201</v>
      </c>
      <c r="C441" s="20" t="s">
        <v>182</v>
      </c>
      <c r="D441" s="21">
        <v>28</v>
      </c>
      <c r="E441" s="22">
        <v>1891891.89189</v>
      </c>
    </row>
    <row r="442" s="29" customFormat="1" ht="28" spans="2:5">
      <c r="B442" s="19" t="s">
        <v>1201</v>
      </c>
      <c r="C442" s="20" t="s">
        <v>804</v>
      </c>
      <c r="D442" s="21">
        <v>4</v>
      </c>
      <c r="E442" s="22">
        <v>270270.27027</v>
      </c>
    </row>
    <row r="443" s="29" customFormat="1" ht="28" spans="2:5">
      <c r="B443" s="19" t="s">
        <v>1201</v>
      </c>
      <c r="C443" s="16" t="s">
        <v>183</v>
      </c>
      <c r="D443" s="23">
        <v>32</v>
      </c>
      <c r="E443" s="24">
        <v>2162162.16216</v>
      </c>
    </row>
    <row r="444" s="29" customFormat="1" ht="41" spans="2:5">
      <c r="B444" s="19" t="s">
        <v>411</v>
      </c>
      <c r="C444" s="20" t="s">
        <v>182</v>
      </c>
      <c r="D444" s="21">
        <v>20</v>
      </c>
      <c r="E444" s="22">
        <v>194954.954954</v>
      </c>
    </row>
    <row r="445" s="29" customFormat="1" ht="28" spans="2:5">
      <c r="B445" s="19" t="s">
        <v>411</v>
      </c>
      <c r="C445" s="16" t="s">
        <v>183</v>
      </c>
      <c r="D445" s="23">
        <v>20</v>
      </c>
      <c r="E445" s="24">
        <v>194954.954954</v>
      </c>
    </row>
    <row r="446" s="29" customFormat="1" ht="28" spans="2:5">
      <c r="B446" s="19" t="s">
        <v>1690</v>
      </c>
      <c r="C446" s="20" t="s">
        <v>804</v>
      </c>
      <c r="D446" s="21">
        <v>20</v>
      </c>
      <c r="E446" s="22">
        <v>2274774.927928</v>
      </c>
    </row>
    <row r="447" s="29" customFormat="1" ht="28" spans="2:5">
      <c r="B447" s="19" t="s">
        <v>1690</v>
      </c>
      <c r="C447" s="16" t="s">
        <v>183</v>
      </c>
      <c r="D447" s="23">
        <v>20</v>
      </c>
      <c r="E447" s="24">
        <v>2274774.927928</v>
      </c>
    </row>
    <row r="448" s="29" customFormat="1" ht="41" spans="2:5">
      <c r="B448" s="19" t="s">
        <v>202</v>
      </c>
      <c r="C448" s="20" t="s">
        <v>182</v>
      </c>
      <c r="D448" s="21">
        <v>32</v>
      </c>
      <c r="E448" s="22">
        <v>3473873.873872</v>
      </c>
    </row>
    <row r="449" s="29" customFormat="1" ht="28" spans="2:5">
      <c r="B449" s="19" t="s">
        <v>202</v>
      </c>
      <c r="C449" s="20" t="s">
        <v>804</v>
      </c>
      <c r="D449" s="21">
        <v>24</v>
      </c>
      <c r="E449" s="22">
        <v>2688288.126126</v>
      </c>
    </row>
    <row r="450" s="29" customFormat="1" ht="28" spans="2:5">
      <c r="B450" s="19" t="s">
        <v>202</v>
      </c>
      <c r="C450" s="16" t="s">
        <v>183</v>
      </c>
      <c r="D450" s="23">
        <v>56</v>
      </c>
      <c r="E450" s="24">
        <v>6162161.999998</v>
      </c>
    </row>
    <row r="451" s="29" customFormat="1" ht="41.75" spans="2:5">
      <c r="B451" s="20" t="s">
        <v>357</v>
      </c>
      <c r="C451" s="20" t="s">
        <v>182</v>
      </c>
      <c r="D451" s="21">
        <v>4</v>
      </c>
      <c r="E451" s="22">
        <v>389189.189189</v>
      </c>
    </row>
    <row r="452" s="29" customFormat="1" spans="2:5">
      <c r="B452" s="25"/>
      <c r="C452" s="25"/>
      <c r="D452" s="25"/>
      <c r="E452" s="25"/>
    </row>
    <row r="453" s="29" customFormat="1" ht="36" spans="2:5">
      <c r="B453" s="26" t="s">
        <v>189</v>
      </c>
      <c r="C453" s="26" t="s">
        <v>189</v>
      </c>
      <c r="D453" s="26" t="s">
        <v>189</v>
      </c>
      <c r="E453" s="26" t="s">
        <v>189</v>
      </c>
    </row>
    <row r="454" s="29" customFormat="1" spans="2:5">
      <c r="B454" s="26"/>
      <c r="C454" s="26"/>
      <c r="D454" s="26"/>
      <c r="E454" s="26"/>
    </row>
    <row r="455" s="29" customFormat="1" ht="36" spans="2:5">
      <c r="B455" s="26" t="s">
        <v>1653</v>
      </c>
      <c r="C455" s="26" t="s">
        <v>1653</v>
      </c>
      <c r="D455" s="26" t="s">
        <v>1653</v>
      </c>
      <c r="E455" s="26" t="s">
        <v>1653</v>
      </c>
    </row>
    <row r="456" s="29" customFormat="1" spans="2:5">
      <c r="B456" s="26" t="s">
        <v>317</v>
      </c>
      <c r="C456" s="26" t="s">
        <v>317</v>
      </c>
      <c r="D456" s="26" t="s">
        <v>317</v>
      </c>
      <c r="E456" s="26" t="s">
        <v>317</v>
      </c>
    </row>
    <row r="457" s="29" customFormat="1" ht="124" spans="2:5">
      <c r="B457" s="11" t="s">
        <v>173</v>
      </c>
      <c r="C457" s="11" t="s">
        <v>173</v>
      </c>
      <c r="D457" s="11" t="s">
        <v>173</v>
      </c>
      <c r="E457" s="11" t="s">
        <v>173</v>
      </c>
    </row>
    <row r="458" s="29" customFormat="1" ht="156" spans="2:5">
      <c r="B458" s="12" t="s">
        <v>174</v>
      </c>
      <c r="C458" s="12" t="s">
        <v>174</v>
      </c>
      <c r="D458" s="12" t="s">
        <v>174</v>
      </c>
      <c r="E458" s="12" t="s">
        <v>174</v>
      </c>
    </row>
    <row r="459" s="29" customFormat="1" ht="68" spans="2:5">
      <c r="B459" s="13" t="s">
        <v>1645</v>
      </c>
      <c r="C459" s="13" t="s">
        <v>1645</v>
      </c>
      <c r="D459" s="13" t="s">
        <v>1645</v>
      </c>
      <c r="E459" s="13" t="s">
        <v>1645</v>
      </c>
    </row>
    <row r="460" s="29" customFormat="1" ht="22" spans="2:5">
      <c r="B460" s="14" t="s">
        <v>176</v>
      </c>
      <c r="C460" s="14" t="s">
        <v>176</v>
      </c>
      <c r="D460" s="14" t="s">
        <v>176</v>
      </c>
      <c r="E460" s="14" t="s">
        <v>176</v>
      </c>
    </row>
    <row r="461" s="29" customFormat="1" spans="2:5">
      <c r="B461" s="15" t="s">
        <v>177</v>
      </c>
      <c r="C461" s="16" t="s">
        <v>178</v>
      </c>
      <c r="D461" s="17" t="s">
        <v>179</v>
      </c>
      <c r="E461" s="18" t="s">
        <v>180</v>
      </c>
    </row>
    <row r="462" s="29" customFormat="1" ht="28" spans="2:5">
      <c r="B462" s="19" t="s">
        <v>357</v>
      </c>
      <c r="C462" s="20" t="s">
        <v>804</v>
      </c>
      <c r="D462" s="21">
        <v>23</v>
      </c>
      <c r="E462" s="22">
        <v>2215315.315314</v>
      </c>
    </row>
    <row r="463" s="29" customFormat="1" ht="28" spans="2:5">
      <c r="B463" s="19" t="s">
        <v>357</v>
      </c>
      <c r="C463" s="16" t="s">
        <v>183</v>
      </c>
      <c r="D463" s="23">
        <v>27</v>
      </c>
      <c r="E463" s="24">
        <v>2604504.504503</v>
      </c>
    </row>
    <row r="464" s="29" customFormat="1" ht="41" spans="2:5">
      <c r="B464" s="19" t="s">
        <v>491</v>
      </c>
      <c r="C464" s="20" t="s">
        <v>182</v>
      </c>
      <c r="D464" s="21">
        <v>4</v>
      </c>
      <c r="E464" s="22">
        <v>80000</v>
      </c>
    </row>
    <row r="465" s="29" customFormat="1" ht="28" spans="2:5">
      <c r="B465" s="19" t="s">
        <v>491</v>
      </c>
      <c r="C465" s="16" t="s">
        <v>183</v>
      </c>
      <c r="D465" s="23">
        <v>4</v>
      </c>
      <c r="E465" s="24">
        <v>80000</v>
      </c>
    </row>
    <row r="466" s="29" customFormat="1" ht="41" spans="2:5">
      <c r="B466" s="19" t="s">
        <v>412</v>
      </c>
      <c r="C466" s="20" t="s">
        <v>1191</v>
      </c>
      <c r="D466" s="21">
        <v>26</v>
      </c>
      <c r="E466" s="22">
        <v>365430.18018</v>
      </c>
    </row>
    <row r="467" s="29" customFormat="1" ht="41" spans="2:5">
      <c r="B467" s="19" t="s">
        <v>412</v>
      </c>
      <c r="C467" s="20" t="s">
        <v>182</v>
      </c>
      <c r="D467" s="21">
        <v>36</v>
      </c>
      <c r="E467" s="22">
        <v>382342.342342</v>
      </c>
    </row>
    <row r="468" s="29" customFormat="1" ht="28" spans="2:5">
      <c r="B468" s="19" t="s">
        <v>412</v>
      </c>
      <c r="C468" s="20" t="s">
        <v>804</v>
      </c>
      <c r="D468" s="21">
        <v>8</v>
      </c>
      <c r="E468" s="22">
        <v>72072.072072</v>
      </c>
    </row>
    <row r="469" s="29" customFormat="1" ht="28" spans="2:5">
      <c r="B469" s="19" t="s">
        <v>412</v>
      </c>
      <c r="C469" s="16" t="s">
        <v>183</v>
      </c>
      <c r="D469" s="23">
        <v>70</v>
      </c>
      <c r="E469" s="24">
        <v>819844.594594</v>
      </c>
    </row>
    <row r="470" s="29" customFormat="1" ht="28" spans="2:5">
      <c r="B470" s="19" t="s">
        <v>492</v>
      </c>
      <c r="C470" s="20" t="s">
        <v>804</v>
      </c>
      <c r="D470" s="21">
        <v>8</v>
      </c>
      <c r="E470" s="22">
        <v>778378.378378</v>
      </c>
    </row>
    <row r="471" s="29" customFormat="1" ht="28" spans="2:5">
      <c r="B471" s="19" t="s">
        <v>492</v>
      </c>
      <c r="C471" s="16" t="s">
        <v>183</v>
      </c>
      <c r="D471" s="23">
        <v>8</v>
      </c>
      <c r="E471" s="24">
        <v>778378.378378</v>
      </c>
    </row>
    <row r="472" s="29" customFormat="1" ht="41" spans="2:5">
      <c r="B472" s="19" t="s">
        <v>1202</v>
      </c>
      <c r="C472" s="20" t="s">
        <v>182</v>
      </c>
      <c r="D472" s="21">
        <v>4</v>
      </c>
      <c r="E472" s="22">
        <v>752000</v>
      </c>
    </row>
    <row r="473" s="29" customFormat="1" ht="28" spans="2:5">
      <c r="B473" s="19" t="s">
        <v>1202</v>
      </c>
      <c r="C473" s="16" t="s">
        <v>183</v>
      </c>
      <c r="D473" s="23">
        <v>4</v>
      </c>
      <c r="E473" s="24">
        <v>752000</v>
      </c>
    </row>
    <row r="474" s="29" customFormat="1" ht="41" spans="2:5">
      <c r="B474" s="19" t="s">
        <v>1470</v>
      </c>
      <c r="C474" s="20" t="s">
        <v>182</v>
      </c>
      <c r="D474" s="21">
        <v>8</v>
      </c>
      <c r="E474" s="22">
        <v>778378.378378</v>
      </c>
    </row>
    <row r="475" s="29" customFormat="1" ht="28.75" spans="2:5">
      <c r="B475" s="19" t="s">
        <v>1470</v>
      </c>
      <c r="C475" s="16" t="s">
        <v>183</v>
      </c>
      <c r="D475" s="23">
        <v>8</v>
      </c>
      <c r="E475" s="24">
        <v>778378.378378</v>
      </c>
    </row>
    <row r="476" s="29" customFormat="1" spans="2:5">
      <c r="B476" s="25"/>
      <c r="C476" s="25"/>
      <c r="D476" s="25"/>
      <c r="E476" s="25"/>
    </row>
    <row r="477" s="29" customFormat="1" ht="36" spans="2:5">
      <c r="B477" s="26" t="s">
        <v>189</v>
      </c>
      <c r="C477" s="26" t="s">
        <v>189</v>
      </c>
      <c r="D477" s="26" t="s">
        <v>189</v>
      </c>
      <c r="E477" s="26" t="s">
        <v>189</v>
      </c>
    </row>
    <row r="478" s="29" customFormat="1" spans="2:5">
      <c r="B478" s="26"/>
      <c r="C478" s="26"/>
      <c r="D478" s="26"/>
      <c r="E478" s="26"/>
    </row>
    <row r="479" s="29" customFormat="1" ht="36" spans="2:5">
      <c r="B479" s="26" t="s">
        <v>1653</v>
      </c>
      <c r="C479" s="26" t="s">
        <v>1653</v>
      </c>
      <c r="D479" s="26" t="s">
        <v>1653</v>
      </c>
      <c r="E479" s="26" t="s">
        <v>1653</v>
      </c>
    </row>
    <row r="480" s="29" customFormat="1" spans="2:5">
      <c r="B480" s="26" t="s">
        <v>324</v>
      </c>
      <c r="C480" s="26" t="s">
        <v>324</v>
      </c>
      <c r="D480" s="26" t="s">
        <v>324</v>
      </c>
      <c r="E480" s="26" t="s">
        <v>324</v>
      </c>
    </row>
    <row r="481" s="29" customFormat="1" ht="124" spans="2:5">
      <c r="B481" s="11" t="s">
        <v>173</v>
      </c>
      <c r="C481" s="11" t="s">
        <v>173</v>
      </c>
      <c r="D481" s="11" t="s">
        <v>173</v>
      </c>
      <c r="E481" s="11" t="s">
        <v>173</v>
      </c>
    </row>
    <row r="482" s="29" customFormat="1" ht="156" spans="2:5">
      <c r="B482" s="12" t="s">
        <v>174</v>
      </c>
      <c r="C482" s="12" t="s">
        <v>174</v>
      </c>
      <c r="D482" s="12" t="s">
        <v>174</v>
      </c>
      <c r="E482" s="12" t="s">
        <v>174</v>
      </c>
    </row>
    <row r="483" s="29" customFormat="1" ht="68" spans="2:5">
      <c r="B483" s="13" t="s">
        <v>1645</v>
      </c>
      <c r="C483" s="13" t="s">
        <v>1645</v>
      </c>
      <c r="D483" s="13" t="s">
        <v>1645</v>
      </c>
      <c r="E483" s="13" t="s">
        <v>1645</v>
      </c>
    </row>
    <row r="484" s="29" customFormat="1" ht="22" spans="2:5">
      <c r="B484" s="14" t="s">
        <v>176</v>
      </c>
      <c r="C484" s="14" t="s">
        <v>176</v>
      </c>
      <c r="D484" s="14" t="s">
        <v>176</v>
      </c>
      <c r="E484" s="14" t="s">
        <v>176</v>
      </c>
    </row>
    <row r="485" s="29" customFormat="1" spans="2:5">
      <c r="B485" s="15" t="s">
        <v>177</v>
      </c>
      <c r="C485" s="16" t="s">
        <v>178</v>
      </c>
      <c r="D485" s="17" t="s">
        <v>179</v>
      </c>
      <c r="E485" s="18" t="s">
        <v>180</v>
      </c>
    </row>
    <row r="486" s="29" customFormat="1" ht="41" spans="2:5">
      <c r="B486" s="19" t="s">
        <v>414</v>
      </c>
      <c r="C486" s="20" t="s">
        <v>182</v>
      </c>
      <c r="D486" s="21">
        <v>4</v>
      </c>
      <c r="E486" s="22">
        <v>216216.216216</v>
      </c>
    </row>
    <row r="487" s="29" customFormat="1" ht="28" spans="2:5">
      <c r="B487" s="19" t="s">
        <v>414</v>
      </c>
      <c r="C487" s="16" t="s">
        <v>183</v>
      </c>
      <c r="D487" s="23">
        <v>4</v>
      </c>
      <c r="E487" s="24">
        <v>216216.216216</v>
      </c>
    </row>
    <row r="488" s="29" customFormat="1" ht="28" spans="2:5">
      <c r="B488" s="19" t="s">
        <v>963</v>
      </c>
      <c r="C488" s="20" t="s">
        <v>804</v>
      </c>
      <c r="D488" s="21">
        <v>4</v>
      </c>
      <c r="E488" s="22">
        <v>767567.567568</v>
      </c>
    </row>
    <row r="489" s="29" customFormat="1" ht="28" spans="2:5">
      <c r="B489" s="19" t="s">
        <v>963</v>
      </c>
      <c r="C489" s="16" t="s">
        <v>183</v>
      </c>
      <c r="D489" s="23">
        <v>4</v>
      </c>
      <c r="E489" s="24">
        <v>767567.567568</v>
      </c>
    </row>
    <row r="490" s="29" customFormat="1" ht="41" spans="2:5">
      <c r="B490" s="19" t="s">
        <v>1691</v>
      </c>
      <c r="C490" s="20" t="s">
        <v>1191</v>
      </c>
      <c r="D490" s="21">
        <v>4</v>
      </c>
      <c r="E490" s="22">
        <v>172972.972973</v>
      </c>
    </row>
    <row r="491" s="29" customFormat="1" ht="28" spans="2:5">
      <c r="B491" s="19" t="s">
        <v>1691</v>
      </c>
      <c r="C491" s="16" t="s">
        <v>183</v>
      </c>
      <c r="D491" s="23">
        <v>4</v>
      </c>
      <c r="E491" s="24">
        <v>172972.972973</v>
      </c>
    </row>
    <row r="492" s="29" customFormat="1" ht="41" spans="2:5">
      <c r="B492" s="19" t="s">
        <v>415</v>
      </c>
      <c r="C492" s="20" t="s">
        <v>182</v>
      </c>
      <c r="D492" s="21">
        <v>1</v>
      </c>
      <c r="E492" s="22">
        <v>64864.864865</v>
      </c>
    </row>
    <row r="493" s="29" customFormat="1" ht="28" spans="2:5">
      <c r="B493" s="19" t="s">
        <v>415</v>
      </c>
      <c r="C493" s="16" t="s">
        <v>183</v>
      </c>
      <c r="D493" s="23">
        <v>1</v>
      </c>
      <c r="E493" s="24">
        <v>64864.864865</v>
      </c>
    </row>
    <row r="494" s="29" customFormat="1" ht="41" spans="2:5">
      <c r="B494" s="19" t="s">
        <v>203</v>
      </c>
      <c r="C494" s="20" t="s">
        <v>1191</v>
      </c>
      <c r="D494" s="21">
        <v>5</v>
      </c>
      <c r="E494" s="22">
        <v>165428.25</v>
      </c>
    </row>
    <row r="495" s="29" customFormat="1" ht="28" spans="2:5">
      <c r="B495" s="19" t="s">
        <v>203</v>
      </c>
      <c r="C495" s="16" t="s">
        <v>183</v>
      </c>
      <c r="D495" s="23">
        <v>5</v>
      </c>
      <c r="E495" s="24">
        <v>165428.25</v>
      </c>
    </row>
    <row r="496" s="29" customFormat="1" ht="41" spans="2:5">
      <c r="B496" s="19" t="s">
        <v>204</v>
      </c>
      <c r="C496" s="20" t="s">
        <v>1191</v>
      </c>
      <c r="D496" s="21">
        <v>10</v>
      </c>
      <c r="E496" s="22">
        <v>330856.5</v>
      </c>
    </row>
    <row r="497" s="29" customFormat="1" ht="41" spans="2:5">
      <c r="B497" s="19" t="s">
        <v>204</v>
      </c>
      <c r="C497" s="20" t="s">
        <v>182</v>
      </c>
      <c r="D497" s="21">
        <v>1</v>
      </c>
      <c r="E497" s="22">
        <v>45405.198198</v>
      </c>
    </row>
    <row r="498" s="29" customFormat="1" ht="28" spans="2:5">
      <c r="B498" s="19" t="s">
        <v>204</v>
      </c>
      <c r="C498" s="16" t="s">
        <v>183</v>
      </c>
      <c r="D498" s="23">
        <v>11</v>
      </c>
      <c r="E498" s="24">
        <v>376261.698198</v>
      </c>
    </row>
    <row r="499" s="29" customFormat="1" ht="41" spans="2:5">
      <c r="B499" s="19" t="s">
        <v>358</v>
      </c>
      <c r="C499" s="20" t="s">
        <v>182</v>
      </c>
      <c r="D499" s="21">
        <v>1</v>
      </c>
      <c r="E499" s="22">
        <v>47927.504504</v>
      </c>
    </row>
    <row r="500" s="29" customFormat="1" ht="28.75" spans="2:5">
      <c r="B500" s="19" t="s">
        <v>358</v>
      </c>
      <c r="C500" s="16" t="s">
        <v>183</v>
      </c>
      <c r="D500" s="23">
        <v>1</v>
      </c>
      <c r="E500" s="24">
        <v>47927.504504</v>
      </c>
    </row>
    <row r="501" s="29" customFormat="1" spans="2:5">
      <c r="B501" s="25"/>
      <c r="C501" s="25"/>
      <c r="D501" s="25"/>
      <c r="E501" s="25"/>
    </row>
    <row r="502" s="29" customFormat="1" ht="36" spans="2:5">
      <c r="B502" s="26" t="s">
        <v>189</v>
      </c>
      <c r="C502" s="26" t="s">
        <v>189</v>
      </c>
      <c r="D502" s="26" t="s">
        <v>189</v>
      </c>
      <c r="E502" s="26" t="s">
        <v>189</v>
      </c>
    </row>
    <row r="503" s="29" customFormat="1" spans="2:5">
      <c r="B503" s="26"/>
      <c r="C503" s="26"/>
      <c r="D503" s="26"/>
      <c r="E503" s="26"/>
    </row>
    <row r="504" s="29" customFormat="1" ht="36" spans="2:5">
      <c r="B504" s="26" t="s">
        <v>1653</v>
      </c>
      <c r="C504" s="26" t="s">
        <v>1653</v>
      </c>
      <c r="D504" s="26" t="s">
        <v>1653</v>
      </c>
      <c r="E504" s="26" t="s">
        <v>1653</v>
      </c>
    </row>
    <row r="505" s="29" customFormat="1" spans="2:5">
      <c r="B505" s="26" t="s">
        <v>331</v>
      </c>
      <c r="C505" s="26" t="s">
        <v>331</v>
      </c>
      <c r="D505" s="26" t="s">
        <v>331</v>
      </c>
      <c r="E505" s="26" t="s">
        <v>331</v>
      </c>
    </row>
    <row r="506" s="29" customFormat="1" ht="124" spans="2:5">
      <c r="B506" s="11" t="s">
        <v>173</v>
      </c>
      <c r="C506" s="11" t="s">
        <v>173</v>
      </c>
      <c r="D506" s="11" t="s">
        <v>173</v>
      </c>
      <c r="E506" s="11" t="s">
        <v>173</v>
      </c>
    </row>
    <row r="507" s="29" customFormat="1" ht="156" spans="2:5">
      <c r="B507" s="12" t="s">
        <v>174</v>
      </c>
      <c r="C507" s="12" t="s">
        <v>174</v>
      </c>
      <c r="D507" s="12" t="s">
        <v>174</v>
      </c>
      <c r="E507" s="12" t="s">
        <v>174</v>
      </c>
    </row>
    <row r="508" s="29" customFormat="1" ht="68" spans="2:5">
      <c r="B508" s="13" t="s">
        <v>1645</v>
      </c>
      <c r="C508" s="13" t="s">
        <v>1645</v>
      </c>
      <c r="D508" s="13" t="s">
        <v>1645</v>
      </c>
      <c r="E508" s="13" t="s">
        <v>1645</v>
      </c>
    </row>
    <row r="509" s="29" customFormat="1" ht="22" spans="2:5">
      <c r="B509" s="14" t="s">
        <v>176</v>
      </c>
      <c r="C509" s="14" t="s">
        <v>176</v>
      </c>
      <c r="D509" s="14" t="s">
        <v>176</v>
      </c>
      <c r="E509" s="14" t="s">
        <v>176</v>
      </c>
    </row>
    <row r="510" s="29" customFormat="1" spans="2:5">
      <c r="B510" s="15" t="s">
        <v>177</v>
      </c>
      <c r="C510" s="16" t="s">
        <v>178</v>
      </c>
      <c r="D510" s="17" t="s">
        <v>179</v>
      </c>
      <c r="E510" s="18" t="s">
        <v>180</v>
      </c>
    </row>
    <row r="511" s="29" customFormat="1" ht="41" spans="2:5">
      <c r="B511" s="19" t="s">
        <v>359</v>
      </c>
      <c r="C511" s="20" t="s">
        <v>182</v>
      </c>
      <c r="D511" s="21">
        <v>1</v>
      </c>
      <c r="E511" s="22">
        <v>47927.927928</v>
      </c>
    </row>
    <row r="512" s="29" customFormat="1" ht="28" spans="2:5">
      <c r="B512" s="19" t="s">
        <v>359</v>
      </c>
      <c r="C512" s="16" t="s">
        <v>183</v>
      </c>
      <c r="D512" s="23">
        <v>1</v>
      </c>
      <c r="E512" s="24">
        <v>47927.927928</v>
      </c>
    </row>
    <row r="513" s="29" customFormat="1" ht="41" spans="2:5">
      <c r="B513" s="19" t="s">
        <v>206</v>
      </c>
      <c r="C513" s="20" t="s">
        <v>1191</v>
      </c>
      <c r="D513" s="21">
        <v>10</v>
      </c>
      <c r="E513" s="22">
        <v>371845.5</v>
      </c>
    </row>
    <row r="514" s="29" customFormat="1" ht="41" spans="2:5">
      <c r="B514" s="19" t="s">
        <v>206</v>
      </c>
      <c r="C514" s="20" t="s">
        <v>182</v>
      </c>
      <c r="D514" s="21">
        <v>1</v>
      </c>
      <c r="E514" s="22">
        <v>50450.072072</v>
      </c>
    </row>
    <row r="515" s="29" customFormat="1" ht="28" spans="2:5">
      <c r="B515" s="19" t="s">
        <v>206</v>
      </c>
      <c r="C515" s="16" t="s">
        <v>183</v>
      </c>
      <c r="D515" s="23">
        <v>11</v>
      </c>
      <c r="E515" s="24">
        <v>422295.572072</v>
      </c>
    </row>
    <row r="516" s="29" customFormat="1" ht="41" spans="2:5">
      <c r="B516" s="19" t="s">
        <v>207</v>
      </c>
      <c r="C516" s="20" t="s">
        <v>182</v>
      </c>
      <c r="D516" s="21">
        <v>1</v>
      </c>
      <c r="E516" s="22">
        <v>55495.495495</v>
      </c>
    </row>
    <row r="517" s="29" customFormat="1" ht="28" spans="2:5">
      <c r="B517" s="19" t="s">
        <v>207</v>
      </c>
      <c r="C517" s="16" t="s">
        <v>183</v>
      </c>
      <c r="D517" s="23">
        <v>1</v>
      </c>
      <c r="E517" s="24">
        <v>55495.495495</v>
      </c>
    </row>
    <row r="518" s="29" customFormat="1" ht="41" spans="2:5">
      <c r="B518" s="19" t="s">
        <v>208</v>
      </c>
      <c r="C518" s="20" t="s">
        <v>182</v>
      </c>
      <c r="D518" s="21">
        <v>1</v>
      </c>
      <c r="E518" s="22">
        <v>61801.801802</v>
      </c>
    </row>
    <row r="519" s="29" customFormat="1" ht="28" spans="2:5">
      <c r="B519" s="19" t="s">
        <v>208</v>
      </c>
      <c r="C519" s="16" t="s">
        <v>183</v>
      </c>
      <c r="D519" s="23">
        <v>1</v>
      </c>
      <c r="E519" s="24">
        <v>61801.801802</v>
      </c>
    </row>
    <row r="520" s="29" customFormat="1" ht="41" spans="2:5">
      <c r="B520" s="19" t="s">
        <v>360</v>
      </c>
      <c r="C520" s="20" t="s">
        <v>1191</v>
      </c>
      <c r="D520" s="21">
        <v>20</v>
      </c>
      <c r="E520" s="22">
        <v>948649</v>
      </c>
    </row>
    <row r="521" s="29" customFormat="1" ht="28" spans="2:5">
      <c r="B521" s="19" t="s">
        <v>360</v>
      </c>
      <c r="C521" s="16" t="s">
        <v>183</v>
      </c>
      <c r="D521" s="23">
        <v>20</v>
      </c>
      <c r="E521" s="24">
        <v>948649</v>
      </c>
    </row>
    <row r="522" s="29" customFormat="1" ht="28" spans="2:5">
      <c r="B522" s="19" t="s">
        <v>1203</v>
      </c>
      <c r="C522" s="20" t="s">
        <v>804</v>
      </c>
      <c r="D522" s="21">
        <v>1</v>
      </c>
      <c r="E522" s="22">
        <v>458559</v>
      </c>
    </row>
    <row r="523" s="29" customFormat="1" ht="28.75" spans="2:5">
      <c r="B523" s="19" t="s">
        <v>1203</v>
      </c>
      <c r="C523" s="16" t="s">
        <v>183</v>
      </c>
      <c r="D523" s="23">
        <v>1</v>
      </c>
      <c r="E523" s="24">
        <v>458559</v>
      </c>
    </row>
    <row r="524" s="29" customFormat="1" spans="2:5">
      <c r="B524" s="25"/>
      <c r="C524" s="25"/>
      <c r="D524" s="25"/>
      <c r="E524" s="25"/>
    </row>
    <row r="525" s="29" customFormat="1" ht="36" spans="2:5">
      <c r="B525" s="26" t="s">
        <v>189</v>
      </c>
      <c r="C525" s="26" t="s">
        <v>189</v>
      </c>
      <c r="D525" s="26" t="s">
        <v>189</v>
      </c>
      <c r="E525" s="26" t="s">
        <v>189</v>
      </c>
    </row>
    <row r="526" s="29" customFormat="1" spans="2:5">
      <c r="B526" s="26"/>
      <c r="C526" s="26"/>
      <c r="D526" s="26"/>
      <c r="E526" s="26"/>
    </row>
    <row r="527" s="29" customFormat="1" ht="36" spans="2:5">
      <c r="B527" s="26" t="s">
        <v>1653</v>
      </c>
      <c r="C527" s="26" t="s">
        <v>1653</v>
      </c>
      <c r="D527" s="26" t="s">
        <v>1653</v>
      </c>
      <c r="E527" s="26" t="s">
        <v>1653</v>
      </c>
    </row>
    <row r="528" s="29" customFormat="1" spans="2:5">
      <c r="B528" s="26" t="s">
        <v>338</v>
      </c>
      <c r="C528" s="26" t="s">
        <v>338</v>
      </c>
      <c r="D528" s="26" t="s">
        <v>338</v>
      </c>
      <c r="E528" s="26" t="s">
        <v>338</v>
      </c>
    </row>
    <row r="529" s="29" customFormat="1" ht="124" spans="2:5">
      <c r="B529" s="11" t="s">
        <v>173</v>
      </c>
      <c r="C529" s="11" t="s">
        <v>173</v>
      </c>
      <c r="D529" s="11" t="s">
        <v>173</v>
      </c>
      <c r="E529" s="11" t="s">
        <v>173</v>
      </c>
    </row>
    <row r="530" s="29" customFormat="1" ht="156" spans="2:5">
      <c r="B530" s="12" t="s">
        <v>174</v>
      </c>
      <c r="C530" s="12" t="s">
        <v>174</v>
      </c>
      <c r="D530" s="12" t="s">
        <v>174</v>
      </c>
      <c r="E530" s="12" t="s">
        <v>174</v>
      </c>
    </row>
    <row r="531" s="29" customFormat="1" ht="68" spans="2:5">
      <c r="B531" s="13" t="s">
        <v>1645</v>
      </c>
      <c r="C531" s="13" t="s">
        <v>1645</v>
      </c>
      <c r="D531" s="13" t="s">
        <v>1645</v>
      </c>
      <c r="E531" s="13" t="s">
        <v>1645</v>
      </c>
    </row>
    <row r="532" s="29" customFormat="1" ht="22" spans="2:5">
      <c r="B532" s="14" t="s">
        <v>176</v>
      </c>
      <c r="C532" s="14" t="s">
        <v>176</v>
      </c>
      <c r="D532" s="14" t="s">
        <v>176</v>
      </c>
      <c r="E532" s="14" t="s">
        <v>176</v>
      </c>
    </row>
    <row r="533" s="29" customFormat="1" spans="2:5">
      <c r="B533" s="15" t="s">
        <v>177</v>
      </c>
      <c r="C533" s="16" t="s">
        <v>178</v>
      </c>
      <c r="D533" s="17" t="s">
        <v>179</v>
      </c>
      <c r="E533" s="18" t="s">
        <v>180</v>
      </c>
    </row>
    <row r="534" s="29" customFormat="1" ht="41" spans="2:5">
      <c r="B534" s="19" t="s">
        <v>1692</v>
      </c>
      <c r="C534" s="20" t="s">
        <v>182</v>
      </c>
      <c r="D534" s="21">
        <v>2</v>
      </c>
      <c r="E534" s="22">
        <v>257297</v>
      </c>
    </row>
    <row r="535" s="29" customFormat="1" ht="28" spans="2:5">
      <c r="B535" s="19" t="s">
        <v>1692</v>
      </c>
      <c r="C535" s="16" t="s">
        <v>183</v>
      </c>
      <c r="D535" s="23">
        <v>2</v>
      </c>
      <c r="E535" s="24">
        <v>257297</v>
      </c>
    </row>
    <row r="536" s="29" customFormat="1" ht="41" spans="2:5">
      <c r="B536" s="19" t="s">
        <v>418</v>
      </c>
      <c r="C536" s="20" t="s">
        <v>182</v>
      </c>
      <c r="D536" s="21">
        <v>2</v>
      </c>
      <c r="E536" s="22">
        <v>0</v>
      </c>
    </row>
    <row r="537" s="29" customFormat="1" ht="28" spans="2:5">
      <c r="B537" s="19" t="s">
        <v>418</v>
      </c>
      <c r="C537" s="16" t="s">
        <v>183</v>
      </c>
      <c r="D537" s="23">
        <v>2</v>
      </c>
      <c r="E537" s="24">
        <v>0</v>
      </c>
    </row>
    <row r="538" s="29" customFormat="1" ht="41" spans="2:5">
      <c r="B538" s="19" t="s">
        <v>211</v>
      </c>
      <c r="C538" s="20" t="s">
        <v>182</v>
      </c>
      <c r="D538" s="21">
        <v>24</v>
      </c>
      <c r="E538" s="22">
        <v>1574055.369377</v>
      </c>
    </row>
    <row r="539" s="29" customFormat="1" ht="28" spans="2:5">
      <c r="B539" s="19" t="s">
        <v>211</v>
      </c>
      <c r="C539" s="20" t="s">
        <v>804</v>
      </c>
      <c r="D539" s="21">
        <v>8</v>
      </c>
      <c r="E539" s="22">
        <v>524684.918922</v>
      </c>
    </row>
    <row r="540" s="29" customFormat="1" ht="28" spans="2:5">
      <c r="B540" s="19" t="s">
        <v>211</v>
      </c>
      <c r="C540" s="16" t="s">
        <v>183</v>
      </c>
      <c r="D540" s="23">
        <v>32</v>
      </c>
      <c r="E540" s="24">
        <v>2098740.288299</v>
      </c>
    </row>
    <row r="541" s="29" customFormat="1" ht="41" spans="2:5">
      <c r="B541" s="19" t="s">
        <v>213</v>
      </c>
      <c r="C541" s="20" t="s">
        <v>1191</v>
      </c>
      <c r="D541" s="21">
        <v>20</v>
      </c>
      <c r="E541" s="22">
        <v>1013064</v>
      </c>
    </row>
    <row r="542" s="29" customFormat="1" ht="41" spans="2:5">
      <c r="B542" s="19" t="s">
        <v>213</v>
      </c>
      <c r="C542" s="20" t="s">
        <v>182</v>
      </c>
      <c r="D542" s="21">
        <v>39</v>
      </c>
      <c r="E542" s="22">
        <v>2572270.630639</v>
      </c>
    </row>
    <row r="543" s="29" customFormat="1" ht="28" spans="2:5">
      <c r="B543" s="19" t="s">
        <v>213</v>
      </c>
      <c r="C543" s="20" t="s">
        <v>804</v>
      </c>
      <c r="D543" s="21">
        <v>16</v>
      </c>
      <c r="E543" s="22">
        <v>979101.396399</v>
      </c>
    </row>
    <row r="544" s="29" customFormat="1" ht="28" spans="2:5">
      <c r="B544" s="19" t="s">
        <v>213</v>
      </c>
      <c r="C544" s="16" t="s">
        <v>183</v>
      </c>
      <c r="D544" s="23">
        <v>75</v>
      </c>
      <c r="E544" s="24">
        <v>4564436.027038</v>
      </c>
    </row>
    <row r="545" s="29" customFormat="1" ht="41.75" spans="2:5">
      <c r="B545" s="20" t="s">
        <v>214</v>
      </c>
      <c r="C545" s="20" t="s">
        <v>182</v>
      </c>
      <c r="D545" s="21">
        <v>3</v>
      </c>
      <c r="E545" s="22">
        <v>225134.900901</v>
      </c>
    </row>
    <row r="546" s="29" customFormat="1" spans="2:5">
      <c r="B546" s="25"/>
      <c r="C546" s="25"/>
      <c r="D546" s="25"/>
      <c r="E546" s="25"/>
    </row>
    <row r="547" s="29" customFormat="1" ht="36" spans="2:5">
      <c r="B547" s="26" t="s">
        <v>189</v>
      </c>
      <c r="C547" s="26" t="s">
        <v>189</v>
      </c>
      <c r="D547" s="26" t="s">
        <v>189</v>
      </c>
      <c r="E547" s="26" t="s">
        <v>189</v>
      </c>
    </row>
    <row r="548" s="29" customFormat="1" spans="2:5">
      <c r="B548" s="26"/>
      <c r="C548" s="26"/>
      <c r="D548" s="26"/>
      <c r="E548" s="26"/>
    </row>
    <row r="549" s="29" customFormat="1" ht="36" spans="2:5">
      <c r="B549" s="26" t="s">
        <v>1653</v>
      </c>
      <c r="C549" s="26" t="s">
        <v>1653</v>
      </c>
      <c r="D549" s="26" t="s">
        <v>1653</v>
      </c>
      <c r="E549" s="26" t="s">
        <v>1653</v>
      </c>
    </row>
    <row r="550" s="29" customFormat="1" spans="2:5">
      <c r="B550" s="26" t="s">
        <v>342</v>
      </c>
      <c r="C550" s="26" t="s">
        <v>342</v>
      </c>
      <c r="D550" s="26" t="s">
        <v>342</v>
      </c>
      <c r="E550" s="26" t="s">
        <v>342</v>
      </c>
    </row>
    <row r="551" s="29" customFormat="1" ht="124" spans="2:5">
      <c r="B551" s="11" t="s">
        <v>173</v>
      </c>
      <c r="C551" s="11" t="s">
        <v>173</v>
      </c>
      <c r="D551" s="11" t="s">
        <v>173</v>
      </c>
      <c r="E551" s="11" t="s">
        <v>173</v>
      </c>
    </row>
    <row r="552" s="29" customFormat="1" ht="156" spans="2:5">
      <c r="B552" s="12" t="s">
        <v>174</v>
      </c>
      <c r="C552" s="12" t="s">
        <v>174</v>
      </c>
      <c r="D552" s="12" t="s">
        <v>174</v>
      </c>
      <c r="E552" s="12" t="s">
        <v>174</v>
      </c>
    </row>
    <row r="553" s="29" customFormat="1" ht="68" spans="2:5">
      <c r="B553" s="13" t="s">
        <v>1645</v>
      </c>
      <c r="C553" s="13" t="s">
        <v>1645</v>
      </c>
      <c r="D553" s="13" t="s">
        <v>1645</v>
      </c>
      <c r="E553" s="13" t="s">
        <v>1645</v>
      </c>
    </row>
    <row r="554" s="29" customFormat="1" ht="22" spans="2:5">
      <c r="B554" s="14" t="s">
        <v>176</v>
      </c>
      <c r="C554" s="14" t="s">
        <v>176</v>
      </c>
      <c r="D554" s="14" t="s">
        <v>176</v>
      </c>
      <c r="E554" s="14" t="s">
        <v>176</v>
      </c>
    </row>
    <row r="555" s="29" customFormat="1" spans="2:5">
      <c r="B555" s="15" t="s">
        <v>177</v>
      </c>
      <c r="C555" s="16" t="s">
        <v>178</v>
      </c>
      <c r="D555" s="17" t="s">
        <v>179</v>
      </c>
      <c r="E555" s="18" t="s">
        <v>180</v>
      </c>
    </row>
    <row r="556" s="29" customFormat="1" ht="28" spans="2:5">
      <c r="B556" s="19" t="s">
        <v>214</v>
      </c>
      <c r="C556" s="20" t="s">
        <v>804</v>
      </c>
      <c r="D556" s="21">
        <v>2</v>
      </c>
      <c r="E556" s="22">
        <v>150090.09009</v>
      </c>
    </row>
    <row r="557" s="29" customFormat="1" ht="28" spans="2:5">
      <c r="B557" s="19" t="s">
        <v>214</v>
      </c>
      <c r="C557" s="16" t="s">
        <v>183</v>
      </c>
      <c r="D557" s="23">
        <v>5</v>
      </c>
      <c r="E557" s="24">
        <v>375224.990991</v>
      </c>
    </row>
    <row r="558" s="29" customFormat="1" ht="41" spans="2:5">
      <c r="B558" s="19" t="s">
        <v>215</v>
      </c>
      <c r="C558" s="20" t="s">
        <v>182</v>
      </c>
      <c r="D558" s="21">
        <v>6</v>
      </c>
      <c r="E558" s="22">
        <v>450271.387388</v>
      </c>
    </row>
    <row r="559" s="29" customFormat="1" ht="28" spans="2:5">
      <c r="B559" s="19" t="s">
        <v>215</v>
      </c>
      <c r="C559" s="20" t="s">
        <v>804</v>
      </c>
      <c r="D559" s="21">
        <v>4</v>
      </c>
      <c r="E559" s="22">
        <v>150090.369369</v>
      </c>
    </row>
    <row r="560" s="29" customFormat="1" ht="28" spans="2:5">
      <c r="B560" s="19" t="s">
        <v>215</v>
      </c>
      <c r="C560" s="16" t="s">
        <v>183</v>
      </c>
      <c r="D560" s="23">
        <v>10</v>
      </c>
      <c r="E560" s="24">
        <v>600361.756757</v>
      </c>
    </row>
    <row r="561" s="29" customFormat="1" ht="41" spans="2:5">
      <c r="B561" s="19" t="s">
        <v>216</v>
      </c>
      <c r="C561" s="20" t="s">
        <v>182</v>
      </c>
      <c r="D561" s="21">
        <v>1</v>
      </c>
      <c r="E561" s="22">
        <v>0</v>
      </c>
    </row>
    <row r="562" s="29" customFormat="1" ht="28" spans="2:5">
      <c r="B562" s="19" t="s">
        <v>216</v>
      </c>
      <c r="C562" s="16" t="s">
        <v>183</v>
      </c>
      <c r="D562" s="23">
        <v>1</v>
      </c>
      <c r="E562" s="24">
        <v>0</v>
      </c>
    </row>
    <row r="563" s="29" customFormat="1" ht="41" spans="2:5">
      <c r="B563" s="19" t="s">
        <v>364</v>
      </c>
      <c r="C563" s="20" t="s">
        <v>1191</v>
      </c>
      <c r="D563" s="21">
        <v>10</v>
      </c>
      <c r="E563" s="22">
        <v>626574</v>
      </c>
    </row>
    <row r="564" s="29" customFormat="1" ht="41" spans="2:5">
      <c r="B564" s="19" t="s">
        <v>364</v>
      </c>
      <c r="C564" s="20" t="s">
        <v>182</v>
      </c>
      <c r="D564" s="21">
        <v>8</v>
      </c>
      <c r="E564" s="22">
        <v>630630.91892</v>
      </c>
    </row>
    <row r="565" s="29" customFormat="1" ht="28" spans="2:5">
      <c r="B565" s="19" t="s">
        <v>364</v>
      </c>
      <c r="C565" s="16" t="s">
        <v>183</v>
      </c>
      <c r="D565" s="23">
        <v>18</v>
      </c>
      <c r="E565" s="24">
        <v>1257204.91892</v>
      </c>
    </row>
    <row r="566" s="29" customFormat="1" ht="41" spans="2:5">
      <c r="B566" s="19" t="s">
        <v>217</v>
      </c>
      <c r="C566" s="20" t="s">
        <v>182</v>
      </c>
      <c r="D566" s="21">
        <v>11</v>
      </c>
      <c r="E566" s="22">
        <v>794594.59459</v>
      </c>
    </row>
    <row r="567" s="29" customFormat="1" ht="28" spans="2:5">
      <c r="B567" s="19" t="s">
        <v>217</v>
      </c>
      <c r="C567" s="20" t="s">
        <v>804</v>
      </c>
      <c r="D567" s="21">
        <v>12</v>
      </c>
      <c r="E567" s="22">
        <v>953511.360358</v>
      </c>
    </row>
    <row r="568" s="29" customFormat="1" ht="28.75" spans="2:5">
      <c r="B568" s="19" t="s">
        <v>217</v>
      </c>
      <c r="C568" s="16" t="s">
        <v>183</v>
      </c>
      <c r="D568" s="23">
        <v>23</v>
      </c>
      <c r="E568" s="24">
        <v>1748105.954948</v>
      </c>
    </row>
    <row r="569" s="29" customFormat="1" spans="2:5">
      <c r="B569" s="25"/>
      <c r="C569" s="25"/>
      <c r="D569" s="25"/>
      <c r="E569" s="25"/>
    </row>
    <row r="570" s="29" customFormat="1" ht="36" spans="2:5">
      <c r="B570" s="26" t="s">
        <v>189</v>
      </c>
      <c r="C570" s="26" t="s">
        <v>189</v>
      </c>
      <c r="D570" s="26" t="s">
        <v>189</v>
      </c>
      <c r="E570" s="26" t="s">
        <v>189</v>
      </c>
    </row>
    <row r="571" s="29" customFormat="1" spans="2:5">
      <c r="B571" s="26"/>
      <c r="C571" s="26"/>
      <c r="D571" s="26"/>
      <c r="E571" s="26"/>
    </row>
    <row r="572" s="29" customFormat="1" ht="36" spans="2:5">
      <c r="B572" s="26" t="s">
        <v>1653</v>
      </c>
      <c r="C572" s="26" t="s">
        <v>1653</v>
      </c>
      <c r="D572" s="26" t="s">
        <v>1653</v>
      </c>
      <c r="E572" s="26" t="s">
        <v>1653</v>
      </c>
    </row>
    <row r="573" s="29" customFormat="1" spans="2:5">
      <c r="B573" s="26" t="s">
        <v>476</v>
      </c>
      <c r="C573" s="26" t="s">
        <v>476</v>
      </c>
      <c r="D573" s="26" t="s">
        <v>476</v>
      </c>
      <c r="E573" s="26" t="s">
        <v>476</v>
      </c>
    </row>
    <row r="574" s="29" customFormat="1" ht="124" spans="2:5">
      <c r="B574" s="11" t="s">
        <v>173</v>
      </c>
      <c r="C574" s="11" t="s">
        <v>173</v>
      </c>
      <c r="D574" s="11" t="s">
        <v>173</v>
      </c>
      <c r="E574" s="11" t="s">
        <v>173</v>
      </c>
    </row>
    <row r="575" s="29" customFormat="1" ht="156" spans="2:5">
      <c r="B575" s="12" t="s">
        <v>174</v>
      </c>
      <c r="C575" s="12" t="s">
        <v>174</v>
      </c>
      <c r="D575" s="12" t="s">
        <v>174</v>
      </c>
      <c r="E575" s="12" t="s">
        <v>174</v>
      </c>
    </row>
    <row r="576" s="29" customFormat="1" ht="68" spans="2:5">
      <c r="B576" s="13" t="s">
        <v>1645</v>
      </c>
      <c r="C576" s="13" t="s">
        <v>1645</v>
      </c>
      <c r="D576" s="13" t="s">
        <v>1645</v>
      </c>
      <c r="E576" s="13" t="s">
        <v>1645</v>
      </c>
    </row>
    <row r="577" s="29" customFormat="1" ht="22" spans="2:5">
      <c r="B577" s="14" t="s">
        <v>176</v>
      </c>
      <c r="C577" s="14" t="s">
        <v>176</v>
      </c>
      <c r="D577" s="14" t="s">
        <v>176</v>
      </c>
      <c r="E577" s="14" t="s">
        <v>176</v>
      </c>
    </row>
    <row r="578" s="29" customFormat="1" spans="2:5">
      <c r="B578" s="15" t="s">
        <v>177</v>
      </c>
      <c r="C578" s="16" t="s">
        <v>178</v>
      </c>
      <c r="D578" s="17" t="s">
        <v>179</v>
      </c>
      <c r="E578" s="18" t="s">
        <v>180</v>
      </c>
    </row>
    <row r="579" s="29" customFormat="1" ht="41" spans="2:5">
      <c r="B579" s="19" t="s">
        <v>218</v>
      </c>
      <c r="C579" s="20" t="s">
        <v>1191</v>
      </c>
      <c r="D579" s="21">
        <v>30</v>
      </c>
      <c r="E579" s="22">
        <v>2046622.5</v>
      </c>
    </row>
    <row r="580" s="29" customFormat="1" ht="41" spans="2:5">
      <c r="B580" s="19" t="s">
        <v>218</v>
      </c>
      <c r="C580" s="20" t="s">
        <v>182</v>
      </c>
      <c r="D580" s="21">
        <v>17</v>
      </c>
      <c r="E580" s="22">
        <v>1447297.576574</v>
      </c>
    </row>
    <row r="581" s="29" customFormat="1" ht="28" spans="2:5">
      <c r="B581" s="19" t="s">
        <v>218</v>
      </c>
      <c r="C581" s="20" t="s">
        <v>804</v>
      </c>
      <c r="D581" s="21">
        <v>14</v>
      </c>
      <c r="E581" s="22">
        <v>1015540.882881</v>
      </c>
    </row>
    <row r="582" s="29" customFormat="1" ht="28" spans="2:5">
      <c r="B582" s="19" t="s">
        <v>218</v>
      </c>
      <c r="C582" s="16" t="s">
        <v>183</v>
      </c>
      <c r="D582" s="23">
        <v>61</v>
      </c>
      <c r="E582" s="24">
        <v>4509460.959455</v>
      </c>
    </row>
    <row r="583" s="29" customFormat="1" ht="41" spans="2:5">
      <c r="B583" s="19" t="s">
        <v>220</v>
      </c>
      <c r="C583" s="20" t="s">
        <v>1191</v>
      </c>
      <c r="D583" s="21">
        <v>20</v>
      </c>
      <c r="E583" s="22">
        <v>1364415</v>
      </c>
    </row>
    <row r="584" s="29" customFormat="1" ht="41" spans="2:5">
      <c r="B584" s="19" t="s">
        <v>220</v>
      </c>
      <c r="C584" s="20" t="s">
        <v>182</v>
      </c>
      <c r="D584" s="21">
        <v>25</v>
      </c>
      <c r="E584" s="22">
        <v>2147108.108105</v>
      </c>
    </row>
    <row r="585" s="29" customFormat="1" ht="28" spans="2:5">
      <c r="B585" s="19" t="s">
        <v>220</v>
      </c>
      <c r="C585" s="20" t="s">
        <v>804</v>
      </c>
      <c r="D585" s="21">
        <v>5</v>
      </c>
      <c r="E585" s="22">
        <v>425675.675675</v>
      </c>
    </row>
    <row r="586" s="29" customFormat="1" ht="28" spans="2:5">
      <c r="B586" s="19" t="s">
        <v>220</v>
      </c>
      <c r="C586" s="16" t="s">
        <v>183</v>
      </c>
      <c r="D586" s="23">
        <v>50</v>
      </c>
      <c r="E586" s="24">
        <v>3937198.78378</v>
      </c>
    </row>
    <row r="587" s="29" customFormat="1" ht="41" spans="2:5">
      <c r="B587" s="19" t="s">
        <v>221</v>
      </c>
      <c r="C587" s="20" t="s">
        <v>1191</v>
      </c>
      <c r="D587" s="21">
        <v>10</v>
      </c>
      <c r="E587" s="22">
        <v>720271.5</v>
      </c>
    </row>
    <row r="588" s="29" customFormat="1" ht="41" spans="2:5">
      <c r="B588" s="19" t="s">
        <v>221</v>
      </c>
      <c r="C588" s="20" t="s">
        <v>182</v>
      </c>
      <c r="D588" s="21">
        <v>16</v>
      </c>
      <c r="E588" s="22">
        <v>1418919.414415</v>
      </c>
    </row>
    <row r="589" s="29" customFormat="1" ht="28" spans="2:5">
      <c r="B589" s="19" t="s">
        <v>221</v>
      </c>
      <c r="C589" s="20" t="s">
        <v>804</v>
      </c>
      <c r="D589" s="21">
        <v>17</v>
      </c>
      <c r="E589" s="22">
        <v>1422703.927928</v>
      </c>
    </row>
    <row r="590" s="29" customFormat="1" ht="28" spans="2:5">
      <c r="B590" s="19" t="s">
        <v>221</v>
      </c>
      <c r="C590" s="16" t="s">
        <v>183</v>
      </c>
      <c r="D590" s="23">
        <v>43</v>
      </c>
      <c r="E590" s="24">
        <v>3561894.842343</v>
      </c>
    </row>
    <row r="591" s="29" customFormat="1" ht="41.75" spans="2:5">
      <c r="B591" s="20" t="s">
        <v>222</v>
      </c>
      <c r="C591" s="20" t="s">
        <v>182</v>
      </c>
      <c r="D591" s="21">
        <v>8</v>
      </c>
      <c r="E591" s="22">
        <v>692251.990991</v>
      </c>
    </row>
    <row r="592" s="29" customFormat="1" spans="2:5">
      <c r="B592" s="25"/>
      <c r="C592" s="25"/>
      <c r="D592" s="25"/>
      <c r="E592" s="25"/>
    </row>
    <row r="593" s="29" customFormat="1" ht="36" spans="2:5">
      <c r="B593" s="26" t="s">
        <v>189</v>
      </c>
      <c r="C593" s="26" t="s">
        <v>189</v>
      </c>
      <c r="D593" s="26" t="s">
        <v>189</v>
      </c>
      <c r="E593" s="26" t="s">
        <v>189</v>
      </c>
    </row>
    <row r="594" s="29" customFormat="1" spans="2:5">
      <c r="B594" s="26"/>
      <c r="C594" s="26"/>
      <c r="D594" s="26"/>
      <c r="E594" s="26"/>
    </row>
    <row r="595" s="29" customFormat="1" ht="36" spans="2:5">
      <c r="B595" s="26" t="s">
        <v>1653</v>
      </c>
      <c r="C595" s="26" t="s">
        <v>1653</v>
      </c>
      <c r="D595" s="26" t="s">
        <v>1653</v>
      </c>
      <c r="E595" s="26" t="s">
        <v>1653</v>
      </c>
    </row>
    <row r="596" s="29" customFormat="1" spans="2:5">
      <c r="B596" s="26" t="s">
        <v>480</v>
      </c>
      <c r="C596" s="26" t="s">
        <v>480</v>
      </c>
      <c r="D596" s="26" t="s">
        <v>480</v>
      </c>
      <c r="E596" s="26" t="s">
        <v>480</v>
      </c>
    </row>
    <row r="597" s="29" customFormat="1" ht="124" spans="2:5">
      <c r="B597" s="11" t="s">
        <v>173</v>
      </c>
      <c r="C597" s="11" t="s">
        <v>173</v>
      </c>
      <c r="D597" s="11" t="s">
        <v>173</v>
      </c>
      <c r="E597" s="11" t="s">
        <v>173</v>
      </c>
    </row>
    <row r="598" s="29" customFormat="1" ht="156" spans="2:5">
      <c r="B598" s="12" t="s">
        <v>174</v>
      </c>
      <c r="C598" s="12" t="s">
        <v>174</v>
      </c>
      <c r="D598" s="12" t="s">
        <v>174</v>
      </c>
      <c r="E598" s="12" t="s">
        <v>174</v>
      </c>
    </row>
    <row r="599" s="29" customFormat="1" ht="68" spans="2:5">
      <c r="B599" s="13" t="s">
        <v>1645</v>
      </c>
      <c r="C599" s="13" t="s">
        <v>1645</v>
      </c>
      <c r="D599" s="13" t="s">
        <v>1645</v>
      </c>
      <c r="E599" s="13" t="s">
        <v>1645</v>
      </c>
    </row>
    <row r="600" s="29" customFormat="1" ht="22" spans="2:5">
      <c r="B600" s="14" t="s">
        <v>176</v>
      </c>
      <c r="C600" s="14" t="s">
        <v>176</v>
      </c>
      <c r="D600" s="14" t="s">
        <v>176</v>
      </c>
      <c r="E600" s="14" t="s">
        <v>176</v>
      </c>
    </row>
    <row r="601" s="29" customFormat="1" spans="2:5">
      <c r="B601" s="15" t="s">
        <v>177</v>
      </c>
      <c r="C601" s="16" t="s">
        <v>178</v>
      </c>
      <c r="D601" s="17" t="s">
        <v>179</v>
      </c>
      <c r="E601" s="18" t="s">
        <v>180</v>
      </c>
    </row>
    <row r="602" s="29" customFormat="1" ht="28" spans="2:5">
      <c r="B602" s="19" t="s">
        <v>222</v>
      </c>
      <c r="C602" s="20" t="s">
        <v>804</v>
      </c>
      <c r="D602" s="21">
        <v>7</v>
      </c>
      <c r="E602" s="22">
        <v>682072.072073</v>
      </c>
    </row>
    <row r="603" s="29" customFormat="1" ht="28" spans="2:5">
      <c r="B603" s="19" t="s">
        <v>222</v>
      </c>
      <c r="C603" s="16" t="s">
        <v>183</v>
      </c>
      <c r="D603" s="23">
        <v>15</v>
      </c>
      <c r="E603" s="24">
        <v>1374324.063064</v>
      </c>
    </row>
    <row r="604" s="29" customFormat="1" ht="41" spans="2:5">
      <c r="B604" s="19" t="s">
        <v>223</v>
      </c>
      <c r="C604" s="20" t="s">
        <v>182</v>
      </c>
      <c r="D604" s="21">
        <v>2</v>
      </c>
      <c r="E604" s="22">
        <v>153873.873874</v>
      </c>
    </row>
    <row r="605" s="29" customFormat="1" ht="28" spans="2:5">
      <c r="B605" s="19" t="s">
        <v>223</v>
      </c>
      <c r="C605" s="16" t="s">
        <v>183</v>
      </c>
      <c r="D605" s="23">
        <v>2</v>
      </c>
      <c r="E605" s="24">
        <v>153873.873874</v>
      </c>
    </row>
    <row r="606" s="29" customFormat="1" ht="41" spans="2:5">
      <c r="B606" s="19" t="s">
        <v>224</v>
      </c>
      <c r="C606" s="20" t="s">
        <v>182</v>
      </c>
      <c r="D606" s="21">
        <v>2</v>
      </c>
      <c r="E606" s="22">
        <v>165225.612613</v>
      </c>
    </row>
    <row r="607" s="29" customFormat="1" ht="28" spans="2:5">
      <c r="B607" s="19" t="s">
        <v>224</v>
      </c>
      <c r="C607" s="20" t="s">
        <v>804</v>
      </c>
      <c r="D607" s="21">
        <v>2</v>
      </c>
      <c r="E607" s="22">
        <v>236036.036036</v>
      </c>
    </row>
    <row r="608" s="29" customFormat="1" ht="28" spans="2:5">
      <c r="B608" s="19" t="s">
        <v>224</v>
      </c>
      <c r="C608" s="16" t="s">
        <v>183</v>
      </c>
      <c r="D608" s="23">
        <v>4</v>
      </c>
      <c r="E608" s="24">
        <v>401261.648649</v>
      </c>
    </row>
    <row r="609" s="29" customFormat="1" ht="41" spans="2:5">
      <c r="B609" s="19" t="s">
        <v>227</v>
      </c>
      <c r="C609" s="20" t="s">
        <v>1191</v>
      </c>
      <c r="D609" s="21">
        <v>1</v>
      </c>
      <c r="E609" s="22">
        <v>76936.936937</v>
      </c>
    </row>
    <row r="610" s="29" customFormat="1" ht="41" spans="2:5">
      <c r="B610" s="19" t="s">
        <v>227</v>
      </c>
      <c r="C610" s="20" t="s">
        <v>182</v>
      </c>
      <c r="D610" s="21">
        <v>4</v>
      </c>
      <c r="E610" s="22">
        <v>373693.783784</v>
      </c>
    </row>
    <row r="611" s="29" customFormat="1" ht="28" spans="2:5">
      <c r="B611" s="19" t="s">
        <v>227</v>
      </c>
      <c r="C611" s="20" t="s">
        <v>804</v>
      </c>
      <c r="D611" s="21">
        <v>3</v>
      </c>
      <c r="E611" s="22">
        <v>329729.576577</v>
      </c>
    </row>
    <row r="612" s="29" customFormat="1" ht="28" spans="2:5">
      <c r="B612" s="19" t="s">
        <v>227</v>
      </c>
      <c r="C612" s="16" t="s">
        <v>183</v>
      </c>
      <c r="D612" s="23">
        <v>8</v>
      </c>
      <c r="E612" s="24">
        <v>780360.297298</v>
      </c>
    </row>
    <row r="613" s="29" customFormat="1" ht="28" spans="2:5">
      <c r="B613" s="19" t="s">
        <v>969</v>
      </c>
      <c r="C613" s="20" t="s">
        <v>804</v>
      </c>
      <c r="D613" s="21">
        <v>3</v>
      </c>
      <c r="E613" s="22">
        <v>5037837.837838</v>
      </c>
    </row>
    <row r="614" s="29" customFormat="1" ht="28" spans="2:5">
      <c r="B614" s="19" t="s">
        <v>969</v>
      </c>
      <c r="C614" s="16" t="s">
        <v>183</v>
      </c>
      <c r="D614" s="23">
        <v>3</v>
      </c>
      <c r="E614" s="24">
        <v>5037837.837838</v>
      </c>
    </row>
    <row r="615" s="29" customFormat="1" ht="41.75" spans="2:5">
      <c r="B615" s="20" t="s">
        <v>238</v>
      </c>
      <c r="C615" s="20" t="s">
        <v>182</v>
      </c>
      <c r="D615" s="21">
        <v>2</v>
      </c>
      <c r="E615" s="22">
        <v>4188558.558559</v>
      </c>
    </row>
    <row r="616" s="29" customFormat="1" spans="2:5">
      <c r="B616" s="25"/>
      <c r="C616" s="25"/>
      <c r="D616" s="25"/>
      <c r="E616" s="25"/>
    </row>
    <row r="617" s="29" customFormat="1" ht="36" spans="2:5">
      <c r="B617" s="26" t="s">
        <v>189</v>
      </c>
      <c r="C617" s="26" t="s">
        <v>189</v>
      </c>
      <c r="D617" s="26" t="s">
        <v>189</v>
      </c>
      <c r="E617" s="26" t="s">
        <v>189</v>
      </c>
    </row>
    <row r="618" s="29" customFormat="1" spans="2:5">
      <c r="B618" s="26"/>
      <c r="C618" s="26"/>
      <c r="D618" s="26"/>
      <c r="E618" s="26"/>
    </row>
    <row r="619" s="29" customFormat="1" ht="36" spans="2:5">
      <c r="B619" s="26" t="s">
        <v>1653</v>
      </c>
      <c r="C619" s="26" t="s">
        <v>1653</v>
      </c>
      <c r="D619" s="26" t="s">
        <v>1653</v>
      </c>
      <c r="E619" s="26" t="s">
        <v>1653</v>
      </c>
    </row>
    <row r="620" s="29" customFormat="1" spans="2:5">
      <c r="B620" s="26" t="s">
        <v>523</v>
      </c>
      <c r="C620" s="26" t="s">
        <v>523</v>
      </c>
      <c r="D620" s="26" t="s">
        <v>523</v>
      </c>
      <c r="E620" s="26" t="s">
        <v>523</v>
      </c>
    </row>
    <row r="621" s="29" customFormat="1" ht="124" spans="2:5">
      <c r="B621" s="11" t="s">
        <v>173</v>
      </c>
      <c r="C621" s="11" t="s">
        <v>173</v>
      </c>
      <c r="D621" s="11" t="s">
        <v>173</v>
      </c>
      <c r="E621" s="11" t="s">
        <v>173</v>
      </c>
    </row>
    <row r="622" s="29" customFormat="1" ht="156" spans="2:5">
      <c r="B622" s="12" t="s">
        <v>174</v>
      </c>
      <c r="C622" s="12" t="s">
        <v>174</v>
      </c>
      <c r="D622" s="12" t="s">
        <v>174</v>
      </c>
      <c r="E622" s="12" t="s">
        <v>174</v>
      </c>
    </row>
    <row r="623" s="29" customFormat="1" ht="68" spans="2:5">
      <c r="B623" s="13" t="s">
        <v>1645</v>
      </c>
      <c r="C623" s="13" t="s">
        <v>1645</v>
      </c>
      <c r="D623" s="13" t="s">
        <v>1645</v>
      </c>
      <c r="E623" s="13" t="s">
        <v>1645</v>
      </c>
    </row>
    <row r="624" s="29" customFormat="1" ht="22" spans="2:5">
      <c r="B624" s="14" t="s">
        <v>176</v>
      </c>
      <c r="C624" s="14" t="s">
        <v>176</v>
      </c>
      <c r="D624" s="14" t="s">
        <v>176</v>
      </c>
      <c r="E624" s="14" t="s">
        <v>176</v>
      </c>
    </row>
    <row r="625" s="29" customFormat="1" spans="2:5">
      <c r="B625" s="15" t="s">
        <v>177</v>
      </c>
      <c r="C625" s="16" t="s">
        <v>178</v>
      </c>
      <c r="D625" s="17" t="s">
        <v>179</v>
      </c>
      <c r="E625" s="18" t="s">
        <v>180</v>
      </c>
    </row>
    <row r="626" s="29" customFormat="1" ht="28" spans="2:5">
      <c r="B626" s="19" t="s">
        <v>238</v>
      </c>
      <c r="C626" s="20" t="s">
        <v>804</v>
      </c>
      <c r="D626" s="21">
        <v>2</v>
      </c>
      <c r="E626" s="22">
        <v>4409009</v>
      </c>
    </row>
    <row r="627" s="29" customFormat="1" ht="28" spans="2:5">
      <c r="B627" s="19" t="s">
        <v>238</v>
      </c>
      <c r="C627" s="16" t="s">
        <v>183</v>
      </c>
      <c r="D627" s="23">
        <v>4</v>
      </c>
      <c r="E627" s="24">
        <v>8597567.558559</v>
      </c>
    </row>
    <row r="628" s="29" customFormat="1" ht="41" spans="2:5">
      <c r="B628" s="19" t="s">
        <v>243</v>
      </c>
      <c r="C628" s="20" t="s">
        <v>182</v>
      </c>
      <c r="D628" s="21">
        <v>2</v>
      </c>
      <c r="E628" s="22">
        <v>1380180</v>
      </c>
    </row>
    <row r="629" s="29" customFormat="1" ht="28" spans="2:5">
      <c r="B629" s="19" t="s">
        <v>243</v>
      </c>
      <c r="C629" s="20" t="s">
        <v>804</v>
      </c>
      <c r="D629" s="21">
        <v>4</v>
      </c>
      <c r="E629" s="22">
        <v>2760360.36036</v>
      </c>
    </row>
    <row r="630" s="29" customFormat="1" ht="28" spans="2:5">
      <c r="B630" s="19" t="s">
        <v>243</v>
      </c>
      <c r="C630" s="16" t="s">
        <v>183</v>
      </c>
      <c r="D630" s="23">
        <v>6</v>
      </c>
      <c r="E630" s="24">
        <v>4140540.36036</v>
      </c>
    </row>
    <row r="631" s="29" customFormat="1" ht="41" spans="2:5">
      <c r="B631" s="19" t="s">
        <v>245</v>
      </c>
      <c r="C631" s="20" t="s">
        <v>182</v>
      </c>
      <c r="D631" s="21">
        <v>2</v>
      </c>
      <c r="E631" s="22">
        <v>1427026.891892</v>
      </c>
    </row>
    <row r="632" s="29" customFormat="1" ht="28" spans="2:5">
      <c r="B632" s="19" t="s">
        <v>245</v>
      </c>
      <c r="C632" s="20" t="s">
        <v>804</v>
      </c>
      <c r="D632" s="21">
        <v>4</v>
      </c>
      <c r="E632" s="22">
        <v>2702702.702703</v>
      </c>
    </row>
    <row r="633" s="29" customFormat="1" ht="28" spans="2:5">
      <c r="B633" s="19" t="s">
        <v>245</v>
      </c>
      <c r="C633" s="16" t="s">
        <v>183</v>
      </c>
      <c r="D633" s="23">
        <v>6</v>
      </c>
      <c r="E633" s="24">
        <v>4129729.594595</v>
      </c>
    </row>
    <row r="634" s="29" customFormat="1" ht="28" spans="2:5">
      <c r="B634" s="19" t="s">
        <v>249</v>
      </c>
      <c r="C634" s="20" t="s">
        <v>804</v>
      </c>
      <c r="D634" s="21">
        <v>4</v>
      </c>
      <c r="E634" s="22">
        <v>3241441.756757</v>
      </c>
    </row>
    <row r="635" s="29" customFormat="1" ht="28" spans="2:5">
      <c r="B635" s="19" t="s">
        <v>249</v>
      </c>
      <c r="C635" s="16" t="s">
        <v>183</v>
      </c>
      <c r="D635" s="23">
        <v>4</v>
      </c>
      <c r="E635" s="24">
        <v>3241441.756757</v>
      </c>
    </row>
    <row r="636" s="29" customFormat="1" ht="28" spans="2:5">
      <c r="B636" s="19" t="s">
        <v>251</v>
      </c>
      <c r="C636" s="20" t="s">
        <v>804</v>
      </c>
      <c r="D636" s="21">
        <v>4</v>
      </c>
      <c r="E636" s="22">
        <v>3243243.243243</v>
      </c>
    </row>
    <row r="637" s="29" customFormat="1" ht="28" spans="2:5">
      <c r="B637" s="19" t="s">
        <v>251</v>
      </c>
      <c r="C637" s="16" t="s">
        <v>183</v>
      </c>
      <c r="D637" s="23">
        <v>4</v>
      </c>
      <c r="E637" s="24">
        <v>3243243.243243</v>
      </c>
    </row>
    <row r="638" s="29" customFormat="1" ht="41" spans="2:5">
      <c r="B638" s="19" t="s">
        <v>253</v>
      </c>
      <c r="C638" s="20" t="s">
        <v>182</v>
      </c>
      <c r="D638" s="21">
        <v>2</v>
      </c>
      <c r="E638" s="22">
        <v>1922522.522523</v>
      </c>
    </row>
    <row r="639" s="29" customFormat="1" ht="28.75" spans="2:5">
      <c r="B639" s="19" t="s">
        <v>253</v>
      </c>
      <c r="C639" s="16" t="s">
        <v>183</v>
      </c>
      <c r="D639" s="23">
        <v>2</v>
      </c>
      <c r="E639" s="24">
        <v>1922522.522523</v>
      </c>
    </row>
    <row r="640" s="29" customFormat="1" spans="2:5">
      <c r="B640" s="25"/>
      <c r="C640" s="25"/>
      <c r="D640" s="25"/>
      <c r="E640" s="25"/>
    </row>
    <row r="641" s="29" customFormat="1" ht="36" spans="2:5">
      <c r="B641" s="26" t="s">
        <v>189</v>
      </c>
      <c r="C641" s="26" t="s">
        <v>189</v>
      </c>
      <c r="D641" s="26" t="s">
        <v>189</v>
      </c>
      <c r="E641" s="26" t="s">
        <v>189</v>
      </c>
    </row>
    <row r="642" s="29" customFormat="1" spans="2:5">
      <c r="B642" s="26"/>
      <c r="C642" s="26"/>
      <c r="D642" s="26"/>
      <c r="E642" s="26"/>
    </row>
    <row r="643" s="29" customFormat="1" ht="36" spans="2:5">
      <c r="B643" s="26" t="s">
        <v>1653</v>
      </c>
      <c r="C643" s="26" t="s">
        <v>1653</v>
      </c>
      <c r="D643" s="26" t="s">
        <v>1653</v>
      </c>
      <c r="E643" s="26" t="s">
        <v>1653</v>
      </c>
    </row>
    <row r="644" s="29" customFormat="1" spans="2:5">
      <c r="B644" s="26" t="s">
        <v>529</v>
      </c>
      <c r="C644" s="26" t="s">
        <v>529</v>
      </c>
      <c r="D644" s="26" t="s">
        <v>529</v>
      </c>
      <c r="E644" s="26" t="s">
        <v>529</v>
      </c>
    </row>
    <row r="645" s="29" customFormat="1" ht="124" spans="2:5">
      <c r="B645" s="11" t="s">
        <v>173</v>
      </c>
      <c r="C645" s="11" t="s">
        <v>173</v>
      </c>
      <c r="D645" s="11" t="s">
        <v>173</v>
      </c>
      <c r="E645" s="11" t="s">
        <v>173</v>
      </c>
    </row>
    <row r="646" s="29" customFormat="1" ht="156" spans="2:5">
      <c r="B646" s="12" t="s">
        <v>174</v>
      </c>
      <c r="C646" s="12" t="s">
        <v>174</v>
      </c>
      <c r="D646" s="12" t="s">
        <v>174</v>
      </c>
      <c r="E646" s="12" t="s">
        <v>174</v>
      </c>
    </row>
    <row r="647" s="29" customFormat="1" ht="68" spans="2:5">
      <c r="B647" s="13" t="s">
        <v>1645</v>
      </c>
      <c r="C647" s="13" t="s">
        <v>1645</v>
      </c>
      <c r="D647" s="13" t="s">
        <v>1645</v>
      </c>
      <c r="E647" s="13" t="s">
        <v>1645</v>
      </c>
    </row>
    <row r="648" s="29" customFormat="1" ht="22" spans="2:5">
      <c r="B648" s="14" t="s">
        <v>176</v>
      </c>
      <c r="C648" s="14" t="s">
        <v>176</v>
      </c>
      <c r="D648" s="14" t="s">
        <v>176</v>
      </c>
      <c r="E648" s="14" t="s">
        <v>176</v>
      </c>
    </row>
    <row r="649" s="29" customFormat="1" spans="2:5">
      <c r="B649" s="15" t="s">
        <v>177</v>
      </c>
      <c r="C649" s="16" t="s">
        <v>178</v>
      </c>
      <c r="D649" s="17" t="s">
        <v>179</v>
      </c>
      <c r="E649" s="18" t="s">
        <v>180</v>
      </c>
    </row>
    <row r="650" s="29" customFormat="1" ht="28" spans="2:5">
      <c r="B650" s="19" t="s">
        <v>256</v>
      </c>
      <c r="C650" s="20" t="s">
        <v>804</v>
      </c>
      <c r="D650" s="21">
        <v>4</v>
      </c>
      <c r="E650" s="22">
        <v>2472072.306306</v>
      </c>
    </row>
    <row r="651" s="29" customFormat="1" ht="28" spans="2:5">
      <c r="B651" s="19" t="s">
        <v>256</v>
      </c>
      <c r="C651" s="16" t="s">
        <v>183</v>
      </c>
      <c r="D651" s="23">
        <v>4</v>
      </c>
      <c r="E651" s="24">
        <v>2472072.306306</v>
      </c>
    </row>
    <row r="652" s="29" customFormat="1" ht="41" spans="2:5">
      <c r="B652" s="19" t="s">
        <v>259</v>
      </c>
      <c r="C652" s="20" t="s">
        <v>182</v>
      </c>
      <c r="D652" s="21">
        <v>4</v>
      </c>
      <c r="E652" s="22">
        <v>3423423.279279</v>
      </c>
    </row>
    <row r="653" s="29" customFormat="1" ht="28" spans="2:5">
      <c r="B653" s="19" t="s">
        <v>259</v>
      </c>
      <c r="C653" s="16" t="s">
        <v>183</v>
      </c>
      <c r="D653" s="23">
        <v>4</v>
      </c>
      <c r="E653" s="24">
        <v>3423423.279279</v>
      </c>
    </row>
    <row r="654" s="29" customFormat="1" ht="28" spans="2:5">
      <c r="B654" s="19" t="s">
        <v>264</v>
      </c>
      <c r="C654" s="20" t="s">
        <v>804</v>
      </c>
      <c r="D654" s="21">
        <v>2</v>
      </c>
      <c r="E654" s="22">
        <v>2522522.522523</v>
      </c>
    </row>
    <row r="655" s="29" customFormat="1" ht="28" spans="2:5">
      <c r="B655" s="19" t="s">
        <v>264</v>
      </c>
      <c r="C655" s="16" t="s">
        <v>183</v>
      </c>
      <c r="D655" s="23">
        <v>2</v>
      </c>
      <c r="E655" s="24">
        <v>2522522.522523</v>
      </c>
    </row>
    <row r="656" s="29" customFormat="1" ht="28" spans="2:5">
      <c r="B656" s="19" t="s">
        <v>265</v>
      </c>
      <c r="C656" s="20" t="s">
        <v>804</v>
      </c>
      <c r="D656" s="21">
        <v>2</v>
      </c>
      <c r="E656" s="22">
        <v>2522522.891892</v>
      </c>
    </row>
    <row r="657" s="29" customFormat="1" ht="28" spans="2:5">
      <c r="B657" s="19" t="s">
        <v>265</v>
      </c>
      <c r="C657" s="16" t="s">
        <v>183</v>
      </c>
      <c r="D657" s="23">
        <v>2</v>
      </c>
      <c r="E657" s="24">
        <v>2522522.891892</v>
      </c>
    </row>
    <row r="658" s="29" customFormat="1" ht="41" spans="2:5">
      <c r="B658" s="19" t="s">
        <v>267</v>
      </c>
      <c r="C658" s="20" t="s">
        <v>182</v>
      </c>
      <c r="D658" s="21">
        <v>1</v>
      </c>
      <c r="E658" s="22">
        <v>1350450.45045</v>
      </c>
    </row>
    <row r="659" s="29" customFormat="1" ht="28" spans="2:5">
      <c r="B659" s="19" t="s">
        <v>267</v>
      </c>
      <c r="C659" s="20" t="s">
        <v>804</v>
      </c>
      <c r="D659" s="21">
        <v>3</v>
      </c>
      <c r="E659" s="22">
        <v>3872973</v>
      </c>
    </row>
    <row r="660" s="29" customFormat="1" ht="28" spans="2:5">
      <c r="B660" s="19" t="s">
        <v>267</v>
      </c>
      <c r="C660" s="16" t="s">
        <v>183</v>
      </c>
      <c r="D660" s="23">
        <v>4</v>
      </c>
      <c r="E660" s="24">
        <v>5223423.45045</v>
      </c>
    </row>
    <row r="661" s="29" customFormat="1" ht="28" spans="2:5">
      <c r="B661" s="19" t="s">
        <v>1480</v>
      </c>
      <c r="C661" s="20" t="s">
        <v>804</v>
      </c>
      <c r="D661" s="21">
        <v>4</v>
      </c>
      <c r="E661" s="22">
        <v>3657657.540541</v>
      </c>
    </row>
    <row r="662" s="29" customFormat="1" ht="28" spans="2:5">
      <c r="B662" s="19" t="s">
        <v>1480</v>
      </c>
      <c r="C662" s="16" t="s">
        <v>183</v>
      </c>
      <c r="D662" s="23">
        <v>4</v>
      </c>
      <c r="E662" s="24">
        <v>3657657.540541</v>
      </c>
    </row>
    <row r="663" s="29" customFormat="1" ht="28" spans="2:5">
      <c r="B663" s="19" t="s">
        <v>1693</v>
      </c>
      <c r="C663" s="20" t="s">
        <v>804</v>
      </c>
      <c r="D663" s="21">
        <v>1</v>
      </c>
      <c r="E663" s="22">
        <v>1511712</v>
      </c>
    </row>
    <row r="664" s="29" customFormat="1" ht="28.75" spans="2:5">
      <c r="B664" s="19" t="s">
        <v>1693</v>
      </c>
      <c r="C664" s="16" t="s">
        <v>183</v>
      </c>
      <c r="D664" s="23">
        <v>1</v>
      </c>
      <c r="E664" s="24">
        <v>1511712</v>
      </c>
    </row>
    <row r="665" s="29" customFormat="1" spans="2:5">
      <c r="B665" s="25"/>
      <c r="C665" s="25"/>
      <c r="D665" s="25"/>
      <c r="E665" s="25"/>
    </row>
    <row r="666" s="29" customFormat="1" ht="36" spans="2:5">
      <c r="B666" s="26" t="s">
        <v>189</v>
      </c>
      <c r="C666" s="26" t="s">
        <v>189</v>
      </c>
      <c r="D666" s="26" t="s">
        <v>189</v>
      </c>
      <c r="E666" s="26" t="s">
        <v>189</v>
      </c>
    </row>
    <row r="667" s="29" customFormat="1" spans="2:5">
      <c r="B667" s="26"/>
      <c r="C667" s="26"/>
      <c r="D667" s="26"/>
      <c r="E667" s="26"/>
    </row>
    <row r="668" s="29" customFormat="1" ht="36" spans="2:5">
      <c r="B668" s="26" t="s">
        <v>1653</v>
      </c>
      <c r="C668" s="26" t="s">
        <v>1653</v>
      </c>
      <c r="D668" s="26" t="s">
        <v>1653</v>
      </c>
      <c r="E668" s="26" t="s">
        <v>1653</v>
      </c>
    </row>
    <row r="669" s="29" customFormat="1" spans="2:5">
      <c r="B669" s="26" t="s">
        <v>533</v>
      </c>
      <c r="C669" s="26" t="s">
        <v>533</v>
      </c>
      <c r="D669" s="26" t="s">
        <v>533</v>
      </c>
      <c r="E669" s="26" t="s">
        <v>533</v>
      </c>
    </row>
    <row r="670" s="29" customFormat="1" ht="124" spans="2:5">
      <c r="B670" s="11" t="s">
        <v>173</v>
      </c>
      <c r="C670" s="11" t="s">
        <v>173</v>
      </c>
      <c r="D670" s="11" t="s">
        <v>173</v>
      </c>
      <c r="E670" s="11" t="s">
        <v>173</v>
      </c>
    </row>
    <row r="671" s="29" customFormat="1" ht="156" spans="2:5">
      <c r="B671" s="12" t="s">
        <v>174</v>
      </c>
      <c r="C671" s="12" t="s">
        <v>174</v>
      </c>
      <c r="D671" s="12" t="s">
        <v>174</v>
      </c>
      <c r="E671" s="12" t="s">
        <v>174</v>
      </c>
    </row>
    <row r="672" s="29" customFormat="1" ht="68" spans="2:5">
      <c r="B672" s="13" t="s">
        <v>1645</v>
      </c>
      <c r="C672" s="13" t="s">
        <v>1645</v>
      </c>
      <c r="D672" s="13" t="s">
        <v>1645</v>
      </c>
      <c r="E672" s="13" t="s">
        <v>1645</v>
      </c>
    </row>
    <row r="673" s="29" customFormat="1" ht="22" spans="2:5">
      <c r="B673" s="14" t="s">
        <v>176</v>
      </c>
      <c r="C673" s="14" t="s">
        <v>176</v>
      </c>
      <c r="D673" s="14" t="s">
        <v>176</v>
      </c>
      <c r="E673" s="14" t="s">
        <v>176</v>
      </c>
    </row>
    <row r="674" s="29" customFormat="1" spans="2:5">
      <c r="B674" s="15" t="s">
        <v>177</v>
      </c>
      <c r="C674" s="16" t="s">
        <v>178</v>
      </c>
      <c r="D674" s="17" t="s">
        <v>179</v>
      </c>
      <c r="E674" s="18" t="s">
        <v>180</v>
      </c>
    </row>
    <row r="675" s="29" customFormat="1" ht="41" spans="2:5">
      <c r="B675" s="19" t="s">
        <v>1694</v>
      </c>
      <c r="C675" s="20" t="s">
        <v>182</v>
      </c>
      <c r="D675" s="21">
        <v>1</v>
      </c>
      <c r="E675" s="22">
        <v>65000</v>
      </c>
    </row>
    <row r="676" s="29" customFormat="1" spans="2:5">
      <c r="B676" s="19" t="s">
        <v>1694</v>
      </c>
      <c r="C676" s="16" t="s">
        <v>183</v>
      </c>
      <c r="D676" s="23">
        <v>1</v>
      </c>
      <c r="E676" s="24">
        <v>65000</v>
      </c>
    </row>
    <row r="677" s="29" customFormat="1" ht="28" spans="2:5">
      <c r="B677" s="19" t="s">
        <v>1695</v>
      </c>
      <c r="C677" s="20" t="s">
        <v>1664</v>
      </c>
      <c r="D677" s="21">
        <v>1</v>
      </c>
      <c r="E677" s="22">
        <v>3840000</v>
      </c>
    </row>
    <row r="678" s="29" customFormat="1" spans="2:5">
      <c r="B678" s="19" t="s">
        <v>1695</v>
      </c>
      <c r="C678" s="16" t="s">
        <v>183</v>
      </c>
      <c r="D678" s="23">
        <v>1</v>
      </c>
      <c r="E678" s="24">
        <v>3840000</v>
      </c>
    </row>
    <row r="679" s="29" customFormat="1" ht="41" spans="2:5">
      <c r="B679" s="19" t="s">
        <v>975</v>
      </c>
      <c r="C679" s="20" t="s">
        <v>1191</v>
      </c>
      <c r="D679" s="21">
        <v>48</v>
      </c>
      <c r="E679" s="22">
        <v>0</v>
      </c>
    </row>
    <row r="680" s="29" customFormat="1" ht="41" spans="2:5">
      <c r="B680" s="19" t="s">
        <v>975</v>
      </c>
      <c r="C680" s="20" t="s">
        <v>182</v>
      </c>
      <c r="D680" s="21">
        <v>230</v>
      </c>
      <c r="E680" s="22">
        <v>0</v>
      </c>
    </row>
    <row r="681" s="29" customFormat="1" ht="28" spans="2:5">
      <c r="B681" s="19" t="s">
        <v>975</v>
      </c>
      <c r="C681" s="20" t="s">
        <v>804</v>
      </c>
      <c r="D681" s="21">
        <v>98</v>
      </c>
      <c r="E681" s="22">
        <v>270270.27027</v>
      </c>
    </row>
    <row r="682" s="29" customFormat="1" ht="28" spans="2:5">
      <c r="B682" s="19" t="s">
        <v>975</v>
      </c>
      <c r="C682" s="16" t="s">
        <v>183</v>
      </c>
      <c r="D682" s="23">
        <v>376</v>
      </c>
      <c r="E682" s="24">
        <v>270270.27027</v>
      </c>
    </row>
    <row r="683" s="29" customFormat="1" ht="41" spans="2:5">
      <c r="B683" s="19" t="s">
        <v>1484</v>
      </c>
      <c r="C683" s="20" t="s">
        <v>182</v>
      </c>
      <c r="D683" s="21">
        <v>234</v>
      </c>
      <c r="E683" s="22">
        <v>0</v>
      </c>
    </row>
    <row r="684" s="29" customFormat="1" ht="28" spans="2:5">
      <c r="B684" s="19" t="s">
        <v>1484</v>
      </c>
      <c r="C684" s="20" t="s">
        <v>804</v>
      </c>
      <c r="D684" s="21">
        <v>99</v>
      </c>
      <c r="E684" s="22">
        <v>116216.216216</v>
      </c>
    </row>
    <row r="685" s="29" customFormat="1" ht="28" spans="2:5">
      <c r="B685" s="19" t="s">
        <v>1484</v>
      </c>
      <c r="C685" s="16" t="s">
        <v>183</v>
      </c>
      <c r="D685" s="23">
        <v>333</v>
      </c>
      <c r="E685" s="24">
        <v>116216.216216</v>
      </c>
    </row>
    <row r="686" s="29" customFormat="1" ht="41" spans="2:5">
      <c r="B686" s="19" t="s">
        <v>272</v>
      </c>
      <c r="C686" s="20" t="s">
        <v>182</v>
      </c>
      <c r="D686" s="21">
        <v>22</v>
      </c>
      <c r="E686" s="22">
        <v>199999.900902</v>
      </c>
    </row>
    <row r="687" s="29" customFormat="1" ht="28" spans="2:5">
      <c r="B687" s="19" t="s">
        <v>272</v>
      </c>
      <c r="C687" s="20" t="s">
        <v>804</v>
      </c>
      <c r="D687" s="21">
        <v>47</v>
      </c>
      <c r="E687" s="22">
        <v>2133333.333335</v>
      </c>
    </row>
    <row r="688" s="29" customFormat="1" ht="28.75" spans="2:5">
      <c r="B688" s="19" t="s">
        <v>272</v>
      </c>
      <c r="C688" s="16" t="s">
        <v>183</v>
      </c>
      <c r="D688" s="23">
        <v>69</v>
      </c>
      <c r="E688" s="24">
        <v>2333333.234237</v>
      </c>
    </row>
    <row r="689" s="29" customFormat="1" spans="2:5">
      <c r="B689" s="25"/>
      <c r="C689" s="25"/>
      <c r="D689" s="25"/>
      <c r="E689" s="25"/>
    </row>
    <row r="690" s="29" customFormat="1" ht="36" spans="2:5">
      <c r="B690" s="26" t="s">
        <v>189</v>
      </c>
      <c r="C690" s="26" t="s">
        <v>189</v>
      </c>
      <c r="D690" s="26" t="s">
        <v>189</v>
      </c>
      <c r="E690" s="26" t="s">
        <v>189</v>
      </c>
    </row>
    <row r="691" s="29" customFormat="1" spans="2:5">
      <c r="B691" s="26"/>
      <c r="C691" s="26"/>
      <c r="D691" s="26"/>
      <c r="E691" s="26"/>
    </row>
    <row r="692" s="29" customFormat="1" ht="36" spans="2:5">
      <c r="B692" s="26" t="s">
        <v>1653</v>
      </c>
      <c r="C692" s="26" t="s">
        <v>1653</v>
      </c>
      <c r="D692" s="26" t="s">
        <v>1653</v>
      </c>
      <c r="E692" s="26" t="s">
        <v>1653</v>
      </c>
    </row>
    <row r="693" s="29" customFormat="1" spans="2:5">
      <c r="B693" s="26" t="s">
        <v>540</v>
      </c>
      <c r="C693" s="26" t="s">
        <v>540</v>
      </c>
      <c r="D693" s="26" t="s">
        <v>540</v>
      </c>
      <c r="E693" s="26" t="s">
        <v>540</v>
      </c>
    </row>
    <row r="694" s="29" customFormat="1" ht="124" spans="2:5">
      <c r="B694" s="11" t="s">
        <v>173</v>
      </c>
      <c r="C694" s="11" t="s">
        <v>173</v>
      </c>
      <c r="D694" s="11" t="s">
        <v>173</v>
      </c>
      <c r="E694" s="11" t="s">
        <v>173</v>
      </c>
    </row>
    <row r="695" s="29" customFormat="1" ht="156" spans="2:5">
      <c r="B695" s="12" t="s">
        <v>174</v>
      </c>
      <c r="C695" s="12" t="s">
        <v>174</v>
      </c>
      <c r="D695" s="12" t="s">
        <v>174</v>
      </c>
      <c r="E695" s="12" t="s">
        <v>174</v>
      </c>
    </row>
    <row r="696" s="29" customFormat="1" ht="68" spans="2:5">
      <c r="B696" s="13" t="s">
        <v>1645</v>
      </c>
      <c r="C696" s="13" t="s">
        <v>1645</v>
      </c>
      <c r="D696" s="13" t="s">
        <v>1645</v>
      </c>
      <c r="E696" s="13" t="s">
        <v>1645</v>
      </c>
    </row>
    <row r="697" s="29" customFormat="1" ht="22" spans="2:5">
      <c r="B697" s="14" t="s">
        <v>176</v>
      </c>
      <c r="C697" s="14" t="s">
        <v>176</v>
      </c>
      <c r="D697" s="14" t="s">
        <v>176</v>
      </c>
      <c r="E697" s="14" t="s">
        <v>176</v>
      </c>
    </row>
    <row r="698" s="29" customFormat="1" spans="2:5">
      <c r="B698" s="15" t="s">
        <v>177</v>
      </c>
      <c r="C698" s="16" t="s">
        <v>178</v>
      </c>
      <c r="D698" s="17" t="s">
        <v>179</v>
      </c>
      <c r="E698" s="18" t="s">
        <v>180</v>
      </c>
    </row>
    <row r="699" s="29" customFormat="1" ht="41" spans="2:5">
      <c r="B699" s="19" t="s">
        <v>421</v>
      </c>
      <c r="C699" s="20" t="s">
        <v>182</v>
      </c>
      <c r="D699" s="21">
        <v>2</v>
      </c>
      <c r="E699" s="22">
        <v>66666.864865</v>
      </c>
    </row>
    <row r="700" s="29" customFormat="1" ht="28" spans="2:5">
      <c r="B700" s="19" t="s">
        <v>421</v>
      </c>
      <c r="C700" s="20" t="s">
        <v>804</v>
      </c>
      <c r="D700" s="21">
        <v>5</v>
      </c>
      <c r="E700" s="22">
        <v>266666.666666</v>
      </c>
    </row>
    <row r="701" s="29" customFormat="1" ht="28" spans="2:5">
      <c r="B701" s="19" t="s">
        <v>421</v>
      </c>
      <c r="C701" s="16" t="s">
        <v>183</v>
      </c>
      <c r="D701" s="23">
        <v>7</v>
      </c>
      <c r="E701" s="24">
        <v>333333.531531</v>
      </c>
    </row>
    <row r="702" s="29" customFormat="1" ht="41" spans="2:5">
      <c r="B702" s="19" t="s">
        <v>273</v>
      </c>
      <c r="C702" s="20" t="s">
        <v>182</v>
      </c>
      <c r="D702" s="21">
        <v>4</v>
      </c>
      <c r="E702" s="22">
        <v>0</v>
      </c>
    </row>
    <row r="703" s="29" customFormat="1" ht="28" spans="2:5">
      <c r="B703" s="19" t="s">
        <v>273</v>
      </c>
      <c r="C703" s="16" t="s">
        <v>183</v>
      </c>
      <c r="D703" s="23">
        <v>4</v>
      </c>
      <c r="E703" s="24">
        <v>0</v>
      </c>
    </row>
    <row r="704" s="29" customFormat="1" ht="41" spans="2:5">
      <c r="B704" s="19" t="s">
        <v>274</v>
      </c>
      <c r="C704" s="20" t="s">
        <v>182</v>
      </c>
      <c r="D704" s="21">
        <v>1</v>
      </c>
      <c r="E704" s="22">
        <v>0</v>
      </c>
    </row>
    <row r="705" s="29" customFormat="1" ht="28" spans="2:5">
      <c r="B705" s="19" t="s">
        <v>274</v>
      </c>
      <c r="C705" s="16" t="s">
        <v>183</v>
      </c>
      <c r="D705" s="23">
        <v>1</v>
      </c>
      <c r="E705" s="24">
        <v>0</v>
      </c>
    </row>
    <row r="706" s="29" customFormat="1" ht="41" spans="2:5">
      <c r="B706" s="19" t="s">
        <v>583</v>
      </c>
      <c r="C706" s="20" t="s">
        <v>182</v>
      </c>
      <c r="D706" s="21">
        <v>4</v>
      </c>
      <c r="E706" s="22">
        <v>0</v>
      </c>
    </row>
    <row r="707" s="29" customFormat="1" ht="28" spans="2:5">
      <c r="B707" s="19" t="s">
        <v>583</v>
      </c>
      <c r="C707" s="16" t="s">
        <v>183</v>
      </c>
      <c r="D707" s="23">
        <v>4</v>
      </c>
      <c r="E707" s="24">
        <v>0</v>
      </c>
    </row>
    <row r="708" s="29" customFormat="1" ht="28" spans="2:5">
      <c r="B708" s="19" t="s">
        <v>367</v>
      </c>
      <c r="C708" s="20" t="s">
        <v>804</v>
      </c>
      <c r="D708" s="21">
        <v>1</v>
      </c>
      <c r="E708" s="22">
        <v>0</v>
      </c>
    </row>
    <row r="709" s="29" customFormat="1" ht="28" spans="2:5">
      <c r="B709" s="19" t="s">
        <v>367</v>
      </c>
      <c r="C709" s="16" t="s">
        <v>183</v>
      </c>
      <c r="D709" s="23">
        <v>1</v>
      </c>
      <c r="E709" s="24">
        <v>0</v>
      </c>
    </row>
    <row r="710" s="29" customFormat="1" ht="41" spans="2:5">
      <c r="B710" s="19" t="s">
        <v>495</v>
      </c>
      <c r="C710" s="20" t="s">
        <v>182</v>
      </c>
      <c r="D710" s="21">
        <v>8</v>
      </c>
      <c r="E710" s="22">
        <v>0</v>
      </c>
    </row>
    <row r="711" s="29" customFormat="1" ht="28.75" spans="2:5">
      <c r="B711" s="19" t="s">
        <v>495</v>
      </c>
      <c r="C711" s="16" t="s">
        <v>183</v>
      </c>
      <c r="D711" s="23">
        <v>8</v>
      </c>
      <c r="E711" s="24">
        <v>0</v>
      </c>
    </row>
    <row r="712" s="29" customFormat="1" spans="2:5">
      <c r="B712" s="25"/>
      <c r="C712" s="25"/>
      <c r="D712" s="25"/>
      <c r="E712" s="25"/>
    </row>
    <row r="713" s="29" customFormat="1" ht="36" spans="2:5">
      <c r="B713" s="26" t="s">
        <v>189</v>
      </c>
      <c r="C713" s="26" t="s">
        <v>189</v>
      </c>
      <c r="D713" s="26" t="s">
        <v>189</v>
      </c>
      <c r="E713" s="26" t="s">
        <v>189</v>
      </c>
    </row>
    <row r="714" s="29" customFormat="1" spans="2:5">
      <c r="B714" s="26"/>
      <c r="C714" s="26"/>
      <c r="D714" s="26"/>
      <c r="E714" s="26"/>
    </row>
    <row r="715" s="29" customFormat="1" ht="36" spans="2:5">
      <c r="B715" s="26" t="s">
        <v>1653</v>
      </c>
      <c r="C715" s="26" t="s">
        <v>1653</v>
      </c>
      <c r="D715" s="26" t="s">
        <v>1653</v>
      </c>
      <c r="E715" s="26" t="s">
        <v>1653</v>
      </c>
    </row>
    <row r="716" s="29" customFormat="1" spans="2:5">
      <c r="B716" s="26" t="s">
        <v>547</v>
      </c>
      <c r="C716" s="26" t="s">
        <v>547</v>
      </c>
      <c r="D716" s="26" t="s">
        <v>547</v>
      </c>
      <c r="E716" s="26" t="s">
        <v>547</v>
      </c>
    </row>
    <row r="717" s="29" customFormat="1" ht="124" spans="2:5">
      <c r="B717" s="11" t="s">
        <v>173</v>
      </c>
      <c r="C717" s="11" t="s">
        <v>173</v>
      </c>
      <c r="D717" s="11" t="s">
        <v>173</v>
      </c>
      <c r="E717" s="11" t="s">
        <v>173</v>
      </c>
    </row>
    <row r="718" s="29" customFormat="1" ht="156" spans="2:5">
      <c r="B718" s="12" t="s">
        <v>174</v>
      </c>
      <c r="C718" s="12" t="s">
        <v>174</v>
      </c>
      <c r="D718" s="12" t="s">
        <v>174</v>
      </c>
      <c r="E718" s="12" t="s">
        <v>174</v>
      </c>
    </row>
    <row r="719" s="29" customFormat="1" ht="68" spans="2:5">
      <c r="B719" s="13" t="s">
        <v>1645</v>
      </c>
      <c r="C719" s="13" t="s">
        <v>1645</v>
      </c>
      <c r="D719" s="13" t="s">
        <v>1645</v>
      </c>
      <c r="E719" s="13" t="s">
        <v>1645</v>
      </c>
    </row>
    <row r="720" s="29" customFormat="1" ht="22" spans="2:5">
      <c r="B720" s="14" t="s">
        <v>176</v>
      </c>
      <c r="C720" s="14" t="s">
        <v>176</v>
      </c>
      <c r="D720" s="14" t="s">
        <v>176</v>
      </c>
      <c r="E720" s="14" t="s">
        <v>176</v>
      </c>
    </row>
    <row r="721" s="29" customFormat="1" spans="2:5">
      <c r="B721" s="15" t="s">
        <v>177</v>
      </c>
      <c r="C721" s="16" t="s">
        <v>178</v>
      </c>
      <c r="D721" s="17" t="s">
        <v>179</v>
      </c>
      <c r="E721" s="18" t="s">
        <v>180</v>
      </c>
    </row>
    <row r="722" s="29" customFormat="1" ht="41" spans="2:5">
      <c r="B722" s="19" t="s">
        <v>1696</v>
      </c>
      <c r="C722" s="20" t="s">
        <v>182</v>
      </c>
      <c r="D722" s="21">
        <v>1</v>
      </c>
      <c r="E722" s="22">
        <v>600000</v>
      </c>
    </row>
    <row r="723" s="29" customFormat="1" spans="2:5">
      <c r="B723" s="19" t="s">
        <v>1696</v>
      </c>
      <c r="C723" s="16" t="s">
        <v>183</v>
      </c>
      <c r="D723" s="23">
        <v>1</v>
      </c>
      <c r="E723" s="24">
        <v>600000</v>
      </c>
    </row>
    <row r="724" s="29" customFormat="1" ht="28" spans="2:5">
      <c r="B724" s="19" t="s">
        <v>1697</v>
      </c>
      <c r="C724" s="20" t="s">
        <v>804</v>
      </c>
      <c r="D724" s="21">
        <v>1</v>
      </c>
      <c r="E724" s="22">
        <v>261261.261261</v>
      </c>
    </row>
    <row r="725" s="29" customFormat="1" ht="28" spans="2:5">
      <c r="B725" s="19" t="s">
        <v>1697</v>
      </c>
      <c r="C725" s="16" t="s">
        <v>183</v>
      </c>
      <c r="D725" s="23">
        <v>1</v>
      </c>
      <c r="E725" s="24">
        <v>261261.261261</v>
      </c>
    </row>
    <row r="726" s="29" customFormat="1" ht="41" spans="2:5">
      <c r="B726" s="19" t="s">
        <v>424</v>
      </c>
      <c r="C726" s="20" t="s">
        <v>182</v>
      </c>
      <c r="D726" s="21">
        <v>8</v>
      </c>
      <c r="E726" s="22">
        <v>0</v>
      </c>
    </row>
    <row r="727" s="29" customFormat="1" ht="28" spans="2:5">
      <c r="B727" s="19" t="s">
        <v>424</v>
      </c>
      <c r="C727" s="20" t="s">
        <v>804</v>
      </c>
      <c r="D727" s="21">
        <v>1</v>
      </c>
      <c r="E727" s="22">
        <v>0</v>
      </c>
    </row>
    <row r="728" s="29" customFormat="1" ht="28" spans="2:5">
      <c r="B728" s="19" t="s">
        <v>424</v>
      </c>
      <c r="C728" s="16" t="s">
        <v>183</v>
      </c>
      <c r="D728" s="23">
        <v>9</v>
      </c>
      <c r="E728" s="24">
        <v>0</v>
      </c>
    </row>
    <row r="729" s="29" customFormat="1" ht="41" spans="2:5">
      <c r="B729" s="19" t="s">
        <v>827</v>
      </c>
      <c r="C729" s="20" t="s">
        <v>182</v>
      </c>
      <c r="D729" s="21">
        <v>1</v>
      </c>
      <c r="E729" s="22">
        <v>163063.063063</v>
      </c>
    </row>
    <row r="730" s="29" customFormat="1" ht="28" spans="2:5">
      <c r="B730" s="19" t="s">
        <v>827</v>
      </c>
      <c r="C730" s="20" t="s">
        <v>804</v>
      </c>
      <c r="D730" s="21">
        <v>1</v>
      </c>
      <c r="E730" s="22">
        <v>163063.063063</v>
      </c>
    </row>
    <row r="731" s="29" customFormat="1" spans="2:5">
      <c r="B731" s="19" t="s">
        <v>827</v>
      </c>
      <c r="C731" s="16" t="s">
        <v>183</v>
      </c>
      <c r="D731" s="23">
        <v>2</v>
      </c>
      <c r="E731" s="24">
        <v>326126.126126</v>
      </c>
    </row>
    <row r="732" s="29" customFormat="1" ht="41" spans="2:5">
      <c r="B732" s="19" t="s">
        <v>689</v>
      </c>
      <c r="C732" s="20" t="s">
        <v>182</v>
      </c>
      <c r="D732" s="21">
        <v>5</v>
      </c>
      <c r="E732" s="22">
        <v>504504.504505</v>
      </c>
    </row>
    <row r="733" s="29" customFormat="1" spans="2:5">
      <c r="B733" s="19" t="s">
        <v>689</v>
      </c>
      <c r="C733" s="16" t="s">
        <v>183</v>
      </c>
      <c r="D733" s="23">
        <v>5</v>
      </c>
      <c r="E733" s="24">
        <v>504504.504505</v>
      </c>
    </row>
    <row r="734" s="29" customFormat="1" ht="41.75" spans="2:5">
      <c r="B734" s="20" t="s">
        <v>828</v>
      </c>
      <c r="C734" s="20" t="s">
        <v>182</v>
      </c>
      <c r="D734" s="21">
        <v>5</v>
      </c>
      <c r="E734" s="22">
        <v>459459.45946</v>
      </c>
    </row>
    <row r="735" s="29" customFormat="1" spans="2:5">
      <c r="B735" s="25"/>
      <c r="C735" s="25"/>
      <c r="D735" s="25"/>
      <c r="E735" s="25"/>
    </row>
    <row r="736" s="29" customFormat="1" ht="36" spans="2:5">
      <c r="B736" s="26" t="s">
        <v>189</v>
      </c>
      <c r="C736" s="26" t="s">
        <v>189</v>
      </c>
      <c r="D736" s="26" t="s">
        <v>189</v>
      </c>
      <c r="E736" s="26" t="s">
        <v>189</v>
      </c>
    </row>
    <row r="737" s="29" customFormat="1" spans="2:5">
      <c r="B737" s="26"/>
      <c r="C737" s="26"/>
      <c r="D737" s="26"/>
      <c r="E737" s="26"/>
    </row>
    <row r="738" s="29" customFormat="1" ht="36" spans="2:5">
      <c r="B738" s="26" t="s">
        <v>1653</v>
      </c>
      <c r="C738" s="26" t="s">
        <v>1653</v>
      </c>
      <c r="D738" s="26" t="s">
        <v>1653</v>
      </c>
      <c r="E738" s="26" t="s">
        <v>1653</v>
      </c>
    </row>
    <row r="739" s="29" customFormat="1" spans="2:5">
      <c r="B739" s="26" t="s">
        <v>554</v>
      </c>
      <c r="C739" s="26" t="s">
        <v>554</v>
      </c>
      <c r="D739" s="26" t="s">
        <v>554</v>
      </c>
      <c r="E739" s="26" t="s">
        <v>554</v>
      </c>
    </row>
    <row r="740" s="29" customFormat="1" ht="124" spans="2:5">
      <c r="B740" s="11" t="s">
        <v>173</v>
      </c>
      <c r="C740" s="11" t="s">
        <v>173</v>
      </c>
      <c r="D740" s="11" t="s">
        <v>173</v>
      </c>
      <c r="E740" s="11" t="s">
        <v>173</v>
      </c>
    </row>
    <row r="741" s="29" customFormat="1" ht="156" spans="2:5">
      <c r="B741" s="12" t="s">
        <v>174</v>
      </c>
      <c r="C741" s="12" t="s">
        <v>174</v>
      </c>
      <c r="D741" s="12" t="s">
        <v>174</v>
      </c>
      <c r="E741" s="12" t="s">
        <v>174</v>
      </c>
    </row>
    <row r="742" s="29" customFormat="1" ht="68" spans="2:5">
      <c r="B742" s="13" t="s">
        <v>1645</v>
      </c>
      <c r="C742" s="13" t="s">
        <v>1645</v>
      </c>
      <c r="D742" s="13" t="s">
        <v>1645</v>
      </c>
      <c r="E742" s="13" t="s">
        <v>1645</v>
      </c>
    </row>
    <row r="743" s="29" customFormat="1" ht="22" spans="2:5">
      <c r="B743" s="14" t="s">
        <v>176</v>
      </c>
      <c r="C743" s="14" t="s">
        <v>176</v>
      </c>
      <c r="D743" s="14" t="s">
        <v>176</v>
      </c>
      <c r="E743" s="14" t="s">
        <v>176</v>
      </c>
    </row>
    <row r="744" s="29" customFormat="1" spans="2:5">
      <c r="B744" s="15" t="s">
        <v>177</v>
      </c>
      <c r="C744" s="16" t="s">
        <v>178</v>
      </c>
      <c r="D744" s="17" t="s">
        <v>179</v>
      </c>
      <c r="E744" s="18" t="s">
        <v>180</v>
      </c>
    </row>
    <row r="745" s="29" customFormat="1" ht="28" spans="2:5">
      <c r="B745" s="19" t="s">
        <v>828</v>
      </c>
      <c r="C745" s="20" t="s">
        <v>804</v>
      </c>
      <c r="D745" s="21">
        <v>1</v>
      </c>
      <c r="E745" s="22">
        <v>91891.891892</v>
      </c>
    </row>
    <row r="746" s="29" customFormat="1" spans="2:5">
      <c r="B746" s="19" t="s">
        <v>828</v>
      </c>
      <c r="C746" s="16" t="s">
        <v>183</v>
      </c>
      <c r="D746" s="23">
        <v>6</v>
      </c>
      <c r="E746" s="24">
        <v>551351.351352</v>
      </c>
    </row>
    <row r="747" s="29" customFormat="1" ht="41" spans="2:5">
      <c r="B747" s="19" t="s">
        <v>979</v>
      </c>
      <c r="C747" s="20" t="s">
        <v>182</v>
      </c>
      <c r="D747" s="21">
        <v>2</v>
      </c>
      <c r="E747" s="22">
        <v>187387.387388</v>
      </c>
    </row>
    <row r="748" s="29" customFormat="1" spans="2:5">
      <c r="B748" s="19" t="s">
        <v>979</v>
      </c>
      <c r="C748" s="16" t="s">
        <v>183</v>
      </c>
      <c r="D748" s="23">
        <v>2</v>
      </c>
      <c r="E748" s="24">
        <v>187387.387388</v>
      </c>
    </row>
    <row r="749" s="29" customFormat="1" ht="41" spans="2:5">
      <c r="B749" s="19" t="s">
        <v>980</v>
      </c>
      <c r="C749" s="20" t="s">
        <v>182</v>
      </c>
      <c r="D749" s="21">
        <v>2</v>
      </c>
      <c r="E749" s="22">
        <v>215281.48282</v>
      </c>
    </row>
    <row r="750" s="29" customFormat="1" ht="28" spans="2:5">
      <c r="B750" s="19" t="s">
        <v>980</v>
      </c>
      <c r="C750" s="20" t="s">
        <v>804</v>
      </c>
      <c r="D750" s="21">
        <v>1</v>
      </c>
      <c r="E750" s="22">
        <v>108558.585586</v>
      </c>
    </row>
    <row r="751" s="29" customFormat="1" spans="2:5">
      <c r="B751" s="19" t="s">
        <v>980</v>
      </c>
      <c r="C751" s="16" t="s">
        <v>183</v>
      </c>
      <c r="D751" s="23">
        <v>3</v>
      </c>
      <c r="E751" s="24">
        <v>323840.068406</v>
      </c>
    </row>
    <row r="752" s="29" customFormat="1" ht="41" spans="2:5">
      <c r="B752" s="19" t="s">
        <v>691</v>
      </c>
      <c r="C752" s="20" t="s">
        <v>182</v>
      </c>
      <c r="D752" s="21">
        <v>2</v>
      </c>
      <c r="E752" s="22">
        <v>181981.981982</v>
      </c>
    </row>
    <row r="753" s="29" customFormat="1" ht="28" spans="2:5">
      <c r="B753" s="19" t="s">
        <v>691</v>
      </c>
      <c r="C753" s="20" t="s">
        <v>804</v>
      </c>
      <c r="D753" s="21">
        <v>4</v>
      </c>
      <c r="E753" s="22">
        <v>363963.963964</v>
      </c>
    </row>
    <row r="754" s="29" customFormat="1" spans="2:5">
      <c r="B754" s="19" t="s">
        <v>691</v>
      </c>
      <c r="C754" s="16" t="s">
        <v>183</v>
      </c>
      <c r="D754" s="23">
        <v>6</v>
      </c>
      <c r="E754" s="24">
        <v>545945.945946</v>
      </c>
    </row>
    <row r="755" s="29" customFormat="1" ht="28" spans="2:5">
      <c r="B755" s="19" t="s">
        <v>1231</v>
      </c>
      <c r="C755" s="20" t="s">
        <v>804</v>
      </c>
      <c r="D755" s="21">
        <v>1</v>
      </c>
      <c r="E755" s="22">
        <v>145495.495495</v>
      </c>
    </row>
    <row r="756" s="29" customFormat="1" spans="2:5">
      <c r="B756" s="19" t="s">
        <v>1231</v>
      </c>
      <c r="C756" s="16" t="s">
        <v>183</v>
      </c>
      <c r="D756" s="23">
        <v>1</v>
      </c>
      <c r="E756" s="24">
        <v>145495.495495</v>
      </c>
    </row>
    <row r="757" s="29" customFormat="1" ht="41.75" spans="2:5">
      <c r="B757" s="20" t="s">
        <v>831</v>
      </c>
      <c r="C757" s="20" t="s">
        <v>182</v>
      </c>
      <c r="D757" s="21">
        <v>4</v>
      </c>
      <c r="E757" s="22">
        <v>299098.567568</v>
      </c>
    </row>
    <row r="758" s="29" customFormat="1" spans="2:5">
      <c r="B758" s="25"/>
      <c r="C758" s="25"/>
      <c r="D758" s="25"/>
      <c r="E758" s="25"/>
    </row>
    <row r="759" s="29" customFormat="1" ht="36" spans="2:5">
      <c r="B759" s="26" t="s">
        <v>189</v>
      </c>
      <c r="C759" s="26" t="s">
        <v>189</v>
      </c>
      <c r="D759" s="26" t="s">
        <v>189</v>
      </c>
      <c r="E759" s="26" t="s">
        <v>189</v>
      </c>
    </row>
    <row r="760" s="29" customFormat="1" spans="2:5">
      <c r="B760" s="26"/>
      <c r="C760" s="26"/>
      <c r="D760" s="26"/>
      <c r="E760" s="26"/>
    </row>
    <row r="761" s="29" customFormat="1" ht="36" spans="2:5">
      <c r="B761" s="26" t="s">
        <v>1653</v>
      </c>
      <c r="C761" s="26" t="s">
        <v>1653</v>
      </c>
      <c r="D761" s="26" t="s">
        <v>1653</v>
      </c>
      <c r="E761" s="26" t="s">
        <v>1653</v>
      </c>
    </row>
    <row r="762" s="29" customFormat="1" spans="2:5">
      <c r="B762" s="26" t="s">
        <v>561</v>
      </c>
      <c r="C762" s="26" t="s">
        <v>561</v>
      </c>
      <c r="D762" s="26" t="s">
        <v>561</v>
      </c>
      <c r="E762" s="26" t="s">
        <v>561</v>
      </c>
    </row>
    <row r="763" s="29" customFormat="1" ht="124" spans="2:5">
      <c r="B763" s="11" t="s">
        <v>173</v>
      </c>
      <c r="C763" s="11" t="s">
        <v>173</v>
      </c>
      <c r="D763" s="11" t="s">
        <v>173</v>
      </c>
      <c r="E763" s="11" t="s">
        <v>173</v>
      </c>
    </row>
    <row r="764" s="29" customFormat="1" ht="156" spans="2:5">
      <c r="B764" s="12" t="s">
        <v>174</v>
      </c>
      <c r="C764" s="12" t="s">
        <v>174</v>
      </c>
      <c r="D764" s="12" t="s">
        <v>174</v>
      </c>
      <c r="E764" s="12" t="s">
        <v>174</v>
      </c>
    </row>
    <row r="765" s="29" customFormat="1" ht="68" spans="2:5">
      <c r="B765" s="13" t="s">
        <v>1645</v>
      </c>
      <c r="C765" s="13" t="s">
        <v>1645</v>
      </c>
      <c r="D765" s="13" t="s">
        <v>1645</v>
      </c>
      <c r="E765" s="13" t="s">
        <v>1645</v>
      </c>
    </row>
    <row r="766" s="29" customFormat="1" ht="22" spans="2:5">
      <c r="B766" s="14" t="s">
        <v>176</v>
      </c>
      <c r="C766" s="14" t="s">
        <v>176</v>
      </c>
      <c r="D766" s="14" t="s">
        <v>176</v>
      </c>
      <c r="E766" s="14" t="s">
        <v>176</v>
      </c>
    </row>
    <row r="767" s="29" customFormat="1" spans="2:5">
      <c r="B767" s="15" t="s">
        <v>177</v>
      </c>
      <c r="C767" s="16" t="s">
        <v>178</v>
      </c>
      <c r="D767" s="17" t="s">
        <v>179</v>
      </c>
      <c r="E767" s="18" t="s">
        <v>180</v>
      </c>
    </row>
    <row r="768" s="29" customFormat="1" ht="28" spans="2:5">
      <c r="B768" s="19" t="s">
        <v>831</v>
      </c>
      <c r="C768" s="20" t="s">
        <v>804</v>
      </c>
      <c r="D768" s="21">
        <v>2</v>
      </c>
      <c r="E768" s="22">
        <v>149549.54955</v>
      </c>
    </row>
    <row r="769" s="29" customFormat="1" spans="2:5">
      <c r="B769" s="19" t="s">
        <v>831</v>
      </c>
      <c r="C769" s="16" t="s">
        <v>183</v>
      </c>
      <c r="D769" s="23">
        <v>6</v>
      </c>
      <c r="E769" s="24">
        <v>448648.117118</v>
      </c>
    </row>
    <row r="770" s="29" customFormat="1" ht="41" spans="2:5">
      <c r="B770" s="19" t="s">
        <v>1698</v>
      </c>
      <c r="C770" s="20" t="s">
        <v>182</v>
      </c>
      <c r="D770" s="21">
        <v>1</v>
      </c>
      <c r="E770" s="22">
        <v>107207.207207</v>
      </c>
    </row>
    <row r="771" s="29" customFormat="1" spans="2:5">
      <c r="B771" s="19" t="s">
        <v>1698</v>
      </c>
      <c r="C771" s="16" t="s">
        <v>183</v>
      </c>
      <c r="D771" s="23">
        <v>1</v>
      </c>
      <c r="E771" s="24">
        <v>107207.207207</v>
      </c>
    </row>
    <row r="772" s="29" customFormat="1" ht="41" spans="2:5">
      <c r="B772" s="19" t="s">
        <v>1233</v>
      </c>
      <c r="C772" s="20" t="s">
        <v>182</v>
      </c>
      <c r="D772" s="21">
        <v>2</v>
      </c>
      <c r="E772" s="22">
        <v>172981.981982</v>
      </c>
    </row>
    <row r="773" s="29" customFormat="1" ht="28" spans="2:5">
      <c r="B773" s="19" t="s">
        <v>1233</v>
      </c>
      <c r="C773" s="20" t="s">
        <v>804</v>
      </c>
      <c r="D773" s="21">
        <v>3</v>
      </c>
      <c r="E773" s="22">
        <v>245945.945946</v>
      </c>
    </row>
    <row r="774" s="29" customFormat="1" spans="2:5">
      <c r="B774" s="19" t="s">
        <v>1233</v>
      </c>
      <c r="C774" s="16" t="s">
        <v>183</v>
      </c>
      <c r="D774" s="23">
        <v>5</v>
      </c>
      <c r="E774" s="24">
        <v>418927.927928</v>
      </c>
    </row>
    <row r="775" s="29" customFormat="1" ht="41" spans="2:5">
      <c r="B775" s="19" t="s">
        <v>1699</v>
      </c>
      <c r="C775" s="20" t="s">
        <v>182</v>
      </c>
      <c r="D775" s="21">
        <v>2</v>
      </c>
      <c r="E775" s="22">
        <v>338738.738738</v>
      </c>
    </row>
    <row r="776" s="29" customFormat="1" spans="2:5">
      <c r="B776" s="19" t="s">
        <v>1699</v>
      </c>
      <c r="C776" s="16" t="s">
        <v>183</v>
      </c>
      <c r="D776" s="23">
        <v>2</v>
      </c>
      <c r="E776" s="24">
        <v>338738.738738</v>
      </c>
    </row>
    <row r="777" s="29" customFormat="1" ht="41" spans="2:5">
      <c r="B777" s="19" t="s">
        <v>832</v>
      </c>
      <c r="C777" s="20" t="s">
        <v>182</v>
      </c>
      <c r="D777" s="21">
        <v>1</v>
      </c>
      <c r="E777" s="22">
        <v>132882.882883</v>
      </c>
    </row>
    <row r="778" s="29" customFormat="1" ht="28" spans="2:5">
      <c r="B778" s="19" t="s">
        <v>832</v>
      </c>
      <c r="C778" s="20" t="s">
        <v>804</v>
      </c>
      <c r="D778" s="21">
        <v>4</v>
      </c>
      <c r="E778" s="22">
        <v>531531.531532</v>
      </c>
    </row>
    <row r="779" s="29" customFormat="1" spans="2:5">
      <c r="B779" s="19" t="s">
        <v>832</v>
      </c>
      <c r="C779" s="16" t="s">
        <v>183</v>
      </c>
      <c r="D779" s="23">
        <v>5</v>
      </c>
      <c r="E779" s="24">
        <v>664414.414415</v>
      </c>
    </row>
    <row r="780" s="29" customFormat="1" ht="41.75" spans="2:5">
      <c r="B780" s="20" t="s">
        <v>833</v>
      </c>
      <c r="C780" s="20" t="s">
        <v>182</v>
      </c>
      <c r="D780" s="21">
        <v>7</v>
      </c>
      <c r="E780" s="22">
        <v>570720.720724</v>
      </c>
    </row>
    <row r="781" s="29" customFormat="1" spans="2:5">
      <c r="B781" s="25"/>
      <c r="C781" s="25"/>
      <c r="D781" s="25"/>
      <c r="E781" s="25"/>
    </row>
    <row r="782" s="29" customFormat="1" ht="36" spans="2:5">
      <c r="B782" s="26" t="s">
        <v>189</v>
      </c>
      <c r="C782" s="26" t="s">
        <v>189</v>
      </c>
      <c r="D782" s="26" t="s">
        <v>189</v>
      </c>
      <c r="E782" s="26" t="s">
        <v>189</v>
      </c>
    </row>
    <row r="783" s="29" customFormat="1" spans="2:5">
      <c r="B783" s="26"/>
      <c r="C783" s="26"/>
      <c r="D783" s="26"/>
      <c r="E783" s="26"/>
    </row>
    <row r="784" s="29" customFormat="1" ht="36" spans="2:5">
      <c r="B784" s="26" t="s">
        <v>1653</v>
      </c>
      <c r="C784" s="26" t="s">
        <v>1653</v>
      </c>
      <c r="D784" s="26" t="s">
        <v>1653</v>
      </c>
      <c r="E784" s="26" t="s">
        <v>1653</v>
      </c>
    </row>
    <row r="785" s="29" customFormat="1" spans="2:5">
      <c r="B785" s="26" t="s">
        <v>566</v>
      </c>
      <c r="C785" s="26" t="s">
        <v>566</v>
      </c>
      <c r="D785" s="26" t="s">
        <v>566</v>
      </c>
      <c r="E785" s="26" t="s">
        <v>566</v>
      </c>
    </row>
    <row r="786" s="29" customFormat="1" ht="124" spans="2:5">
      <c r="B786" s="11" t="s">
        <v>173</v>
      </c>
      <c r="C786" s="11" t="s">
        <v>173</v>
      </c>
      <c r="D786" s="11" t="s">
        <v>173</v>
      </c>
      <c r="E786" s="11" t="s">
        <v>173</v>
      </c>
    </row>
    <row r="787" s="29" customFormat="1" ht="156" spans="2:5">
      <c r="B787" s="12" t="s">
        <v>174</v>
      </c>
      <c r="C787" s="12" t="s">
        <v>174</v>
      </c>
      <c r="D787" s="12" t="s">
        <v>174</v>
      </c>
      <c r="E787" s="12" t="s">
        <v>174</v>
      </c>
    </row>
    <row r="788" s="29" customFormat="1" ht="68" spans="2:5">
      <c r="B788" s="13" t="s">
        <v>1645</v>
      </c>
      <c r="C788" s="13" t="s">
        <v>1645</v>
      </c>
      <c r="D788" s="13" t="s">
        <v>1645</v>
      </c>
      <c r="E788" s="13" t="s">
        <v>1645</v>
      </c>
    </row>
    <row r="789" s="29" customFormat="1" ht="22" spans="2:5">
      <c r="B789" s="14" t="s">
        <v>176</v>
      </c>
      <c r="C789" s="14" t="s">
        <v>176</v>
      </c>
      <c r="D789" s="14" t="s">
        <v>176</v>
      </c>
      <c r="E789" s="14" t="s">
        <v>176</v>
      </c>
    </row>
    <row r="790" s="29" customFormat="1" spans="2:5">
      <c r="B790" s="15" t="s">
        <v>177</v>
      </c>
      <c r="C790" s="16" t="s">
        <v>178</v>
      </c>
      <c r="D790" s="17" t="s">
        <v>179</v>
      </c>
      <c r="E790" s="18" t="s">
        <v>180</v>
      </c>
    </row>
    <row r="791" s="29" customFormat="1" ht="28" spans="2:5">
      <c r="B791" s="19" t="s">
        <v>833</v>
      </c>
      <c r="C791" s="20" t="s">
        <v>804</v>
      </c>
      <c r="D791" s="21">
        <v>5</v>
      </c>
      <c r="E791" s="22">
        <v>407657.65766</v>
      </c>
    </row>
    <row r="792" s="29" customFormat="1" spans="2:5">
      <c r="B792" s="19" t="s">
        <v>833</v>
      </c>
      <c r="C792" s="16" t="s">
        <v>183</v>
      </c>
      <c r="D792" s="23">
        <v>12</v>
      </c>
      <c r="E792" s="24">
        <v>978378.378384</v>
      </c>
    </row>
    <row r="793" s="29" customFormat="1" ht="41" spans="2:5">
      <c r="B793" s="19" t="s">
        <v>981</v>
      </c>
      <c r="C793" s="20" t="s">
        <v>1191</v>
      </c>
      <c r="D793" s="21">
        <v>1</v>
      </c>
      <c r="E793" s="22">
        <v>95045.045045</v>
      </c>
    </row>
    <row r="794" s="29" customFormat="1" ht="41" spans="2:5">
      <c r="B794" s="19" t="s">
        <v>981</v>
      </c>
      <c r="C794" s="20" t="s">
        <v>182</v>
      </c>
      <c r="D794" s="21">
        <v>2</v>
      </c>
      <c r="E794" s="22">
        <v>190090.09009</v>
      </c>
    </row>
    <row r="795" s="29" customFormat="1" ht="28" spans="2:5">
      <c r="B795" s="19" t="s">
        <v>981</v>
      </c>
      <c r="C795" s="20" t="s">
        <v>804</v>
      </c>
      <c r="D795" s="21">
        <v>4</v>
      </c>
      <c r="E795" s="22">
        <v>380180.18018</v>
      </c>
    </row>
    <row r="796" s="29" customFormat="1" spans="2:5">
      <c r="B796" s="19" t="s">
        <v>981</v>
      </c>
      <c r="C796" s="16" t="s">
        <v>183</v>
      </c>
      <c r="D796" s="23">
        <v>7</v>
      </c>
      <c r="E796" s="24">
        <v>665315.315315</v>
      </c>
    </row>
    <row r="797" s="29" customFormat="1" ht="41" spans="2:5">
      <c r="B797" s="19" t="s">
        <v>1235</v>
      </c>
      <c r="C797" s="20" t="s">
        <v>182</v>
      </c>
      <c r="D797" s="21">
        <v>1</v>
      </c>
      <c r="E797" s="22">
        <v>81081.081081</v>
      </c>
    </row>
    <row r="798" s="29" customFormat="1" ht="28" spans="2:5">
      <c r="B798" s="19" t="s">
        <v>1235</v>
      </c>
      <c r="C798" s="20" t="s">
        <v>804</v>
      </c>
      <c r="D798" s="21">
        <v>3</v>
      </c>
      <c r="E798" s="22">
        <v>243243.243243</v>
      </c>
    </row>
    <row r="799" s="29" customFormat="1" spans="2:5">
      <c r="B799" s="19" t="s">
        <v>1235</v>
      </c>
      <c r="C799" s="16" t="s">
        <v>183</v>
      </c>
      <c r="D799" s="23">
        <v>4</v>
      </c>
      <c r="E799" s="24">
        <v>324324.324324</v>
      </c>
    </row>
    <row r="800" s="29" customFormat="1" ht="41" spans="2:5">
      <c r="B800" s="19" t="s">
        <v>834</v>
      </c>
      <c r="C800" s="20" t="s">
        <v>182</v>
      </c>
      <c r="D800" s="21">
        <v>1</v>
      </c>
      <c r="E800" s="22">
        <v>126000</v>
      </c>
    </row>
    <row r="801" s="29" customFormat="1" spans="2:5">
      <c r="B801" s="19" t="s">
        <v>834</v>
      </c>
      <c r="C801" s="16" t="s">
        <v>183</v>
      </c>
      <c r="D801" s="23">
        <v>1</v>
      </c>
      <c r="E801" s="24">
        <v>126000</v>
      </c>
    </row>
    <row r="802" s="29" customFormat="1" ht="41" spans="2:5">
      <c r="B802" s="19" t="s">
        <v>835</v>
      </c>
      <c r="C802" s="20" t="s">
        <v>182</v>
      </c>
      <c r="D802" s="21">
        <v>2</v>
      </c>
      <c r="E802" s="22">
        <v>159459.45946</v>
      </c>
    </row>
    <row r="803" s="29" customFormat="1" ht="28" spans="2:5">
      <c r="B803" s="19" t="s">
        <v>835</v>
      </c>
      <c r="C803" s="20" t="s">
        <v>804</v>
      </c>
      <c r="D803" s="21">
        <v>1</v>
      </c>
      <c r="E803" s="22">
        <v>79729.72973</v>
      </c>
    </row>
    <row r="804" s="29" customFormat="1" ht="17.55" spans="2:5">
      <c r="B804" s="19" t="s">
        <v>835</v>
      </c>
      <c r="C804" s="16" t="s">
        <v>183</v>
      </c>
      <c r="D804" s="23">
        <v>3</v>
      </c>
      <c r="E804" s="24">
        <v>239189.18919</v>
      </c>
    </row>
    <row r="805" s="29" customFormat="1" spans="2:5">
      <c r="B805" s="25"/>
      <c r="C805" s="25"/>
      <c r="D805" s="25"/>
      <c r="E805" s="25"/>
    </row>
    <row r="806" s="29" customFormat="1" ht="36" spans="2:5">
      <c r="B806" s="26" t="s">
        <v>189</v>
      </c>
      <c r="C806" s="26" t="s">
        <v>189</v>
      </c>
      <c r="D806" s="26" t="s">
        <v>189</v>
      </c>
      <c r="E806" s="26" t="s">
        <v>189</v>
      </c>
    </row>
    <row r="807" s="29" customFormat="1" spans="2:5">
      <c r="B807" s="26"/>
      <c r="C807" s="26"/>
      <c r="D807" s="26"/>
      <c r="E807" s="26"/>
    </row>
    <row r="808" s="29" customFormat="1" ht="36" spans="2:5">
      <c r="B808" s="26" t="s">
        <v>1653</v>
      </c>
      <c r="C808" s="26" t="s">
        <v>1653</v>
      </c>
      <c r="D808" s="26" t="s">
        <v>1653</v>
      </c>
      <c r="E808" s="26" t="s">
        <v>1653</v>
      </c>
    </row>
    <row r="809" s="29" customFormat="1" spans="2:5">
      <c r="B809" s="26" t="s">
        <v>645</v>
      </c>
      <c r="C809" s="26" t="s">
        <v>645</v>
      </c>
      <c r="D809" s="26" t="s">
        <v>645</v>
      </c>
      <c r="E809" s="26" t="s">
        <v>645</v>
      </c>
    </row>
    <row r="810" s="29" customFormat="1" ht="124" spans="2:5">
      <c r="B810" s="11" t="s">
        <v>173</v>
      </c>
      <c r="C810" s="11" t="s">
        <v>173</v>
      </c>
      <c r="D810" s="11" t="s">
        <v>173</v>
      </c>
      <c r="E810" s="11" t="s">
        <v>173</v>
      </c>
    </row>
    <row r="811" s="29" customFormat="1" ht="156" spans="2:5">
      <c r="B811" s="12" t="s">
        <v>174</v>
      </c>
      <c r="C811" s="12" t="s">
        <v>174</v>
      </c>
      <c r="D811" s="12" t="s">
        <v>174</v>
      </c>
      <c r="E811" s="12" t="s">
        <v>174</v>
      </c>
    </row>
    <row r="812" s="29" customFormat="1" ht="68" spans="2:5">
      <c r="B812" s="13" t="s">
        <v>1645</v>
      </c>
      <c r="C812" s="13" t="s">
        <v>1645</v>
      </c>
      <c r="D812" s="13" t="s">
        <v>1645</v>
      </c>
      <c r="E812" s="13" t="s">
        <v>1645</v>
      </c>
    </row>
    <row r="813" s="29" customFormat="1" ht="22" spans="2:5">
      <c r="B813" s="14" t="s">
        <v>176</v>
      </c>
      <c r="C813" s="14" t="s">
        <v>176</v>
      </c>
      <c r="D813" s="14" t="s">
        <v>176</v>
      </c>
      <c r="E813" s="14" t="s">
        <v>176</v>
      </c>
    </row>
    <row r="814" s="29" customFormat="1" spans="2:5">
      <c r="B814" s="15" t="s">
        <v>177</v>
      </c>
      <c r="C814" s="16" t="s">
        <v>178</v>
      </c>
      <c r="D814" s="17" t="s">
        <v>179</v>
      </c>
      <c r="E814" s="18" t="s">
        <v>180</v>
      </c>
    </row>
    <row r="815" s="29" customFormat="1" ht="41" spans="2:5">
      <c r="B815" s="19" t="s">
        <v>1237</v>
      </c>
      <c r="C815" s="20" t="s">
        <v>182</v>
      </c>
      <c r="D815" s="21">
        <v>1</v>
      </c>
      <c r="E815" s="22">
        <v>94000</v>
      </c>
    </row>
    <row r="816" s="29" customFormat="1" ht="28" spans="2:5">
      <c r="B816" s="19" t="s">
        <v>1237</v>
      </c>
      <c r="C816" s="16" t="s">
        <v>183</v>
      </c>
      <c r="D816" s="23">
        <v>1</v>
      </c>
      <c r="E816" s="24">
        <v>94000</v>
      </c>
    </row>
    <row r="817" s="29" customFormat="1" ht="41" spans="2:5">
      <c r="B817" s="19" t="s">
        <v>426</v>
      </c>
      <c r="C817" s="20" t="s">
        <v>182</v>
      </c>
      <c r="D817" s="21">
        <v>28</v>
      </c>
      <c r="E817" s="22">
        <v>0</v>
      </c>
    </row>
    <row r="818" s="29" customFormat="1" ht="28" spans="2:5">
      <c r="B818" s="19" t="s">
        <v>426</v>
      </c>
      <c r="C818" s="20" t="s">
        <v>804</v>
      </c>
      <c r="D818" s="21">
        <v>11</v>
      </c>
      <c r="E818" s="22">
        <v>0</v>
      </c>
    </row>
    <row r="819" s="29" customFormat="1" spans="2:5">
      <c r="B819" s="19" t="s">
        <v>426</v>
      </c>
      <c r="C819" s="16" t="s">
        <v>183</v>
      </c>
      <c r="D819" s="23">
        <v>39</v>
      </c>
      <c r="E819" s="24">
        <v>0</v>
      </c>
    </row>
    <row r="820" s="29" customFormat="1" ht="41" spans="2:5">
      <c r="B820" s="19" t="s">
        <v>498</v>
      </c>
      <c r="C820" s="20" t="s">
        <v>182</v>
      </c>
      <c r="D820" s="21">
        <v>2</v>
      </c>
      <c r="E820" s="22">
        <v>0</v>
      </c>
    </row>
    <row r="821" s="29" customFormat="1" spans="2:5">
      <c r="B821" s="19" t="s">
        <v>498</v>
      </c>
      <c r="C821" s="16" t="s">
        <v>183</v>
      </c>
      <c r="D821" s="23">
        <v>2</v>
      </c>
      <c r="E821" s="24">
        <v>0</v>
      </c>
    </row>
    <row r="822" s="29" customFormat="1" ht="41" spans="2:5">
      <c r="B822" s="19" t="s">
        <v>427</v>
      </c>
      <c r="C822" s="20" t="s">
        <v>182</v>
      </c>
      <c r="D822" s="21">
        <v>7</v>
      </c>
      <c r="E822" s="22">
        <v>0</v>
      </c>
    </row>
    <row r="823" s="29" customFormat="1" ht="28" spans="2:5">
      <c r="B823" s="19" t="s">
        <v>427</v>
      </c>
      <c r="C823" s="20" t="s">
        <v>804</v>
      </c>
      <c r="D823" s="21">
        <v>3</v>
      </c>
      <c r="E823" s="22">
        <v>0</v>
      </c>
    </row>
    <row r="824" s="29" customFormat="1" spans="2:5">
      <c r="B824" s="19" t="s">
        <v>427</v>
      </c>
      <c r="C824" s="16" t="s">
        <v>183</v>
      </c>
      <c r="D824" s="23">
        <v>10</v>
      </c>
      <c r="E824" s="24">
        <v>0</v>
      </c>
    </row>
    <row r="825" s="29" customFormat="1" ht="41" spans="2:5">
      <c r="B825" s="19" t="s">
        <v>428</v>
      </c>
      <c r="C825" s="20" t="s">
        <v>182</v>
      </c>
      <c r="D825" s="21">
        <v>4</v>
      </c>
      <c r="E825" s="22">
        <v>0</v>
      </c>
    </row>
    <row r="826" s="29" customFormat="1" ht="28" spans="2:5">
      <c r="B826" s="19" t="s">
        <v>428</v>
      </c>
      <c r="C826" s="20" t="s">
        <v>804</v>
      </c>
      <c r="D826" s="21">
        <v>2</v>
      </c>
      <c r="E826" s="22">
        <v>0</v>
      </c>
    </row>
    <row r="827" s="29" customFormat="1" ht="17.55" spans="2:5">
      <c r="B827" s="19" t="s">
        <v>428</v>
      </c>
      <c r="C827" s="16" t="s">
        <v>183</v>
      </c>
      <c r="D827" s="23">
        <v>6</v>
      </c>
      <c r="E827" s="24">
        <v>0</v>
      </c>
    </row>
    <row r="828" s="29" customFormat="1" spans="2:5">
      <c r="B828" s="25"/>
      <c r="C828" s="25"/>
      <c r="D828" s="25"/>
      <c r="E828" s="25"/>
    </row>
    <row r="829" s="29" customFormat="1" ht="36" spans="2:5">
      <c r="B829" s="26" t="s">
        <v>189</v>
      </c>
      <c r="C829" s="26" t="s">
        <v>189</v>
      </c>
      <c r="D829" s="26" t="s">
        <v>189</v>
      </c>
      <c r="E829" s="26" t="s">
        <v>189</v>
      </c>
    </row>
    <row r="830" s="29" customFormat="1" spans="2:5">
      <c r="B830" s="26"/>
      <c r="C830" s="26"/>
      <c r="D830" s="26"/>
      <c r="E830" s="26"/>
    </row>
    <row r="831" s="29" customFormat="1" ht="36" spans="2:5">
      <c r="B831" s="26" t="s">
        <v>1653</v>
      </c>
      <c r="C831" s="26" t="s">
        <v>1653</v>
      </c>
      <c r="D831" s="26" t="s">
        <v>1653</v>
      </c>
      <c r="E831" s="26" t="s">
        <v>1653</v>
      </c>
    </row>
    <row r="832" s="29" customFormat="1" spans="2:5">
      <c r="B832" s="26" t="s">
        <v>652</v>
      </c>
      <c r="C832" s="26" t="s">
        <v>652</v>
      </c>
      <c r="D832" s="26" t="s">
        <v>652</v>
      </c>
      <c r="E832" s="26" t="s">
        <v>652</v>
      </c>
    </row>
    <row r="833" s="29" customFormat="1" ht="124" spans="2:5">
      <c r="B833" s="11" t="s">
        <v>173</v>
      </c>
      <c r="C833" s="11" t="s">
        <v>173</v>
      </c>
      <c r="D833" s="11" t="s">
        <v>173</v>
      </c>
      <c r="E833" s="11" t="s">
        <v>173</v>
      </c>
    </row>
    <row r="834" s="29" customFormat="1" ht="156" spans="2:5">
      <c r="B834" s="12" t="s">
        <v>174</v>
      </c>
      <c r="C834" s="12" t="s">
        <v>174</v>
      </c>
      <c r="D834" s="12" t="s">
        <v>174</v>
      </c>
      <c r="E834" s="12" t="s">
        <v>174</v>
      </c>
    </row>
    <row r="835" s="29" customFormat="1" ht="68" spans="2:5">
      <c r="B835" s="13" t="s">
        <v>1645</v>
      </c>
      <c r="C835" s="13" t="s">
        <v>1645</v>
      </c>
      <c r="D835" s="13" t="s">
        <v>1645</v>
      </c>
      <c r="E835" s="13" t="s">
        <v>1645</v>
      </c>
    </row>
    <row r="836" s="29" customFormat="1" ht="22" spans="2:5">
      <c r="B836" s="14" t="s">
        <v>176</v>
      </c>
      <c r="C836" s="14" t="s">
        <v>176</v>
      </c>
      <c r="D836" s="14" t="s">
        <v>176</v>
      </c>
      <c r="E836" s="14" t="s">
        <v>176</v>
      </c>
    </row>
    <row r="837" s="29" customFormat="1" spans="2:5">
      <c r="B837" s="15" t="s">
        <v>177</v>
      </c>
      <c r="C837" s="16" t="s">
        <v>178</v>
      </c>
      <c r="D837" s="17" t="s">
        <v>179</v>
      </c>
      <c r="E837" s="18" t="s">
        <v>180</v>
      </c>
    </row>
    <row r="838" s="29" customFormat="1" ht="41" spans="2:5">
      <c r="B838" s="19" t="s">
        <v>429</v>
      </c>
      <c r="C838" s="20" t="s">
        <v>182</v>
      </c>
      <c r="D838" s="21">
        <v>25</v>
      </c>
      <c r="E838" s="22">
        <v>0</v>
      </c>
    </row>
    <row r="839" s="29" customFormat="1" ht="28" spans="2:5">
      <c r="B839" s="19" t="s">
        <v>429</v>
      </c>
      <c r="C839" s="20" t="s">
        <v>804</v>
      </c>
      <c r="D839" s="21">
        <v>16</v>
      </c>
      <c r="E839" s="22">
        <v>0</v>
      </c>
    </row>
    <row r="840" s="29" customFormat="1" spans="2:5">
      <c r="B840" s="19" t="s">
        <v>429</v>
      </c>
      <c r="C840" s="16" t="s">
        <v>183</v>
      </c>
      <c r="D840" s="23">
        <v>41</v>
      </c>
      <c r="E840" s="24">
        <v>0</v>
      </c>
    </row>
    <row r="841" s="29" customFormat="1" ht="41" spans="2:5">
      <c r="B841" s="19" t="s">
        <v>430</v>
      </c>
      <c r="C841" s="20" t="s">
        <v>182</v>
      </c>
      <c r="D841" s="21">
        <v>1</v>
      </c>
      <c r="E841" s="22">
        <v>0</v>
      </c>
    </row>
    <row r="842" s="29" customFormat="1" spans="2:5">
      <c r="B842" s="19" t="s">
        <v>430</v>
      </c>
      <c r="C842" s="16" t="s">
        <v>183</v>
      </c>
      <c r="D842" s="23">
        <v>1</v>
      </c>
      <c r="E842" s="24">
        <v>0</v>
      </c>
    </row>
    <row r="843" s="29" customFormat="1" ht="41" spans="2:5">
      <c r="B843" s="19" t="s">
        <v>431</v>
      </c>
      <c r="C843" s="20" t="s">
        <v>182</v>
      </c>
      <c r="D843" s="21">
        <v>24</v>
      </c>
      <c r="E843" s="22">
        <v>0</v>
      </c>
    </row>
    <row r="844" s="29" customFormat="1" ht="28" spans="2:5">
      <c r="B844" s="19" t="s">
        <v>431</v>
      </c>
      <c r="C844" s="20" t="s">
        <v>804</v>
      </c>
      <c r="D844" s="21">
        <v>10</v>
      </c>
      <c r="E844" s="22">
        <v>0</v>
      </c>
    </row>
    <row r="845" s="29" customFormat="1" spans="2:5">
      <c r="B845" s="19" t="s">
        <v>431</v>
      </c>
      <c r="C845" s="16" t="s">
        <v>183</v>
      </c>
      <c r="D845" s="23">
        <v>34</v>
      </c>
      <c r="E845" s="24">
        <v>0</v>
      </c>
    </row>
    <row r="846" s="29" customFormat="1" ht="41" spans="2:5">
      <c r="B846" s="19" t="s">
        <v>432</v>
      </c>
      <c r="C846" s="20" t="s">
        <v>182</v>
      </c>
      <c r="D846" s="21">
        <v>2</v>
      </c>
      <c r="E846" s="22">
        <v>0</v>
      </c>
    </row>
    <row r="847" s="29" customFormat="1" ht="28" spans="2:5">
      <c r="B847" s="19" t="s">
        <v>432</v>
      </c>
      <c r="C847" s="20" t="s">
        <v>804</v>
      </c>
      <c r="D847" s="21">
        <v>1</v>
      </c>
      <c r="E847" s="22">
        <v>0</v>
      </c>
    </row>
    <row r="848" s="29" customFormat="1" spans="2:5">
      <c r="B848" s="19" t="s">
        <v>432</v>
      </c>
      <c r="C848" s="16" t="s">
        <v>183</v>
      </c>
      <c r="D848" s="23">
        <v>3</v>
      </c>
      <c r="E848" s="24">
        <v>0</v>
      </c>
    </row>
    <row r="849" s="29" customFormat="1" ht="41.75" spans="2:5">
      <c r="B849" s="20" t="s">
        <v>433</v>
      </c>
      <c r="C849" s="20" t="s">
        <v>182</v>
      </c>
      <c r="D849" s="21">
        <v>1</v>
      </c>
      <c r="E849" s="22">
        <v>0</v>
      </c>
    </row>
    <row r="850" s="29" customFormat="1" spans="2:5">
      <c r="B850" s="25"/>
      <c r="C850" s="25"/>
      <c r="D850" s="25"/>
      <c r="E850" s="25"/>
    </row>
    <row r="851" s="29" customFormat="1" ht="36" spans="2:5">
      <c r="B851" s="26" t="s">
        <v>189</v>
      </c>
      <c r="C851" s="26" t="s">
        <v>189</v>
      </c>
      <c r="D851" s="26" t="s">
        <v>189</v>
      </c>
      <c r="E851" s="26" t="s">
        <v>189</v>
      </c>
    </row>
    <row r="852" s="29" customFormat="1" spans="2:5">
      <c r="B852" s="26"/>
      <c r="C852" s="26"/>
      <c r="D852" s="26"/>
      <c r="E852" s="26"/>
    </row>
    <row r="853" s="29" customFormat="1" ht="36" spans="2:5">
      <c r="B853" s="26" t="s">
        <v>1653</v>
      </c>
      <c r="C853" s="26" t="s">
        <v>1653</v>
      </c>
      <c r="D853" s="26" t="s">
        <v>1653</v>
      </c>
      <c r="E853" s="26" t="s">
        <v>1653</v>
      </c>
    </row>
    <row r="854" s="29" customFormat="1" spans="2:5">
      <c r="B854" s="26" t="s">
        <v>659</v>
      </c>
      <c r="C854" s="26" t="s">
        <v>659</v>
      </c>
      <c r="D854" s="26" t="s">
        <v>659</v>
      </c>
      <c r="E854" s="26" t="s">
        <v>659</v>
      </c>
    </row>
    <row r="855" s="29" customFormat="1" ht="124" spans="2:5">
      <c r="B855" s="11" t="s">
        <v>173</v>
      </c>
      <c r="C855" s="11" t="s">
        <v>173</v>
      </c>
      <c r="D855" s="11" t="s">
        <v>173</v>
      </c>
      <c r="E855" s="11" t="s">
        <v>173</v>
      </c>
    </row>
    <row r="856" s="29" customFormat="1" ht="156" spans="2:5">
      <c r="B856" s="12" t="s">
        <v>174</v>
      </c>
      <c r="C856" s="12" t="s">
        <v>174</v>
      </c>
      <c r="D856" s="12" t="s">
        <v>174</v>
      </c>
      <c r="E856" s="12" t="s">
        <v>174</v>
      </c>
    </row>
    <row r="857" s="29" customFormat="1" ht="68" spans="2:5">
      <c r="B857" s="13" t="s">
        <v>1645</v>
      </c>
      <c r="C857" s="13" t="s">
        <v>1645</v>
      </c>
      <c r="D857" s="13" t="s">
        <v>1645</v>
      </c>
      <c r="E857" s="13" t="s">
        <v>1645</v>
      </c>
    </row>
    <row r="858" s="29" customFormat="1" ht="22" spans="2:5">
      <c r="B858" s="14" t="s">
        <v>176</v>
      </c>
      <c r="C858" s="14" t="s">
        <v>176</v>
      </c>
      <c r="D858" s="14" t="s">
        <v>176</v>
      </c>
      <c r="E858" s="14" t="s">
        <v>176</v>
      </c>
    </row>
    <row r="859" s="29" customFormat="1" spans="2:5">
      <c r="B859" s="15" t="s">
        <v>177</v>
      </c>
      <c r="C859" s="16" t="s">
        <v>178</v>
      </c>
      <c r="D859" s="17" t="s">
        <v>179</v>
      </c>
      <c r="E859" s="18" t="s">
        <v>180</v>
      </c>
    </row>
    <row r="860" s="29" customFormat="1" ht="28" spans="2:5">
      <c r="B860" s="19" t="s">
        <v>433</v>
      </c>
      <c r="C860" s="20" t="s">
        <v>804</v>
      </c>
      <c r="D860" s="21">
        <v>2</v>
      </c>
      <c r="E860" s="22">
        <v>0</v>
      </c>
    </row>
    <row r="861" s="29" customFormat="1" spans="2:5">
      <c r="B861" s="19" t="s">
        <v>433</v>
      </c>
      <c r="C861" s="16" t="s">
        <v>183</v>
      </c>
      <c r="D861" s="23">
        <v>3</v>
      </c>
      <c r="E861" s="24">
        <v>0</v>
      </c>
    </row>
    <row r="862" s="29" customFormat="1" ht="41" spans="2:5">
      <c r="B862" s="19" t="s">
        <v>434</v>
      </c>
      <c r="C862" s="20" t="s">
        <v>182</v>
      </c>
      <c r="D862" s="21">
        <v>25</v>
      </c>
      <c r="E862" s="22">
        <v>0</v>
      </c>
    </row>
    <row r="863" s="29" customFormat="1" ht="28" spans="2:5">
      <c r="B863" s="19" t="s">
        <v>434</v>
      </c>
      <c r="C863" s="20" t="s">
        <v>804</v>
      </c>
      <c r="D863" s="21">
        <v>8</v>
      </c>
      <c r="E863" s="22">
        <v>0</v>
      </c>
    </row>
    <row r="864" s="29" customFormat="1" spans="2:5">
      <c r="B864" s="19" t="s">
        <v>434</v>
      </c>
      <c r="C864" s="16" t="s">
        <v>183</v>
      </c>
      <c r="D864" s="23">
        <v>33</v>
      </c>
      <c r="E864" s="24">
        <v>0</v>
      </c>
    </row>
    <row r="865" s="29" customFormat="1" ht="41" spans="2:5">
      <c r="B865" s="19" t="s">
        <v>435</v>
      </c>
      <c r="C865" s="20" t="s">
        <v>182</v>
      </c>
      <c r="D865" s="21">
        <v>5</v>
      </c>
      <c r="E865" s="22">
        <v>64864.864865</v>
      </c>
    </row>
    <row r="866" s="29" customFormat="1" ht="28" spans="2:5">
      <c r="B866" s="19" t="s">
        <v>435</v>
      </c>
      <c r="C866" s="20" t="s">
        <v>804</v>
      </c>
      <c r="D866" s="21">
        <v>15</v>
      </c>
      <c r="E866" s="22">
        <v>0</v>
      </c>
    </row>
    <row r="867" s="29" customFormat="1" spans="2:5">
      <c r="B867" s="19" t="s">
        <v>435</v>
      </c>
      <c r="C867" s="16" t="s">
        <v>183</v>
      </c>
      <c r="D867" s="23">
        <v>20</v>
      </c>
      <c r="E867" s="24">
        <v>64864.864865</v>
      </c>
    </row>
    <row r="868" s="29" customFormat="1" ht="41" spans="2:5">
      <c r="B868" s="19" t="s">
        <v>436</v>
      </c>
      <c r="C868" s="20" t="s">
        <v>182</v>
      </c>
      <c r="D868" s="21">
        <v>4</v>
      </c>
      <c r="E868" s="22">
        <v>0</v>
      </c>
    </row>
    <row r="869" s="29" customFormat="1" spans="2:5">
      <c r="B869" s="19" t="s">
        <v>436</v>
      </c>
      <c r="C869" s="16" t="s">
        <v>183</v>
      </c>
      <c r="D869" s="23">
        <v>4</v>
      </c>
      <c r="E869" s="24">
        <v>0</v>
      </c>
    </row>
    <row r="870" s="29" customFormat="1" ht="41" spans="2:5">
      <c r="B870" s="19" t="s">
        <v>438</v>
      </c>
      <c r="C870" s="20" t="s">
        <v>182</v>
      </c>
      <c r="D870" s="21">
        <v>1</v>
      </c>
      <c r="E870" s="22">
        <v>0</v>
      </c>
    </row>
    <row r="871" s="29" customFormat="1" ht="28" spans="2:5">
      <c r="B871" s="19" t="s">
        <v>438</v>
      </c>
      <c r="C871" s="20" t="s">
        <v>804</v>
      </c>
      <c r="D871" s="21">
        <v>1</v>
      </c>
      <c r="E871" s="22">
        <v>0</v>
      </c>
    </row>
    <row r="872" s="29" customFormat="1" ht="17.55" spans="2:5">
      <c r="B872" s="19" t="s">
        <v>438</v>
      </c>
      <c r="C872" s="16" t="s">
        <v>183</v>
      </c>
      <c r="D872" s="23">
        <v>2</v>
      </c>
      <c r="E872" s="24">
        <v>0</v>
      </c>
    </row>
    <row r="873" s="29" customFormat="1" spans="2:5">
      <c r="B873" s="25"/>
      <c r="C873" s="25"/>
      <c r="D873" s="25"/>
      <c r="E873" s="25"/>
    </row>
    <row r="874" s="29" customFormat="1" ht="36" spans="2:5">
      <c r="B874" s="26" t="s">
        <v>189</v>
      </c>
      <c r="C874" s="26" t="s">
        <v>189</v>
      </c>
      <c r="D874" s="26" t="s">
        <v>189</v>
      </c>
      <c r="E874" s="26" t="s">
        <v>189</v>
      </c>
    </row>
    <row r="875" s="29" customFormat="1" spans="2:5">
      <c r="B875" s="26"/>
      <c r="C875" s="26"/>
      <c r="D875" s="26"/>
      <c r="E875" s="26"/>
    </row>
    <row r="876" s="29" customFormat="1" ht="36" spans="2:5">
      <c r="B876" s="26" t="s">
        <v>1653</v>
      </c>
      <c r="C876" s="26" t="s">
        <v>1653</v>
      </c>
      <c r="D876" s="26" t="s">
        <v>1653</v>
      </c>
      <c r="E876" s="26" t="s">
        <v>1653</v>
      </c>
    </row>
    <row r="877" s="29" customFormat="1" spans="2:5">
      <c r="B877" s="26" t="s">
        <v>662</v>
      </c>
      <c r="C877" s="26" t="s">
        <v>662</v>
      </c>
      <c r="D877" s="26" t="s">
        <v>662</v>
      </c>
      <c r="E877" s="26" t="s">
        <v>662</v>
      </c>
    </row>
    <row r="878" s="29" customFormat="1" ht="124" spans="2:5">
      <c r="B878" s="11" t="s">
        <v>173</v>
      </c>
      <c r="C878" s="11" t="s">
        <v>173</v>
      </c>
      <c r="D878" s="11" t="s">
        <v>173</v>
      </c>
      <c r="E878" s="11" t="s">
        <v>173</v>
      </c>
    </row>
    <row r="879" s="29" customFormat="1" ht="156" spans="2:5">
      <c r="B879" s="12" t="s">
        <v>174</v>
      </c>
      <c r="C879" s="12" t="s">
        <v>174</v>
      </c>
      <c r="D879" s="12" t="s">
        <v>174</v>
      </c>
      <c r="E879" s="12" t="s">
        <v>174</v>
      </c>
    </row>
    <row r="880" s="29" customFormat="1" ht="68" spans="2:5">
      <c r="B880" s="13" t="s">
        <v>1645</v>
      </c>
      <c r="C880" s="13" t="s">
        <v>1645</v>
      </c>
      <c r="D880" s="13" t="s">
        <v>1645</v>
      </c>
      <c r="E880" s="13" t="s">
        <v>1645</v>
      </c>
    </row>
    <row r="881" s="29" customFormat="1" ht="22" spans="2:5">
      <c r="B881" s="14" t="s">
        <v>176</v>
      </c>
      <c r="C881" s="14" t="s">
        <v>176</v>
      </c>
      <c r="D881" s="14" t="s">
        <v>176</v>
      </c>
      <c r="E881" s="14" t="s">
        <v>176</v>
      </c>
    </row>
    <row r="882" s="29" customFormat="1" spans="2:5">
      <c r="B882" s="15" t="s">
        <v>177</v>
      </c>
      <c r="C882" s="16" t="s">
        <v>178</v>
      </c>
      <c r="D882" s="17" t="s">
        <v>179</v>
      </c>
      <c r="E882" s="18" t="s">
        <v>180</v>
      </c>
    </row>
    <row r="883" s="29" customFormat="1" ht="41" spans="2:5">
      <c r="B883" s="19" t="s">
        <v>440</v>
      </c>
      <c r="C883" s="20" t="s">
        <v>182</v>
      </c>
      <c r="D883" s="21">
        <v>32</v>
      </c>
      <c r="E883" s="22">
        <v>0</v>
      </c>
    </row>
    <row r="884" s="29" customFormat="1" ht="28" spans="2:5">
      <c r="B884" s="19" t="s">
        <v>440</v>
      </c>
      <c r="C884" s="20" t="s">
        <v>804</v>
      </c>
      <c r="D884" s="21">
        <v>16</v>
      </c>
      <c r="E884" s="22">
        <v>0</v>
      </c>
    </row>
    <row r="885" s="29" customFormat="1" spans="2:5">
      <c r="B885" s="19" t="s">
        <v>440</v>
      </c>
      <c r="C885" s="16" t="s">
        <v>183</v>
      </c>
      <c r="D885" s="23">
        <v>48</v>
      </c>
      <c r="E885" s="24">
        <v>0</v>
      </c>
    </row>
    <row r="886" s="29" customFormat="1" ht="28" spans="2:5">
      <c r="B886" s="19" t="s">
        <v>441</v>
      </c>
      <c r="C886" s="20" t="s">
        <v>804</v>
      </c>
      <c r="D886" s="21">
        <v>2</v>
      </c>
      <c r="E886" s="22">
        <v>0</v>
      </c>
    </row>
    <row r="887" s="29" customFormat="1" spans="2:5">
      <c r="B887" s="19" t="s">
        <v>441</v>
      </c>
      <c r="C887" s="16" t="s">
        <v>183</v>
      </c>
      <c r="D887" s="23">
        <v>2</v>
      </c>
      <c r="E887" s="24">
        <v>0</v>
      </c>
    </row>
    <row r="888" s="29" customFormat="1" ht="41" spans="2:5">
      <c r="B888" s="19" t="s">
        <v>442</v>
      </c>
      <c r="C888" s="20" t="s">
        <v>182</v>
      </c>
      <c r="D888" s="21">
        <v>1</v>
      </c>
      <c r="E888" s="22">
        <v>0</v>
      </c>
    </row>
    <row r="889" s="29" customFormat="1" ht="28" spans="2:5">
      <c r="B889" s="19" t="s">
        <v>442</v>
      </c>
      <c r="C889" s="20" t="s">
        <v>804</v>
      </c>
      <c r="D889" s="21">
        <v>2</v>
      </c>
      <c r="E889" s="22">
        <v>0</v>
      </c>
    </row>
    <row r="890" s="29" customFormat="1" spans="2:5">
      <c r="B890" s="19" t="s">
        <v>442</v>
      </c>
      <c r="C890" s="16" t="s">
        <v>183</v>
      </c>
      <c r="D890" s="23">
        <v>3</v>
      </c>
      <c r="E890" s="24">
        <v>0</v>
      </c>
    </row>
    <row r="891" s="29" customFormat="1" ht="41" spans="2:5">
      <c r="B891" s="19" t="s">
        <v>444</v>
      </c>
      <c r="C891" s="20" t="s">
        <v>182</v>
      </c>
      <c r="D891" s="21">
        <v>4</v>
      </c>
      <c r="E891" s="22">
        <v>0</v>
      </c>
    </row>
    <row r="892" s="29" customFormat="1" ht="28" spans="2:5">
      <c r="B892" s="19" t="s">
        <v>444</v>
      </c>
      <c r="C892" s="20" t="s">
        <v>804</v>
      </c>
      <c r="D892" s="21">
        <v>4</v>
      </c>
      <c r="E892" s="22">
        <v>0</v>
      </c>
    </row>
    <row r="893" s="29" customFormat="1" spans="2:5">
      <c r="B893" s="19" t="s">
        <v>444</v>
      </c>
      <c r="C893" s="16" t="s">
        <v>183</v>
      </c>
      <c r="D893" s="23">
        <v>8</v>
      </c>
      <c r="E893" s="24">
        <v>0</v>
      </c>
    </row>
    <row r="894" s="29" customFormat="1" ht="28" spans="2:5">
      <c r="B894" s="19" t="s">
        <v>1700</v>
      </c>
      <c r="C894" s="20" t="s">
        <v>804</v>
      </c>
      <c r="D894" s="21">
        <v>1</v>
      </c>
      <c r="E894" s="22">
        <v>54053.63964</v>
      </c>
    </row>
    <row r="895" s="29" customFormat="1" spans="2:5">
      <c r="B895" s="19" t="s">
        <v>1700</v>
      </c>
      <c r="C895" s="16" t="s">
        <v>183</v>
      </c>
      <c r="D895" s="23">
        <v>1</v>
      </c>
      <c r="E895" s="24">
        <v>54053.63964</v>
      </c>
    </row>
    <row r="896" s="29" customFormat="1" ht="28" spans="2:5">
      <c r="B896" s="19" t="s">
        <v>1701</v>
      </c>
      <c r="C896" s="20" t="s">
        <v>804</v>
      </c>
      <c r="D896" s="21">
        <v>2</v>
      </c>
      <c r="E896" s="22">
        <v>401801.900901</v>
      </c>
    </row>
    <row r="897" s="29" customFormat="1" ht="28.75" spans="2:5">
      <c r="B897" s="19" t="s">
        <v>1701</v>
      </c>
      <c r="C897" s="16" t="s">
        <v>183</v>
      </c>
      <c r="D897" s="23">
        <v>2</v>
      </c>
      <c r="E897" s="24">
        <v>401801.900901</v>
      </c>
    </row>
    <row r="898" s="29" customFormat="1" spans="2:5">
      <c r="B898" s="25"/>
      <c r="C898" s="25"/>
      <c r="D898" s="25"/>
      <c r="E898" s="25"/>
    </row>
    <row r="899" s="29" customFormat="1" ht="36" spans="2:5">
      <c r="B899" s="26" t="s">
        <v>189</v>
      </c>
      <c r="C899" s="26" t="s">
        <v>189</v>
      </c>
      <c r="D899" s="26" t="s">
        <v>189</v>
      </c>
      <c r="E899" s="26" t="s">
        <v>189</v>
      </c>
    </row>
    <row r="900" s="29" customFormat="1" spans="2:5">
      <c r="B900" s="26"/>
      <c r="C900" s="26"/>
      <c r="D900" s="26"/>
      <c r="E900" s="26"/>
    </row>
    <row r="901" s="29" customFormat="1" ht="36" spans="2:5">
      <c r="B901" s="26" t="s">
        <v>1653</v>
      </c>
      <c r="C901" s="26" t="s">
        <v>1653</v>
      </c>
      <c r="D901" s="26" t="s">
        <v>1653</v>
      </c>
      <c r="E901" s="26" t="s">
        <v>1653</v>
      </c>
    </row>
    <row r="902" s="29" customFormat="1" spans="2:5">
      <c r="B902" s="26" t="s">
        <v>758</v>
      </c>
      <c r="C902" s="26" t="s">
        <v>758</v>
      </c>
      <c r="D902" s="26" t="s">
        <v>758</v>
      </c>
      <c r="E902" s="26" t="s">
        <v>758</v>
      </c>
    </row>
    <row r="903" s="29" customFormat="1" ht="124" spans="2:5">
      <c r="B903" s="11" t="s">
        <v>173</v>
      </c>
      <c r="C903" s="11" t="s">
        <v>173</v>
      </c>
      <c r="D903" s="11" t="s">
        <v>173</v>
      </c>
      <c r="E903" s="11" t="s">
        <v>173</v>
      </c>
    </row>
    <row r="904" s="29" customFormat="1" ht="156" spans="2:5">
      <c r="B904" s="12" t="s">
        <v>174</v>
      </c>
      <c r="C904" s="12" t="s">
        <v>174</v>
      </c>
      <c r="D904" s="12" t="s">
        <v>174</v>
      </c>
      <c r="E904" s="12" t="s">
        <v>174</v>
      </c>
    </row>
    <row r="905" s="29" customFormat="1" ht="68" spans="2:5">
      <c r="B905" s="13" t="s">
        <v>1645</v>
      </c>
      <c r="C905" s="13" t="s">
        <v>1645</v>
      </c>
      <c r="D905" s="13" t="s">
        <v>1645</v>
      </c>
      <c r="E905" s="13" t="s">
        <v>1645</v>
      </c>
    </row>
    <row r="906" s="29" customFormat="1" ht="22" spans="2:5">
      <c r="B906" s="14" t="s">
        <v>176</v>
      </c>
      <c r="C906" s="14" t="s">
        <v>176</v>
      </c>
      <c r="D906" s="14" t="s">
        <v>176</v>
      </c>
      <c r="E906" s="14" t="s">
        <v>176</v>
      </c>
    </row>
    <row r="907" s="29" customFormat="1" spans="2:5">
      <c r="B907" s="15" t="s">
        <v>177</v>
      </c>
      <c r="C907" s="16" t="s">
        <v>178</v>
      </c>
      <c r="D907" s="17" t="s">
        <v>179</v>
      </c>
      <c r="E907" s="18" t="s">
        <v>180</v>
      </c>
    </row>
    <row r="908" s="29" customFormat="1" ht="28" spans="2:5">
      <c r="B908" s="19" t="s">
        <v>1702</v>
      </c>
      <c r="C908" s="20" t="s">
        <v>804</v>
      </c>
      <c r="D908" s="21">
        <v>1</v>
      </c>
      <c r="E908" s="22">
        <v>184684.684685</v>
      </c>
    </row>
    <row r="909" s="29" customFormat="1" ht="28" spans="2:5">
      <c r="B909" s="19" t="s">
        <v>1702</v>
      </c>
      <c r="C909" s="16" t="s">
        <v>183</v>
      </c>
      <c r="D909" s="23">
        <v>1</v>
      </c>
      <c r="E909" s="24">
        <v>184684.684685</v>
      </c>
    </row>
    <row r="910" s="29" customFormat="1" ht="41" spans="2:5">
      <c r="B910" s="19" t="s">
        <v>1239</v>
      </c>
      <c r="C910" s="20" t="s">
        <v>182</v>
      </c>
      <c r="D910" s="21">
        <v>3</v>
      </c>
      <c r="E910" s="22">
        <v>0</v>
      </c>
    </row>
    <row r="911" s="29" customFormat="1" spans="2:5">
      <c r="B911" s="19" t="s">
        <v>1239</v>
      </c>
      <c r="C911" s="16" t="s">
        <v>183</v>
      </c>
      <c r="D911" s="23">
        <v>3</v>
      </c>
      <c r="E911" s="24">
        <v>0</v>
      </c>
    </row>
    <row r="912" s="29" customFormat="1" ht="41" spans="2:5">
      <c r="B912" s="19" t="s">
        <v>837</v>
      </c>
      <c r="C912" s="20" t="s">
        <v>182</v>
      </c>
      <c r="D912" s="21">
        <v>10</v>
      </c>
      <c r="E912" s="22">
        <v>0</v>
      </c>
    </row>
    <row r="913" s="29" customFormat="1" spans="2:5">
      <c r="B913" s="19" t="s">
        <v>837</v>
      </c>
      <c r="C913" s="16" t="s">
        <v>183</v>
      </c>
      <c r="D913" s="23">
        <v>10</v>
      </c>
      <c r="E913" s="24">
        <v>0</v>
      </c>
    </row>
    <row r="914" s="29" customFormat="1" ht="41" spans="2:5">
      <c r="B914" s="19" t="s">
        <v>838</v>
      </c>
      <c r="C914" s="20" t="s">
        <v>182</v>
      </c>
      <c r="D914" s="21">
        <v>1</v>
      </c>
      <c r="E914" s="22">
        <v>0</v>
      </c>
    </row>
    <row r="915" s="29" customFormat="1" ht="28" spans="2:5">
      <c r="B915" s="19" t="s">
        <v>838</v>
      </c>
      <c r="C915" s="20" t="s">
        <v>804</v>
      </c>
      <c r="D915" s="21">
        <v>4</v>
      </c>
      <c r="E915" s="22">
        <v>0</v>
      </c>
    </row>
    <row r="916" s="29" customFormat="1" spans="2:5">
      <c r="B916" s="19" t="s">
        <v>838</v>
      </c>
      <c r="C916" s="16" t="s">
        <v>183</v>
      </c>
      <c r="D916" s="23">
        <v>5</v>
      </c>
      <c r="E916" s="24">
        <v>0</v>
      </c>
    </row>
    <row r="917" s="29" customFormat="1" ht="41" spans="2:5">
      <c r="B917" s="19" t="s">
        <v>588</v>
      </c>
      <c r="C917" s="20" t="s">
        <v>182</v>
      </c>
      <c r="D917" s="21">
        <v>2</v>
      </c>
      <c r="E917" s="22">
        <v>0</v>
      </c>
    </row>
    <row r="918" s="29" customFormat="1" ht="28" spans="2:5">
      <c r="B918" s="19" t="s">
        <v>588</v>
      </c>
      <c r="C918" s="20" t="s">
        <v>804</v>
      </c>
      <c r="D918" s="21">
        <v>3</v>
      </c>
      <c r="E918" s="22">
        <v>0</v>
      </c>
    </row>
    <row r="919" s="29" customFormat="1" spans="2:5">
      <c r="B919" s="19" t="s">
        <v>588</v>
      </c>
      <c r="C919" s="16" t="s">
        <v>183</v>
      </c>
      <c r="D919" s="23">
        <v>5</v>
      </c>
      <c r="E919" s="24">
        <v>0</v>
      </c>
    </row>
    <row r="920" s="29" customFormat="1" ht="28" spans="2:5">
      <c r="B920" s="19" t="s">
        <v>445</v>
      </c>
      <c r="C920" s="20" t="s">
        <v>804</v>
      </c>
      <c r="D920" s="21">
        <v>1</v>
      </c>
      <c r="E920" s="22">
        <v>0</v>
      </c>
    </row>
    <row r="921" s="29" customFormat="1" ht="17.55" spans="2:5">
      <c r="B921" s="19" t="s">
        <v>445</v>
      </c>
      <c r="C921" s="16" t="s">
        <v>183</v>
      </c>
      <c r="D921" s="23">
        <v>1</v>
      </c>
      <c r="E921" s="24">
        <v>0</v>
      </c>
    </row>
    <row r="922" s="29" customFormat="1" spans="2:5">
      <c r="B922" s="25"/>
      <c r="C922" s="25"/>
      <c r="D922" s="25"/>
      <c r="E922" s="25"/>
    </row>
    <row r="923" s="29" customFormat="1" ht="36" spans="2:5">
      <c r="B923" s="26" t="s">
        <v>189</v>
      </c>
      <c r="C923" s="26" t="s">
        <v>189</v>
      </c>
      <c r="D923" s="26" t="s">
        <v>189</v>
      </c>
      <c r="E923" s="26" t="s">
        <v>189</v>
      </c>
    </row>
    <row r="924" s="29" customFormat="1" spans="2:5">
      <c r="B924" s="26"/>
      <c r="C924" s="26"/>
      <c r="D924" s="26"/>
      <c r="E924" s="26"/>
    </row>
    <row r="925" s="29" customFormat="1" ht="36" spans="2:5">
      <c r="B925" s="26" t="s">
        <v>1653</v>
      </c>
      <c r="C925" s="26" t="s">
        <v>1653</v>
      </c>
      <c r="D925" s="26" t="s">
        <v>1653</v>
      </c>
      <c r="E925" s="26" t="s">
        <v>1653</v>
      </c>
    </row>
    <row r="926" s="29" customFormat="1" spans="2:5">
      <c r="B926" s="26" t="s">
        <v>760</v>
      </c>
      <c r="C926" s="26" t="s">
        <v>760</v>
      </c>
      <c r="D926" s="26" t="s">
        <v>760</v>
      </c>
      <c r="E926" s="26" t="s">
        <v>760</v>
      </c>
    </row>
    <row r="927" s="29" customFormat="1" ht="124" spans="2:5">
      <c r="B927" s="11" t="s">
        <v>173</v>
      </c>
      <c r="C927" s="11" t="s">
        <v>173</v>
      </c>
      <c r="D927" s="11" t="s">
        <v>173</v>
      </c>
      <c r="E927" s="11" t="s">
        <v>173</v>
      </c>
    </row>
    <row r="928" s="29" customFormat="1" ht="156" spans="2:5">
      <c r="B928" s="12" t="s">
        <v>174</v>
      </c>
      <c r="C928" s="12" t="s">
        <v>174</v>
      </c>
      <c r="D928" s="12" t="s">
        <v>174</v>
      </c>
      <c r="E928" s="12" t="s">
        <v>174</v>
      </c>
    </row>
    <row r="929" s="29" customFormat="1" ht="68" spans="2:5">
      <c r="B929" s="13" t="s">
        <v>1645</v>
      </c>
      <c r="C929" s="13" t="s">
        <v>1645</v>
      </c>
      <c r="D929" s="13" t="s">
        <v>1645</v>
      </c>
      <c r="E929" s="13" t="s">
        <v>1645</v>
      </c>
    </row>
    <row r="930" s="29" customFormat="1" ht="22" spans="2:5">
      <c r="B930" s="14" t="s">
        <v>176</v>
      </c>
      <c r="C930" s="14" t="s">
        <v>176</v>
      </c>
      <c r="D930" s="14" t="s">
        <v>176</v>
      </c>
      <c r="E930" s="14" t="s">
        <v>176</v>
      </c>
    </row>
    <row r="931" s="29" customFormat="1" spans="2:5">
      <c r="B931" s="15" t="s">
        <v>177</v>
      </c>
      <c r="C931" s="16" t="s">
        <v>178</v>
      </c>
      <c r="D931" s="17" t="s">
        <v>179</v>
      </c>
      <c r="E931" s="18" t="s">
        <v>180</v>
      </c>
    </row>
    <row r="932" s="29" customFormat="1" ht="41" spans="2:5">
      <c r="B932" s="19" t="s">
        <v>500</v>
      </c>
      <c r="C932" s="20" t="s">
        <v>182</v>
      </c>
      <c r="D932" s="21">
        <v>2</v>
      </c>
      <c r="E932" s="22">
        <v>0</v>
      </c>
    </row>
    <row r="933" s="29" customFormat="1" spans="2:5">
      <c r="B933" s="19" t="s">
        <v>500</v>
      </c>
      <c r="C933" s="16" t="s">
        <v>183</v>
      </c>
      <c r="D933" s="23">
        <v>2</v>
      </c>
      <c r="E933" s="24">
        <v>0</v>
      </c>
    </row>
    <row r="934" s="29" customFormat="1" ht="28" spans="2:5">
      <c r="B934" s="19" t="s">
        <v>1703</v>
      </c>
      <c r="C934" s="20" t="s">
        <v>804</v>
      </c>
      <c r="D934" s="21">
        <v>1</v>
      </c>
      <c r="E934" s="22">
        <v>459459.459459</v>
      </c>
    </row>
    <row r="935" s="29" customFormat="1" spans="2:5">
      <c r="B935" s="19" t="s">
        <v>1703</v>
      </c>
      <c r="C935" s="16" t="s">
        <v>183</v>
      </c>
      <c r="D935" s="23">
        <v>1</v>
      </c>
      <c r="E935" s="24">
        <v>459459.459459</v>
      </c>
    </row>
    <row r="936" s="29" customFormat="1" ht="41" spans="2:5">
      <c r="B936" s="19" t="s">
        <v>697</v>
      </c>
      <c r="C936" s="20" t="s">
        <v>182</v>
      </c>
      <c r="D936" s="21">
        <v>4</v>
      </c>
      <c r="E936" s="22">
        <v>663063.063063</v>
      </c>
    </row>
    <row r="937" s="29" customFormat="1" ht="28" spans="2:5">
      <c r="B937" s="19" t="s">
        <v>697</v>
      </c>
      <c r="C937" s="16" t="s">
        <v>183</v>
      </c>
      <c r="D937" s="23">
        <v>4</v>
      </c>
      <c r="E937" s="24">
        <v>663063.063063</v>
      </c>
    </row>
    <row r="938" s="29" customFormat="1" ht="41" spans="2:5">
      <c r="B938" s="19" t="s">
        <v>1241</v>
      </c>
      <c r="C938" s="20" t="s">
        <v>182</v>
      </c>
      <c r="D938" s="21">
        <v>4</v>
      </c>
      <c r="E938" s="22">
        <v>360360.36036</v>
      </c>
    </row>
    <row r="939" s="29" customFormat="1" spans="2:5">
      <c r="B939" s="19" t="s">
        <v>1241</v>
      </c>
      <c r="C939" s="16" t="s">
        <v>183</v>
      </c>
      <c r="D939" s="23">
        <v>4</v>
      </c>
      <c r="E939" s="24">
        <v>360360.36036</v>
      </c>
    </row>
    <row r="940" s="29" customFormat="1" ht="28" spans="2:5">
      <c r="B940" s="19" t="s">
        <v>698</v>
      </c>
      <c r="C940" s="20" t="s">
        <v>804</v>
      </c>
      <c r="D940" s="21">
        <v>4</v>
      </c>
      <c r="E940" s="22">
        <v>389189.189189</v>
      </c>
    </row>
    <row r="941" s="29" customFormat="1" spans="2:5">
      <c r="B941" s="19" t="s">
        <v>698</v>
      </c>
      <c r="C941" s="16" t="s">
        <v>183</v>
      </c>
      <c r="D941" s="23">
        <v>4</v>
      </c>
      <c r="E941" s="24">
        <v>389189.189189</v>
      </c>
    </row>
    <row r="942" s="29" customFormat="1" ht="41" spans="2:5">
      <c r="B942" s="19" t="s">
        <v>699</v>
      </c>
      <c r="C942" s="20" t="s">
        <v>182</v>
      </c>
      <c r="D942" s="21">
        <v>4</v>
      </c>
      <c r="E942" s="22">
        <v>180180.18018</v>
      </c>
    </row>
    <row r="943" s="29" customFormat="1" ht="28" spans="2:5">
      <c r="B943" s="19" t="s">
        <v>699</v>
      </c>
      <c r="C943" s="16" t="s">
        <v>183</v>
      </c>
      <c r="D943" s="23">
        <v>4</v>
      </c>
      <c r="E943" s="24">
        <v>180180.18018</v>
      </c>
    </row>
    <row r="944" s="29" customFormat="1" ht="41.75" spans="2:5">
      <c r="B944" s="20" t="s">
        <v>502</v>
      </c>
      <c r="C944" s="20" t="s">
        <v>182</v>
      </c>
      <c r="D944" s="21">
        <v>54</v>
      </c>
      <c r="E944" s="22">
        <v>4965765.594593</v>
      </c>
    </row>
    <row r="945" s="29" customFormat="1" spans="2:5">
      <c r="B945" s="25"/>
      <c r="C945" s="25"/>
      <c r="D945" s="25"/>
      <c r="E945" s="25"/>
    </row>
    <row r="946" s="29" customFormat="1" ht="36" spans="2:5">
      <c r="B946" s="26" t="s">
        <v>189</v>
      </c>
      <c r="C946" s="26" t="s">
        <v>189</v>
      </c>
      <c r="D946" s="26" t="s">
        <v>189</v>
      </c>
      <c r="E946" s="26" t="s">
        <v>189</v>
      </c>
    </row>
    <row r="947" s="29" customFormat="1" spans="2:5">
      <c r="B947" s="26"/>
      <c r="C947" s="26"/>
      <c r="D947" s="26"/>
      <c r="E947" s="26"/>
    </row>
    <row r="948" s="29" customFormat="1" ht="36" spans="2:5">
      <c r="B948" s="26" t="s">
        <v>1653</v>
      </c>
      <c r="C948" s="26" t="s">
        <v>1653</v>
      </c>
      <c r="D948" s="26" t="s">
        <v>1653</v>
      </c>
      <c r="E948" s="26" t="s">
        <v>1653</v>
      </c>
    </row>
    <row r="949" s="29" customFormat="1" spans="2:5">
      <c r="B949" s="26" t="s">
        <v>767</v>
      </c>
      <c r="C949" s="26" t="s">
        <v>767</v>
      </c>
      <c r="D949" s="26" t="s">
        <v>767</v>
      </c>
      <c r="E949" s="26" t="s">
        <v>767</v>
      </c>
    </row>
    <row r="950" s="29" customFormat="1" ht="124" spans="2:5">
      <c r="B950" s="11" t="s">
        <v>173</v>
      </c>
      <c r="C950" s="11" t="s">
        <v>173</v>
      </c>
      <c r="D950" s="11" t="s">
        <v>173</v>
      </c>
      <c r="E950" s="11" t="s">
        <v>173</v>
      </c>
    </row>
    <row r="951" s="29" customFormat="1" ht="156" spans="2:5">
      <c r="B951" s="12" t="s">
        <v>174</v>
      </c>
      <c r="C951" s="12" t="s">
        <v>174</v>
      </c>
      <c r="D951" s="12" t="s">
        <v>174</v>
      </c>
      <c r="E951" s="12" t="s">
        <v>174</v>
      </c>
    </row>
    <row r="952" s="29" customFormat="1" ht="68" spans="2:5">
      <c r="B952" s="13" t="s">
        <v>1645</v>
      </c>
      <c r="C952" s="13" t="s">
        <v>1645</v>
      </c>
      <c r="D952" s="13" t="s">
        <v>1645</v>
      </c>
      <c r="E952" s="13" t="s">
        <v>1645</v>
      </c>
    </row>
    <row r="953" s="29" customFormat="1" ht="22" spans="2:5">
      <c r="B953" s="14" t="s">
        <v>176</v>
      </c>
      <c r="C953" s="14" t="s">
        <v>176</v>
      </c>
      <c r="D953" s="14" t="s">
        <v>176</v>
      </c>
      <c r="E953" s="14" t="s">
        <v>176</v>
      </c>
    </row>
    <row r="954" s="29" customFormat="1" spans="2:5">
      <c r="B954" s="15" t="s">
        <v>177</v>
      </c>
      <c r="C954" s="16" t="s">
        <v>178</v>
      </c>
      <c r="D954" s="17" t="s">
        <v>179</v>
      </c>
      <c r="E954" s="18" t="s">
        <v>180</v>
      </c>
    </row>
    <row r="955" s="29" customFormat="1" ht="28" spans="2:5">
      <c r="B955" s="19" t="s">
        <v>502</v>
      </c>
      <c r="C955" s="20" t="s">
        <v>804</v>
      </c>
      <c r="D955" s="21">
        <v>72</v>
      </c>
      <c r="E955" s="22">
        <v>6875676.045042</v>
      </c>
    </row>
    <row r="956" s="29" customFormat="1" ht="28" spans="2:5">
      <c r="B956" s="19" t="s">
        <v>502</v>
      </c>
      <c r="C956" s="16" t="s">
        <v>183</v>
      </c>
      <c r="D956" s="23">
        <v>126</v>
      </c>
      <c r="E956" s="24">
        <v>11841441.639635</v>
      </c>
    </row>
    <row r="957" s="29" customFormat="1" ht="41" spans="2:5">
      <c r="B957" s="19" t="s">
        <v>1490</v>
      </c>
      <c r="C957" s="20" t="s">
        <v>182</v>
      </c>
      <c r="D957" s="21">
        <v>4</v>
      </c>
      <c r="E957" s="22">
        <v>64864.864865</v>
      </c>
    </row>
    <row r="958" s="29" customFormat="1" ht="28" spans="2:5">
      <c r="B958" s="19" t="s">
        <v>1490</v>
      </c>
      <c r="C958" s="16" t="s">
        <v>183</v>
      </c>
      <c r="D958" s="23">
        <v>4</v>
      </c>
      <c r="E958" s="24">
        <v>64864.864865</v>
      </c>
    </row>
    <row r="959" s="29" customFormat="1" ht="41" spans="2:5">
      <c r="B959" s="19" t="s">
        <v>1491</v>
      </c>
      <c r="C959" s="20" t="s">
        <v>182</v>
      </c>
      <c r="D959" s="21">
        <v>16</v>
      </c>
      <c r="E959" s="22">
        <v>320720.720722</v>
      </c>
    </row>
    <row r="960" s="29" customFormat="1" ht="28" spans="2:5">
      <c r="B960" s="19" t="s">
        <v>1491</v>
      </c>
      <c r="C960" s="16" t="s">
        <v>183</v>
      </c>
      <c r="D960" s="23">
        <v>16</v>
      </c>
      <c r="E960" s="24">
        <v>320720.720722</v>
      </c>
    </row>
    <row r="961" s="29" customFormat="1" ht="41" spans="2:5">
      <c r="B961" s="19" t="s">
        <v>1704</v>
      </c>
      <c r="C961" s="20" t="s">
        <v>1191</v>
      </c>
      <c r="D961" s="21">
        <v>2</v>
      </c>
      <c r="E961" s="22">
        <v>2009009</v>
      </c>
    </row>
    <row r="962" s="29" customFormat="1" ht="28" spans="2:5">
      <c r="B962" s="19" t="s">
        <v>1704</v>
      </c>
      <c r="C962" s="16" t="s">
        <v>183</v>
      </c>
      <c r="D962" s="23">
        <v>2</v>
      </c>
      <c r="E962" s="24">
        <v>2009009</v>
      </c>
    </row>
    <row r="963" s="29" customFormat="1" ht="28" spans="2:5">
      <c r="B963" s="19" t="s">
        <v>1705</v>
      </c>
      <c r="C963" s="20" t="s">
        <v>1664</v>
      </c>
      <c r="D963" s="21">
        <v>1</v>
      </c>
      <c r="E963" s="22">
        <v>1130631</v>
      </c>
    </row>
    <row r="964" s="29" customFormat="1" ht="28" spans="2:5">
      <c r="B964" s="19" t="s">
        <v>1705</v>
      </c>
      <c r="C964" s="16" t="s">
        <v>183</v>
      </c>
      <c r="D964" s="23">
        <v>1</v>
      </c>
      <c r="E964" s="24">
        <v>1130631</v>
      </c>
    </row>
    <row r="965" s="29" customFormat="1" ht="41" spans="2:5">
      <c r="B965" s="19" t="s">
        <v>292</v>
      </c>
      <c r="C965" s="20" t="s">
        <v>182</v>
      </c>
      <c r="D965" s="21">
        <v>2</v>
      </c>
      <c r="E965" s="22">
        <v>1311711.711712</v>
      </c>
    </row>
    <row r="966" s="29" customFormat="1" ht="28" spans="2:5">
      <c r="B966" s="19" t="s">
        <v>292</v>
      </c>
      <c r="C966" s="16" t="s">
        <v>183</v>
      </c>
      <c r="D966" s="23">
        <v>2</v>
      </c>
      <c r="E966" s="24">
        <v>1311711.711712</v>
      </c>
    </row>
    <row r="967" s="29" customFormat="1" ht="28" spans="2:5">
      <c r="B967" s="19" t="s">
        <v>1706</v>
      </c>
      <c r="C967" s="20" t="s">
        <v>804</v>
      </c>
      <c r="D967" s="21">
        <v>2</v>
      </c>
      <c r="E967" s="22">
        <v>1000000</v>
      </c>
    </row>
    <row r="968" s="29" customFormat="1" ht="17.55" spans="2:5">
      <c r="B968" s="19" t="s">
        <v>1706</v>
      </c>
      <c r="C968" s="16" t="s">
        <v>183</v>
      </c>
      <c r="D968" s="23">
        <v>2</v>
      </c>
      <c r="E968" s="24">
        <v>1000000</v>
      </c>
    </row>
    <row r="969" s="29" customFormat="1" spans="2:5">
      <c r="B969" s="25"/>
      <c r="C969" s="25"/>
      <c r="D969" s="25"/>
      <c r="E969" s="25"/>
    </row>
    <row r="970" s="29" customFormat="1" ht="36" spans="2:5">
      <c r="B970" s="26" t="s">
        <v>189</v>
      </c>
      <c r="C970" s="26" t="s">
        <v>189</v>
      </c>
      <c r="D970" s="26" t="s">
        <v>189</v>
      </c>
      <c r="E970" s="26" t="s">
        <v>189</v>
      </c>
    </row>
    <row r="971" s="29" customFormat="1" spans="2:5">
      <c r="B971" s="26"/>
      <c r="C971" s="26"/>
      <c r="D971" s="26"/>
      <c r="E971" s="26"/>
    </row>
    <row r="972" s="29" customFormat="1" ht="36" spans="2:5">
      <c r="B972" s="26" t="s">
        <v>1653</v>
      </c>
      <c r="C972" s="26" t="s">
        <v>1653</v>
      </c>
      <c r="D972" s="26" t="s">
        <v>1653</v>
      </c>
      <c r="E972" s="26" t="s">
        <v>1653</v>
      </c>
    </row>
    <row r="973" s="29" customFormat="1" spans="2:5">
      <c r="B973" s="26" t="s">
        <v>773</v>
      </c>
      <c r="C973" s="26" t="s">
        <v>773</v>
      </c>
      <c r="D973" s="26" t="s">
        <v>773</v>
      </c>
      <c r="E973" s="26" t="s">
        <v>773</v>
      </c>
    </row>
    <row r="974" s="29" customFormat="1" ht="124" spans="2:5">
      <c r="B974" s="11" t="s">
        <v>173</v>
      </c>
      <c r="C974" s="11" t="s">
        <v>173</v>
      </c>
      <c r="D974" s="11" t="s">
        <v>173</v>
      </c>
      <c r="E974" s="11" t="s">
        <v>173</v>
      </c>
    </row>
    <row r="975" s="29" customFormat="1" ht="156" spans="2:5">
      <c r="B975" s="12" t="s">
        <v>174</v>
      </c>
      <c r="C975" s="12" t="s">
        <v>174</v>
      </c>
      <c r="D975" s="12" t="s">
        <v>174</v>
      </c>
      <c r="E975" s="12" t="s">
        <v>174</v>
      </c>
    </row>
    <row r="976" s="29" customFormat="1" ht="68" spans="2:5">
      <c r="B976" s="13" t="s">
        <v>1645</v>
      </c>
      <c r="C976" s="13" t="s">
        <v>1645</v>
      </c>
      <c r="D976" s="13" t="s">
        <v>1645</v>
      </c>
      <c r="E976" s="13" t="s">
        <v>1645</v>
      </c>
    </row>
    <row r="977" s="29" customFormat="1" ht="22" spans="2:5">
      <c r="B977" s="14" t="s">
        <v>176</v>
      </c>
      <c r="C977" s="14" t="s">
        <v>176</v>
      </c>
      <c r="D977" s="14" t="s">
        <v>176</v>
      </c>
      <c r="E977" s="14" t="s">
        <v>176</v>
      </c>
    </row>
    <row r="978" s="29" customFormat="1" spans="2:5">
      <c r="B978" s="15" t="s">
        <v>177</v>
      </c>
      <c r="C978" s="16" t="s">
        <v>178</v>
      </c>
      <c r="D978" s="17" t="s">
        <v>179</v>
      </c>
      <c r="E978" s="18" t="s">
        <v>180</v>
      </c>
    </row>
    <row r="979" s="29" customFormat="1" ht="28" spans="2:5">
      <c r="B979" s="19" t="s">
        <v>1707</v>
      </c>
      <c r="C979" s="20" t="s">
        <v>804</v>
      </c>
      <c r="D979" s="21">
        <v>1</v>
      </c>
      <c r="E979" s="22">
        <v>1450000</v>
      </c>
    </row>
    <row r="980" s="29" customFormat="1" spans="2:5">
      <c r="B980" s="19" t="s">
        <v>1707</v>
      </c>
      <c r="C980" s="16" t="s">
        <v>183</v>
      </c>
      <c r="D980" s="23">
        <v>1</v>
      </c>
      <c r="E980" s="24">
        <v>1450000</v>
      </c>
    </row>
    <row r="981" s="29" customFormat="1" ht="28" spans="2:5">
      <c r="B981" s="19" t="s">
        <v>1247</v>
      </c>
      <c r="C981" s="20" t="s">
        <v>804</v>
      </c>
      <c r="D981" s="21">
        <v>2</v>
      </c>
      <c r="E981" s="22">
        <v>490090.09009</v>
      </c>
    </row>
    <row r="982" s="29" customFormat="1" ht="28" spans="2:5">
      <c r="B982" s="19" t="s">
        <v>1247</v>
      </c>
      <c r="C982" s="16" t="s">
        <v>183</v>
      </c>
      <c r="D982" s="23">
        <v>2</v>
      </c>
      <c r="E982" s="24">
        <v>490090.09009</v>
      </c>
    </row>
    <row r="983" s="29" customFormat="1" ht="28" spans="2:5">
      <c r="B983" s="19" t="s">
        <v>1248</v>
      </c>
      <c r="C983" s="20" t="s">
        <v>804</v>
      </c>
      <c r="D983" s="21">
        <v>2</v>
      </c>
      <c r="E983" s="22">
        <v>362162.162162</v>
      </c>
    </row>
    <row r="984" s="29" customFormat="1" spans="2:5">
      <c r="B984" s="19" t="s">
        <v>1248</v>
      </c>
      <c r="C984" s="16" t="s">
        <v>183</v>
      </c>
      <c r="D984" s="23">
        <v>2</v>
      </c>
      <c r="E984" s="24">
        <v>362162.162162</v>
      </c>
    </row>
    <row r="985" s="29" customFormat="1" ht="28" spans="2:5">
      <c r="B985" s="19" t="s">
        <v>1249</v>
      </c>
      <c r="C985" s="20" t="s">
        <v>804</v>
      </c>
      <c r="D985" s="21">
        <v>2</v>
      </c>
      <c r="E985" s="22">
        <v>282882.882883</v>
      </c>
    </row>
    <row r="986" s="29" customFormat="1" spans="2:5">
      <c r="B986" s="19" t="s">
        <v>1249</v>
      </c>
      <c r="C986" s="16" t="s">
        <v>183</v>
      </c>
      <c r="D986" s="23">
        <v>2</v>
      </c>
      <c r="E986" s="24">
        <v>282882.882883</v>
      </c>
    </row>
    <row r="987" s="29" customFormat="1" ht="28" spans="2:5">
      <c r="B987" s="19" t="s">
        <v>700</v>
      </c>
      <c r="C987" s="20" t="s">
        <v>804</v>
      </c>
      <c r="D987" s="21">
        <v>6</v>
      </c>
      <c r="E987" s="22">
        <v>1327927.927927</v>
      </c>
    </row>
    <row r="988" s="29" customFormat="1" spans="2:5">
      <c r="B988" s="19" t="s">
        <v>700</v>
      </c>
      <c r="C988" s="16" t="s">
        <v>183</v>
      </c>
      <c r="D988" s="23">
        <v>6</v>
      </c>
      <c r="E988" s="24">
        <v>1327927.927927</v>
      </c>
    </row>
    <row r="989" s="29" customFormat="1" ht="28" spans="2:5">
      <c r="B989" s="19" t="s">
        <v>1708</v>
      </c>
      <c r="C989" s="20" t="s">
        <v>804</v>
      </c>
      <c r="D989" s="21">
        <v>2</v>
      </c>
      <c r="E989" s="22">
        <v>309910.396396</v>
      </c>
    </row>
    <row r="990" s="29" customFormat="1" spans="2:5">
      <c r="B990" s="19" t="s">
        <v>1708</v>
      </c>
      <c r="C990" s="16" t="s">
        <v>183</v>
      </c>
      <c r="D990" s="23">
        <v>2</v>
      </c>
      <c r="E990" s="24">
        <v>309910.396396</v>
      </c>
    </row>
    <row r="991" s="29" customFormat="1" ht="41" spans="2:5">
      <c r="B991" s="19" t="s">
        <v>1709</v>
      </c>
      <c r="C991" s="20" t="s">
        <v>1191</v>
      </c>
      <c r="D991" s="21">
        <v>2</v>
      </c>
      <c r="E991" s="22">
        <v>787387.387387</v>
      </c>
    </row>
    <row r="992" s="29" customFormat="1" spans="2:5">
      <c r="B992" s="19" t="s">
        <v>1709</v>
      </c>
      <c r="C992" s="16" t="s">
        <v>183</v>
      </c>
      <c r="D992" s="23">
        <v>2</v>
      </c>
      <c r="E992" s="24">
        <v>787387.387387</v>
      </c>
    </row>
    <row r="993" s="29" customFormat="1" ht="28" spans="2:5">
      <c r="B993" s="19" t="s">
        <v>1710</v>
      </c>
      <c r="C993" s="20" t="s">
        <v>804</v>
      </c>
      <c r="D993" s="21">
        <v>1</v>
      </c>
      <c r="E993" s="22">
        <v>100000</v>
      </c>
    </row>
    <row r="994" s="29" customFormat="1" ht="17.55" spans="2:5">
      <c r="B994" s="19" t="s">
        <v>1710</v>
      </c>
      <c r="C994" s="16" t="s">
        <v>183</v>
      </c>
      <c r="D994" s="23">
        <v>1</v>
      </c>
      <c r="E994" s="24">
        <v>100000</v>
      </c>
    </row>
    <row r="995" s="29" customFormat="1" spans="2:5">
      <c r="B995" s="25"/>
      <c r="C995" s="25"/>
      <c r="D995" s="25"/>
      <c r="E995" s="25"/>
    </row>
    <row r="996" s="29" customFormat="1" ht="36" spans="2:5">
      <c r="B996" s="26" t="s">
        <v>189</v>
      </c>
      <c r="C996" s="26" t="s">
        <v>189</v>
      </c>
      <c r="D996" s="26" t="s">
        <v>189</v>
      </c>
      <c r="E996" s="26" t="s">
        <v>189</v>
      </c>
    </row>
    <row r="997" s="29" customFormat="1" spans="2:5">
      <c r="B997" s="26"/>
      <c r="C997" s="26"/>
      <c r="D997" s="26"/>
      <c r="E997" s="26"/>
    </row>
    <row r="998" s="29" customFormat="1" ht="36" spans="2:5">
      <c r="B998" s="26" t="s">
        <v>1653</v>
      </c>
      <c r="C998" s="26" t="s">
        <v>1653</v>
      </c>
      <c r="D998" s="26" t="s">
        <v>1653</v>
      </c>
      <c r="E998" s="26" t="s">
        <v>1653</v>
      </c>
    </row>
    <row r="999" s="29" customFormat="1" spans="2:5">
      <c r="B999" s="26" t="s">
        <v>780</v>
      </c>
      <c r="C999" s="26" t="s">
        <v>780</v>
      </c>
      <c r="D999" s="26" t="s">
        <v>780</v>
      </c>
      <c r="E999" s="26" t="s">
        <v>780</v>
      </c>
    </row>
    <row r="1000" s="29" customFormat="1" ht="124" spans="2:5">
      <c r="B1000" s="11" t="s">
        <v>173</v>
      </c>
      <c r="C1000" s="11" t="s">
        <v>173</v>
      </c>
      <c r="D1000" s="11" t="s">
        <v>173</v>
      </c>
      <c r="E1000" s="11" t="s">
        <v>173</v>
      </c>
    </row>
    <row r="1001" s="29" customFormat="1" ht="156" spans="2:5">
      <c r="B1001" s="12" t="s">
        <v>174</v>
      </c>
      <c r="C1001" s="12" t="s">
        <v>174</v>
      </c>
      <c r="D1001" s="12" t="s">
        <v>174</v>
      </c>
      <c r="E1001" s="12" t="s">
        <v>174</v>
      </c>
    </row>
    <row r="1002" s="29" customFormat="1" ht="68" spans="2:5">
      <c r="B1002" s="13" t="s">
        <v>1645</v>
      </c>
      <c r="C1002" s="13" t="s">
        <v>1645</v>
      </c>
      <c r="D1002" s="13" t="s">
        <v>1645</v>
      </c>
      <c r="E1002" s="13" t="s">
        <v>1645</v>
      </c>
    </row>
    <row r="1003" s="29" customFormat="1" ht="22" spans="2:5">
      <c r="B1003" s="14" t="s">
        <v>176</v>
      </c>
      <c r="C1003" s="14" t="s">
        <v>176</v>
      </c>
      <c r="D1003" s="14" t="s">
        <v>176</v>
      </c>
      <c r="E1003" s="14" t="s">
        <v>176</v>
      </c>
    </row>
    <row r="1004" s="29" customFormat="1" spans="2:5">
      <c r="B1004" s="15" t="s">
        <v>177</v>
      </c>
      <c r="C1004" s="16" t="s">
        <v>178</v>
      </c>
      <c r="D1004" s="17" t="s">
        <v>179</v>
      </c>
      <c r="E1004" s="18" t="s">
        <v>180</v>
      </c>
    </row>
    <row r="1005" s="29" customFormat="1" ht="28" spans="2:5">
      <c r="B1005" s="19" t="s">
        <v>1711</v>
      </c>
      <c r="C1005" s="20" t="s">
        <v>804</v>
      </c>
      <c r="D1005" s="21">
        <v>1</v>
      </c>
      <c r="E1005" s="22">
        <v>300000</v>
      </c>
    </row>
    <row r="1006" s="29" customFormat="1" spans="2:5">
      <c r="B1006" s="19" t="s">
        <v>1711</v>
      </c>
      <c r="C1006" s="16" t="s">
        <v>183</v>
      </c>
      <c r="D1006" s="23">
        <v>1</v>
      </c>
      <c r="E1006" s="24">
        <v>300000</v>
      </c>
    </row>
    <row r="1007" s="29" customFormat="1" ht="28" spans="2:5">
      <c r="B1007" s="19" t="s">
        <v>1712</v>
      </c>
      <c r="C1007" s="20" t="s">
        <v>804</v>
      </c>
      <c r="D1007" s="21">
        <v>1</v>
      </c>
      <c r="E1007" s="22">
        <v>870000</v>
      </c>
    </row>
    <row r="1008" s="29" customFormat="1" spans="2:5">
      <c r="B1008" s="19" t="s">
        <v>1712</v>
      </c>
      <c r="C1008" s="16" t="s">
        <v>183</v>
      </c>
      <c r="D1008" s="23">
        <v>1</v>
      </c>
      <c r="E1008" s="24">
        <v>870000</v>
      </c>
    </row>
    <row r="1009" s="29" customFormat="1" ht="28" spans="2:5">
      <c r="B1009" s="19" t="s">
        <v>1713</v>
      </c>
      <c r="C1009" s="20" t="s">
        <v>804</v>
      </c>
      <c r="D1009" s="21">
        <v>1</v>
      </c>
      <c r="E1009" s="22">
        <v>144144.144144</v>
      </c>
    </row>
    <row r="1010" s="29" customFormat="1" spans="2:5">
      <c r="B1010" s="19" t="s">
        <v>1713</v>
      </c>
      <c r="C1010" s="16" t="s">
        <v>183</v>
      </c>
      <c r="D1010" s="23">
        <v>1</v>
      </c>
      <c r="E1010" s="24">
        <v>144144.144144</v>
      </c>
    </row>
    <row r="1011" s="29" customFormat="1" ht="28" spans="2:5">
      <c r="B1011" s="19" t="s">
        <v>1714</v>
      </c>
      <c r="C1011" s="20" t="s">
        <v>804</v>
      </c>
      <c r="D1011" s="21">
        <v>1</v>
      </c>
      <c r="E1011" s="22">
        <v>725000</v>
      </c>
    </row>
    <row r="1012" s="29" customFormat="1" spans="2:5">
      <c r="B1012" s="19" t="s">
        <v>1714</v>
      </c>
      <c r="C1012" s="16" t="s">
        <v>183</v>
      </c>
      <c r="D1012" s="23">
        <v>1</v>
      </c>
      <c r="E1012" s="24">
        <v>725000</v>
      </c>
    </row>
    <row r="1013" s="29" customFormat="1" ht="41" spans="2:5">
      <c r="B1013" s="19" t="s">
        <v>299</v>
      </c>
      <c r="C1013" s="20" t="s">
        <v>182</v>
      </c>
      <c r="D1013" s="21">
        <v>40</v>
      </c>
      <c r="E1013" s="22">
        <v>37837.837838</v>
      </c>
    </row>
    <row r="1014" s="29" customFormat="1" ht="28" spans="2:5">
      <c r="B1014" s="19" t="s">
        <v>299</v>
      </c>
      <c r="C1014" s="20" t="s">
        <v>804</v>
      </c>
      <c r="D1014" s="21">
        <v>24</v>
      </c>
      <c r="E1014" s="22">
        <v>75675.468469</v>
      </c>
    </row>
    <row r="1015" s="29" customFormat="1" ht="28" spans="2:5">
      <c r="B1015" s="19" t="s">
        <v>299</v>
      </c>
      <c r="C1015" s="16" t="s">
        <v>183</v>
      </c>
      <c r="D1015" s="23">
        <v>64</v>
      </c>
      <c r="E1015" s="24">
        <v>113513.306307</v>
      </c>
    </row>
    <row r="1016" s="29" customFormat="1" ht="41" spans="2:5">
      <c r="B1016" s="19" t="s">
        <v>371</v>
      </c>
      <c r="C1016" s="20" t="s">
        <v>182</v>
      </c>
      <c r="D1016" s="21">
        <v>37</v>
      </c>
      <c r="E1016" s="22">
        <v>0</v>
      </c>
    </row>
    <row r="1017" s="29" customFormat="1" ht="28" spans="2:5">
      <c r="B1017" s="19" t="s">
        <v>371</v>
      </c>
      <c r="C1017" s="20" t="s">
        <v>804</v>
      </c>
      <c r="D1017" s="21">
        <v>22</v>
      </c>
      <c r="E1017" s="22">
        <v>0</v>
      </c>
    </row>
    <row r="1018" s="29" customFormat="1" ht="28" spans="2:5">
      <c r="B1018" s="19" t="s">
        <v>371</v>
      </c>
      <c r="C1018" s="16" t="s">
        <v>183</v>
      </c>
      <c r="D1018" s="23">
        <v>59</v>
      </c>
      <c r="E1018" s="24">
        <v>0</v>
      </c>
    </row>
    <row r="1019" s="29" customFormat="1" ht="41.75" spans="2:5">
      <c r="B1019" s="20" t="s">
        <v>374</v>
      </c>
      <c r="C1019" s="20" t="s">
        <v>182</v>
      </c>
      <c r="D1019" s="21">
        <v>8</v>
      </c>
      <c r="E1019" s="22">
        <v>0</v>
      </c>
    </row>
    <row r="1020" s="29" customFormat="1" spans="2:5">
      <c r="B1020" s="25"/>
      <c r="C1020" s="25"/>
      <c r="D1020" s="25"/>
      <c r="E1020" s="25"/>
    </row>
    <row r="1021" s="29" customFormat="1" ht="36" spans="2:5">
      <c r="B1021" s="26" t="s">
        <v>189</v>
      </c>
      <c r="C1021" s="26" t="s">
        <v>189</v>
      </c>
      <c r="D1021" s="26" t="s">
        <v>189</v>
      </c>
      <c r="E1021" s="26" t="s">
        <v>189</v>
      </c>
    </row>
    <row r="1022" s="29" customFormat="1" spans="2:5">
      <c r="B1022" s="26"/>
      <c r="C1022" s="26"/>
      <c r="D1022" s="26"/>
      <c r="E1022" s="26"/>
    </row>
    <row r="1023" s="29" customFormat="1" ht="36" spans="2:5">
      <c r="B1023" s="26" t="s">
        <v>1653</v>
      </c>
      <c r="C1023" s="26" t="s">
        <v>1653</v>
      </c>
      <c r="D1023" s="26" t="s">
        <v>1653</v>
      </c>
      <c r="E1023" s="26" t="s">
        <v>1653</v>
      </c>
    </row>
    <row r="1024" s="29" customFormat="1" spans="2:5">
      <c r="B1024" s="26" t="s">
        <v>787</v>
      </c>
      <c r="C1024" s="26" t="s">
        <v>787</v>
      </c>
      <c r="D1024" s="26" t="s">
        <v>787</v>
      </c>
      <c r="E1024" s="26" t="s">
        <v>787</v>
      </c>
    </row>
    <row r="1025" s="29" customFormat="1" ht="124" spans="2:5">
      <c r="B1025" s="11" t="s">
        <v>173</v>
      </c>
      <c r="C1025" s="11" t="s">
        <v>173</v>
      </c>
      <c r="D1025" s="11" t="s">
        <v>173</v>
      </c>
      <c r="E1025" s="11" t="s">
        <v>173</v>
      </c>
    </row>
    <row r="1026" s="29" customFormat="1" ht="156" spans="2:5">
      <c r="B1026" s="12" t="s">
        <v>174</v>
      </c>
      <c r="C1026" s="12" t="s">
        <v>174</v>
      </c>
      <c r="D1026" s="12" t="s">
        <v>174</v>
      </c>
      <c r="E1026" s="12" t="s">
        <v>174</v>
      </c>
    </row>
    <row r="1027" s="29" customFormat="1" ht="68" spans="2:5">
      <c r="B1027" s="13" t="s">
        <v>1645</v>
      </c>
      <c r="C1027" s="13" t="s">
        <v>1645</v>
      </c>
      <c r="D1027" s="13" t="s">
        <v>1645</v>
      </c>
      <c r="E1027" s="13" t="s">
        <v>1645</v>
      </c>
    </row>
    <row r="1028" s="29" customFormat="1" ht="22" spans="2:5">
      <c r="B1028" s="14" t="s">
        <v>176</v>
      </c>
      <c r="C1028" s="14" t="s">
        <v>176</v>
      </c>
      <c r="D1028" s="14" t="s">
        <v>176</v>
      </c>
      <c r="E1028" s="14" t="s">
        <v>176</v>
      </c>
    </row>
    <row r="1029" s="29" customFormat="1" spans="2:5">
      <c r="B1029" s="15" t="s">
        <v>177</v>
      </c>
      <c r="C1029" s="16" t="s">
        <v>178</v>
      </c>
      <c r="D1029" s="17" t="s">
        <v>179</v>
      </c>
      <c r="E1029" s="18" t="s">
        <v>180</v>
      </c>
    </row>
    <row r="1030" s="29" customFormat="1" ht="28" spans="2:5">
      <c r="B1030" s="19" t="s">
        <v>374</v>
      </c>
      <c r="C1030" s="20" t="s">
        <v>804</v>
      </c>
      <c r="D1030" s="21">
        <v>6</v>
      </c>
      <c r="E1030" s="22">
        <v>0</v>
      </c>
    </row>
    <row r="1031" s="29" customFormat="1" ht="28" spans="2:5">
      <c r="B1031" s="19" t="s">
        <v>374</v>
      </c>
      <c r="C1031" s="16" t="s">
        <v>183</v>
      </c>
      <c r="D1031" s="23">
        <v>14</v>
      </c>
      <c r="E1031" s="24">
        <v>0</v>
      </c>
    </row>
    <row r="1032" s="29" customFormat="1" ht="41" spans="2:5">
      <c r="B1032" s="19" t="s">
        <v>300</v>
      </c>
      <c r="C1032" s="20" t="s">
        <v>182</v>
      </c>
      <c r="D1032" s="21">
        <v>8</v>
      </c>
      <c r="E1032" s="22">
        <v>0</v>
      </c>
    </row>
    <row r="1033" s="29" customFormat="1" ht="28" spans="2:5">
      <c r="B1033" s="19" t="s">
        <v>300</v>
      </c>
      <c r="C1033" s="20" t="s">
        <v>804</v>
      </c>
      <c r="D1033" s="21">
        <v>6</v>
      </c>
      <c r="E1033" s="22">
        <v>0</v>
      </c>
    </row>
    <row r="1034" s="29" customFormat="1" spans="2:5">
      <c r="B1034" s="19" t="s">
        <v>300</v>
      </c>
      <c r="C1034" s="16" t="s">
        <v>183</v>
      </c>
      <c r="D1034" s="23">
        <v>14</v>
      </c>
      <c r="E1034" s="24">
        <v>0</v>
      </c>
    </row>
    <row r="1035" s="29" customFormat="1" ht="41" spans="2:5">
      <c r="B1035" s="19" t="s">
        <v>302</v>
      </c>
      <c r="C1035" s="20" t="s">
        <v>182</v>
      </c>
      <c r="D1035" s="21">
        <v>89</v>
      </c>
      <c r="E1035" s="22">
        <v>162161.864864</v>
      </c>
    </row>
    <row r="1036" s="29" customFormat="1" ht="28" spans="2:5">
      <c r="B1036" s="19" t="s">
        <v>302</v>
      </c>
      <c r="C1036" s="20" t="s">
        <v>804</v>
      </c>
      <c r="D1036" s="21">
        <v>39</v>
      </c>
      <c r="E1036" s="22">
        <v>32432.279279</v>
      </c>
    </row>
    <row r="1037" s="29" customFormat="1" spans="2:5">
      <c r="B1037" s="19" t="s">
        <v>302</v>
      </c>
      <c r="C1037" s="16" t="s">
        <v>183</v>
      </c>
      <c r="D1037" s="23">
        <v>128</v>
      </c>
      <c r="E1037" s="24">
        <v>194594.144143</v>
      </c>
    </row>
    <row r="1038" s="29" customFormat="1" ht="41" spans="2:5">
      <c r="B1038" s="19" t="s">
        <v>1500</v>
      </c>
      <c r="C1038" s="20" t="s">
        <v>1191</v>
      </c>
      <c r="D1038" s="21">
        <v>3</v>
      </c>
      <c r="E1038" s="22">
        <v>0</v>
      </c>
    </row>
    <row r="1039" s="29" customFormat="1" ht="28" spans="2:5">
      <c r="B1039" s="19" t="s">
        <v>1500</v>
      </c>
      <c r="C1039" s="16" t="s">
        <v>183</v>
      </c>
      <c r="D1039" s="23">
        <v>3</v>
      </c>
      <c r="E1039" s="24">
        <v>0</v>
      </c>
    </row>
    <row r="1040" s="29" customFormat="1" ht="41" spans="2:5">
      <c r="B1040" s="19" t="s">
        <v>1715</v>
      </c>
      <c r="C1040" s="20" t="s">
        <v>1191</v>
      </c>
      <c r="D1040" s="21">
        <v>2</v>
      </c>
      <c r="E1040" s="22">
        <v>110000</v>
      </c>
    </row>
    <row r="1041" s="29" customFormat="1" spans="2:5">
      <c r="B1041" s="19" t="s">
        <v>1715</v>
      </c>
      <c r="C1041" s="16" t="s">
        <v>183</v>
      </c>
      <c r="D1041" s="23">
        <v>2</v>
      </c>
      <c r="E1041" s="24">
        <v>110000</v>
      </c>
    </row>
    <row r="1042" s="29" customFormat="1" ht="41" spans="2:5">
      <c r="B1042" s="19" t="s">
        <v>991</v>
      </c>
      <c r="C1042" s="20" t="s">
        <v>182</v>
      </c>
      <c r="D1042" s="21">
        <v>1</v>
      </c>
      <c r="E1042" s="22">
        <v>47747.747748</v>
      </c>
    </row>
    <row r="1043" s="29" customFormat="1" ht="28.75" spans="2:5">
      <c r="B1043" s="19" t="s">
        <v>991</v>
      </c>
      <c r="C1043" s="16" t="s">
        <v>183</v>
      </c>
      <c r="D1043" s="23">
        <v>1</v>
      </c>
      <c r="E1043" s="24">
        <v>47747.747748</v>
      </c>
    </row>
    <row r="1044" s="29" customFormat="1" spans="2:5">
      <c r="B1044" s="25"/>
      <c r="C1044" s="25"/>
      <c r="D1044" s="25"/>
      <c r="E1044" s="25"/>
    </row>
    <row r="1045" s="29" customFormat="1" ht="36" spans="2:5">
      <c r="B1045" s="26" t="s">
        <v>189</v>
      </c>
      <c r="C1045" s="26" t="s">
        <v>189</v>
      </c>
      <c r="D1045" s="26" t="s">
        <v>189</v>
      </c>
      <c r="E1045" s="26" t="s">
        <v>189</v>
      </c>
    </row>
    <row r="1046" s="29" customFormat="1" spans="2:5">
      <c r="B1046" s="26"/>
      <c r="C1046" s="26"/>
      <c r="D1046" s="26"/>
      <c r="E1046" s="26"/>
    </row>
    <row r="1047" s="29" customFormat="1" ht="36" spans="2:5">
      <c r="B1047" s="26" t="s">
        <v>1653</v>
      </c>
      <c r="C1047" s="26" t="s">
        <v>1653</v>
      </c>
      <c r="D1047" s="26" t="s">
        <v>1653</v>
      </c>
      <c r="E1047" s="26" t="s">
        <v>1653</v>
      </c>
    </row>
    <row r="1048" s="29" customFormat="1" spans="2:5">
      <c r="B1048" s="26" t="s">
        <v>794</v>
      </c>
      <c r="C1048" s="26" t="s">
        <v>794</v>
      </c>
      <c r="D1048" s="26" t="s">
        <v>794</v>
      </c>
      <c r="E1048" s="26" t="s">
        <v>794</v>
      </c>
    </row>
    <row r="1049" s="29" customFormat="1" ht="124" spans="2:5">
      <c r="B1049" s="11" t="s">
        <v>173</v>
      </c>
      <c r="C1049" s="11" t="s">
        <v>173</v>
      </c>
      <c r="D1049" s="11" t="s">
        <v>173</v>
      </c>
      <c r="E1049" s="11" t="s">
        <v>173</v>
      </c>
    </row>
    <row r="1050" s="29" customFormat="1" ht="156" spans="2:5">
      <c r="B1050" s="12" t="s">
        <v>174</v>
      </c>
      <c r="C1050" s="12" t="s">
        <v>174</v>
      </c>
      <c r="D1050" s="12" t="s">
        <v>174</v>
      </c>
      <c r="E1050" s="12" t="s">
        <v>174</v>
      </c>
    </row>
    <row r="1051" s="29" customFormat="1" ht="68" spans="2:5">
      <c r="B1051" s="13" t="s">
        <v>1645</v>
      </c>
      <c r="C1051" s="13" t="s">
        <v>1645</v>
      </c>
      <c r="D1051" s="13" t="s">
        <v>1645</v>
      </c>
      <c r="E1051" s="13" t="s">
        <v>1645</v>
      </c>
    </row>
    <row r="1052" s="29" customFormat="1" ht="22" spans="2:5">
      <c r="B1052" s="14" t="s">
        <v>176</v>
      </c>
      <c r="C1052" s="14" t="s">
        <v>176</v>
      </c>
      <c r="D1052" s="14" t="s">
        <v>176</v>
      </c>
      <c r="E1052" s="14" t="s">
        <v>176</v>
      </c>
    </row>
    <row r="1053" s="29" customFormat="1" spans="2:5">
      <c r="B1053" s="15" t="s">
        <v>177</v>
      </c>
      <c r="C1053" s="16" t="s">
        <v>178</v>
      </c>
      <c r="D1053" s="17" t="s">
        <v>179</v>
      </c>
      <c r="E1053" s="18" t="s">
        <v>180</v>
      </c>
    </row>
    <row r="1054" s="29" customFormat="1" ht="28" spans="2:5">
      <c r="B1054" s="19" t="s">
        <v>1501</v>
      </c>
      <c r="C1054" s="20" t="s">
        <v>804</v>
      </c>
      <c r="D1054" s="21">
        <v>1</v>
      </c>
      <c r="E1054" s="22">
        <v>40540.540541</v>
      </c>
    </row>
    <row r="1055" s="29" customFormat="1" ht="28" spans="2:5">
      <c r="B1055" s="19" t="s">
        <v>1501</v>
      </c>
      <c r="C1055" s="16" t="s">
        <v>183</v>
      </c>
      <c r="D1055" s="23">
        <v>1</v>
      </c>
      <c r="E1055" s="24">
        <v>40540.540541</v>
      </c>
    </row>
    <row r="1056" s="29" customFormat="1" ht="41" spans="2:5">
      <c r="B1056" s="19" t="s">
        <v>848</v>
      </c>
      <c r="C1056" s="20" t="s">
        <v>182</v>
      </c>
      <c r="D1056" s="21">
        <v>1</v>
      </c>
      <c r="E1056" s="22">
        <v>53153.153153</v>
      </c>
    </row>
    <row r="1057" s="29" customFormat="1" ht="28" spans="2:5">
      <c r="B1057" s="19" t="s">
        <v>848</v>
      </c>
      <c r="C1057" s="16" t="s">
        <v>183</v>
      </c>
      <c r="D1057" s="23">
        <v>1</v>
      </c>
      <c r="E1057" s="24">
        <v>53153.153153</v>
      </c>
    </row>
    <row r="1058" s="29" customFormat="1" ht="41" spans="2:5">
      <c r="B1058" s="19" t="s">
        <v>1262</v>
      </c>
      <c r="C1058" s="20" t="s">
        <v>182</v>
      </c>
      <c r="D1058" s="21">
        <v>1</v>
      </c>
      <c r="E1058" s="22">
        <v>58558.540541</v>
      </c>
    </row>
    <row r="1059" s="29" customFormat="1" ht="28" spans="2:5">
      <c r="B1059" s="19" t="s">
        <v>1262</v>
      </c>
      <c r="C1059" s="16" t="s">
        <v>183</v>
      </c>
      <c r="D1059" s="23">
        <v>1</v>
      </c>
      <c r="E1059" s="24">
        <v>58558.540541</v>
      </c>
    </row>
    <row r="1060" s="29" customFormat="1" ht="41" spans="2:5">
      <c r="B1060" s="19" t="s">
        <v>851</v>
      </c>
      <c r="C1060" s="20" t="s">
        <v>182</v>
      </c>
      <c r="D1060" s="21">
        <v>1</v>
      </c>
      <c r="E1060" s="22">
        <v>63963.963964</v>
      </c>
    </row>
    <row r="1061" s="29" customFormat="1" ht="28" spans="2:5">
      <c r="B1061" s="19" t="s">
        <v>851</v>
      </c>
      <c r="C1061" s="20" t="s">
        <v>804</v>
      </c>
      <c r="D1061" s="21">
        <v>1</v>
      </c>
      <c r="E1061" s="22">
        <v>63963.963964</v>
      </c>
    </row>
    <row r="1062" s="29" customFormat="1" ht="28" spans="2:5">
      <c r="B1062" s="19" t="s">
        <v>851</v>
      </c>
      <c r="C1062" s="16" t="s">
        <v>183</v>
      </c>
      <c r="D1062" s="23">
        <v>2</v>
      </c>
      <c r="E1062" s="24">
        <v>127927.927928</v>
      </c>
    </row>
    <row r="1063" s="29" customFormat="1" ht="41" spans="2:5">
      <c r="B1063" s="19" t="s">
        <v>1503</v>
      </c>
      <c r="C1063" s="20" t="s">
        <v>182</v>
      </c>
      <c r="D1063" s="21">
        <v>1</v>
      </c>
      <c r="E1063" s="22">
        <v>47747.747748</v>
      </c>
    </row>
    <row r="1064" s="29" customFormat="1" ht="28" spans="2:5">
      <c r="B1064" s="19" t="s">
        <v>1503</v>
      </c>
      <c r="C1064" s="16" t="s">
        <v>183</v>
      </c>
      <c r="D1064" s="23">
        <v>1</v>
      </c>
      <c r="E1064" s="24">
        <v>47747.747748</v>
      </c>
    </row>
    <row r="1065" s="29" customFormat="1" ht="28" spans="2:5">
      <c r="B1065" s="19" t="s">
        <v>853</v>
      </c>
      <c r="C1065" s="20" t="s">
        <v>804</v>
      </c>
      <c r="D1065" s="21">
        <v>6</v>
      </c>
      <c r="E1065" s="22">
        <v>427027.342342</v>
      </c>
    </row>
    <row r="1066" s="29" customFormat="1" ht="28" spans="2:5">
      <c r="B1066" s="19" t="s">
        <v>853</v>
      </c>
      <c r="C1066" s="16" t="s">
        <v>183</v>
      </c>
      <c r="D1066" s="23">
        <v>6</v>
      </c>
      <c r="E1066" s="24">
        <v>427027.342342</v>
      </c>
    </row>
    <row r="1067" s="29" customFormat="1" ht="41.75" spans="2:5">
      <c r="B1067" s="20" t="s">
        <v>995</v>
      </c>
      <c r="C1067" s="20" t="s">
        <v>182</v>
      </c>
      <c r="D1067" s="21">
        <v>2</v>
      </c>
      <c r="E1067" s="22">
        <v>1268468.18018</v>
      </c>
    </row>
    <row r="1068" s="29" customFormat="1" spans="2:5">
      <c r="B1068" s="25"/>
      <c r="C1068" s="25"/>
      <c r="D1068" s="25"/>
      <c r="E1068" s="25"/>
    </row>
    <row r="1069" s="29" customFormat="1" ht="36" spans="2:5">
      <c r="B1069" s="26" t="s">
        <v>189</v>
      </c>
      <c r="C1069" s="26" t="s">
        <v>189</v>
      </c>
      <c r="D1069" s="26" t="s">
        <v>189</v>
      </c>
      <c r="E1069" s="26" t="s">
        <v>189</v>
      </c>
    </row>
    <row r="1070" s="29" customFormat="1" spans="2:5">
      <c r="B1070" s="26"/>
      <c r="C1070" s="26"/>
      <c r="D1070" s="26"/>
      <c r="E1070" s="26"/>
    </row>
    <row r="1071" s="29" customFormat="1" ht="36" spans="2:5">
      <c r="B1071" s="26" t="s">
        <v>1653</v>
      </c>
      <c r="C1071" s="26" t="s">
        <v>1653</v>
      </c>
      <c r="D1071" s="26" t="s">
        <v>1653</v>
      </c>
      <c r="E1071" s="26" t="s">
        <v>1653</v>
      </c>
    </row>
    <row r="1072" s="29" customFormat="1" spans="2:5">
      <c r="B1072" s="26" t="s">
        <v>797</v>
      </c>
      <c r="C1072" s="26" t="s">
        <v>797</v>
      </c>
      <c r="D1072" s="26" t="s">
        <v>797</v>
      </c>
      <c r="E1072" s="26" t="s">
        <v>797</v>
      </c>
    </row>
    <row r="1073" s="29" customFormat="1" ht="124" spans="2:5">
      <c r="B1073" s="11" t="s">
        <v>173</v>
      </c>
      <c r="C1073" s="11" t="s">
        <v>173</v>
      </c>
      <c r="D1073" s="11" t="s">
        <v>173</v>
      </c>
      <c r="E1073" s="11" t="s">
        <v>173</v>
      </c>
    </row>
    <row r="1074" s="29" customFormat="1" ht="156" spans="2:5">
      <c r="B1074" s="12" t="s">
        <v>174</v>
      </c>
      <c r="C1074" s="12" t="s">
        <v>174</v>
      </c>
      <c r="D1074" s="12" t="s">
        <v>174</v>
      </c>
      <c r="E1074" s="12" t="s">
        <v>174</v>
      </c>
    </row>
    <row r="1075" s="29" customFormat="1" ht="68" spans="2:5">
      <c r="B1075" s="13" t="s">
        <v>1645</v>
      </c>
      <c r="C1075" s="13" t="s">
        <v>1645</v>
      </c>
      <c r="D1075" s="13" t="s">
        <v>1645</v>
      </c>
      <c r="E1075" s="13" t="s">
        <v>1645</v>
      </c>
    </row>
    <row r="1076" s="29" customFormat="1" ht="22" spans="2:5">
      <c r="B1076" s="14" t="s">
        <v>176</v>
      </c>
      <c r="C1076" s="14" t="s">
        <v>176</v>
      </c>
      <c r="D1076" s="14" t="s">
        <v>176</v>
      </c>
      <c r="E1076" s="14" t="s">
        <v>176</v>
      </c>
    </row>
    <row r="1077" s="29" customFormat="1" spans="2:5">
      <c r="B1077" s="15" t="s">
        <v>177</v>
      </c>
      <c r="C1077" s="16" t="s">
        <v>178</v>
      </c>
      <c r="D1077" s="17" t="s">
        <v>179</v>
      </c>
      <c r="E1077" s="18" t="s">
        <v>180</v>
      </c>
    </row>
    <row r="1078" s="29" customFormat="1" ht="28" spans="2:5">
      <c r="B1078" s="19" t="s">
        <v>995</v>
      </c>
      <c r="C1078" s="20" t="s">
        <v>804</v>
      </c>
      <c r="D1078" s="21">
        <v>2</v>
      </c>
      <c r="E1078" s="22">
        <v>1268468.495495</v>
      </c>
    </row>
    <row r="1079" s="29" customFormat="1" ht="28" spans="2:5">
      <c r="B1079" s="19" t="s">
        <v>995</v>
      </c>
      <c r="C1079" s="16" t="s">
        <v>183</v>
      </c>
      <c r="D1079" s="23">
        <v>4</v>
      </c>
      <c r="E1079" s="24">
        <v>2536936.675675</v>
      </c>
    </row>
    <row r="1080" s="29" customFormat="1" ht="28" spans="2:5">
      <c r="B1080" s="19" t="s">
        <v>1716</v>
      </c>
      <c r="C1080" s="20" t="s">
        <v>804</v>
      </c>
      <c r="D1080" s="21">
        <v>2</v>
      </c>
      <c r="E1080" s="22">
        <v>1846846.468468</v>
      </c>
    </row>
    <row r="1081" s="29" customFormat="1" ht="28" spans="2:5">
      <c r="B1081" s="19" t="s">
        <v>1716</v>
      </c>
      <c r="C1081" s="16" t="s">
        <v>183</v>
      </c>
      <c r="D1081" s="23">
        <v>2</v>
      </c>
      <c r="E1081" s="24">
        <v>1846846.468468</v>
      </c>
    </row>
    <row r="1082" s="29" customFormat="1" ht="28" spans="2:5">
      <c r="B1082" s="19" t="s">
        <v>1717</v>
      </c>
      <c r="C1082" s="20" t="s">
        <v>804</v>
      </c>
      <c r="D1082" s="21">
        <v>2</v>
      </c>
      <c r="E1082" s="22">
        <v>1207207.207207</v>
      </c>
    </row>
    <row r="1083" s="29" customFormat="1" ht="28" spans="2:5">
      <c r="B1083" s="19" t="s">
        <v>1717</v>
      </c>
      <c r="C1083" s="16" t="s">
        <v>183</v>
      </c>
      <c r="D1083" s="23">
        <v>2</v>
      </c>
      <c r="E1083" s="24">
        <v>1207207.207207</v>
      </c>
    </row>
    <row r="1084" s="29" customFormat="1" ht="41" spans="2:5">
      <c r="B1084" s="19" t="s">
        <v>1267</v>
      </c>
      <c r="C1084" s="20" t="s">
        <v>182</v>
      </c>
      <c r="D1084" s="21">
        <v>2</v>
      </c>
      <c r="E1084" s="22">
        <v>1551351.279279</v>
      </c>
    </row>
    <row r="1085" s="29" customFormat="1" ht="28" spans="2:5">
      <c r="B1085" s="19" t="s">
        <v>1267</v>
      </c>
      <c r="C1085" s="16" t="s">
        <v>183</v>
      </c>
      <c r="D1085" s="23">
        <v>2</v>
      </c>
      <c r="E1085" s="24">
        <v>1551351.279279</v>
      </c>
    </row>
    <row r="1086" s="29" customFormat="1" ht="28" spans="2:5">
      <c r="B1086" s="19" t="s">
        <v>1718</v>
      </c>
      <c r="C1086" s="20" t="s">
        <v>804</v>
      </c>
      <c r="D1086" s="21">
        <v>4</v>
      </c>
      <c r="E1086" s="22">
        <v>5405405.387387</v>
      </c>
    </row>
    <row r="1087" s="29" customFormat="1" ht="28" spans="2:5">
      <c r="B1087" s="19" t="s">
        <v>1718</v>
      </c>
      <c r="C1087" s="16" t="s">
        <v>183</v>
      </c>
      <c r="D1087" s="23">
        <v>4</v>
      </c>
      <c r="E1087" s="24">
        <v>5405405.387387</v>
      </c>
    </row>
    <row r="1088" s="29" customFormat="1" ht="41" spans="2:5">
      <c r="B1088" s="19" t="s">
        <v>1719</v>
      </c>
      <c r="C1088" s="20" t="s">
        <v>182</v>
      </c>
      <c r="D1088" s="21">
        <v>2</v>
      </c>
      <c r="E1088" s="22">
        <v>508000</v>
      </c>
    </row>
    <row r="1089" s="29" customFormat="1" ht="28" spans="2:5">
      <c r="B1089" s="19" t="s">
        <v>1719</v>
      </c>
      <c r="C1089" s="16" t="s">
        <v>183</v>
      </c>
      <c r="D1089" s="23">
        <v>2</v>
      </c>
      <c r="E1089" s="24">
        <v>508000</v>
      </c>
    </row>
    <row r="1090" s="29" customFormat="1" ht="41" spans="2:5">
      <c r="B1090" s="19" t="s">
        <v>1720</v>
      </c>
      <c r="C1090" s="20" t="s">
        <v>182</v>
      </c>
      <c r="D1090" s="21">
        <v>1</v>
      </c>
      <c r="E1090" s="22">
        <v>1560000</v>
      </c>
    </row>
    <row r="1091" s="29" customFormat="1" ht="28.75" spans="2:5">
      <c r="B1091" s="19" t="s">
        <v>1720</v>
      </c>
      <c r="C1091" s="16" t="s">
        <v>183</v>
      </c>
      <c r="D1091" s="23">
        <v>1</v>
      </c>
      <c r="E1091" s="24">
        <v>1560000</v>
      </c>
    </row>
    <row r="1092" s="29" customFormat="1" spans="2:5">
      <c r="B1092" s="25"/>
      <c r="C1092" s="25"/>
      <c r="D1092" s="25"/>
      <c r="E1092" s="25"/>
    </row>
    <row r="1093" s="29" customFormat="1" ht="36" spans="2:5">
      <c r="B1093" s="26" t="s">
        <v>189</v>
      </c>
      <c r="C1093" s="26" t="s">
        <v>189</v>
      </c>
      <c r="D1093" s="26" t="s">
        <v>189</v>
      </c>
      <c r="E1093" s="26" t="s">
        <v>189</v>
      </c>
    </row>
    <row r="1094" s="29" customFormat="1" spans="2:5">
      <c r="B1094" s="26"/>
      <c r="C1094" s="26"/>
      <c r="D1094" s="26"/>
      <c r="E1094" s="26"/>
    </row>
    <row r="1095" s="29" customFormat="1" ht="36" spans="2:5">
      <c r="B1095" s="26" t="s">
        <v>1653</v>
      </c>
      <c r="C1095" s="26" t="s">
        <v>1653</v>
      </c>
      <c r="D1095" s="26" t="s">
        <v>1653</v>
      </c>
      <c r="E1095" s="26" t="s">
        <v>1653</v>
      </c>
    </row>
    <row r="1096" s="29" customFormat="1" spans="2:5">
      <c r="B1096" s="26" t="s">
        <v>928</v>
      </c>
      <c r="C1096" s="26" t="s">
        <v>928</v>
      </c>
      <c r="D1096" s="26" t="s">
        <v>928</v>
      </c>
      <c r="E1096" s="26" t="s">
        <v>928</v>
      </c>
    </row>
    <row r="1097" s="29" customFormat="1" ht="124" spans="2:5">
      <c r="B1097" s="11" t="s">
        <v>173</v>
      </c>
      <c r="C1097" s="11" t="s">
        <v>173</v>
      </c>
      <c r="D1097" s="11" t="s">
        <v>173</v>
      </c>
      <c r="E1097" s="11" t="s">
        <v>173</v>
      </c>
    </row>
    <row r="1098" s="29" customFormat="1" ht="156" spans="2:5">
      <c r="B1098" s="12" t="s">
        <v>174</v>
      </c>
      <c r="C1098" s="12" t="s">
        <v>174</v>
      </c>
      <c r="D1098" s="12" t="s">
        <v>174</v>
      </c>
      <c r="E1098" s="12" t="s">
        <v>174</v>
      </c>
    </row>
    <row r="1099" s="29" customFormat="1" ht="68" spans="2:5">
      <c r="B1099" s="13" t="s">
        <v>1645</v>
      </c>
      <c r="C1099" s="13" t="s">
        <v>1645</v>
      </c>
      <c r="D1099" s="13" t="s">
        <v>1645</v>
      </c>
      <c r="E1099" s="13" t="s">
        <v>1645</v>
      </c>
    </row>
    <row r="1100" s="29" customFormat="1" ht="22" spans="2:5">
      <c r="B1100" s="14" t="s">
        <v>176</v>
      </c>
      <c r="C1100" s="14" t="s">
        <v>176</v>
      </c>
      <c r="D1100" s="14" t="s">
        <v>176</v>
      </c>
      <c r="E1100" s="14" t="s">
        <v>176</v>
      </c>
    </row>
    <row r="1101" s="29" customFormat="1" spans="2:5">
      <c r="B1101" s="15" t="s">
        <v>177</v>
      </c>
      <c r="C1101" s="16" t="s">
        <v>178</v>
      </c>
      <c r="D1101" s="17" t="s">
        <v>179</v>
      </c>
      <c r="E1101" s="18" t="s">
        <v>180</v>
      </c>
    </row>
    <row r="1102" s="29" customFormat="1" ht="41" spans="2:5">
      <c r="B1102" s="19" t="s">
        <v>1721</v>
      </c>
      <c r="C1102" s="20" t="s">
        <v>182</v>
      </c>
      <c r="D1102" s="21">
        <v>1</v>
      </c>
      <c r="E1102" s="22">
        <v>360360.36036</v>
      </c>
    </row>
    <row r="1103" s="29" customFormat="1" ht="28" spans="2:5">
      <c r="B1103" s="19" t="s">
        <v>1721</v>
      </c>
      <c r="C1103" s="16" t="s">
        <v>183</v>
      </c>
      <c r="D1103" s="23">
        <v>1</v>
      </c>
      <c r="E1103" s="24">
        <v>360360.36036</v>
      </c>
    </row>
    <row r="1104" s="29" customFormat="1" ht="41" spans="2:5">
      <c r="B1104" s="19" t="s">
        <v>1722</v>
      </c>
      <c r="C1104" s="20" t="s">
        <v>182</v>
      </c>
      <c r="D1104" s="21">
        <v>1</v>
      </c>
      <c r="E1104" s="22">
        <v>99099</v>
      </c>
    </row>
    <row r="1105" s="29" customFormat="1" ht="28" spans="2:5">
      <c r="B1105" s="19" t="s">
        <v>1722</v>
      </c>
      <c r="C1105" s="16" t="s">
        <v>183</v>
      </c>
      <c r="D1105" s="23">
        <v>1</v>
      </c>
      <c r="E1105" s="24">
        <v>99099</v>
      </c>
    </row>
    <row r="1106" s="29" customFormat="1" ht="41" spans="2:5">
      <c r="B1106" s="19" t="s">
        <v>1723</v>
      </c>
      <c r="C1106" s="20" t="s">
        <v>182</v>
      </c>
      <c r="D1106" s="21">
        <v>1</v>
      </c>
      <c r="E1106" s="22">
        <v>1050000</v>
      </c>
    </row>
    <row r="1107" s="29" customFormat="1" ht="28" spans="2:5">
      <c r="B1107" s="19" t="s">
        <v>1723</v>
      </c>
      <c r="C1107" s="16" t="s">
        <v>183</v>
      </c>
      <c r="D1107" s="23">
        <v>1</v>
      </c>
      <c r="E1107" s="24">
        <v>1050000</v>
      </c>
    </row>
    <row r="1108" s="29" customFormat="1" ht="41" spans="2:5">
      <c r="B1108" s="19" t="s">
        <v>1724</v>
      </c>
      <c r="C1108" s="20" t="s">
        <v>1191</v>
      </c>
      <c r="D1108" s="21">
        <v>1</v>
      </c>
      <c r="E1108" s="22">
        <v>800000</v>
      </c>
    </row>
    <row r="1109" s="29" customFormat="1" ht="28" spans="2:5">
      <c r="B1109" s="19" t="s">
        <v>1724</v>
      </c>
      <c r="C1109" s="16" t="s">
        <v>183</v>
      </c>
      <c r="D1109" s="23">
        <v>1</v>
      </c>
      <c r="E1109" s="24">
        <v>800000</v>
      </c>
    </row>
    <row r="1110" s="29" customFormat="1" ht="41" spans="2:5">
      <c r="B1110" s="19" t="s">
        <v>1725</v>
      </c>
      <c r="C1110" s="20" t="s">
        <v>182</v>
      </c>
      <c r="D1110" s="21">
        <v>1</v>
      </c>
      <c r="E1110" s="22">
        <v>310000</v>
      </c>
    </row>
    <row r="1111" s="29" customFormat="1" ht="28" spans="2:5">
      <c r="B1111" s="19" t="s">
        <v>1725</v>
      </c>
      <c r="C1111" s="16" t="s">
        <v>183</v>
      </c>
      <c r="D1111" s="23">
        <v>1</v>
      </c>
      <c r="E1111" s="24">
        <v>310000</v>
      </c>
    </row>
    <row r="1112" s="29" customFormat="1" ht="28" spans="2:5">
      <c r="B1112" s="19" t="s">
        <v>1726</v>
      </c>
      <c r="C1112" s="20" t="s">
        <v>1664</v>
      </c>
      <c r="D1112" s="21">
        <v>2</v>
      </c>
      <c r="E1112" s="22">
        <v>867000</v>
      </c>
    </row>
    <row r="1113" s="29" customFormat="1" ht="28" spans="2:5">
      <c r="B1113" s="19" t="s">
        <v>1726</v>
      </c>
      <c r="C1113" s="16" t="s">
        <v>183</v>
      </c>
      <c r="D1113" s="23">
        <v>2</v>
      </c>
      <c r="E1113" s="24">
        <v>867000</v>
      </c>
    </row>
    <row r="1114" s="29" customFormat="1" ht="41" spans="2:5">
      <c r="B1114" s="19" t="s">
        <v>1517</v>
      </c>
      <c r="C1114" s="20" t="s">
        <v>182</v>
      </c>
      <c r="D1114" s="21">
        <v>2</v>
      </c>
      <c r="E1114" s="22">
        <v>600000</v>
      </c>
    </row>
    <row r="1115" s="29" customFormat="1" ht="17.55" spans="2:5">
      <c r="B1115" s="19" t="s">
        <v>1517</v>
      </c>
      <c r="C1115" s="16" t="s">
        <v>183</v>
      </c>
      <c r="D1115" s="23">
        <v>2</v>
      </c>
      <c r="E1115" s="24">
        <v>600000</v>
      </c>
    </row>
    <row r="1116" s="29" customFormat="1" spans="2:5">
      <c r="B1116" s="25"/>
      <c r="C1116" s="25"/>
      <c r="D1116" s="25"/>
      <c r="E1116" s="25"/>
    </row>
    <row r="1117" s="29" customFormat="1" ht="36" spans="2:5">
      <c r="B1117" s="26" t="s">
        <v>189</v>
      </c>
      <c r="C1117" s="26" t="s">
        <v>189</v>
      </c>
      <c r="D1117" s="26" t="s">
        <v>189</v>
      </c>
      <c r="E1117" s="26" t="s">
        <v>189</v>
      </c>
    </row>
    <row r="1118" s="29" customFormat="1" spans="2:5">
      <c r="B1118" s="26"/>
      <c r="C1118" s="26"/>
      <c r="D1118" s="26"/>
      <c r="E1118" s="26"/>
    </row>
    <row r="1119" s="29" customFormat="1" ht="36" spans="2:5">
      <c r="B1119" s="26" t="s">
        <v>1653</v>
      </c>
      <c r="C1119" s="26" t="s">
        <v>1653</v>
      </c>
      <c r="D1119" s="26" t="s">
        <v>1653</v>
      </c>
      <c r="E1119" s="26" t="s">
        <v>1653</v>
      </c>
    </row>
    <row r="1120" s="29" customFormat="1" spans="2:5">
      <c r="B1120" s="26" t="s">
        <v>935</v>
      </c>
      <c r="C1120" s="26" t="s">
        <v>935</v>
      </c>
      <c r="D1120" s="26" t="s">
        <v>935</v>
      </c>
      <c r="E1120" s="26" t="s">
        <v>935</v>
      </c>
    </row>
    <row r="1121" s="29" customFormat="1" ht="124" spans="2:5">
      <c r="B1121" s="11" t="s">
        <v>173</v>
      </c>
      <c r="C1121" s="11" t="s">
        <v>173</v>
      </c>
      <c r="D1121" s="11" t="s">
        <v>173</v>
      </c>
      <c r="E1121" s="11" t="s">
        <v>173</v>
      </c>
    </row>
    <row r="1122" s="29" customFormat="1" ht="156" spans="2:5">
      <c r="B1122" s="12" t="s">
        <v>174</v>
      </c>
      <c r="C1122" s="12" t="s">
        <v>174</v>
      </c>
      <c r="D1122" s="12" t="s">
        <v>174</v>
      </c>
      <c r="E1122" s="12" t="s">
        <v>174</v>
      </c>
    </row>
    <row r="1123" s="29" customFormat="1" ht="68" spans="2:5">
      <c r="B1123" s="13" t="s">
        <v>1645</v>
      </c>
      <c r="C1123" s="13" t="s">
        <v>1645</v>
      </c>
      <c r="D1123" s="13" t="s">
        <v>1645</v>
      </c>
      <c r="E1123" s="13" t="s">
        <v>1645</v>
      </c>
    </row>
    <row r="1124" s="29" customFormat="1" ht="22" spans="2:5">
      <c r="B1124" s="14" t="s">
        <v>176</v>
      </c>
      <c r="C1124" s="14" t="s">
        <v>176</v>
      </c>
      <c r="D1124" s="14" t="s">
        <v>176</v>
      </c>
      <c r="E1124" s="14" t="s">
        <v>176</v>
      </c>
    </row>
    <row r="1125" s="29" customFormat="1" spans="2:5">
      <c r="B1125" s="15" t="s">
        <v>177</v>
      </c>
      <c r="C1125" s="16" t="s">
        <v>178</v>
      </c>
      <c r="D1125" s="17" t="s">
        <v>179</v>
      </c>
      <c r="E1125" s="18" t="s">
        <v>180</v>
      </c>
    </row>
    <row r="1126" s="29" customFormat="1" ht="41" spans="2:5">
      <c r="B1126" s="19" t="s">
        <v>1727</v>
      </c>
      <c r="C1126" s="20" t="s">
        <v>1191</v>
      </c>
      <c r="D1126" s="21">
        <v>2</v>
      </c>
      <c r="E1126" s="22">
        <v>1628000</v>
      </c>
    </row>
    <row r="1127" s="29" customFormat="1" ht="28" spans="2:5">
      <c r="B1127" s="19" t="s">
        <v>1727</v>
      </c>
      <c r="C1127" s="16" t="s">
        <v>183</v>
      </c>
      <c r="D1127" s="23">
        <v>2</v>
      </c>
      <c r="E1127" s="24">
        <v>1628000</v>
      </c>
    </row>
    <row r="1128" s="29" customFormat="1" ht="41" spans="2:5">
      <c r="B1128" s="19" t="s">
        <v>1728</v>
      </c>
      <c r="C1128" s="20" t="s">
        <v>182</v>
      </c>
      <c r="D1128" s="21">
        <v>2</v>
      </c>
      <c r="E1128" s="22">
        <v>488000</v>
      </c>
    </row>
    <row r="1129" s="29" customFormat="1" ht="28" spans="2:5">
      <c r="B1129" s="19" t="s">
        <v>1728</v>
      </c>
      <c r="C1129" s="16" t="s">
        <v>183</v>
      </c>
      <c r="D1129" s="23">
        <v>2</v>
      </c>
      <c r="E1129" s="24">
        <v>488000</v>
      </c>
    </row>
    <row r="1130" s="29" customFormat="1" ht="41" spans="2:5">
      <c r="B1130" s="19" t="s">
        <v>1729</v>
      </c>
      <c r="C1130" s="20" t="s">
        <v>182</v>
      </c>
      <c r="D1130" s="21">
        <v>1</v>
      </c>
      <c r="E1130" s="22">
        <v>370000</v>
      </c>
    </row>
    <row r="1131" s="29" customFormat="1" ht="28" spans="2:5">
      <c r="B1131" s="19" t="s">
        <v>1729</v>
      </c>
      <c r="C1131" s="16" t="s">
        <v>183</v>
      </c>
      <c r="D1131" s="23">
        <v>1</v>
      </c>
      <c r="E1131" s="24">
        <v>370000</v>
      </c>
    </row>
    <row r="1132" s="29" customFormat="1" ht="41" spans="2:5">
      <c r="B1132" s="19" t="s">
        <v>1730</v>
      </c>
      <c r="C1132" s="20" t="s">
        <v>1191</v>
      </c>
      <c r="D1132" s="21">
        <v>1</v>
      </c>
      <c r="E1132" s="22">
        <v>460000</v>
      </c>
    </row>
    <row r="1133" s="29" customFormat="1" spans="2:5">
      <c r="B1133" s="19" t="s">
        <v>1730</v>
      </c>
      <c r="C1133" s="16" t="s">
        <v>183</v>
      </c>
      <c r="D1133" s="23">
        <v>1</v>
      </c>
      <c r="E1133" s="24">
        <v>460000</v>
      </c>
    </row>
    <row r="1134" s="29" customFormat="1" ht="41" spans="2:5">
      <c r="B1134" s="19" t="s">
        <v>1519</v>
      </c>
      <c r="C1134" s="20" t="s">
        <v>1191</v>
      </c>
      <c r="D1134" s="21">
        <v>60</v>
      </c>
      <c r="E1134" s="22">
        <v>0</v>
      </c>
    </row>
    <row r="1135" s="29" customFormat="1" ht="28" spans="2:5">
      <c r="B1135" s="19" t="s">
        <v>1519</v>
      </c>
      <c r="C1135" s="16" t="s">
        <v>183</v>
      </c>
      <c r="D1135" s="23">
        <v>60</v>
      </c>
      <c r="E1135" s="24">
        <v>0</v>
      </c>
    </row>
    <row r="1136" s="29" customFormat="1" ht="41" spans="2:5">
      <c r="B1136" s="19" t="s">
        <v>1520</v>
      </c>
      <c r="C1136" s="20" t="s">
        <v>1664</v>
      </c>
      <c r="D1136" s="21">
        <v>14</v>
      </c>
      <c r="E1136" s="22">
        <v>0</v>
      </c>
    </row>
    <row r="1137" s="29" customFormat="1" ht="41" spans="2:5">
      <c r="B1137" s="19" t="s">
        <v>1520</v>
      </c>
      <c r="C1137" s="20" t="s">
        <v>1191</v>
      </c>
      <c r="D1137" s="21">
        <v>60</v>
      </c>
      <c r="E1137" s="22">
        <v>0</v>
      </c>
    </row>
    <row r="1138" s="29" customFormat="1" ht="41" spans="2:5">
      <c r="B1138" s="19" t="s">
        <v>1520</v>
      </c>
      <c r="C1138" s="16" t="s">
        <v>183</v>
      </c>
      <c r="D1138" s="23">
        <v>74</v>
      </c>
      <c r="E1138" s="24">
        <v>0</v>
      </c>
    </row>
    <row r="1139" s="29" customFormat="1" ht="41" spans="2:5">
      <c r="B1139" s="19" t="s">
        <v>1521</v>
      </c>
      <c r="C1139" s="20" t="s">
        <v>1191</v>
      </c>
      <c r="D1139" s="21">
        <v>60</v>
      </c>
      <c r="E1139" s="22">
        <v>0</v>
      </c>
    </row>
    <row r="1140" s="29" customFormat="1" ht="28.75" spans="2:5">
      <c r="B1140" s="19" t="s">
        <v>1521</v>
      </c>
      <c r="C1140" s="16" t="s">
        <v>183</v>
      </c>
      <c r="D1140" s="23">
        <v>60</v>
      </c>
      <c r="E1140" s="24">
        <v>0</v>
      </c>
    </row>
    <row r="1141" s="29" customFormat="1" spans="2:5">
      <c r="B1141" s="25"/>
      <c r="C1141" s="25"/>
      <c r="D1141" s="25"/>
      <c r="E1141" s="25"/>
    </row>
    <row r="1142" s="29" customFormat="1" ht="36" spans="2:5">
      <c r="B1142" s="26" t="s">
        <v>189</v>
      </c>
      <c r="C1142" s="26" t="s">
        <v>189</v>
      </c>
      <c r="D1142" s="26" t="s">
        <v>189</v>
      </c>
      <c r="E1142" s="26" t="s">
        <v>189</v>
      </c>
    </row>
    <row r="1143" s="29" customFormat="1" spans="2:5">
      <c r="B1143" s="26"/>
      <c r="C1143" s="26"/>
      <c r="D1143" s="26"/>
      <c r="E1143" s="26"/>
    </row>
    <row r="1144" s="29" customFormat="1" ht="36" spans="2:5">
      <c r="B1144" s="26" t="s">
        <v>1653</v>
      </c>
      <c r="C1144" s="26" t="s">
        <v>1653</v>
      </c>
      <c r="D1144" s="26" t="s">
        <v>1653</v>
      </c>
      <c r="E1144" s="26" t="s">
        <v>1653</v>
      </c>
    </row>
    <row r="1145" s="29" customFormat="1" spans="2:5">
      <c r="B1145" s="26" t="s">
        <v>942</v>
      </c>
      <c r="C1145" s="26" t="s">
        <v>942</v>
      </c>
      <c r="D1145" s="26" t="s">
        <v>942</v>
      </c>
      <c r="E1145" s="26" t="s">
        <v>942</v>
      </c>
    </row>
    <row r="1146" s="29" customFormat="1" ht="124" spans="2:5">
      <c r="B1146" s="11" t="s">
        <v>173</v>
      </c>
      <c r="C1146" s="11" t="s">
        <v>173</v>
      </c>
      <c r="D1146" s="11" t="s">
        <v>173</v>
      </c>
      <c r="E1146" s="11" t="s">
        <v>173</v>
      </c>
    </row>
    <row r="1147" s="29" customFormat="1" ht="156" spans="2:5">
      <c r="B1147" s="12" t="s">
        <v>174</v>
      </c>
      <c r="C1147" s="12" t="s">
        <v>174</v>
      </c>
      <c r="D1147" s="12" t="s">
        <v>174</v>
      </c>
      <c r="E1147" s="12" t="s">
        <v>174</v>
      </c>
    </row>
    <row r="1148" s="29" customFormat="1" ht="68" spans="2:5">
      <c r="B1148" s="13" t="s">
        <v>1645</v>
      </c>
      <c r="C1148" s="13" t="s">
        <v>1645</v>
      </c>
      <c r="D1148" s="13" t="s">
        <v>1645</v>
      </c>
      <c r="E1148" s="13" t="s">
        <v>1645</v>
      </c>
    </row>
    <row r="1149" s="29" customFormat="1" ht="22" spans="2:5">
      <c r="B1149" s="14" t="s">
        <v>176</v>
      </c>
      <c r="C1149" s="14" t="s">
        <v>176</v>
      </c>
      <c r="D1149" s="14" t="s">
        <v>176</v>
      </c>
      <c r="E1149" s="14" t="s">
        <v>176</v>
      </c>
    </row>
    <row r="1150" s="29" customFormat="1" spans="2:5">
      <c r="B1150" s="15" t="s">
        <v>177</v>
      </c>
      <c r="C1150" s="16" t="s">
        <v>178</v>
      </c>
      <c r="D1150" s="17" t="s">
        <v>179</v>
      </c>
      <c r="E1150" s="18" t="s">
        <v>180</v>
      </c>
    </row>
    <row r="1151" s="29" customFormat="1" ht="28" spans="2:5">
      <c r="B1151" s="19" t="s">
        <v>721</v>
      </c>
      <c r="C1151" s="20" t="s">
        <v>804</v>
      </c>
      <c r="D1151" s="21">
        <v>1</v>
      </c>
      <c r="E1151" s="22">
        <v>45045.045045</v>
      </c>
    </row>
    <row r="1152" s="29" customFormat="1" ht="28" spans="2:5">
      <c r="B1152" s="19" t="s">
        <v>721</v>
      </c>
      <c r="C1152" s="16" t="s">
        <v>183</v>
      </c>
      <c r="D1152" s="23">
        <v>1</v>
      </c>
      <c r="E1152" s="24">
        <v>45045.045045</v>
      </c>
    </row>
    <row r="1153" s="29" customFormat="1" ht="28" spans="2:5">
      <c r="B1153" s="19" t="s">
        <v>1731</v>
      </c>
      <c r="C1153" s="20" t="s">
        <v>804</v>
      </c>
      <c r="D1153" s="21">
        <v>1</v>
      </c>
      <c r="E1153" s="22">
        <v>110000</v>
      </c>
    </row>
    <row r="1154" s="29" customFormat="1" ht="28" spans="2:5">
      <c r="B1154" s="19" t="s">
        <v>1731</v>
      </c>
      <c r="C1154" s="16" t="s">
        <v>183</v>
      </c>
      <c r="D1154" s="23">
        <v>1</v>
      </c>
      <c r="E1154" s="24">
        <v>110000</v>
      </c>
    </row>
    <row r="1155" s="29" customFormat="1" ht="28" spans="2:5">
      <c r="B1155" s="19" t="s">
        <v>1522</v>
      </c>
      <c r="C1155" s="20" t="s">
        <v>804</v>
      </c>
      <c r="D1155" s="21">
        <v>3</v>
      </c>
      <c r="E1155" s="22">
        <v>2460000</v>
      </c>
    </row>
    <row r="1156" s="29" customFormat="1" spans="2:5">
      <c r="B1156" s="19" t="s">
        <v>1522</v>
      </c>
      <c r="C1156" s="16" t="s">
        <v>183</v>
      </c>
      <c r="D1156" s="23">
        <v>3</v>
      </c>
      <c r="E1156" s="24">
        <v>2460000</v>
      </c>
    </row>
    <row r="1157" s="29" customFormat="1" ht="28" spans="2:5">
      <c r="B1157" s="19" t="s">
        <v>1732</v>
      </c>
      <c r="C1157" s="20" t="s">
        <v>804</v>
      </c>
      <c r="D1157" s="21">
        <v>1</v>
      </c>
      <c r="E1157" s="22">
        <v>3725000</v>
      </c>
    </row>
    <row r="1158" s="29" customFormat="1" spans="2:5">
      <c r="B1158" s="19" t="s">
        <v>1732</v>
      </c>
      <c r="C1158" s="16" t="s">
        <v>183</v>
      </c>
      <c r="D1158" s="23">
        <v>1</v>
      </c>
      <c r="E1158" s="24">
        <v>3725000</v>
      </c>
    </row>
    <row r="1159" s="29" customFormat="1" ht="41" spans="2:5">
      <c r="B1159" s="19" t="s">
        <v>514</v>
      </c>
      <c r="C1159" s="20" t="s">
        <v>182</v>
      </c>
      <c r="D1159" s="21">
        <v>134</v>
      </c>
      <c r="E1159" s="22">
        <v>5672732.684074</v>
      </c>
    </row>
    <row r="1160" s="29" customFormat="1" ht="28" spans="2:5">
      <c r="B1160" s="19" t="s">
        <v>514</v>
      </c>
      <c r="C1160" s="20" t="s">
        <v>804</v>
      </c>
      <c r="D1160" s="21">
        <v>90</v>
      </c>
      <c r="E1160" s="22">
        <v>3768468.432404</v>
      </c>
    </row>
    <row r="1161" s="29" customFormat="1" ht="28" spans="2:5">
      <c r="B1161" s="19" t="s">
        <v>514</v>
      </c>
      <c r="C1161" s="16" t="s">
        <v>183</v>
      </c>
      <c r="D1161" s="23">
        <v>224</v>
      </c>
      <c r="E1161" s="24">
        <v>9441201.116478</v>
      </c>
    </row>
    <row r="1162" s="29" customFormat="1" ht="41" spans="2:5">
      <c r="B1162" s="19" t="s">
        <v>1525</v>
      </c>
      <c r="C1162" s="20" t="s">
        <v>1191</v>
      </c>
      <c r="D1162" s="21">
        <v>2</v>
      </c>
      <c r="E1162" s="22">
        <v>0</v>
      </c>
    </row>
    <row r="1163" s="29" customFormat="1" ht="28" spans="2:5">
      <c r="B1163" s="19" t="s">
        <v>1525</v>
      </c>
      <c r="C1163" s="16" t="s">
        <v>183</v>
      </c>
      <c r="D1163" s="23">
        <v>2</v>
      </c>
      <c r="E1163" s="24">
        <v>0</v>
      </c>
    </row>
    <row r="1164" s="29" customFormat="1" ht="28" spans="2:5">
      <c r="B1164" s="19" t="s">
        <v>1733</v>
      </c>
      <c r="C1164" s="20" t="s">
        <v>804</v>
      </c>
      <c r="D1164" s="21">
        <v>2</v>
      </c>
      <c r="E1164" s="22">
        <v>180000</v>
      </c>
    </row>
    <row r="1165" s="29" customFormat="1" ht="17.55" spans="2:5">
      <c r="B1165" s="19" t="s">
        <v>1733</v>
      </c>
      <c r="C1165" s="16" t="s">
        <v>183</v>
      </c>
      <c r="D1165" s="23">
        <v>2</v>
      </c>
      <c r="E1165" s="24">
        <v>180000</v>
      </c>
    </row>
    <row r="1166" s="29" customFormat="1" spans="2:5">
      <c r="B1166" s="25"/>
      <c r="C1166" s="25"/>
      <c r="D1166" s="25"/>
      <c r="E1166" s="25"/>
    </row>
    <row r="1167" s="29" customFormat="1" ht="36" spans="2:5">
      <c r="B1167" s="26" t="s">
        <v>189</v>
      </c>
      <c r="C1167" s="26" t="s">
        <v>189</v>
      </c>
      <c r="D1167" s="26" t="s">
        <v>189</v>
      </c>
      <c r="E1167" s="26" t="s">
        <v>189</v>
      </c>
    </row>
    <row r="1168" s="29" customFormat="1" spans="2:5">
      <c r="B1168" s="26"/>
      <c r="C1168" s="26"/>
      <c r="D1168" s="26"/>
      <c r="E1168" s="26"/>
    </row>
    <row r="1169" s="29" customFormat="1" ht="36" spans="2:5">
      <c r="B1169" s="26" t="s">
        <v>1653</v>
      </c>
      <c r="C1169" s="26" t="s">
        <v>1653</v>
      </c>
      <c r="D1169" s="26" t="s">
        <v>1653</v>
      </c>
      <c r="E1169" s="26" t="s">
        <v>1653</v>
      </c>
    </row>
    <row r="1170" s="29" customFormat="1" spans="2:5">
      <c r="B1170" s="26" t="s">
        <v>949</v>
      </c>
      <c r="C1170" s="26" t="s">
        <v>949</v>
      </c>
      <c r="D1170" s="26" t="s">
        <v>949</v>
      </c>
      <c r="E1170" s="26" t="s">
        <v>949</v>
      </c>
    </row>
    <row r="1171" s="29" customFormat="1" ht="124" spans="2:5">
      <c r="B1171" s="11" t="s">
        <v>173</v>
      </c>
      <c r="C1171" s="11" t="s">
        <v>173</v>
      </c>
      <c r="D1171" s="11" t="s">
        <v>173</v>
      </c>
      <c r="E1171" s="11" t="s">
        <v>173</v>
      </c>
    </row>
    <row r="1172" s="29" customFormat="1" ht="156" spans="2:5">
      <c r="B1172" s="12" t="s">
        <v>174</v>
      </c>
      <c r="C1172" s="12" t="s">
        <v>174</v>
      </c>
      <c r="D1172" s="12" t="s">
        <v>174</v>
      </c>
      <c r="E1172" s="12" t="s">
        <v>174</v>
      </c>
    </row>
    <row r="1173" s="29" customFormat="1" ht="68" spans="2:5">
      <c r="B1173" s="13" t="s">
        <v>1645</v>
      </c>
      <c r="C1173" s="13" t="s">
        <v>1645</v>
      </c>
      <c r="D1173" s="13" t="s">
        <v>1645</v>
      </c>
      <c r="E1173" s="13" t="s">
        <v>1645</v>
      </c>
    </row>
    <row r="1174" s="29" customFormat="1" ht="22" spans="2:5">
      <c r="B1174" s="14" t="s">
        <v>176</v>
      </c>
      <c r="C1174" s="14" t="s">
        <v>176</v>
      </c>
      <c r="D1174" s="14" t="s">
        <v>176</v>
      </c>
      <c r="E1174" s="14" t="s">
        <v>176</v>
      </c>
    </row>
    <row r="1175" s="29" customFormat="1" spans="2:5">
      <c r="B1175" s="15" t="s">
        <v>177</v>
      </c>
      <c r="C1175" s="16" t="s">
        <v>178</v>
      </c>
      <c r="D1175" s="17" t="s">
        <v>179</v>
      </c>
      <c r="E1175" s="18" t="s">
        <v>180</v>
      </c>
    </row>
    <row r="1176" s="29" customFormat="1" ht="41" spans="2:5">
      <c r="B1176" s="19" t="s">
        <v>1734</v>
      </c>
      <c r="C1176" s="20" t="s">
        <v>182</v>
      </c>
      <c r="D1176" s="21">
        <v>2</v>
      </c>
      <c r="E1176" s="22">
        <v>630000</v>
      </c>
    </row>
    <row r="1177" s="29" customFormat="1" spans="2:5">
      <c r="B1177" s="19" t="s">
        <v>1734</v>
      </c>
      <c r="C1177" s="16" t="s">
        <v>183</v>
      </c>
      <c r="D1177" s="23">
        <v>2</v>
      </c>
      <c r="E1177" s="24">
        <v>630000</v>
      </c>
    </row>
    <row r="1178" s="29" customFormat="1" ht="28" spans="2:5">
      <c r="B1178" s="19" t="s">
        <v>1735</v>
      </c>
      <c r="C1178" s="20" t="s">
        <v>804</v>
      </c>
      <c r="D1178" s="21">
        <v>1</v>
      </c>
      <c r="E1178" s="22">
        <v>65315.315315</v>
      </c>
    </row>
    <row r="1179" s="29" customFormat="1" spans="2:5">
      <c r="B1179" s="19" t="s">
        <v>1735</v>
      </c>
      <c r="C1179" s="16" t="s">
        <v>183</v>
      </c>
      <c r="D1179" s="23">
        <v>1</v>
      </c>
      <c r="E1179" s="24">
        <v>65315.315315</v>
      </c>
    </row>
    <row r="1180" s="29" customFormat="1" ht="28" spans="2:5">
      <c r="B1180" s="19" t="s">
        <v>1736</v>
      </c>
      <c r="C1180" s="20" t="s">
        <v>804</v>
      </c>
      <c r="D1180" s="21">
        <v>1</v>
      </c>
      <c r="E1180" s="22">
        <v>65315.315315</v>
      </c>
    </row>
    <row r="1181" s="29" customFormat="1" spans="2:5">
      <c r="B1181" s="19" t="s">
        <v>1736</v>
      </c>
      <c r="C1181" s="16" t="s">
        <v>183</v>
      </c>
      <c r="D1181" s="23">
        <v>1</v>
      </c>
      <c r="E1181" s="24">
        <v>65315.315315</v>
      </c>
    </row>
    <row r="1182" s="29" customFormat="1" ht="28" spans="2:5">
      <c r="B1182" s="19" t="s">
        <v>1737</v>
      </c>
      <c r="C1182" s="20" t="s">
        <v>804</v>
      </c>
      <c r="D1182" s="21">
        <v>2</v>
      </c>
      <c r="E1182" s="22">
        <v>418000</v>
      </c>
    </row>
    <row r="1183" s="29" customFormat="1" spans="2:5">
      <c r="B1183" s="19" t="s">
        <v>1737</v>
      </c>
      <c r="C1183" s="16" t="s">
        <v>183</v>
      </c>
      <c r="D1183" s="23">
        <v>2</v>
      </c>
      <c r="E1183" s="24">
        <v>418000</v>
      </c>
    </row>
    <row r="1184" s="29" customFormat="1" ht="41" spans="2:5">
      <c r="B1184" s="19" t="s">
        <v>1738</v>
      </c>
      <c r="C1184" s="20" t="s">
        <v>182</v>
      </c>
      <c r="D1184" s="21">
        <v>2</v>
      </c>
      <c r="E1184" s="22">
        <v>410000</v>
      </c>
    </row>
    <row r="1185" s="29" customFormat="1" spans="2:5">
      <c r="B1185" s="19" t="s">
        <v>1738</v>
      </c>
      <c r="C1185" s="16" t="s">
        <v>183</v>
      </c>
      <c r="D1185" s="23">
        <v>2</v>
      </c>
      <c r="E1185" s="24">
        <v>410000</v>
      </c>
    </row>
    <row r="1186" s="29" customFormat="1" ht="41" spans="2:5">
      <c r="B1186" s="19" t="s">
        <v>1739</v>
      </c>
      <c r="C1186" s="20" t="s">
        <v>182</v>
      </c>
      <c r="D1186" s="21">
        <v>1</v>
      </c>
      <c r="E1186" s="22">
        <v>165000</v>
      </c>
    </row>
    <row r="1187" s="29" customFormat="1" ht="28" spans="2:5">
      <c r="B1187" s="19" t="s">
        <v>1739</v>
      </c>
      <c r="C1187" s="16" t="s">
        <v>183</v>
      </c>
      <c r="D1187" s="23">
        <v>1</v>
      </c>
      <c r="E1187" s="24">
        <v>165000</v>
      </c>
    </row>
    <row r="1188" s="29" customFormat="1" ht="41" spans="2:5">
      <c r="B1188" s="19" t="s">
        <v>1740</v>
      </c>
      <c r="C1188" s="20" t="s">
        <v>182</v>
      </c>
      <c r="D1188" s="21">
        <v>2</v>
      </c>
      <c r="E1188" s="22">
        <v>440000</v>
      </c>
    </row>
    <row r="1189" s="29" customFormat="1" ht="28.75" spans="2:5">
      <c r="B1189" s="19" t="s">
        <v>1740</v>
      </c>
      <c r="C1189" s="16" t="s">
        <v>183</v>
      </c>
      <c r="D1189" s="23">
        <v>2</v>
      </c>
      <c r="E1189" s="24">
        <v>440000</v>
      </c>
    </row>
    <row r="1190" s="29" customFormat="1" spans="2:5">
      <c r="B1190" s="25"/>
      <c r="C1190" s="25"/>
      <c r="D1190" s="25"/>
      <c r="E1190" s="25"/>
    </row>
    <row r="1191" s="29" customFormat="1" ht="36" spans="2:5">
      <c r="B1191" s="26" t="s">
        <v>189</v>
      </c>
      <c r="C1191" s="26" t="s">
        <v>189</v>
      </c>
      <c r="D1191" s="26" t="s">
        <v>189</v>
      </c>
      <c r="E1191" s="26" t="s">
        <v>189</v>
      </c>
    </row>
    <row r="1192" s="29" customFormat="1" spans="2:5">
      <c r="B1192" s="26"/>
      <c r="C1192" s="26"/>
      <c r="D1192" s="26"/>
      <c r="E1192" s="26"/>
    </row>
    <row r="1193" s="29" customFormat="1" ht="36" spans="2:5">
      <c r="B1193" s="26" t="s">
        <v>1653</v>
      </c>
      <c r="C1193" s="26" t="s">
        <v>1653</v>
      </c>
      <c r="D1193" s="26" t="s">
        <v>1653</v>
      </c>
      <c r="E1193" s="26" t="s">
        <v>1653</v>
      </c>
    </row>
    <row r="1194" s="29" customFormat="1" spans="2:5">
      <c r="B1194" s="26" t="s">
        <v>950</v>
      </c>
      <c r="C1194" s="26" t="s">
        <v>950</v>
      </c>
      <c r="D1194" s="26" t="s">
        <v>950</v>
      </c>
      <c r="E1194" s="26" t="s">
        <v>950</v>
      </c>
    </row>
    <row r="1195" s="29" customFormat="1" ht="124" spans="2:5">
      <c r="B1195" s="11" t="s">
        <v>173</v>
      </c>
      <c r="C1195" s="11" t="s">
        <v>173</v>
      </c>
      <c r="D1195" s="11" t="s">
        <v>173</v>
      </c>
      <c r="E1195" s="11" t="s">
        <v>173</v>
      </c>
    </row>
    <row r="1196" s="29" customFormat="1" ht="156" spans="2:5">
      <c r="B1196" s="12" t="s">
        <v>174</v>
      </c>
      <c r="C1196" s="12" t="s">
        <v>174</v>
      </c>
      <c r="D1196" s="12" t="s">
        <v>174</v>
      </c>
      <c r="E1196" s="12" t="s">
        <v>174</v>
      </c>
    </row>
    <row r="1197" s="29" customFormat="1" ht="68" spans="2:5">
      <c r="B1197" s="13" t="s">
        <v>1645</v>
      </c>
      <c r="C1197" s="13" t="s">
        <v>1645</v>
      </c>
      <c r="D1197" s="13" t="s">
        <v>1645</v>
      </c>
      <c r="E1197" s="13" t="s">
        <v>1645</v>
      </c>
    </row>
    <row r="1198" s="29" customFormat="1" ht="22" spans="2:5">
      <c r="B1198" s="14" t="s">
        <v>176</v>
      </c>
      <c r="C1198" s="14" t="s">
        <v>176</v>
      </c>
      <c r="D1198" s="14" t="s">
        <v>176</v>
      </c>
      <c r="E1198" s="14" t="s">
        <v>176</v>
      </c>
    </row>
    <row r="1199" s="29" customFormat="1" spans="2:5">
      <c r="B1199" s="15" t="s">
        <v>177</v>
      </c>
      <c r="C1199" s="16" t="s">
        <v>178</v>
      </c>
      <c r="D1199" s="17" t="s">
        <v>179</v>
      </c>
      <c r="E1199" s="18" t="s">
        <v>180</v>
      </c>
    </row>
    <row r="1200" s="29" customFormat="1" ht="41" spans="2:5">
      <c r="B1200" s="19" t="s">
        <v>1741</v>
      </c>
      <c r="C1200" s="20" t="s">
        <v>182</v>
      </c>
      <c r="D1200" s="21">
        <v>2</v>
      </c>
      <c r="E1200" s="22">
        <v>1300000</v>
      </c>
    </row>
    <row r="1201" s="29" customFormat="1" ht="41" spans="2:5">
      <c r="B1201" s="19" t="s">
        <v>1741</v>
      </c>
      <c r="C1201" s="16" t="s">
        <v>183</v>
      </c>
      <c r="D1201" s="23">
        <v>2</v>
      </c>
      <c r="E1201" s="24">
        <v>1300000</v>
      </c>
    </row>
    <row r="1202" s="29" customFormat="1" ht="28" spans="2:5">
      <c r="B1202" s="19" t="s">
        <v>887</v>
      </c>
      <c r="C1202" s="20" t="s">
        <v>804</v>
      </c>
      <c r="D1202" s="21">
        <v>2</v>
      </c>
      <c r="E1202" s="22">
        <v>1879279.504505</v>
      </c>
    </row>
    <row r="1203" s="29" customFormat="1" ht="28" spans="2:5">
      <c r="B1203" s="19" t="s">
        <v>887</v>
      </c>
      <c r="C1203" s="16" t="s">
        <v>183</v>
      </c>
      <c r="D1203" s="23">
        <v>2</v>
      </c>
      <c r="E1203" s="24">
        <v>1879279.504505</v>
      </c>
    </row>
    <row r="1204" s="29" customFormat="1" ht="28" spans="2:5">
      <c r="B1204" s="19" t="s">
        <v>1534</v>
      </c>
      <c r="C1204" s="20" t="s">
        <v>804</v>
      </c>
      <c r="D1204" s="21">
        <v>1</v>
      </c>
      <c r="E1204" s="22">
        <v>0</v>
      </c>
    </row>
    <row r="1205" s="29" customFormat="1" ht="28" spans="2:5">
      <c r="B1205" s="19" t="s">
        <v>1534</v>
      </c>
      <c r="C1205" s="16" t="s">
        <v>183</v>
      </c>
      <c r="D1205" s="23">
        <v>1</v>
      </c>
      <c r="E1205" s="24">
        <v>0</v>
      </c>
    </row>
    <row r="1206" s="29" customFormat="1" ht="28" spans="2:5">
      <c r="B1206" s="19" t="s">
        <v>1742</v>
      </c>
      <c r="C1206" s="20" t="s">
        <v>804</v>
      </c>
      <c r="D1206" s="21">
        <v>1</v>
      </c>
      <c r="E1206" s="22">
        <v>1570720.765766</v>
      </c>
    </row>
    <row r="1207" s="29" customFormat="1" ht="28" spans="2:5">
      <c r="B1207" s="19" t="s">
        <v>1742</v>
      </c>
      <c r="C1207" s="16" t="s">
        <v>183</v>
      </c>
      <c r="D1207" s="23">
        <v>1</v>
      </c>
      <c r="E1207" s="24">
        <v>1570720.765766</v>
      </c>
    </row>
    <row r="1208" s="29" customFormat="1" ht="28" spans="2:5">
      <c r="B1208" s="19" t="s">
        <v>727</v>
      </c>
      <c r="C1208" s="20" t="s">
        <v>804</v>
      </c>
      <c r="D1208" s="21">
        <v>1</v>
      </c>
      <c r="E1208" s="22">
        <v>1259910</v>
      </c>
    </row>
    <row r="1209" s="29" customFormat="1" ht="28" spans="2:5">
      <c r="B1209" s="19" t="s">
        <v>727</v>
      </c>
      <c r="C1209" s="16" t="s">
        <v>183</v>
      </c>
      <c r="D1209" s="23">
        <v>1</v>
      </c>
      <c r="E1209" s="24">
        <v>1259910</v>
      </c>
    </row>
    <row r="1210" s="29" customFormat="1" ht="28" spans="2:5">
      <c r="B1210" s="19" t="s">
        <v>1043</v>
      </c>
      <c r="C1210" s="20" t="s">
        <v>804</v>
      </c>
      <c r="D1210" s="21">
        <v>2</v>
      </c>
      <c r="E1210" s="22">
        <v>2774774.855856</v>
      </c>
    </row>
    <row r="1211" s="29" customFormat="1" ht="28" spans="2:5">
      <c r="B1211" s="19" t="s">
        <v>1043</v>
      </c>
      <c r="C1211" s="16" t="s">
        <v>183</v>
      </c>
      <c r="D1211" s="23">
        <v>2</v>
      </c>
      <c r="E1211" s="24">
        <v>2774774.855856</v>
      </c>
    </row>
    <row r="1212" s="29" customFormat="1" ht="41" spans="2:5">
      <c r="B1212" s="19" t="s">
        <v>728</v>
      </c>
      <c r="C1212" s="20" t="s">
        <v>1191</v>
      </c>
      <c r="D1212" s="21">
        <v>2</v>
      </c>
      <c r="E1212" s="22">
        <v>201801.801802</v>
      </c>
    </row>
    <row r="1213" s="29" customFormat="1" ht="41" spans="2:5">
      <c r="B1213" s="19" t="s">
        <v>728</v>
      </c>
      <c r="C1213" s="16" t="s">
        <v>183</v>
      </c>
      <c r="D1213" s="23">
        <v>2</v>
      </c>
      <c r="E1213" s="24">
        <v>201801.801802</v>
      </c>
    </row>
    <row r="1214" s="29" customFormat="1" ht="41" spans="2:5">
      <c r="B1214" s="19" t="s">
        <v>382</v>
      </c>
      <c r="C1214" s="20" t="s">
        <v>182</v>
      </c>
      <c r="D1214" s="21">
        <v>1</v>
      </c>
      <c r="E1214" s="22">
        <v>100900.900901</v>
      </c>
    </row>
    <row r="1215" s="29" customFormat="1" ht="41.75" spans="2:5">
      <c r="B1215" s="19" t="s">
        <v>382</v>
      </c>
      <c r="C1215" s="16" t="s">
        <v>183</v>
      </c>
      <c r="D1215" s="23">
        <v>1</v>
      </c>
      <c r="E1215" s="24">
        <v>100900.900901</v>
      </c>
    </row>
    <row r="1216" s="29" customFormat="1" spans="2:5">
      <c r="B1216" s="25"/>
      <c r="C1216" s="25"/>
      <c r="D1216" s="25"/>
      <c r="E1216" s="25"/>
    </row>
    <row r="1217" s="29" customFormat="1" ht="36" spans="2:5">
      <c r="B1217" s="26" t="s">
        <v>189</v>
      </c>
      <c r="C1217" s="26" t="s">
        <v>189</v>
      </c>
      <c r="D1217" s="26" t="s">
        <v>189</v>
      </c>
      <c r="E1217" s="26" t="s">
        <v>189</v>
      </c>
    </row>
    <row r="1218" s="29" customFormat="1" spans="2:5">
      <c r="B1218" s="26"/>
      <c r="C1218" s="26"/>
      <c r="D1218" s="26"/>
      <c r="E1218" s="26"/>
    </row>
    <row r="1219" s="29" customFormat="1" ht="36" spans="2:5">
      <c r="B1219" s="26" t="s">
        <v>1653</v>
      </c>
      <c r="C1219" s="26" t="s">
        <v>1653</v>
      </c>
      <c r="D1219" s="26" t="s">
        <v>1653</v>
      </c>
      <c r="E1219" s="26" t="s">
        <v>1653</v>
      </c>
    </row>
    <row r="1220" s="29" customFormat="1" spans="2:5">
      <c r="B1220" s="26" t="s">
        <v>1090</v>
      </c>
      <c r="C1220" s="26" t="s">
        <v>1090</v>
      </c>
      <c r="D1220" s="26" t="s">
        <v>1090</v>
      </c>
      <c r="E1220" s="26" t="s">
        <v>1090</v>
      </c>
    </row>
    <row r="1221" s="29" customFormat="1" ht="124" spans="2:5">
      <c r="B1221" s="11" t="s">
        <v>173</v>
      </c>
      <c r="C1221" s="11" t="s">
        <v>173</v>
      </c>
      <c r="D1221" s="11" t="s">
        <v>173</v>
      </c>
      <c r="E1221" s="11" t="s">
        <v>173</v>
      </c>
    </row>
    <row r="1222" s="29" customFormat="1" ht="156" spans="2:5">
      <c r="B1222" s="12" t="s">
        <v>174</v>
      </c>
      <c r="C1222" s="12" t="s">
        <v>174</v>
      </c>
      <c r="D1222" s="12" t="s">
        <v>174</v>
      </c>
      <c r="E1222" s="12" t="s">
        <v>174</v>
      </c>
    </row>
    <row r="1223" s="29" customFormat="1" ht="68" spans="2:5">
      <c r="B1223" s="13" t="s">
        <v>1645</v>
      </c>
      <c r="C1223" s="13" t="s">
        <v>1645</v>
      </c>
      <c r="D1223" s="13" t="s">
        <v>1645</v>
      </c>
      <c r="E1223" s="13" t="s">
        <v>1645</v>
      </c>
    </row>
    <row r="1224" s="29" customFormat="1" ht="22" spans="2:5">
      <c r="B1224" s="14" t="s">
        <v>176</v>
      </c>
      <c r="C1224" s="14" t="s">
        <v>176</v>
      </c>
      <c r="D1224" s="14" t="s">
        <v>176</v>
      </c>
      <c r="E1224" s="14" t="s">
        <v>176</v>
      </c>
    </row>
    <row r="1225" s="29" customFormat="1" spans="2:5">
      <c r="B1225" s="15" t="s">
        <v>177</v>
      </c>
      <c r="C1225" s="16" t="s">
        <v>178</v>
      </c>
      <c r="D1225" s="17" t="s">
        <v>179</v>
      </c>
      <c r="E1225" s="18" t="s">
        <v>180</v>
      </c>
    </row>
    <row r="1226" s="29" customFormat="1" ht="28" spans="2:5">
      <c r="B1226" s="19" t="s">
        <v>316</v>
      </c>
      <c r="C1226" s="20" t="s">
        <v>804</v>
      </c>
      <c r="D1226" s="21">
        <v>5</v>
      </c>
      <c r="E1226" s="22">
        <v>414414.414415</v>
      </c>
    </row>
    <row r="1227" s="29" customFormat="1" ht="28" spans="2:5">
      <c r="B1227" s="19" t="s">
        <v>316</v>
      </c>
      <c r="C1227" s="16" t="s">
        <v>183</v>
      </c>
      <c r="D1227" s="23">
        <v>5</v>
      </c>
      <c r="E1227" s="24">
        <v>414414.414415</v>
      </c>
    </row>
    <row r="1228" s="29" customFormat="1" ht="41" spans="2:5">
      <c r="B1228" s="19" t="s">
        <v>383</v>
      </c>
      <c r="C1228" s="20" t="s">
        <v>182</v>
      </c>
      <c r="D1228" s="21">
        <v>12</v>
      </c>
      <c r="E1228" s="22">
        <v>378379.783786</v>
      </c>
    </row>
    <row r="1229" s="29" customFormat="1" ht="28" spans="2:5">
      <c r="B1229" s="19" t="s">
        <v>383</v>
      </c>
      <c r="C1229" s="20" t="s">
        <v>804</v>
      </c>
      <c r="D1229" s="21">
        <v>10</v>
      </c>
      <c r="E1229" s="22">
        <v>315315.315319</v>
      </c>
    </row>
    <row r="1230" s="29" customFormat="1" ht="28" spans="2:5">
      <c r="B1230" s="19" t="s">
        <v>383</v>
      </c>
      <c r="C1230" s="16" t="s">
        <v>183</v>
      </c>
      <c r="D1230" s="23">
        <v>22</v>
      </c>
      <c r="E1230" s="24">
        <v>693695.099105</v>
      </c>
    </row>
    <row r="1231" s="29" customFormat="1" ht="41" spans="2:5">
      <c r="B1231" s="19" t="s">
        <v>384</v>
      </c>
      <c r="C1231" s="20" t="s">
        <v>182</v>
      </c>
      <c r="D1231" s="21">
        <v>4</v>
      </c>
      <c r="E1231" s="22">
        <v>349765.765766</v>
      </c>
    </row>
    <row r="1232" s="29" customFormat="1" ht="28" spans="2:5">
      <c r="B1232" s="19" t="s">
        <v>384</v>
      </c>
      <c r="C1232" s="20" t="s">
        <v>804</v>
      </c>
      <c r="D1232" s="21">
        <v>9</v>
      </c>
      <c r="E1232" s="22">
        <v>745945.387388</v>
      </c>
    </row>
    <row r="1233" s="29" customFormat="1" ht="28" spans="2:5">
      <c r="B1233" s="19" t="s">
        <v>384</v>
      </c>
      <c r="C1233" s="16" t="s">
        <v>183</v>
      </c>
      <c r="D1233" s="23">
        <v>13</v>
      </c>
      <c r="E1233" s="24">
        <v>1095711.153154</v>
      </c>
    </row>
    <row r="1234" s="29" customFormat="1" ht="41" spans="2:5">
      <c r="B1234" s="19" t="s">
        <v>518</v>
      </c>
      <c r="C1234" s="20" t="s">
        <v>182</v>
      </c>
      <c r="D1234" s="21">
        <v>32</v>
      </c>
      <c r="E1234" s="22">
        <v>1012478.036042</v>
      </c>
    </row>
    <row r="1235" s="29" customFormat="1" ht="28" spans="2:5">
      <c r="B1235" s="19" t="s">
        <v>518</v>
      </c>
      <c r="C1235" s="20" t="s">
        <v>804</v>
      </c>
      <c r="D1235" s="21">
        <v>11</v>
      </c>
      <c r="E1235" s="22">
        <v>346846.846851</v>
      </c>
    </row>
    <row r="1236" s="29" customFormat="1" ht="28" spans="2:5">
      <c r="B1236" s="19" t="s">
        <v>518</v>
      </c>
      <c r="C1236" s="16" t="s">
        <v>183</v>
      </c>
      <c r="D1236" s="23">
        <v>43</v>
      </c>
      <c r="E1236" s="24">
        <v>1359324.882893</v>
      </c>
    </row>
    <row r="1237" s="29" customFormat="1" ht="41" spans="2:5">
      <c r="B1237" s="19" t="s">
        <v>733</v>
      </c>
      <c r="C1237" s="20" t="s">
        <v>182</v>
      </c>
      <c r="D1237" s="21">
        <v>6</v>
      </c>
      <c r="E1237" s="22">
        <v>437837.369369</v>
      </c>
    </row>
    <row r="1238" s="29" customFormat="1" ht="28" spans="2:5">
      <c r="B1238" s="19" t="s">
        <v>733</v>
      </c>
      <c r="C1238" s="20" t="s">
        <v>804</v>
      </c>
      <c r="D1238" s="21">
        <v>3</v>
      </c>
      <c r="E1238" s="22">
        <v>218918.882883</v>
      </c>
    </row>
    <row r="1239" s="29" customFormat="1" ht="28.75" spans="2:5">
      <c r="B1239" s="19" t="s">
        <v>733</v>
      </c>
      <c r="C1239" s="16" t="s">
        <v>183</v>
      </c>
      <c r="D1239" s="23">
        <v>9</v>
      </c>
      <c r="E1239" s="24">
        <v>656756.252252</v>
      </c>
    </row>
    <row r="1240" s="29" customFormat="1" spans="2:5">
      <c r="B1240" s="25"/>
      <c r="C1240" s="25"/>
      <c r="D1240" s="25"/>
      <c r="E1240" s="25"/>
    </row>
    <row r="1241" s="29" customFormat="1" ht="36" spans="2:5">
      <c r="B1241" s="26" t="s">
        <v>189</v>
      </c>
      <c r="C1241" s="26" t="s">
        <v>189</v>
      </c>
      <c r="D1241" s="26" t="s">
        <v>189</v>
      </c>
      <c r="E1241" s="26" t="s">
        <v>189</v>
      </c>
    </row>
    <row r="1242" s="29" customFormat="1" spans="2:5">
      <c r="B1242" s="26"/>
      <c r="C1242" s="26"/>
      <c r="D1242" s="26"/>
      <c r="E1242" s="26"/>
    </row>
    <row r="1243" s="29" customFormat="1" ht="36" spans="2:5">
      <c r="B1243" s="26" t="s">
        <v>1653</v>
      </c>
      <c r="C1243" s="26" t="s">
        <v>1653</v>
      </c>
      <c r="D1243" s="26" t="s">
        <v>1653</v>
      </c>
      <c r="E1243" s="26" t="s">
        <v>1653</v>
      </c>
    </row>
    <row r="1244" s="29" customFormat="1" spans="2:5">
      <c r="B1244" s="26" t="s">
        <v>1096</v>
      </c>
      <c r="C1244" s="26" t="s">
        <v>1096</v>
      </c>
      <c r="D1244" s="26" t="s">
        <v>1096</v>
      </c>
      <c r="E1244" s="26" t="s">
        <v>1096</v>
      </c>
    </row>
    <row r="1245" s="29" customFormat="1" ht="124" spans="2:5">
      <c r="B1245" s="11" t="s">
        <v>173</v>
      </c>
      <c r="C1245" s="11" t="s">
        <v>173</v>
      </c>
      <c r="D1245" s="11" t="s">
        <v>173</v>
      </c>
      <c r="E1245" s="11" t="s">
        <v>173</v>
      </c>
    </row>
    <row r="1246" s="29" customFormat="1" ht="156" spans="2:5">
      <c r="B1246" s="12" t="s">
        <v>174</v>
      </c>
      <c r="C1246" s="12" t="s">
        <v>174</v>
      </c>
      <c r="D1246" s="12" t="s">
        <v>174</v>
      </c>
      <c r="E1246" s="12" t="s">
        <v>174</v>
      </c>
    </row>
    <row r="1247" s="29" customFormat="1" ht="68" spans="2:5">
      <c r="B1247" s="13" t="s">
        <v>1645</v>
      </c>
      <c r="C1247" s="13" t="s">
        <v>1645</v>
      </c>
      <c r="D1247" s="13" t="s">
        <v>1645</v>
      </c>
      <c r="E1247" s="13" t="s">
        <v>1645</v>
      </c>
    </row>
    <row r="1248" s="29" customFormat="1" ht="22" spans="2:5">
      <c r="B1248" s="14" t="s">
        <v>176</v>
      </c>
      <c r="C1248" s="14" t="s">
        <v>176</v>
      </c>
      <c r="D1248" s="14" t="s">
        <v>176</v>
      </c>
      <c r="E1248" s="14" t="s">
        <v>176</v>
      </c>
    </row>
    <row r="1249" s="29" customFormat="1" spans="2:5">
      <c r="B1249" s="15" t="s">
        <v>177</v>
      </c>
      <c r="C1249" s="16" t="s">
        <v>178</v>
      </c>
      <c r="D1249" s="17" t="s">
        <v>179</v>
      </c>
      <c r="E1249" s="18" t="s">
        <v>180</v>
      </c>
    </row>
    <row r="1250" s="29" customFormat="1" ht="41" spans="2:5">
      <c r="B1250" s="19" t="s">
        <v>318</v>
      </c>
      <c r="C1250" s="20" t="s">
        <v>182</v>
      </c>
      <c r="D1250" s="21">
        <v>3</v>
      </c>
      <c r="E1250" s="22">
        <v>0</v>
      </c>
    </row>
    <row r="1251" s="29" customFormat="1" ht="28" spans="2:5">
      <c r="B1251" s="19" t="s">
        <v>318</v>
      </c>
      <c r="C1251" s="20" t="s">
        <v>804</v>
      </c>
      <c r="D1251" s="21">
        <v>1</v>
      </c>
      <c r="E1251" s="22">
        <v>0</v>
      </c>
    </row>
    <row r="1252" s="29" customFormat="1" ht="28" spans="2:5">
      <c r="B1252" s="19" t="s">
        <v>318</v>
      </c>
      <c r="C1252" s="16" t="s">
        <v>183</v>
      </c>
      <c r="D1252" s="23">
        <v>4</v>
      </c>
      <c r="E1252" s="24">
        <v>0</v>
      </c>
    </row>
    <row r="1253" s="29" customFormat="1" ht="28" spans="2:5">
      <c r="B1253" s="19" t="s">
        <v>457</v>
      </c>
      <c r="C1253" s="20" t="s">
        <v>804</v>
      </c>
      <c r="D1253" s="21">
        <v>4</v>
      </c>
      <c r="E1253" s="22">
        <v>0</v>
      </c>
    </row>
    <row r="1254" s="29" customFormat="1" spans="2:5">
      <c r="B1254" s="19" t="s">
        <v>457</v>
      </c>
      <c r="C1254" s="16" t="s">
        <v>183</v>
      </c>
      <c r="D1254" s="23">
        <v>4</v>
      </c>
      <c r="E1254" s="24">
        <v>0</v>
      </c>
    </row>
    <row r="1255" s="29" customFormat="1" ht="41" spans="2:5">
      <c r="B1255" s="19" t="s">
        <v>458</v>
      </c>
      <c r="C1255" s="20" t="s">
        <v>182</v>
      </c>
      <c r="D1255" s="21">
        <v>2</v>
      </c>
      <c r="E1255" s="22">
        <v>0</v>
      </c>
    </row>
    <row r="1256" s="29" customFormat="1" ht="28" spans="2:5">
      <c r="B1256" s="19" t="s">
        <v>458</v>
      </c>
      <c r="C1256" s="20" t="s">
        <v>804</v>
      </c>
      <c r="D1256" s="21">
        <v>1</v>
      </c>
      <c r="E1256" s="22">
        <v>0</v>
      </c>
    </row>
    <row r="1257" s="29" customFormat="1" spans="2:5">
      <c r="B1257" s="19" t="s">
        <v>458</v>
      </c>
      <c r="C1257" s="16" t="s">
        <v>183</v>
      </c>
      <c r="D1257" s="23">
        <v>3</v>
      </c>
      <c r="E1257" s="24">
        <v>0</v>
      </c>
    </row>
    <row r="1258" s="29" customFormat="1" ht="41" spans="2:5">
      <c r="B1258" s="19" t="s">
        <v>459</v>
      </c>
      <c r="C1258" s="20" t="s">
        <v>182</v>
      </c>
      <c r="D1258" s="21">
        <v>2</v>
      </c>
      <c r="E1258" s="22">
        <v>444000</v>
      </c>
    </row>
    <row r="1259" s="29" customFormat="1" ht="28" spans="2:5">
      <c r="B1259" s="19" t="s">
        <v>459</v>
      </c>
      <c r="C1259" s="20" t="s">
        <v>804</v>
      </c>
      <c r="D1259" s="21">
        <v>36</v>
      </c>
      <c r="E1259" s="22">
        <v>3200000</v>
      </c>
    </row>
    <row r="1260" s="29" customFormat="1" spans="2:5">
      <c r="B1260" s="19" t="s">
        <v>459</v>
      </c>
      <c r="C1260" s="16" t="s">
        <v>183</v>
      </c>
      <c r="D1260" s="23">
        <v>38</v>
      </c>
      <c r="E1260" s="24">
        <v>3644000</v>
      </c>
    </row>
    <row r="1261" s="29" customFormat="1" ht="41" spans="2:5">
      <c r="B1261" s="19" t="s">
        <v>319</v>
      </c>
      <c r="C1261" s="20" t="s">
        <v>182</v>
      </c>
      <c r="D1261" s="21">
        <v>4</v>
      </c>
      <c r="E1261" s="22">
        <v>0</v>
      </c>
    </row>
    <row r="1262" s="29" customFormat="1" ht="28" spans="2:5">
      <c r="B1262" s="19" t="s">
        <v>319</v>
      </c>
      <c r="C1262" s="20" t="s">
        <v>804</v>
      </c>
      <c r="D1262" s="21">
        <v>6</v>
      </c>
      <c r="E1262" s="22">
        <v>0</v>
      </c>
    </row>
    <row r="1263" s="29" customFormat="1" ht="17.55" spans="2:5">
      <c r="B1263" s="19" t="s">
        <v>319</v>
      </c>
      <c r="C1263" s="16" t="s">
        <v>183</v>
      </c>
      <c r="D1263" s="23">
        <v>10</v>
      </c>
      <c r="E1263" s="24">
        <v>0</v>
      </c>
    </row>
    <row r="1264" s="29" customFormat="1" spans="2:5">
      <c r="B1264" s="25"/>
      <c r="C1264" s="25"/>
      <c r="D1264" s="25"/>
      <c r="E1264" s="25"/>
    </row>
    <row r="1265" s="29" customFormat="1" ht="36" spans="2:5">
      <c r="B1265" s="26" t="s">
        <v>189</v>
      </c>
      <c r="C1265" s="26" t="s">
        <v>189</v>
      </c>
      <c r="D1265" s="26" t="s">
        <v>189</v>
      </c>
      <c r="E1265" s="26" t="s">
        <v>189</v>
      </c>
    </row>
    <row r="1266" s="29" customFormat="1" spans="2:5">
      <c r="B1266" s="26"/>
      <c r="C1266" s="26"/>
      <c r="D1266" s="26"/>
      <c r="E1266" s="26"/>
    </row>
    <row r="1267" s="29" customFormat="1" ht="36" spans="2:5">
      <c r="B1267" s="26" t="s">
        <v>1653</v>
      </c>
      <c r="C1267" s="26" t="s">
        <v>1653</v>
      </c>
      <c r="D1267" s="26" t="s">
        <v>1653</v>
      </c>
      <c r="E1267" s="26" t="s">
        <v>1653</v>
      </c>
    </row>
    <row r="1268" s="29" customFormat="1" spans="2:5">
      <c r="B1268" s="26" t="s">
        <v>1100</v>
      </c>
      <c r="C1268" s="26" t="s">
        <v>1100</v>
      </c>
      <c r="D1268" s="26" t="s">
        <v>1100</v>
      </c>
      <c r="E1268" s="26" t="s">
        <v>1100</v>
      </c>
    </row>
    <row r="1269" s="29" customFormat="1" ht="124" spans="2:5">
      <c r="B1269" s="11" t="s">
        <v>173</v>
      </c>
      <c r="C1269" s="11" t="s">
        <v>173</v>
      </c>
      <c r="D1269" s="11" t="s">
        <v>173</v>
      </c>
      <c r="E1269" s="11" t="s">
        <v>173</v>
      </c>
    </row>
    <row r="1270" s="29" customFormat="1" ht="156" spans="2:5">
      <c r="B1270" s="12" t="s">
        <v>174</v>
      </c>
      <c r="C1270" s="12" t="s">
        <v>174</v>
      </c>
      <c r="D1270" s="12" t="s">
        <v>174</v>
      </c>
      <c r="E1270" s="12" t="s">
        <v>174</v>
      </c>
    </row>
    <row r="1271" s="29" customFormat="1" ht="68" spans="2:5">
      <c r="B1271" s="13" t="s">
        <v>1645</v>
      </c>
      <c r="C1271" s="13" t="s">
        <v>1645</v>
      </c>
      <c r="D1271" s="13" t="s">
        <v>1645</v>
      </c>
      <c r="E1271" s="13" t="s">
        <v>1645</v>
      </c>
    </row>
    <row r="1272" s="29" customFormat="1" ht="22" spans="2:5">
      <c r="B1272" s="14" t="s">
        <v>176</v>
      </c>
      <c r="C1272" s="14" t="s">
        <v>176</v>
      </c>
      <c r="D1272" s="14" t="s">
        <v>176</v>
      </c>
      <c r="E1272" s="14" t="s">
        <v>176</v>
      </c>
    </row>
    <row r="1273" s="29" customFormat="1" spans="2:5">
      <c r="B1273" s="15" t="s">
        <v>177</v>
      </c>
      <c r="C1273" s="16" t="s">
        <v>178</v>
      </c>
      <c r="D1273" s="17" t="s">
        <v>179</v>
      </c>
      <c r="E1273" s="18" t="s">
        <v>180</v>
      </c>
    </row>
    <row r="1274" s="29" customFormat="1" ht="41" spans="2:5">
      <c r="B1274" s="19" t="s">
        <v>320</v>
      </c>
      <c r="C1274" s="20" t="s">
        <v>182</v>
      </c>
      <c r="D1274" s="21">
        <v>83</v>
      </c>
      <c r="E1274" s="22">
        <v>302702.702703</v>
      </c>
    </row>
    <row r="1275" s="29" customFormat="1" ht="28" spans="2:5">
      <c r="B1275" s="19" t="s">
        <v>320</v>
      </c>
      <c r="C1275" s="20" t="s">
        <v>804</v>
      </c>
      <c r="D1275" s="21">
        <v>25</v>
      </c>
      <c r="E1275" s="22">
        <v>100900.900901</v>
      </c>
    </row>
    <row r="1276" s="29" customFormat="1" ht="28" spans="2:5">
      <c r="B1276" s="19" t="s">
        <v>320</v>
      </c>
      <c r="C1276" s="16" t="s">
        <v>183</v>
      </c>
      <c r="D1276" s="23">
        <v>108</v>
      </c>
      <c r="E1276" s="24">
        <v>403603.603604</v>
      </c>
    </row>
    <row r="1277" s="29" customFormat="1" ht="41" spans="2:5">
      <c r="B1277" s="19" t="s">
        <v>894</v>
      </c>
      <c r="C1277" s="20" t="s">
        <v>182</v>
      </c>
      <c r="D1277" s="21">
        <v>20</v>
      </c>
      <c r="E1277" s="22">
        <v>313513.513514</v>
      </c>
    </row>
    <row r="1278" s="29" customFormat="1" ht="28" spans="2:5">
      <c r="B1278" s="19" t="s">
        <v>894</v>
      </c>
      <c r="C1278" s="20" t="s">
        <v>804</v>
      </c>
      <c r="D1278" s="21">
        <v>10</v>
      </c>
      <c r="E1278" s="22">
        <v>470270.27027</v>
      </c>
    </row>
    <row r="1279" s="29" customFormat="1" ht="28" spans="2:5">
      <c r="B1279" s="19" t="s">
        <v>894</v>
      </c>
      <c r="C1279" s="16" t="s">
        <v>183</v>
      </c>
      <c r="D1279" s="23">
        <v>30</v>
      </c>
      <c r="E1279" s="24">
        <v>783783.783784</v>
      </c>
    </row>
    <row r="1280" s="29" customFormat="1" ht="41" spans="2:5">
      <c r="B1280" s="19" t="s">
        <v>321</v>
      </c>
      <c r="C1280" s="20" t="s">
        <v>182</v>
      </c>
      <c r="D1280" s="21">
        <v>18</v>
      </c>
      <c r="E1280" s="22">
        <v>0</v>
      </c>
    </row>
    <row r="1281" s="29" customFormat="1" ht="28" spans="2:5">
      <c r="B1281" s="19" t="s">
        <v>321</v>
      </c>
      <c r="C1281" s="20" t="s">
        <v>804</v>
      </c>
      <c r="D1281" s="21">
        <v>8</v>
      </c>
      <c r="E1281" s="22">
        <v>0</v>
      </c>
    </row>
    <row r="1282" s="29" customFormat="1" ht="28" spans="2:5">
      <c r="B1282" s="19" t="s">
        <v>321</v>
      </c>
      <c r="C1282" s="16" t="s">
        <v>183</v>
      </c>
      <c r="D1282" s="23">
        <v>26</v>
      </c>
      <c r="E1282" s="24">
        <v>0</v>
      </c>
    </row>
    <row r="1283" s="29" customFormat="1" ht="41" spans="2:5">
      <c r="B1283" s="19" t="s">
        <v>322</v>
      </c>
      <c r="C1283" s="20" t="s">
        <v>182</v>
      </c>
      <c r="D1283" s="21">
        <v>126</v>
      </c>
      <c r="E1283" s="22">
        <v>589189.189188</v>
      </c>
    </row>
    <row r="1284" s="29" customFormat="1" ht="28" spans="2:5">
      <c r="B1284" s="19" t="s">
        <v>322</v>
      </c>
      <c r="C1284" s="20" t="s">
        <v>804</v>
      </c>
      <c r="D1284" s="21">
        <v>11</v>
      </c>
      <c r="E1284" s="22">
        <v>294594.594594</v>
      </c>
    </row>
    <row r="1285" s="29" customFormat="1" ht="28" spans="2:5">
      <c r="B1285" s="19" t="s">
        <v>322</v>
      </c>
      <c r="C1285" s="16" t="s">
        <v>183</v>
      </c>
      <c r="D1285" s="23">
        <v>137</v>
      </c>
      <c r="E1285" s="24">
        <v>883783.783782</v>
      </c>
    </row>
    <row r="1286" s="29" customFormat="1" ht="41.75" spans="2:5">
      <c r="B1286" s="20" t="s">
        <v>323</v>
      </c>
      <c r="C1286" s="20" t="s">
        <v>182</v>
      </c>
      <c r="D1286" s="21">
        <v>54</v>
      </c>
      <c r="E1286" s="22">
        <v>0</v>
      </c>
    </row>
    <row r="1287" s="29" customFormat="1" spans="2:5">
      <c r="B1287" s="25"/>
      <c r="C1287" s="25"/>
      <c r="D1287" s="25"/>
      <c r="E1287" s="25"/>
    </row>
    <row r="1288" s="29" customFormat="1" ht="36" spans="2:5">
      <c r="B1288" s="26" t="s">
        <v>189</v>
      </c>
      <c r="C1288" s="26" t="s">
        <v>189</v>
      </c>
      <c r="D1288" s="26" t="s">
        <v>189</v>
      </c>
      <c r="E1288" s="26" t="s">
        <v>189</v>
      </c>
    </row>
    <row r="1289" s="29" customFormat="1" spans="2:5">
      <c r="B1289" s="26"/>
      <c r="C1289" s="26"/>
      <c r="D1289" s="26"/>
      <c r="E1289" s="26"/>
    </row>
    <row r="1290" s="29" customFormat="1" ht="36" spans="2:5">
      <c r="B1290" s="26" t="s">
        <v>1653</v>
      </c>
      <c r="C1290" s="26" t="s">
        <v>1653</v>
      </c>
      <c r="D1290" s="26" t="s">
        <v>1653</v>
      </c>
      <c r="E1290" s="26" t="s">
        <v>1653</v>
      </c>
    </row>
    <row r="1291" s="29" customFormat="1" spans="2:5">
      <c r="B1291" s="26" t="s">
        <v>1103</v>
      </c>
      <c r="C1291" s="26" t="s">
        <v>1103</v>
      </c>
      <c r="D1291" s="26" t="s">
        <v>1103</v>
      </c>
      <c r="E1291" s="26" t="s">
        <v>1103</v>
      </c>
    </row>
    <row r="1292" s="29" customFormat="1" ht="124" spans="2:5">
      <c r="B1292" s="11" t="s">
        <v>173</v>
      </c>
      <c r="C1292" s="11" t="s">
        <v>173</v>
      </c>
      <c r="D1292" s="11" t="s">
        <v>173</v>
      </c>
      <c r="E1292" s="11" t="s">
        <v>173</v>
      </c>
    </row>
    <row r="1293" s="29" customFormat="1" ht="156" spans="2:5">
      <c r="B1293" s="12" t="s">
        <v>174</v>
      </c>
      <c r="C1293" s="12" t="s">
        <v>174</v>
      </c>
      <c r="D1293" s="12" t="s">
        <v>174</v>
      </c>
      <c r="E1293" s="12" t="s">
        <v>174</v>
      </c>
    </row>
    <row r="1294" s="29" customFormat="1" ht="68" spans="2:5">
      <c r="B1294" s="13" t="s">
        <v>1645</v>
      </c>
      <c r="C1294" s="13" t="s">
        <v>1645</v>
      </c>
      <c r="D1294" s="13" t="s">
        <v>1645</v>
      </c>
      <c r="E1294" s="13" t="s">
        <v>1645</v>
      </c>
    </row>
    <row r="1295" s="29" customFormat="1" ht="22" spans="2:5">
      <c r="B1295" s="14" t="s">
        <v>176</v>
      </c>
      <c r="C1295" s="14" t="s">
        <v>176</v>
      </c>
      <c r="D1295" s="14" t="s">
        <v>176</v>
      </c>
      <c r="E1295" s="14" t="s">
        <v>176</v>
      </c>
    </row>
    <row r="1296" s="29" customFormat="1" spans="2:5">
      <c r="B1296" s="15" t="s">
        <v>177</v>
      </c>
      <c r="C1296" s="16" t="s">
        <v>178</v>
      </c>
      <c r="D1296" s="17" t="s">
        <v>179</v>
      </c>
      <c r="E1296" s="18" t="s">
        <v>180</v>
      </c>
    </row>
    <row r="1297" s="29" customFormat="1" ht="28" spans="2:5">
      <c r="B1297" s="19" t="s">
        <v>323</v>
      </c>
      <c r="C1297" s="20" t="s">
        <v>804</v>
      </c>
      <c r="D1297" s="21">
        <v>30</v>
      </c>
      <c r="E1297" s="22">
        <v>0</v>
      </c>
    </row>
    <row r="1298" s="29" customFormat="1" ht="28" spans="2:5">
      <c r="B1298" s="19" t="s">
        <v>323</v>
      </c>
      <c r="C1298" s="16" t="s">
        <v>183</v>
      </c>
      <c r="D1298" s="23">
        <v>84</v>
      </c>
      <c r="E1298" s="24">
        <v>0</v>
      </c>
    </row>
    <row r="1299" s="29" customFormat="1" ht="28" spans="2:5">
      <c r="B1299" s="19" t="s">
        <v>325</v>
      </c>
      <c r="C1299" s="20" t="s">
        <v>804</v>
      </c>
      <c r="D1299" s="21">
        <v>8</v>
      </c>
      <c r="E1299" s="22">
        <v>706306.306306</v>
      </c>
    </row>
    <row r="1300" s="29" customFormat="1" ht="28" spans="2:5">
      <c r="B1300" s="19" t="s">
        <v>325</v>
      </c>
      <c r="C1300" s="16" t="s">
        <v>183</v>
      </c>
      <c r="D1300" s="23">
        <v>8</v>
      </c>
      <c r="E1300" s="24">
        <v>706306.306306</v>
      </c>
    </row>
    <row r="1301" s="29" customFormat="1" ht="41" spans="2:5">
      <c r="B1301" s="19" t="s">
        <v>895</v>
      </c>
      <c r="C1301" s="20" t="s">
        <v>1191</v>
      </c>
      <c r="D1301" s="21">
        <v>3</v>
      </c>
      <c r="E1301" s="22">
        <v>391891.891892</v>
      </c>
    </row>
    <row r="1302" s="29" customFormat="1" ht="41" spans="2:5">
      <c r="B1302" s="19" t="s">
        <v>895</v>
      </c>
      <c r="C1302" s="20" t="s">
        <v>182</v>
      </c>
      <c r="D1302" s="21">
        <v>6</v>
      </c>
      <c r="E1302" s="22">
        <v>783783.783784</v>
      </c>
    </row>
    <row r="1303" s="29" customFormat="1" ht="28" spans="2:5">
      <c r="B1303" s="19" t="s">
        <v>895</v>
      </c>
      <c r="C1303" s="20" t="s">
        <v>804</v>
      </c>
      <c r="D1303" s="21">
        <v>43</v>
      </c>
      <c r="E1303" s="22">
        <v>5617117.594599</v>
      </c>
    </row>
    <row r="1304" s="29" customFormat="1" ht="28" spans="2:5">
      <c r="B1304" s="19" t="s">
        <v>895</v>
      </c>
      <c r="C1304" s="16" t="s">
        <v>183</v>
      </c>
      <c r="D1304" s="23">
        <v>52</v>
      </c>
      <c r="E1304" s="24">
        <v>6792793.270275</v>
      </c>
    </row>
    <row r="1305" s="29" customFormat="1" ht="41" spans="2:5">
      <c r="B1305" s="19" t="s">
        <v>326</v>
      </c>
      <c r="C1305" s="20" t="s">
        <v>182</v>
      </c>
      <c r="D1305" s="21">
        <v>45</v>
      </c>
      <c r="E1305" s="22">
        <v>4905405.369369</v>
      </c>
    </row>
    <row r="1306" s="29" customFormat="1" ht="28" spans="2:5">
      <c r="B1306" s="19" t="s">
        <v>326</v>
      </c>
      <c r="C1306" s="20" t="s">
        <v>804</v>
      </c>
      <c r="D1306" s="21">
        <v>72</v>
      </c>
      <c r="E1306" s="22">
        <v>7848648.639639</v>
      </c>
    </row>
    <row r="1307" s="29" customFormat="1" ht="28" spans="2:5">
      <c r="B1307" s="19" t="s">
        <v>326</v>
      </c>
      <c r="C1307" s="16" t="s">
        <v>183</v>
      </c>
      <c r="D1307" s="23">
        <v>117</v>
      </c>
      <c r="E1307" s="24">
        <v>12754054.009008</v>
      </c>
    </row>
    <row r="1308" s="29" customFormat="1" ht="41" spans="2:5">
      <c r="B1308" s="19" t="s">
        <v>734</v>
      </c>
      <c r="C1308" s="20" t="s">
        <v>182</v>
      </c>
      <c r="D1308" s="21">
        <v>4</v>
      </c>
      <c r="E1308" s="22">
        <v>1518558.279279</v>
      </c>
    </row>
    <row r="1309" s="29" customFormat="1" ht="28" spans="2:5">
      <c r="B1309" s="19" t="s">
        <v>734</v>
      </c>
      <c r="C1309" s="20" t="s">
        <v>804</v>
      </c>
      <c r="D1309" s="21">
        <v>2</v>
      </c>
      <c r="E1309" s="22">
        <v>759279.279279</v>
      </c>
    </row>
    <row r="1310" s="29" customFormat="1" ht="28.75" spans="2:5">
      <c r="B1310" s="19" t="s">
        <v>734</v>
      </c>
      <c r="C1310" s="16" t="s">
        <v>183</v>
      </c>
      <c r="D1310" s="23">
        <v>6</v>
      </c>
      <c r="E1310" s="24">
        <v>2277837.558558</v>
      </c>
    </row>
    <row r="1311" s="29" customFormat="1" spans="2:5">
      <c r="B1311" s="25"/>
      <c r="C1311" s="25"/>
      <c r="D1311" s="25"/>
      <c r="E1311" s="25"/>
    </row>
    <row r="1312" s="29" customFormat="1" ht="36" spans="2:5">
      <c r="B1312" s="26" t="s">
        <v>189</v>
      </c>
      <c r="C1312" s="26" t="s">
        <v>189</v>
      </c>
      <c r="D1312" s="26" t="s">
        <v>189</v>
      </c>
      <c r="E1312" s="26" t="s">
        <v>189</v>
      </c>
    </row>
    <row r="1313" s="29" customFormat="1" spans="2:5">
      <c r="B1313" s="26"/>
      <c r="C1313" s="26"/>
      <c r="D1313" s="26"/>
      <c r="E1313" s="26"/>
    </row>
    <row r="1314" s="29" customFormat="1" ht="36" spans="2:5">
      <c r="B1314" s="26" t="s">
        <v>1653</v>
      </c>
      <c r="C1314" s="26" t="s">
        <v>1653</v>
      </c>
      <c r="D1314" s="26" t="s">
        <v>1653</v>
      </c>
      <c r="E1314" s="26" t="s">
        <v>1653</v>
      </c>
    </row>
    <row r="1315" s="29" customFormat="1" spans="2:5">
      <c r="B1315" s="26" t="s">
        <v>1105</v>
      </c>
      <c r="C1315" s="26" t="s">
        <v>1105</v>
      </c>
      <c r="D1315" s="26" t="s">
        <v>1105</v>
      </c>
      <c r="E1315" s="26" t="s">
        <v>1105</v>
      </c>
    </row>
    <row r="1316" s="29" customFormat="1" ht="124" spans="2:5">
      <c r="B1316" s="11" t="s">
        <v>173</v>
      </c>
      <c r="C1316" s="11" t="s">
        <v>173</v>
      </c>
      <c r="D1316" s="11" t="s">
        <v>173</v>
      </c>
      <c r="E1316" s="11" t="s">
        <v>173</v>
      </c>
    </row>
    <row r="1317" s="29" customFormat="1" ht="156" spans="2:5">
      <c r="B1317" s="12" t="s">
        <v>174</v>
      </c>
      <c r="C1317" s="12" t="s">
        <v>174</v>
      </c>
      <c r="D1317" s="12" t="s">
        <v>174</v>
      </c>
      <c r="E1317" s="12" t="s">
        <v>174</v>
      </c>
    </row>
    <row r="1318" s="29" customFormat="1" ht="68" spans="2:5">
      <c r="B1318" s="13" t="s">
        <v>1645</v>
      </c>
      <c r="C1318" s="13" t="s">
        <v>1645</v>
      </c>
      <c r="D1318" s="13" t="s">
        <v>1645</v>
      </c>
      <c r="E1318" s="13" t="s">
        <v>1645</v>
      </c>
    </row>
    <row r="1319" s="29" customFormat="1" ht="22" spans="2:5">
      <c r="B1319" s="14" t="s">
        <v>176</v>
      </c>
      <c r="C1319" s="14" t="s">
        <v>176</v>
      </c>
      <c r="D1319" s="14" t="s">
        <v>176</v>
      </c>
      <c r="E1319" s="14" t="s">
        <v>176</v>
      </c>
    </row>
    <row r="1320" s="29" customFormat="1" spans="2:5">
      <c r="B1320" s="15" t="s">
        <v>177</v>
      </c>
      <c r="C1320" s="16" t="s">
        <v>178</v>
      </c>
      <c r="D1320" s="17" t="s">
        <v>179</v>
      </c>
      <c r="E1320" s="18" t="s">
        <v>180</v>
      </c>
    </row>
    <row r="1321" s="29" customFormat="1" ht="28" spans="2:5">
      <c r="B1321" s="19" t="s">
        <v>1538</v>
      </c>
      <c r="C1321" s="20" t="s">
        <v>804</v>
      </c>
      <c r="D1321" s="21">
        <v>2</v>
      </c>
      <c r="E1321" s="22">
        <v>734054.135135</v>
      </c>
    </row>
    <row r="1322" s="29" customFormat="1" ht="28" spans="2:5">
      <c r="B1322" s="19" t="s">
        <v>1538</v>
      </c>
      <c r="C1322" s="16" t="s">
        <v>183</v>
      </c>
      <c r="D1322" s="23">
        <v>2</v>
      </c>
      <c r="E1322" s="24">
        <v>734054.135135</v>
      </c>
    </row>
    <row r="1323" s="29" customFormat="1" ht="41" spans="2:5">
      <c r="B1323" s="19" t="s">
        <v>1539</v>
      </c>
      <c r="C1323" s="20" t="s">
        <v>182</v>
      </c>
      <c r="D1323" s="21">
        <v>2</v>
      </c>
      <c r="E1323" s="22">
        <v>964864.864865</v>
      </c>
    </row>
    <row r="1324" s="29" customFormat="1" ht="28" spans="2:5">
      <c r="B1324" s="19" t="s">
        <v>1539</v>
      </c>
      <c r="C1324" s="16" t="s">
        <v>183</v>
      </c>
      <c r="D1324" s="23">
        <v>2</v>
      </c>
      <c r="E1324" s="24">
        <v>964864.864865</v>
      </c>
    </row>
    <row r="1325" s="29" customFormat="1" ht="41" spans="2:5">
      <c r="B1325" s="19" t="s">
        <v>460</v>
      </c>
      <c r="C1325" s="20" t="s">
        <v>182</v>
      </c>
      <c r="D1325" s="21">
        <v>2</v>
      </c>
      <c r="E1325" s="22">
        <v>739099.099099</v>
      </c>
    </row>
    <row r="1326" s="29" customFormat="1" ht="28" spans="2:5">
      <c r="B1326" s="19" t="s">
        <v>460</v>
      </c>
      <c r="C1326" s="20" t="s">
        <v>804</v>
      </c>
      <c r="D1326" s="21">
        <v>2</v>
      </c>
      <c r="E1326" s="22">
        <v>739099.099099</v>
      </c>
    </row>
    <row r="1327" s="29" customFormat="1" ht="28" spans="2:5">
      <c r="B1327" s="19" t="s">
        <v>460</v>
      </c>
      <c r="C1327" s="16" t="s">
        <v>183</v>
      </c>
      <c r="D1327" s="23">
        <v>4</v>
      </c>
      <c r="E1327" s="24">
        <v>1478198.198198</v>
      </c>
    </row>
    <row r="1328" s="29" customFormat="1" ht="41" spans="2:5">
      <c r="B1328" s="19" t="s">
        <v>1743</v>
      </c>
      <c r="C1328" s="20" t="s">
        <v>182</v>
      </c>
      <c r="D1328" s="21">
        <v>2</v>
      </c>
      <c r="E1328" s="22">
        <v>807207.207207</v>
      </c>
    </row>
    <row r="1329" s="29" customFormat="1" ht="28" spans="2:5">
      <c r="B1329" s="19" t="s">
        <v>1743</v>
      </c>
      <c r="C1329" s="16" t="s">
        <v>183</v>
      </c>
      <c r="D1329" s="23">
        <v>2</v>
      </c>
      <c r="E1329" s="24">
        <v>807207.207207</v>
      </c>
    </row>
    <row r="1330" s="29" customFormat="1" ht="41" spans="2:5">
      <c r="B1330" s="19" t="s">
        <v>1310</v>
      </c>
      <c r="C1330" s="20" t="s">
        <v>182</v>
      </c>
      <c r="D1330" s="21">
        <v>2</v>
      </c>
      <c r="E1330" s="22">
        <v>798378.378378</v>
      </c>
    </row>
    <row r="1331" s="29" customFormat="1" ht="28" spans="2:5">
      <c r="B1331" s="19" t="s">
        <v>1310</v>
      </c>
      <c r="C1331" s="16" t="s">
        <v>183</v>
      </c>
      <c r="D1331" s="23">
        <v>2</v>
      </c>
      <c r="E1331" s="24">
        <v>798378.378378</v>
      </c>
    </row>
    <row r="1332" s="29" customFormat="1" ht="41" spans="2:5">
      <c r="B1332" s="19" t="s">
        <v>1744</v>
      </c>
      <c r="C1332" s="20" t="s">
        <v>182</v>
      </c>
      <c r="D1332" s="21">
        <v>2</v>
      </c>
      <c r="E1332" s="22">
        <v>1040540.252252</v>
      </c>
    </row>
    <row r="1333" s="29" customFormat="1" ht="28.75" spans="2:5">
      <c r="B1333" s="19" t="s">
        <v>1744</v>
      </c>
      <c r="C1333" s="16" t="s">
        <v>183</v>
      </c>
      <c r="D1333" s="23">
        <v>2</v>
      </c>
      <c r="E1333" s="24">
        <v>1040540.252252</v>
      </c>
    </row>
    <row r="1334" s="29" customFormat="1" spans="2:5">
      <c r="B1334" s="25"/>
      <c r="C1334" s="25"/>
      <c r="D1334" s="25"/>
      <c r="E1334" s="25"/>
    </row>
    <row r="1335" s="29" customFormat="1" ht="36" spans="2:5">
      <c r="B1335" s="26" t="s">
        <v>189</v>
      </c>
      <c r="C1335" s="26" t="s">
        <v>189</v>
      </c>
      <c r="D1335" s="26" t="s">
        <v>189</v>
      </c>
      <c r="E1335" s="26" t="s">
        <v>189</v>
      </c>
    </row>
    <row r="1336" s="29" customFormat="1" spans="2:5">
      <c r="B1336" s="26"/>
      <c r="C1336" s="26"/>
      <c r="D1336" s="26"/>
      <c r="E1336" s="26"/>
    </row>
    <row r="1337" s="29" customFormat="1" ht="36" spans="2:5">
      <c r="B1337" s="26" t="s">
        <v>1653</v>
      </c>
      <c r="C1337" s="26" t="s">
        <v>1653</v>
      </c>
      <c r="D1337" s="26" t="s">
        <v>1653</v>
      </c>
      <c r="E1337" s="26" t="s">
        <v>1653</v>
      </c>
    </row>
    <row r="1338" s="29" customFormat="1" spans="2:5">
      <c r="B1338" s="26" t="s">
        <v>1106</v>
      </c>
      <c r="C1338" s="26" t="s">
        <v>1106</v>
      </c>
      <c r="D1338" s="26" t="s">
        <v>1106</v>
      </c>
      <c r="E1338" s="26" t="s">
        <v>1106</v>
      </c>
    </row>
    <row r="1339" s="29" customFormat="1" ht="124" spans="2:5">
      <c r="B1339" s="11" t="s">
        <v>173</v>
      </c>
      <c r="C1339" s="11" t="s">
        <v>173</v>
      </c>
      <c r="D1339" s="11" t="s">
        <v>173</v>
      </c>
      <c r="E1339" s="11" t="s">
        <v>173</v>
      </c>
    </row>
    <row r="1340" s="29" customFormat="1" ht="156" spans="2:5">
      <c r="B1340" s="12" t="s">
        <v>174</v>
      </c>
      <c r="C1340" s="12" t="s">
        <v>174</v>
      </c>
      <c r="D1340" s="12" t="s">
        <v>174</v>
      </c>
      <c r="E1340" s="12" t="s">
        <v>174</v>
      </c>
    </row>
    <row r="1341" s="29" customFormat="1" ht="68" spans="2:5">
      <c r="B1341" s="13" t="s">
        <v>1645</v>
      </c>
      <c r="C1341" s="13" t="s">
        <v>1645</v>
      </c>
      <c r="D1341" s="13" t="s">
        <v>1645</v>
      </c>
      <c r="E1341" s="13" t="s">
        <v>1645</v>
      </c>
    </row>
    <row r="1342" s="29" customFormat="1" ht="22" spans="2:5">
      <c r="B1342" s="14" t="s">
        <v>176</v>
      </c>
      <c r="C1342" s="14" t="s">
        <v>176</v>
      </c>
      <c r="D1342" s="14" t="s">
        <v>176</v>
      </c>
      <c r="E1342" s="14" t="s">
        <v>176</v>
      </c>
    </row>
    <row r="1343" s="29" customFormat="1" spans="2:5">
      <c r="B1343" s="15" t="s">
        <v>177</v>
      </c>
      <c r="C1343" s="16" t="s">
        <v>178</v>
      </c>
      <c r="D1343" s="17" t="s">
        <v>179</v>
      </c>
      <c r="E1343" s="18" t="s">
        <v>180</v>
      </c>
    </row>
    <row r="1344" s="29" customFormat="1" ht="41" spans="2:5">
      <c r="B1344" s="19" t="s">
        <v>1541</v>
      </c>
      <c r="C1344" s="20" t="s">
        <v>182</v>
      </c>
      <c r="D1344" s="21">
        <v>4</v>
      </c>
      <c r="E1344" s="22">
        <v>1987748.243243</v>
      </c>
    </row>
    <row r="1345" s="29" customFormat="1" ht="28" spans="2:5">
      <c r="B1345" s="19" t="s">
        <v>1541</v>
      </c>
      <c r="C1345" s="16" t="s">
        <v>183</v>
      </c>
      <c r="D1345" s="23">
        <v>4</v>
      </c>
      <c r="E1345" s="24">
        <v>1987748.243243</v>
      </c>
    </row>
    <row r="1346" s="29" customFormat="1" ht="28" spans="2:5">
      <c r="B1346" s="19" t="s">
        <v>1745</v>
      </c>
      <c r="C1346" s="20" t="s">
        <v>804</v>
      </c>
      <c r="D1346" s="21">
        <v>2</v>
      </c>
      <c r="E1346" s="22">
        <v>1059459</v>
      </c>
    </row>
    <row r="1347" s="29" customFormat="1" ht="28" spans="2:5">
      <c r="B1347" s="19" t="s">
        <v>1745</v>
      </c>
      <c r="C1347" s="16" t="s">
        <v>183</v>
      </c>
      <c r="D1347" s="23">
        <v>2</v>
      </c>
      <c r="E1347" s="24">
        <v>1059459</v>
      </c>
    </row>
    <row r="1348" s="29" customFormat="1" ht="41" spans="2:5">
      <c r="B1348" s="19" t="s">
        <v>1050</v>
      </c>
      <c r="C1348" s="20" t="s">
        <v>182</v>
      </c>
      <c r="D1348" s="21">
        <v>2</v>
      </c>
      <c r="E1348" s="22">
        <v>945946</v>
      </c>
    </row>
    <row r="1349" s="29" customFormat="1" ht="28" spans="2:5">
      <c r="B1349" s="19" t="s">
        <v>1050</v>
      </c>
      <c r="C1349" s="20" t="s">
        <v>804</v>
      </c>
      <c r="D1349" s="21">
        <v>2</v>
      </c>
      <c r="E1349" s="22">
        <v>945945.945946</v>
      </c>
    </row>
    <row r="1350" s="29" customFormat="1" ht="28" spans="2:5">
      <c r="B1350" s="19" t="s">
        <v>1050</v>
      </c>
      <c r="C1350" s="16" t="s">
        <v>183</v>
      </c>
      <c r="D1350" s="23">
        <v>4</v>
      </c>
      <c r="E1350" s="24">
        <v>1891891.945946</v>
      </c>
    </row>
    <row r="1351" s="29" customFormat="1" ht="41" spans="2:5">
      <c r="B1351" s="19" t="s">
        <v>1543</v>
      </c>
      <c r="C1351" s="20" t="s">
        <v>182</v>
      </c>
      <c r="D1351" s="21">
        <v>2</v>
      </c>
      <c r="E1351" s="22">
        <v>1012793</v>
      </c>
    </row>
    <row r="1352" s="29" customFormat="1" ht="28" spans="2:5">
      <c r="B1352" s="19" t="s">
        <v>1543</v>
      </c>
      <c r="C1352" s="16" t="s">
        <v>183</v>
      </c>
      <c r="D1352" s="23">
        <v>2</v>
      </c>
      <c r="E1352" s="24">
        <v>1012793</v>
      </c>
    </row>
    <row r="1353" s="29" customFormat="1" ht="28" spans="2:5">
      <c r="B1353" s="19" t="s">
        <v>898</v>
      </c>
      <c r="C1353" s="20" t="s">
        <v>804</v>
      </c>
      <c r="D1353" s="21">
        <v>2</v>
      </c>
      <c r="E1353" s="22">
        <v>788288.288288</v>
      </c>
    </row>
    <row r="1354" s="29" customFormat="1" ht="28" spans="2:5">
      <c r="B1354" s="19" t="s">
        <v>898</v>
      </c>
      <c r="C1354" s="16" t="s">
        <v>183</v>
      </c>
      <c r="D1354" s="23">
        <v>2</v>
      </c>
      <c r="E1354" s="24">
        <v>788288.288288</v>
      </c>
    </row>
    <row r="1355" s="29" customFormat="1" ht="41" spans="2:5">
      <c r="B1355" s="19" t="s">
        <v>461</v>
      </c>
      <c r="C1355" s="20" t="s">
        <v>182</v>
      </c>
      <c r="D1355" s="21">
        <v>6</v>
      </c>
      <c r="E1355" s="22">
        <v>2277838.342343</v>
      </c>
    </row>
    <row r="1356" s="29" customFormat="1" ht="28" spans="2:5">
      <c r="B1356" s="19" t="s">
        <v>461</v>
      </c>
      <c r="C1356" s="16" t="s">
        <v>183</v>
      </c>
      <c r="D1356" s="23">
        <v>6</v>
      </c>
      <c r="E1356" s="24">
        <v>2277838.342343</v>
      </c>
    </row>
    <row r="1357" s="29" customFormat="1" ht="28" spans="2:5">
      <c r="B1357" s="19" t="s">
        <v>1314</v>
      </c>
      <c r="C1357" s="20" t="s">
        <v>804</v>
      </c>
      <c r="D1357" s="21">
        <v>2</v>
      </c>
      <c r="E1357" s="22">
        <v>945946</v>
      </c>
    </row>
    <row r="1358" s="29" customFormat="1" ht="28.75" spans="2:5">
      <c r="B1358" s="19" t="s">
        <v>1314</v>
      </c>
      <c r="C1358" s="16" t="s">
        <v>183</v>
      </c>
      <c r="D1358" s="23">
        <v>2</v>
      </c>
      <c r="E1358" s="24">
        <v>945946</v>
      </c>
    </row>
    <row r="1359" s="29" customFormat="1" spans="2:5">
      <c r="B1359" s="25"/>
      <c r="C1359" s="25"/>
      <c r="D1359" s="25"/>
      <c r="E1359" s="25"/>
    </row>
    <row r="1360" s="29" customFormat="1" ht="36" spans="2:5">
      <c r="B1360" s="26" t="s">
        <v>189</v>
      </c>
      <c r="C1360" s="26" t="s">
        <v>189</v>
      </c>
      <c r="D1360" s="26" t="s">
        <v>189</v>
      </c>
      <c r="E1360" s="26" t="s">
        <v>189</v>
      </c>
    </row>
    <row r="1361" s="29" customFormat="1" spans="2:5">
      <c r="B1361" s="26"/>
      <c r="C1361" s="26"/>
      <c r="D1361" s="26"/>
      <c r="E1361" s="26"/>
    </row>
    <row r="1362" s="29" customFormat="1" ht="36" spans="2:5">
      <c r="B1362" s="26" t="s">
        <v>1653</v>
      </c>
      <c r="C1362" s="26" t="s">
        <v>1653</v>
      </c>
      <c r="D1362" s="26" t="s">
        <v>1653</v>
      </c>
      <c r="E1362" s="26" t="s">
        <v>1653</v>
      </c>
    </row>
    <row r="1363" s="29" customFormat="1" spans="2:5">
      <c r="B1363" s="26" t="s">
        <v>1109</v>
      </c>
      <c r="C1363" s="26" t="s">
        <v>1109</v>
      </c>
      <c r="D1363" s="26" t="s">
        <v>1109</v>
      </c>
      <c r="E1363" s="26" t="s">
        <v>1109</v>
      </c>
    </row>
    <row r="1364" s="29" customFormat="1" ht="124" spans="2:5">
      <c r="B1364" s="11" t="s">
        <v>173</v>
      </c>
      <c r="C1364" s="11" t="s">
        <v>173</v>
      </c>
      <c r="D1364" s="11" t="s">
        <v>173</v>
      </c>
      <c r="E1364" s="11" t="s">
        <v>173</v>
      </c>
    </row>
    <row r="1365" s="29" customFormat="1" ht="156" spans="2:5">
      <c r="B1365" s="12" t="s">
        <v>174</v>
      </c>
      <c r="C1365" s="12" t="s">
        <v>174</v>
      </c>
      <c r="D1365" s="12" t="s">
        <v>174</v>
      </c>
      <c r="E1365" s="12" t="s">
        <v>174</v>
      </c>
    </row>
    <row r="1366" s="29" customFormat="1" ht="68" spans="2:5">
      <c r="B1366" s="13" t="s">
        <v>1645</v>
      </c>
      <c r="C1366" s="13" t="s">
        <v>1645</v>
      </c>
      <c r="D1366" s="13" t="s">
        <v>1645</v>
      </c>
      <c r="E1366" s="13" t="s">
        <v>1645</v>
      </c>
    </row>
    <row r="1367" s="29" customFormat="1" ht="22" spans="2:5">
      <c r="B1367" s="14" t="s">
        <v>176</v>
      </c>
      <c r="C1367" s="14" t="s">
        <v>176</v>
      </c>
      <c r="D1367" s="14" t="s">
        <v>176</v>
      </c>
      <c r="E1367" s="14" t="s">
        <v>176</v>
      </c>
    </row>
    <row r="1368" s="29" customFormat="1" spans="2:5">
      <c r="B1368" s="15" t="s">
        <v>177</v>
      </c>
      <c r="C1368" s="16" t="s">
        <v>178</v>
      </c>
      <c r="D1368" s="17" t="s">
        <v>179</v>
      </c>
      <c r="E1368" s="18" t="s">
        <v>180</v>
      </c>
    </row>
    <row r="1369" s="29" customFormat="1" ht="28" spans="2:5">
      <c r="B1369" s="19" t="s">
        <v>1053</v>
      </c>
      <c r="C1369" s="20" t="s">
        <v>804</v>
      </c>
      <c r="D1369" s="21">
        <v>2</v>
      </c>
      <c r="E1369" s="22">
        <v>826125.783784</v>
      </c>
    </row>
    <row r="1370" s="29" customFormat="1" ht="28" spans="2:5">
      <c r="B1370" s="19" t="s">
        <v>1053</v>
      </c>
      <c r="C1370" s="16" t="s">
        <v>183</v>
      </c>
      <c r="D1370" s="23">
        <v>2</v>
      </c>
      <c r="E1370" s="24">
        <v>826125.783784</v>
      </c>
    </row>
    <row r="1371" s="29" customFormat="1" ht="41" spans="2:5">
      <c r="B1371" s="19" t="s">
        <v>1054</v>
      </c>
      <c r="C1371" s="20" t="s">
        <v>182</v>
      </c>
      <c r="D1371" s="21">
        <v>2</v>
      </c>
      <c r="E1371" s="22">
        <v>993874</v>
      </c>
    </row>
    <row r="1372" s="29" customFormat="1" ht="28" spans="2:5">
      <c r="B1372" s="19" t="s">
        <v>1054</v>
      </c>
      <c r="C1372" s="20" t="s">
        <v>804</v>
      </c>
      <c r="D1372" s="21">
        <v>2</v>
      </c>
      <c r="E1372" s="22">
        <v>993873.756757</v>
      </c>
    </row>
    <row r="1373" s="29" customFormat="1" ht="28" spans="2:5">
      <c r="B1373" s="19" t="s">
        <v>1054</v>
      </c>
      <c r="C1373" s="16" t="s">
        <v>183</v>
      </c>
      <c r="D1373" s="23">
        <v>4</v>
      </c>
      <c r="E1373" s="24">
        <v>1987747.756757</v>
      </c>
    </row>
    <row r="1374" s="29" customFormat="1" ht="28" spans="2:5">
      <c r="B1374" s="19" t="s">
        <v>1746</v>
      </c>
      <c r="C1374" s="20" t="s">
        <v>804</v>
      </c>
      <c r="D1374" s="21">
        <v>2</v>
      </c>
      <c r="E1374" s="22">
        <v>1131351</v>
      </c>
    </row>
    <row r="1375" s="29" customFormat="1" ht="28" spans="2:5">
      <c r="B1375" s="19" t="s">
        <v>1746</v>
      </c>
      <c r="C1375" s="16" t="s">
        <v>183</v>
      </c>
      <c r="D1375" s="23">
        <v>2</v>
      </c>
      <c r="E1375" s="24">
        <v>1131351</v>
      </c>
    </row>
    <row r="1376" s="29" customFormat="1" ht="28" spans="2:5">
      <c r="B1376" s="19" t="s">
        <v>1315</v>
      </c>
      <c r="C1376" s="20" t="s">
        <v>804</v>
      </c>
      <c r="D1376" s="21">
        <v>2</v>
      </c>
      <c r="E1376" s="22">
        <v>930810.855856</v>
      </c>
    </row>
    <row r="1377" s="29" customFormat="1" ht="28" spans="2:5">
      <c r="B1377" s="19" t="s">
        <v>1315</v>
      </c>
      <c r="C1377" s="16" t="s">
        <v>183</v>
      </c>
      <c r="D1377" s="23">
        <v>2</v>
      </c>
      <c r="E1377" s="24">
        <v>930810.855856</v>
      </c>
    </row>
    <row r="1378" s="29" customFormat="1" ht="41" spans="2:5">
      <c r="B1378" s="19" t="s">
        <v>1055</v>
      </c>
      <c r="C1378" s="20" t="s">
        <v>182</v>
      </c>
      <c r="D1378" s="21">
        <v>1</v>
      </c>
      <c r="E1378" s="22">
        <v>641351.783784</v>
      </c>
    </row>
    <row r="1379" s="29" customFormat="1" ht="28" spans="2:5">
      <c r="B1379" s="19" t="s">
        <v>1055</v>
      </c>
      <c r="C1379" s="16" t="s">
        <v>183</v>
      </c>
      <c r="D1379" s="23">
        <v>1</v>
      </c>
      <c r="E1379" s="24">
        <v>641351.783784</v>
      </c>
    </row>
    <row r="1380" s="29" customFormat="1" ht="41" spans="2:5">
      <c r="B1380" s="19" t="s">
        <v>1056</v>
      </c>
      <c r="C1380" s="20" t="s">
        <v>182</v>
      </c>
      <c r="D1380" s="21">
        <v>1</v>
      </c>
      <c r="E1380" s="22">
        <v>641351.351351</v>
      </c>
    </row>
    <row r="1381" s="29" customFormat="1" ht="28" spans="2:5">
      <c r="B1381" s="19" t="s">
        <v>1056</v>
      </c>
      <c r="C1381" s="16" t="s">
        <v>183</v>
      </c>
      <c r="D1381" s="23">
        <v>1</v>
      </c>
      <c r="E1381" s="24">
        <v>641351.351351</v>
      </c>
    </row>
    <row r="1382" s="29" customFormat="1" ht="41.75" spans="2:5">
      <c r="B1382" s="20" t="s">
        <v>736</v>
      </c>
      <c r="C1382" s="20" t="s">
        <v>182</v>
      </c>
      <c r="D1382" s="21">
        <v>1</v>
      </c>
      <c r="E1382" s="22">
        <v>515855.864865</v>
      </c>
    </row>
    <row r="1383" s="29" customFormat="1" spans="2:5">
      <c r="B1383" s="25"/>
      <c r="C1383" s="25"/>
      <c r="D1383" s="25"/>
      <c r="E1383" s="25"/>
    </row>
    <row r="1384" s="29" customFormat="1" ht="36" spans="2:5">
      <c r="B1384" s="26" t="s">
        <v>189</v>
      </c>
      <c r="C1384" s="26" t="s">
        <v>189</v>
      </c>
      <c r="D1384" s="26" t="s">
        <v>189</v>
      </c>
      <c r="E1384" s="26" t="s">
        <v>189</v>
      </c>
    </row>
    <row r="1385" s="29" customFormat="1" spans="2:5">
      <c r="B1385" s="26"/>
      <c r="C1385" s="26"/>
      <c r="D1385" s="26"/>
      <c r="E1385" s="26"/>
    </row>
    <row r="1386" s="29" customFormat="1" ht="36" spans="2:5">
      <c r="B1386" s="26" t="s">
        <v>1653</v>
      </c>
      <c r="C1386" s="26" t="s">
        <v>1653</v>
      </c>
      <c r="D1386" s="26" t="s">
        <v>1653</v>
      </c>
      <c r="E1386" s="26" t="s">
        <v>1653</v>
      </c>
    </row>
    <row r="1387" s="29" customFormat="1" spans="2:5">
      <c r="B1387" s="26" t="s">
        <v>1117</v>
      </c>
      <c r="C1387" s="26" t="s">
        <v>1117</v>
      </c>
      <c r="D1387" s="26" t="s">
        <v>1117</v>
      </c>
      <c r="E1387" s="26" t="s">
        <v>1117</v>
      </c>
    </row>
    <row r="1388" s="29" customFormat="1" ht="124" spans="2:5">
      <c r="B1388" s="11" t="s">
        <v>173</v>
      </c>
      <c r="C1388" s="11" t="s">
        <v>173</v>
      </c>
      <c r="D1388" s="11" t="s">
        <v>173</v>
      </c>
      <c r="E1388" s="11" t="s">
        <v>173</v>
      </c>
    </row>
    <row r="1389" s="29" customFormat="1" ht="156" spans="2:5">
      <c r="B1389" s="12" t="s">
        <v>174</v>
      </c>
      <c r="C1389" s="12" t="s">
        <v>174</v>
      </c>
      <c r="D1389" s="12" t="s">
        <v>174</v>
      </c>
      <c r="E1389" s="12" t="s">
        <v>174</v>
      </c>
    </row>
    <row r="1390" s="29" customFormat="1" ht="68" spans="2:5">
      <c r="B1390" s="13" t="s">
        <v>1645</v>
      </c>
      <c r="C1390" s="13" t="s">
        <v>1645</v>
      </c>
      <c r="D1390" s="13" t="s">
        <v>1645</v>
      </c>
      <c r="E1390" s="13" t="s">
        <v>1645</v>
      </c>
    </row>
    <row r="1391" s="29" customFormat="1" ht="22" spans="2:5">
      <c r="B1391" s="14" t="s">
        <v>176</v>
      </c>
      <c r="C1391" s="14" t="s">
        <v>176</v>
      </c>
      <c r="D1391" s="14" t="s">
        <v>176</v>
      </c>
      <c r="E1391" s="14" t="s">
        <v>176</v>
      </c>
    </row>
    <row r="1392" s="29" customFormat="1" spans="2:5">
      <c r="B1392" s="15" t="s">
        <v>177</v>
      </c>
      <c r="C1392" s="16" t="s">
        <v>178</v>
      </c>
      <c r="D1392" s="17" t="s">
        <v>179</v>
      </c>
      <c r="E1392" s="18" t="s">
        <v>180</v>
      </c>
    </row>
    <row r="1393" s="29" customFormat="1" ht="28" spans="2:5">
      <c r="B1393" s="19" t="s">
        <v>736</v>
      </c>
      <c r="C1393" s="20" t="s">
        <v>804</v>
      </c>
      <c r="D1393" s="21">
        <v>2</v>
      </c>
      <c r="E1393" s="22">
        <v>1031711.504505</v>
      </c>
    </row>
    <row r="1394" s="29" customFormat="1" ht="28" spans="2:5">
      <c r="B1394" s="19" t="s">
        <v>736</v>
      </c>
      <c r="C1394" s="16" t="s">
        <v>183</v>
      </c>
      <c r="D1394" s="23">
        <v>3</v>
      </c>
      <c r="E1394" s="24">
        <v>1547567.36937</v>
      </c>
    </row>
    <row r="1395" s="29" customFormat="1" ht="41" spans="2:5">
      <c r="B1395" s="19" t="s">
        <v>737</v>
      </c>
      <c r="C1395" s="20" t="s">
        <v>182</v>
      </c>
      <c r="D1395" s="21">
        <v>1</v>
      </c>
      <c r="E1395" s="22">
        <v>515855.855856</v>
      </c>
    </row>
    <row r="1396" s="29" customFormat="1" ht="28" spans="2:5">
      <c r="B1396" s="19" t="s">
        <v>737</v>
      </c>
      <c r="C1396" s="20" t="s">
        <v>804</v>
      </c>
      <c r="D1396" s="21">
        <v>2</v>
      </c>
      <c r="E1396" s="22">
        <v>1031711.711712</v>
      </c>
    </row>
    <row r="1397" s="29" customFormat="1" ht="28" spans="2:5">
      <c r="B1397" s="19" t="s">
        <v>737</v>
      </c>
      <c r="C1397" s="16" t="s">
        <v>183</v>
      </c>
      <c r="D1397" s="23">
        <v>3</v>
      </c>
      <c r="E1397" s="24">
        <v>1547567.567568</v>
      </c>
    </row>
    <row r="1398" s="29" customFormat="1" ht="41" spans="2:5">
      <c r="B1398" s="19" t="s">
        <v>1546</v>
      </c>
      <c r="C1398" s="20" t="s">
        <v>182</v>
      </c>
      <c r="D1398" s="21">
        <v>1</v>
      </c>
      <c r="E1398" s="22">
        <v>482432.567568</v>
      </c>
    </row>
    <row r="1399" s="29" customFormat="1" ht="28" spans="2:5">
      <c r="B1399" s="19" t="s">
        <v>1546</v>
      </c>
      <c r="C1399" s="20" t="s">
        <v>804</v>
      </c>
      <c r="D1399" s="21">
        <v>1</v>
      </c>
      <c r="E1399" s="22">
        <v>482432.432432</v>
      </c>
    </row>
    <row r="1400" s="29" customFormat="1" ht="28" spans="2:5">
      <c r="B1400" s="19" t="s">
        <v>1546</v>
      </c>
      <c r="C1400" s="16" t="s">
        <v>183</v>
      </c>
      <c r="D1400" s="23">
        <v>2</v>
      </c>
      <c r="E1400" s="24">
        <v>964865</v>
      </c>
    </row>
    <row r="1401" s="29" customFormat="1" ht="41" spans="2:5">
      <c r="B1401" s="19" t="s">
        <v>1547</v>
      </c>
      <c r="C1401" s="20" t="s">
        <v>182</v>
      </c>
      <c r="D1401" s="21">
        <v>1</v>
      </c>
      <c r="E1401" s="22">
        <v>482432.432432</v>
      </c>
    </row>
    <row r="1402" s="29" customFormat="1" ht="28" spans="2:5">
      <c r="B1402" s="19" t="s">
        <v>1547</v>
      </c>
      <c r="C1402" s="20" t="s">
        <v>804</v>
      </c>
      <c r="D1402" s="21">
        <v>1</v>
      </c>
      <c r="E1402" s="22">
        <v>482432.432432</v>
      </c>
    </row>
    <row r="1403" s="29" customFormat="1" ht="28" spans="2:5">
      <c r="B1403" s="19" t="s">
        <v>1547</v>
      </c>
      <c r="C1403" s="16" t="s">
        <v>183</v>
      </c>
      <c r="D1403" s="23">
        <v>2</v>
      </c>
      <c r="E1403" s="24">
        <v>964864.864864</v>
      </c>
    </row>
    <row r="1404" s="29" customFormat="1" ht="41" spans="2:5">
      <c r="B1404" s="19" t="s">
        <v>1548</v>
      </c>
      <c r="C1404" s="20" t="s">
        <v>182</v>
      </c>
      <c r="D1404" s="21">
        <v>1</v>
      </c>
      <c r="E1404" s="22">
        <v>539189.09009</v>
      </c>
    </row>
    <row r="1405" s="29" customFormat="1" ht="28.75" spans="2:5">
      <c r="B1405" s="19" t="s">
        <v>1548</v>
      </c>
      <c r="C1405" s="16" t="s">
        <v>183</v>
      </c>
      <c r="D1405" s="23">
        <v>1</v>
      </c>
      <c r="E1405" s="24">
        <v>539189.09009</v>
      </c>
    </row>
    <row r="1406" s="29" customFormat="1" spans="2:5">
      <c r="B1406" s="25"/>
      <c r="C1406" s="25"/>
      <c r="D1406" s="25"/>
      <c r="E1406" s="25"/>
    </row>
    <row r="1407" s="29" customFormat="1" ht="36" spans="2:5">
      <c r="B1407" s="26" t="s">
        <v>189</v>
      </c>
      <c r="C1407" s="26" t="s">
        <v>189</v>
      </c>
      <c r="D1407" s="26" t="s">
        <v>189</v>
      </c>
      <c r="E1407" s="26" t="s">
        <v>189</v>
      </c>
    </row>
    <row r="1408" s="29" customFormat="1" spans="2:5">
      <c r="B1408" s="26"/>
      <c r="C1408" s="26"/>
      <c r="D1408" s="26"/>
      <c r="E1408" s="26"/>
    </row>
    <row r="1409" s="29" customFormat="1" ht="36" spans="2:5">
      <c r="B1409" s="26" t="s">
        <v>1653</v>
      </c>
      <c r="C1409" s="26" t="s">
        <v>1653</v>
      </c>
      <c r="D1409" s="26" t="s">
        <v>1653</v>
      </c>
      <c r="E1409" s="26" t="s">
        <v>1653</v>
      </c>
    </row>
    <row r="1410" s="29" customFormat="1" spans="2:5">
      <c r="B1410" s="26" t="s">
        <v>1121</v>
      </c>
      <c r="C1410" s="26" t="s">
        <v>1121</v>
      </c>
      <c r="D1410" s="26" t="s">
        <v>1121</v>
      </c>
      <c r="E1410" s="26" t="s">
        <v>1121</v>
      </c>
    </row>
    <row r="1411" s="29" customFormat="1" ht="124" spans="2:5">
      <c r="B1411" s="11" t="s">
        <v>173</v>
      </c>
      <c r="C1411" s="11" t="s">
        <v>173</v>
      </c>
      <c r="D1411" s="11" t="s">
        <v>173</v>
      </c>
      <c r="E1411" s="11" t="s">
        <v>173</v>
      </c>
    </row>
    <row r="1412" s="29" customFormat="1" ht="156" spans="2:5">
      <c r="B1412" s="12" t="s">
        <v>174</v>
      </c>
      <c r="C1412" s="12" t="s">
        <v>174</v>
      </c>
      <c r="D1412" s="12" t="s">
        <v>174</v>
      </c>
      <c r="E1412" s="12" t="s">
        <v>174</v>
      </c>
    </row>
    <row r="1413" s="29" customFormat="1" ht="68" spans="2:5">
      <c r="B1413" s="13" t="s">
        <v>1645</v>
      </c>
      <c r="C1413" s="13" t="s">
        <v>1645</v>
      </c>
      <c r="D1413" s="13" t="s">
        <v>1645</v>
      </c>
      <c r="E1413" s="13" t="s">
        <v>1645</v>
      </c>
    </row>
    <row r="1414" s="29" customFormat="1" ht="22" spans="2:5">
      <c r="B1414" s="14" t="s">
        <v>176</v>
      </c>
      <c r="C1414" s="14" t="s">
        <v>176</v>
      </c>
      <c r="D1414" s="14" t="s">
        <v>176</v>
      </c>
      <c r="E1414" s="14" t="s">
        <v>176</v>
      </c>
    </row>
    <row r="1415" s="29" customFormat="1" spans="2:5">
      <c r="B1415" s="15" t="s">
        <v>177</v>
      </c>
      <c r="C1415" s="16" t="s">
        <v>178</v>
      </c>
      <c r="D1415" s="17" t="s">
        <v>179</v>
      </c>
      <c r="E1415" s="18" t="s">
        <v>180</v>
      </c>
    </row>
    <row r="1416" s="29" customFormat="1" ht="41" spans="2:5">
      <c r="B1416" s="19" t="s">
        <v>1549</v>
      </c>
      <c r="C1416" s="20" t="s">
        <v>182</v>
      </c>
      <c r="D1416" s="21">
        <v>1</v>
      </c>
      <c r="E1416" s="22">
        <v>539189.189189</v>
      </c>
    </row>
    <row r="1417" s="29" customFormat="1" ht="28" spans="2:5">
      <c r="B1417" s="19" t="s">
        <v>1549</v>
      </c>
      <c r="C1417" s="16" t="s">
        <v>183</v>
      </c>
      <c r="D1417" s="23">
        <v>1</v>
      </c>
      <c r="E1417" s="24">
        <v>539189.189189</v>
      </c>
    </row>
    <row r="1418" s="29" customFormat="1" ht="41" spans="2:5">
      <c r="B1418" s="19" t="s">
        <v>899</v>
      </c>
      <c r="C1418" s="20" t="s">
        <v>182</v>
      </c>
      <c r="D1418" s="21">
        <v>2</v>
      </c>
      <c r="E1418" s="22">
        <v>924504.54054</v>
      </c>
    </row>
    <row r="1419" s="29" customFormat="1" ht="28" spans="2:5">
      <c r="B1419" s="19" t="s">
        <v>899</v>
      </c>
      <c r="C1419" s="20" t="s">
        <v>804</v>
      </c>
      <c r="D1419" s="21">
        <v>1</v>
      </c>
      <c r="E1419" s="22">
        <v>462252.252252</v>
      </c>
    </row>
    <row r="1420" s="29" customFormat="1" ht="28" spans="2:5">
      <c r="B1420" s="19" t="s">
        <v>899</v>
      </c>
      <c r="C1420" s="16" t="s">
        <v>183</v>
      </c>
      <c r="D1420" s="23">
        <v>3</v>
      </c>
      <c r="E1420" s="24">
        <v>1386756.792792</v>
      </c>
    </row>
    <row r="1421" s="29" customFormat="1" ht="41" spans="2:5">
      <c r="B1421" s="19" t="s">
        <v>900</v>
      </c>
      <c r="C1421" s="20" t="s">
        <v>182</v>
      </c>
      <c r="D1421" s="21">
        <v>2</v>
      </c>
      <c r="E1421" s="22">
        <v>924504.504504</v>
      </c>
    </row>
    <row r="1422" s="29" customFormat="1" ht="28" spans="2:5">
      <c r="B1422" s="19" t="s">
        <v>900</v>
      </c>
      <c r="C1422" s="20" t="s">
        <v>804</v>
      </c>
      <c r="D1422" s="21">
        <v>1</v>
      </c>
      <c r="E1422" s="22">
        <v>462252.252252</v>
      </c>
    </row>
    <row r="1423" s="29" customFormat="1" ht="28" spans="2:5">
      <c r="B1423" s="19" t="s">
        <v>900</v>
      </c>
      <c r="C1423" s="16" t="s">
        <v>183</v>
      </c>
      <c r="D1423" s="23">
        <v>3</v>
      </c>
      <c r="E1423" s="24">
        <v>1386756.756756</v>
      </c>
    </row>
    <row r="1424" s="29" customFormat="1" ht="41" spans="2:5">
      <c r="B1424" s="19" t="s">
        <v>1747</v>
      </c>
      <c r="C1424" s="20" t="s">
        <v>182</v>
      </c>
      <c r="D1424" s="21">
        <v>2</v>
      </c>
      <c r="E1424" s="22">
        <v>1107387.387387</v>
      </c>
    </row>
    <row r="1425" s="29" customFormat="1" ht="28" spans="2:5">
      <c r="B1425" s="19" t="s">
        <v>1747</v>
      </c>
      <c r="C1425" s="16" t="s">
        <v>183</v>
      </c>
      <c r="D1425" s="23">
        <v>2</v>
      </c>
      <c r="E1425" s="24">
        <v>1107387.387387</v>
      </c>
    </row>
    <row r="1426" s="29" customFormat="1" ht="41" spans="2:5">
      <c r="B1426" s="19" t="s">
        <v>520</v>
      </c>
      <c r="C1426" s="20" t="s">
        <v>182</v>
      </c>
      <c r="D1426" s="21">
        <v>1</v>
      </c>
      <c r="E1426" s="22">
        <v>570720.279279</v>
      </c>
    </row>
    <row r="1427" s="29" customFormat="1" ht="28.75" spans="2:5">
      <c r="B1427" s="19" t="s">
        <v>520</v>
      </c>
      <c r="C1427" s="16" t="s">
        <v>183</v>
      </c>
      <c r="D1427" s="23">
        <v>1</v>
      </c>
      <c r="E1427" s="24">
        <v>570720.279279</v>
      </c>
    </row>
    <row r="1428" s="29" customFormat="1" spans="2:5">
      <c r="B1428" s="25"/>
      <c r="C1428" s="25"/>
      <c r="D1428" s="25"/>
      <c r="E1428" s="25"/>
    </row>
    <row r="1429" s="29" customFormat="1" ht="36" spans="2:5">
      <c r="B1429" s="26" t="s">
        <v>189</v>
      </c>
      <c r="C1429" s="26" t="s">
        <v>189</v>
      </c>
      <c r="D1429" s="26" t="s">
        <v>189</v>
      </c>
      <c r="E1429" s="26" t="s">
        <v>189</v>
      </c>
    </row>
    <row r="1430" s="29" customFormat="1" spans="2:5">
      <c r="B1430" s="26"/>
      <c r="C1430" s="26"/>
      <c r="D1430" s="26"/>
      <c r="E1430" s="26"/>
    </row>
    <row r="1431" s="29" customFormat="1" ht="36" spans="2:5">
      <c r="B1431" s="26" t="s">
        <v>1653</v>
      </c>
      <c r="C1431" s="26" t="s">
        <v>1653</v>
      </c>
      <c r="D1431" s="26" t="s">
        <v>1653</v>
      </c>
      <c r="E1431" s="26" t="s">
        <v>1653</v>
      </c>
    </row>
    <row r="1432" s="29" customFormat="1" spans="2:5">
      <c r="B1432" s="26" t="s">
        <v>1129</v>
      </c>
      <c r="C1432" s="26" t="s">
        <v>1129</v>
      </c>
      <c r="D1432" s="26" t="s">
        <v>1129</v>
      </c>
      <c r="E1432" s="26" t="s">
        <v>1129</v>
      </c>
    </row>
    <row r="1433" s="29" customFormat="1" ht="124" spans="2:5">
      <c r="B1433" s="11" t="s">
        <v>173</v>
      </c>
      <c r="C1433" s="11" t="s">
        <v>173</v>
      </c>
      <c r="D1433" s="11" t="s">
        <v>173</v>
      </c>
      <c r="E1433" s="11" t="s">
        <v>173</v>
      </c>
    </row>
    <row r="1434" s="29" customFormat="1" ht="156" spans="2:5">
      <c r="B1434" s="12" t="s">
        <v>174</v>
      </c>
      <c r="C1434" s="12" t="s">
        <v>174</v>
      </c>
      <c r="D1434" s="12" t="s">
        <v>174</v>
      </c>
      <c r="E1434" s="12" t="s">
        <v>174</v>
      </c>
    </row>
    <row r="1435" s="29" customFormat="1" ht="68" spans="2:5">
      <c r="B1435" s="13" t="s">
        <v>1645</v>
      </c>
      <c r="C1435" s="13" t="s">
        <v>1645</v>
      </c>
      <c r="D1435" s="13" t="s">
        <v>1645</v>
      </c>
      <c r="E1435" s="13" t="s">
        <v>1645</v>
      </c>
    </row>
    <row r="1436" s="29" customFormat="1" ht="22" spans="2:5">
      <c r="B1436" s="14" t="s">
        <v>176</v>
      </c>
      <c r="C1436" s="14" t="s">
        <v>176</v>
      </c>
      <c r="D1436" s="14" t="s">
        <v>176</v>
      </c>
      <c r="E1436" s="14" t="s">
        <v>176</v>
      </c>
    </row>
    <row r="1437" s="29" customFormat="1" spans="2:5">
      <c r="B1437" s="15" t="s">
        <v>177</v>
      </c>
      <c r="C1437" s="16" t="s">
        <v>178</v>
      </c>
      <c r="D1437" s="17" t="s">
        <v>179</v>
      </c>
      <c r="E1437" s="18" t="s">
        <v>180</v>
      </c>
    </row>
    <row r="1438" s="29" customFormat="1" ht="41" spans="2:5">
      <c r="B1438" s="19" t="s">
        <v>1317</v>
      </c>
      <c r="C1438" s="20" t="s">
        <v>182</v>
      </c>
      <c r="D1438" s="21">
        <v>1</v>
      </c>
      <c r="E1438" s="22">
        <v>570720.720721</v>
      </c>
    </row>
    <row r="1439" s="29" customFormat="1" ht="28" spans="2:5">
      <c r="B1439" s="19" t="s">
        <v>1317</v>
      </c>
      <c r="C1439" s="16" t="s">
        <v>183</v>
      </c>
      <c r="D1439" s="23">
        <v>1</v>
      </c>
      <c r="E1439" s="24">
        <v>570720.720721</v>
      </c>
    </row>
    <row r="1440" s="29" customFormat="1" ht="41" spans="2:5">
      <c r="B1440" s="19" t="s">
        <v>1748</v>
      </c>
      <c r="C1440" s="20" t="s">
        <v>182</v>
      </c>
      <c r="D1440" s="21">
        <v>2</v>
      </c>
      <c r="E1440" s="22">
        <v>1116216</v>
      </c>
    </row>
    <row r="1441" s="29" customFormat="1" ht="28" spans="2:5">
      <c r="B1441" s="19" t="s">
        <v>1748</v>
      </c>
      <c r="C1441" s="16" t="s">
        <v>183</v>
      </c>
      <c r="D1441" s="23">
        <v>2</v>
      </c>
      <c r="E1441" s="24">
        <v>1116216</v>
      </c>
    </row>
    <row r="1442" s="29" customFormat="1" ht="41" spans="2:5">
      <c r="B1442" s="19" t="s">
        <v>1057</v>
      </c>
      <c r="C1442" s="20" t="s">
        <v>182</v>
      </c>
      <c r="D1442" s="21">
        <v>1</v>
      </c>
      <c r="E1442" s="22">
        <v>575135.135135</v>
      </c>
    </row>
    <row r="1443" s="29" customFormat="1" ht="28" spans="2:5">
      <c r="B1443" s="19" t="s">
        <v>1057</v>
      </c>
      <c r="C1443" s="16" t="s">
        <v>183</v>
      </c>
      <c r="D1443" s="23">
        <v>1</v>
      </c>
      <c r="E1443" s="24">
        <v>575135.135135</v>
      </c>
    </row>
    <row r="1444" s="29" customFormat="1" ht="41" spans="2:5">
      <c r="B1444" s="19" t="s">
        <v>1058</v>
      </c>
      <c r="C1444" s="20" t="s">
        <v>182</v>
      </c>
      <c r="D1444" s="21">
        <v>1</v>
      </c>
      <c r="E1444" s="22">
        <v>575134.864865</v>
      </c>
    </row>
    <row r="1445" s="29" customFormat="1" ht="28" spans="2:5">
      <c r="B1445" s="19" t="s">
        <v>1058</v>
      </c>
      <c r="C1445" s="16" t="s">
        <v>183</v>
      </c>
      <c r="D1445" s="23">
        <v>1</v>
      </c>
      <c r="E1445" s="24">
        <v>575134.864865</v>
      </c>
    </row>
    <row r="1446" s="29" customFormat="1" ht="41" spans="2:5">
      <c r="B1446" s="19" t="s">
        <v>901</v>
      </c>
      <c r="C1446" s="20" t="s">
        <v>182</v>
      </c>
      <c r="D1446" s="21">
        <v>1</v>
      </c>
      <c r="E1446" s="22">
        <v>628107.756757</v>
      </c>
    </row>
    <row r="1447" s="29" customFormat="1" ht="28" spans="2:5">
      <c r="B1447" s="19" t="s">
        <v>901</v>
      </c>
      <c r="C1447" s="20" t="s">
        <v>804</v>
      </c>
      <c r="D1447" s="21">
        <v>1</v>
      </c>
      <c r="E1447" s="22">
        <v>628108.171171</v>
      </c>
    </row>
    <row r="1448" s="29" customFormat="1" ht="28" spans="2:5">
      <c r="B1448" s="19" t="s">
        <v>901</v>
      </c>
      <c r="C1448" s="16" t="s">
        <v>183</v>
      </c>
      <c r="D1448" s="23">
        <v>2</v>
      </c>
      <c r="E1448" s="24">
        <v>1256215.927928</v>
      </c>
    </row>
    <row r="1449" s="29" customFormat="1" ht="41.75" spans="2:5">
      <c r="B1449" s="20" t="s">
        <v>902</v>
      </c>
      <c r="C1449" s="20" t="s">
        <v>182</v>
      </c>
      <c r="D1449" s="21">
        <v>1</v>
      </c>
      <c r="E1449" s="22">
        <v>628108.108108</v>
      </c>
    </row>
    <row r="1450" s="29" customFormat="1" spans="2:5">
      <c r="B1450" s="25"/>
      <c r="C1450" s="25"/>
      <c r="D1450" s="25"/>
      <c r="E1450" s="25"/>
    </row>
    <row r="1451" s="29" customFormat="1" ht="36" spans="2:5">
      <c r="B1451" s="26" t="s">
        <v>189</v>
      </c>
      <c r="C1451" s="26" t="s">
        <v>189</v>
      </c>
      <c r="D1451" s="26" t="s">
        <v>189</v>
      </c>
      <c r="E1451" s="26" t="s">
        <v>189</v>
      </c>
    </row>
    <row r="1452" s="29" customFormat="1" spans="2:5">
      <c r="B1452" s="26"/>
      <c r="C1452" s="26"/>
      <c r="D1452" s="26"/>
      <c r="E1452" s="26"/>
    </row>
    <row r="1453" s="29" customFormat="1" ht="36" spans="2:5">
      <c r="B1453" s="26" t="s">
        <v>1653</v>
      </c>
      <c r="C1453" s="26" t="s">
        <v>1653</v>
      </c>
      <c r="D1453" s="26" t="s">
        <v>1653</v>
      </c>
      <c r="E1453" s="26" t="s">
        <v>1653</v>
      </c>
    </row>
    <row r="1454" s="29" customFormat="1" spans="2:5">
      <c r="B1454" s="26" t="s">
        <v>1137</v>
      </c>
      <c r="C1454" s="26" t="s">
        <v>1137</v>
      </c>
      <c r="D1454" s="26" t="s">
        <v>1137</v>
      </c>
      <c r="E1454" s="26" t="s">
        <v>1137</v>
      </c>
    </row>
    <row r="1455" s="29" customFormat="1" ht="124" spans="2:5">
      <c r="B1455" s="11" t="s">
        <v>173</v>
      </c>
      <c r="C1455" s="11" t="s">
        <v>173</v>
      </c>
      <c r="D1455" s="11" t="s">
        <v>173</v>
      </c>
      <c r="E1455" s="11" t="s">
        <v>173</v>
      </c>
    </row>
    <row r="1456" s="29" customFormat="1" ht="156" spans="2:5">
      <c r="B1456" s="12" t="s">
        <v>174</v>
      </c>
      <c r="C1456" s="12" t="s">
        <v>174</v>
      </c>
      <c r="D1456" s="12" t="s">
        <v>174</v>
      </c>
      <c r="E1456" s="12" t="s">
        <v>174</v>
      </c>
    </row>
    <row r="1457" s="29" customFormat="1" ht="68" spans="2:5">
      <c r="B1457" s="13" t="s">
        <v>1645</v>
      </c>
      <c r="C1457" s="13" t="s">
        <v>1645</v>
      </c>
      <c r="D1457" s="13" t="s">
        <v>1645</v>
      </c>
      <c r="E1457" s="13" t="s">
        <v>1645</v>
      </c>
    </row>
    <row r="1458" s="29" customFormat="1" ht="22" spans="2:5">
      <c r="B1458" s="14" t="s">
        <v>176</v>
      </c>
      <c r="C1458" s="14" t="s">
        <v>176</v>
      </c>
      <c r="D1458" s="14" t="s">
        <v>176</v>
      </c>
      <c r="E1458" s="14" t="s">
        <v>176</v>
      </c>
    </row>
    <row r="1459" s="29" customFormat="1" spans="2:5">
      <c r="B1459" s="15" t="s">
        <v>177</v>
      </c>
      <c r="C1459" s="16" t="s">
        <v>178</v>
      </c>
      <c r="D1459" s="17" t="s">
        <v>179</v>
      </c>
      <c r="E1459" s="18" t="s">
        <v>180</v>
      </c>
    </row>
    <row r="1460" s="29" customFormat="1" ht="28" spans="2:5">
      <c r="B1460" s="19" t="s">
        <v>902</v>
      </c>
      <c r="C1460" s="20" t="s">
        <v>804</v>
      </c>
      <c r="D1460" s="21">
        <v>1</v>
      </c>
      <c r="E1460" s="22">
        <v>628108.108108</v>
      </c>
    </row>
    <row r="1461" s="29" customFormat="1" ht="28" spans="2:5">
      <c r="B1461" s="19" t="s">
        <v>902</v>
      </c>
      <c r="C1461" s="16" t="s">
        <v>183</v>
      </c>
      <c r="D1461" s="23">
        <v>2</v>
      </c>
      <c r="E1461" s="24">
        <v>1256216.216216</v>
      </c>
    </row>
    <row r="1462" s="29" customFormat="1" ht="41" spans="2:5">
      <c r="B1462" s="19" t="s">
        <v>1059</v>
      </c>
      <c r="C1462" s="20" t="s">
        <v>182</v>
      </c>
      <c r="D1462" s="21">
        <v>2</v>
      </c>
      <c r="E1462" s="22">
        <v>1342606.693694</v>
      </c>
    </row>
    <row r="1463" s="29" customFormat="1" ht="28" spans="2:5">
      <c r="B1463" s="19" t="s">
        <v>1059</v>
      </c>
      <c r="C1463" s="16" t="s">
        <v>183</v>
      </c>
      <c r="D1463" s="23">
        <v>2</v>
      </c>
      <c r="E1463" s="24">
        <v>1342606.693694</v>
      </c>
    </row>
    <row r="1464" s="29" customFormat="1" ht="41" spans="2:5">
      <c r="B1464" s="19" t="s">
        <v>1060</v>
      </c>
      <c r="C1464" s="20" t="s">
        <v>182</v>
      </c>
      <c r="D1464" s="21">
        <v>2</v>
      </c>
      <c r="E1464" s="22">
        <v>1342606.306306</v>
      </c>
    </row>
    <row r="1465" s="29" customFormat="1" ht="28" spans="2:5">
      <c r="B1465" s="19" t="s">
        <v>1060</v>
      </c>
      <c r="C1465" s="16" t="s">
        <v>183</v>
      </c>
      <c r="D1465" s="23">
        <v>2</v>
      </c>
      <c r="E1465" s="24">
        <v>1342606.306306</v>
      </c>
    </row>
    <row r="1466" s="29" customFormat="1" ht="41" spans="2:5">
      <c r="B1466" s="19" t="s">
        <v>1553</v>
      </c>
      <c r="C1466" s="20" t="s">
        <v>182</v>
      </c>
      <c r="D1466" s="21">
        <v>1</v>
      </c>
      <c r="E1466" s="22">
        <v>588378.378378</v>
      </c>
    </row>
    <row r="1467" s="29" customFormat="1" ht="28" spans="2:5">
      <c r="B1467" s="19" t="s">
        <v>1553</v>
      </c>
      <c r="C1467" s="20" t="s">
        <v>804</v>
      </c>
      <c r="D1467" s="21">
        <v>1</v>
      </c>
      <c r="E1467" s="22">
        <v>588378.459459</v>
      </c>
    </row>
    <row r="1468" s="29" customFormat="1" ht="28" spans="2:5">
      <c r="B1468" s="19" t="s">
        <v>1553</v>
      </c>
      <c r="C1468" s="16" t="s">
        <v>183</v>
      </c>
      <c r="D1468" s="23">
        <v>2</v>
      </c>
      <c r="E1468" s="24">
        <v>1176756.837837</v>
      </c>
    </row>
    <row r="1469" s="29" customFormat="1" ht="41" spans="2:5">
      <c r="B1469" s="19" t="s">
        <v>1554</v>
      </c>
      <c r="C1469" s="20" t="s">
        <v>182</v>
      </c>
      <c r="D1469" s="21">
        <v>1</v>
      </c>
      <c r="E1469" s="22">
        <v>588378.378378</v>
      </c>
    </row>
    <row r="1470" s="29" customFormat="1" ht="28" spans="2:5">
      <c r="B1470" s="19" t="s">
        <v>1554</v>
      </c>
      <c r="C1470" s="20" t="s">
        <v>804</v>
      </c>
      <c r="D1470" s="21">
        <v>1</v>
      </c>
      <c r="E1470" s="22">
        <v>588378.378378</v>
      </c>
    </row>
    <row r="1471" s="29" customFormat="1" ht="28" spans="2:5">
      <c r="B1471" s="19" t="s">
        <v>1554</v>
      </c>
      <c r="C1471" s="16" t="s">
        <v>183</v>
      </c>
      <c r="D1471" s="23">
        <v>2</v>
      </c>
      <c r="E1471" s="24">
        <v>1176756.756756</v>
      </c>
    </row>
    <row r="1472" s="29" customFormat="1" ht="41" spans="2:5">
      <c r="B1472" s="19" t="s">
        <v>1318</v>
      </c>
      <c r="C1472" s="20" t="s">
        <v>182</v>
      </c>
      <c r="D1472" s="21">
        <v>1</v>
      </c>
      <c r="E1472" s="22">
        <v>584594.351351</v>
      </c>
    </row>
    <row r="1473" s="29" customFormat="1" ht="28.75" spans="2:5">
      <c r="B1473" s="19" t="s">
        <v>1318</v>
      </c>
      <c r="C1473" s="16" t="s">
        <v>183</v>
      </c>
      <c r="D1473" s="23">
        <v>1</v>
      </c>
      <c r="E1473" s="24">
        <v>584594.351351</v>
      </c>
    </row>
    <row r="1474" s="29" customFormat="1" spans="2:5">
      <c r="B1474" s="25"/>
      <c r="C1474" s="25"/>
      <c r="D1474" s="25"/>
      <c r="E1474" s="25"/>
    </row>
    <row r="1475" s="29" customFormat="1" ht="36" spans="2:5">
      <c r="B1475" s="26" t="s">
        <v>189</v>
      </c>
      <c r="C1475" s="26" t="s">
        <v>189</v>
      </c>
      <c r="D1475" s="26" t="s">
        <v>189</v>
      </c>
      <c r="E1475" s="26" t="s">
        <v>189</v>
      </c>
    </row>
    <row r="1476" s="29" customFormat="1" spans="2:5">
      <c r="B1476" s="26"/>
      <c r="C1476" s="26"/>
      <c r="D1476" s="26"/>
      <c r="E1476" s="26"/>
    </row>
    <row r="1477" s="29" customFormat="1" ht="36" spans="2:5">
      <c r="B1477" s="26" t="s">
        <v>1653</v>
      </c>
      <c r="C1477" s="26" t="s">
        <v>1653</v>
      </c>
      <c r="D1477" s="26" t="s">
        <v>1653</v>
      </c>
      <c r="E1477" s="26" t="s">
        <v>1653</v>
      </c>
    </row>
    <row r="1478" s="29" customFormat="1" spans="2:5">
      <c r="B1478" s="26" t="s">
        <v>1144</v>
      </c>
      <c r="C1478" s="26" t="s">
        <v>1144</v>
      </c>
      <c r="D1478" s="26" t="s">
        <v>1144</v>
      </c>
      <c r="E1478" s="26" t="s">
        <v>1144</v>
      </c>
    </row>
    <row r="1479" s="29" customFormat="1" ht="124" spans="2:5">
      <c r="B1479" s="11" t="s">
        <v>173</v>
      </c>
      <c r="C1479" s="11" t="s">
        <v>173</v>
      </c>
      <c r="D1479" s="11" t="s">
        <v>173</v>
      </c>
      <c r="E1479" s="11" t="s">
        <v>173</v>
      </c>
    </row>
    <row r="1480" s="29" customFormat="1" ht="156" spans="2:5">
      <c r="B1480" s="12" t="s">
        <v>174</v>
      </c>
      <c r="C1480" s="12" t="s">
        <v>174</v>
      </c>
      <c r="D1480" s="12" t="s">
        <v>174</v>
      </c>
      <c r="E1480" s="12" t="s">
        <v>174</v>
      </c>
    </row>
    <row r="1481" s="29" customFormat="1" ht="68" spans="2:5">
      <c r="B1481" s="13" t="s">
        <v>1645</v>
      </c>
      <c r="C1481" s="13" t="s">
        <v>1645</v>
      </c>
      <c r="D1481" s="13" t="s">
        <v>1645</v>
      </c>
      <c r="E1481" s="13" t="s">
        <v>1645</v>
      </c>
    </row>
    <row r="1482" s="29" customFormat="1" ht="22" spans="2:5">
      <c r="B1482" s="14" t="s">
        <v>176</v>
      </c>
      <c r="C1482" s="14" t="s">
        <v>176</v>
      </c>
      <c r="D1482" s="14" t="s">
        <v>176</v>
      </c>
      <c r="E1482" s="14" t="s">
        <v>176</v>
      </c>
    </row>
    <row r="1483" s="29" customFormat="1" spans="2:5">
      <c r="B1483" s="15" t="s">
        <v>177</v>
      </c>
      <c r="C1483" s="16" t="s">
        <v>178</v>
      </c>
      <c r="D1483" s="17" t="s">
        <v>179</v>
      </c>
      <c r="E1483" s="18" t="s">
        <v>180</v>
      </c>
    </row>
    <row r="1484" s="29" customFormat="1" ht="41" spans="2:5">
      <c r="B1484" s="19" t="s">
        <v>1319</v>
      </c>
      <c r="C1484" s="20" t="s">
        <v>182</v>
      </c>
      <c r="D1484" s="21">
        <v>1</v>
      </c>
      <c r="E1484" s="22">
        <v>584594.594595</v>
      </c>
    </row>
    <row r="1485" s="29" customFormat="1" ht="28" spans="2:5">
      <c r="B1485" s="19" t="s">
        <v>1319</v>
      </c>
      <c r="C1485" s="16" t="s">
        <v>183</v>
      </c>
      <c r="D1485" s="23">
        <v>1</v>
      </c>
      <c r="E1485" s="24">
        <v>584594.594595</v>
      </c>
    </row>
    <row r="1486" s="29" customFormat="1" ht="41" spans="2:5">
      <c r="B1486" s="19" t="s">
        <v>1061</v>
      </c>
      <c r="C1486" s="20" t="s">
        <v>182</v>
      </c>
      <c r="D1486" s="21">
        <v>1</v>
      </c>
      <c r="E1486" s="22">
        <v>565675.603604</v>
      </c>
    </row>
    <row r="1487" s="29" customFormat="1" ht="28" spans="2:5">
      <c r="B1487" s="19" t="s">
        <v>1061</v>
      </c>
      <c r="C1487" s="16" t="s">
        <v>183</v>
      </c>
      <c r="D1487" s="23">
        <v>1</v>
      </c>
      <c r="E1487" s="24">
        <v>565675.603604</v>
      </c>
    </row>
    <row r="1488" s="29" customFormat="1" ht="41" spans="2:5">
      <c r="B1488" s="19" t="s">
        <v>1062</v>
      </c>
      <c r="C1488" s="20" t="s">
        <v>182</v>
      </c>
      <c r="D1488" s="21">
        <v>1</v>
      </c>
      <c r="E1488" s="22">
        <v>565675.675676</v>
      </c>
    </row>
    <row r="1489" s="29" customFormat="1" ht="28" spans="2:5">
      <c r="B1489" s="19" t="s">
        <v>1062</v>
      </c>
      <c r="C1489" s="16" t="s">
        <v>183</v>
      </c>
      <c r="D1489" s="23">
        <v>1</v>
      </c>
      <c r="E1489" s="24">
        <v>565675.675676</v>
      </c>
    </row>
    <row r="1490" s="29" customFormat="1" ht="28" spans="2:5">
      <c r="B1490" s="19" t="s">
        <v>1749</v>
      </c>
      <c r="C1490" s="20" t="s">
        <v>804</v>
      </c>
      <c r="D1490" s="21">
        <v>1</v>
      </c>
      <c r="E1490" s="22">
        <v>612972.972973</v>
      </c>
    </row>
    <row r="1491" s="29" customFormat="1" ht="28" spans="2:5">
      <c r="B1491" s="19" t="s">
        <v>1749</v>
      </c>
      <c r="C1491" s="16" t="s">
        <v>183</v>
      </c>
      <c r="D1491" s="23">
        <v>1</v>
      </c>
      <c r="E1491" s="24">
        <v>612972.972973</v>
      </c>
    </row>
    <row r="1492" s="29" customFormat="1" ht="28" spans="2:5">
      <c r="B1492" s="19" t="s">
        <v>1750</v>
      </c>
      <c r="C1492" s="20" t="s">
        <v>804</v>
      </c>
      <c r="D1492" s="21">
        <v>1</v>
      </c>
      <c r="E1492" s="22">
        <v>612972.972973</v>
      </c>
    </row>
    <row r="1493" s="29" customFormat="1" ht="28" spans="2:5">
      <c r="B1493" s="19" t="s">
        <v>1750</v>
      </c>
      <c r="C1493" s="16" t="s">
        <v>183</v>
      </c>
      <c r="D1493" s="23">
        <v>1</v>
      </c>
      <c r="E1493" s="24">
        <v>612972.972973</v>
      </c>
    </row>
    <row r="1494" s="29" customFormat="1" ht="41" spans="2:5">
      <c r="B1494" s="19" t="s">
        <v>738</v>
      </c>
      <c r="C1494" s="20" t="s">
        <v>182</v>
      </c>
      <c r="D1494" s="21">
        <v>1</v>
      </c>
      <c r="E1494" s="22">
        <v>762432.666667</v>
      </c>
    </row>
    <row r="1495" s="29" customFormat="1" ht="28" spans="2:5">
      <c r="B1495" s="19" t="s">
        <v>738</v>
      </c>
      <c r="C1495" s="16" t="s">
        <v>183</v>
      </c>
      <c r="D1495" s="23">
        <v>1</v>
      </c>
      <c r="E1495" s="24">
        <v>762432.666667</v>
      </c>
    </row>
    <row r="1496" s="29" customFormat="1" ht="41" spans="2:5">
      <c r="B1496" s="19" t="s">
        <v>739</v>
      </c>
      <c r="C1496" s="20" t="s">
        <v>182</v>
      </c>
      <c r="D1496" s="21">
        <v>1</v>
      </c>
      <c r="E1496" s="22">
        <v>762432.432432</v>
      </c>
    </row>
    <row r="1497" s="29" customFormat="1" ht="28.75" spans="2:5">
      <c r="B1497" s="19" t="s">
        <v>739</v>
      </c>
      <c r="C1497" s="16" t="s">
        <v>183</v>
      </c>
      <c r="D1497" s="23">
        <v>1</v>
      </c>
      <c r="E1497" s="24">
        <v>762432.432432</v>
      </c>
    </row>
    <row r="1498" s="29" customFormat="1" spans="2:5">
      <c r="B1498" s="25"/>
      <c r="C1498" s="25"/>
      <c r="D1498" s="25"/>
      <c r="E1498" s="25"/>
    </row>
    <row r="1499" s="29" customFormat="1" ht="36" spans="2:5">
      <c r="B1499" s="26" t="s">
        <v>189</v>
      </c>
      <c r="C1499" s="26" t="s">
        <v>189</v>
      </c>
      <c r="D1499" s="26" t="s">
        <v>189</v>
      </c>
      <c r="E1499" s="26" t="s">
        <v>189</v>
      </c>
    </row>
    <row r="1500" s="29" customFormat="1" spans="2:5">
      <c r="B1500" s="26"/>
      <c r="C1500" s="26"/>
      <c r="D1500" s="26"/>
      <c r="E1500" s="26"/>
    </row>
    <row r="1501" s="29" customFormat="1" ht="36" spans="2:5">
      <c r="B1501" s="26" t="s">
        <v>1653</v>
      </c>
      <c r="C1501" s="26" t="s">
        <v>1653</v>
      </c>
      <c r="D1501" s="26" t="s">
        <v>1653</v>
      </c>
      <c r="E1501" s="26" t="s">
        <v>1653</v>
      </c>
    </row>
    <row r="1502" s="29" customFormat="1" spans="2:5">
      <c r="B1502" s="26" t="s">
        <v>1152</v>
      </c>
      <c r="C1502" s="26" t="s">
        <v>1152</v>
      </c>
      <c r="D1502" s="26" t="s">
        <v>1152</v>
      </c>
      <c r="E1502" s="26" t="s">
        <v>1152</v>
      </c>
    </row>
    <row r="1503" s="29" customFormat="1" ht="124" spans="2:5">
      <c r="B1503" s="11" t="s">
        <v>173</v>
      </c>
      <c r="C1503" s="11" t="s">
        <v>173</v>
      </c>
      <c r="D1503" s="11" t="s">
        <v>173</v>
      </c>
      <c r="E1503" s="11" t="s">
        <v>173</v>
      </c>
    </row>
    <row r="1504" s="29" customFormat="1" ht="156" spans="2:5">
      <c r="B1504" s="12" t="s">
        <v>174</v>
      </c>
      <c r="C1504" s="12" t="s">
        <v>174</v>
      </c>
      <c r="D1504" s="12" t="s">
        <v>174</v>
      </c>
      <c r="E1504" s="12" t="s">
        <v>174</v>
      </c>
    </row>
    <row r="1505" s="29" customFormat="1" ht="68" spans="2:5">
      <c r="B1505" s="13" t="s">
        <v>1645</v>
      </c>
      <c r="C1505" s="13" t="s">
        <v>1645</v>
      </c>
      <c r="D1505" s="13" t="s">
        <v>1645</v>
      </c>
      <c r="E1505" s="13" t="s">
        <v>1645</v>
      </c>
    </row>
    <row r="1506" s="29" customFormat="1" ht="22" spans="2:5">
      <c r="B1506" s="14" t="s">
        <v>176</v>
      </c>
      <c r="C1506" s="14" t="s">
        <v>176</v>
      </c>
      <c r="D1506" s="14" t="s">
        <v>176</v>
      </c>
      <c r="E1506" s="14" t="s">
        <v>176</v>
      </c>
    </row>
    <row r="1507" s="29" customFormat="1" spans="2:5">
      <c r="B1507" s="15" t="s">
        <v>177</v>
      </c>
      <c r="C1507" s="16" t="s">
        <v>178</v>
      </c>
      <c r="D1507" s="17" t="s">
        <v>179</v>
      </c>
      <c r="E1507" s="18" t="s">
        <v>180</v>
      </c>
    </row>
    <row r="1508" s="29" customFormat="1" ht="41" spans="2:5">
      <c r="B1508" s="19" t="s">
        <v>1559</v>
      </c>
      <c r="C1508" s="20" t="s">
        <v>1191</v>
      </c>
      <c r="D1508" s="21">
        <v>1</v>
      </c>
      <c r="E1508" s="22">
        <v>655225.387387</v>
      </c>
    </row>
    <row r="1509" s="29" customFormat="1" ht="28" spans="2:5">
      <c r="B1509" s="19" t="s">
        <v>1559</v>
      </c>
      <c r="C1509" s="16" t="s">
        <v>183</v>
      </c>
      <c r="D1509" s="23">
        <v>1</v>
      </c>
      <c r="E1509" s="24">
        <v>655225.387387</v>
      </c>
    </row>
    <row r="1510" s="29" customFormat="1" ht="41" spans="2:5">
      <c r="B1510" s="19" t="s">
        <v>1560</v>
      </c>
      <c r="C1510" s="20" t="s">
        <v>1191</v>
      </c>
      <c r="D1510" s="21">
        <v>1</v>
      </c>
      <c r="E1510" s="22">
        <v>655225.225225</v>
      </c>
    </row>
    <row r="1511" s="29" customFormat="1" ht="28" spans="2:5">
      <c r="B1511" s="19" t="s">
        <v>1560</v>
      </c>
      <c r="C1511" s="16" t="s">
        <v>183</v>
      </c>
      <c r="D1511" s="23">
        <v>1</v>
      </c>
      <c r="E1511" s="24">
        <v>655225.225225</v>
      </c>
    </row>
    <row r="1512" s="29" customFormat="1" ht="41" spans="2:5">
      <c r="B1512" s="19" t="s">
        <v>1751</v>
      </c>
      <c r="C1512" s="20" t="s">
        <v>182</v>
      </c>
      <c r="D1512" s="21">
        <v>1</v>
      </c>
      <c r="E1512" s="22">
        <v>851200</v>
      </c>
    </row>
    <row r="1513" s="29" customFormat="1" ht="28" spans="2:5">
      <c r="B1513" s="19" t="s">
        <v>1751</v>
      </c>
      <c r="C1513" s="16" t="s">
        <v>183</v>
      </c>
      <c r="D1513" s="23">
        <v>1</v>
      </c>
      <c r="E1513" s="24">
        <v>851200</v>
      </c>
    </row>
    <row r="1514" s="29" customFormat="1" ht="41" spans="2:5">
      <c r="B1514" s="19" t="s">
        <v>1752</v>
      </c>
      <c r="C1514" s="20" t="s">
        <v>182</v>
      </c>
      <c r="D1514" s="21">
        <v>1</v>
      </c>
      <c r="E1514" s="22">
        <v>851200</v>
      </c>
    </row>
    <row r="1515" s="29" customFormat="1" ht="28" spans="2:5">
      <c r="B1515" s="19" t="s">
        <v>1752</v>
      </c>
      <c r="C1515" s="16" t="s">
        <v>183</v>
      </c>
      <c r="D1515" s="23">
        <v>1</v>
      </c>
      <c r="E1515" s="24">
        <v>851200</v>
      </c>
    </row>
    <row r="1516" s="29" customFormat="1" ht="41" spans="2:5">
      <c r="B1516" s="19" t="s">
        <v>1561</v>
      </c>
      <c r="C1516" s="20" t="s">
        <v>182</v>
      </c>
      <c r="D1516" s="21">
        <v>2</v>
      </c>
      <c r="E1516" s="22">
        <v>1124200</v>
      </c>
    </row>
    <row r="1517" s="29" customFormat="1" ht="28" spans="2:5">
      <c r="B1517" s="19" t="s">
        <v>1561</v>
      </c>
      <c r="C1517" s="16" t="s">
        <v>183</v>
      </c>
      <c r="D1517" s="23">
        <v>2</v>
      </c>
      <c r="E1517" s="24">
        <v>1124200</v>
      </c>
    </row>
    <row r="1518" s="29" customFormat="1" ht="41" spans="2:5">
      <c r="B1518" s="19" t="s">
        <v>1326</v>
      </c>
      <c r="C1518" s="20" t="s">
        <v>1191</v>
      </c>
      <c r="D1518" s="21">
        <v>1</v>
      </c>
      <c r="E1518" s="22">
        <v>747928.072072</v>
      </c>
    </row>
    <row r="1519" s="29" customFormat="1" ht="28" spans="2:5">
      <c r="B1519" s="19" t="s">
        <v>1326</v>
      </c>
      <c r="C1519" s="16" t="s">
        <v>183</v>
      </c>
      <c r="D1519" s="23">
        <v>1</v>
      </c>
      <c r="E1519" s="24">
        <v>747928.072072</v>
      </c>
    </row>
    <row r="1520" s="29" customFormat="1" ht="41" spans="2:5">
      <c r="B1520" s="19" t="s">
        <v>1327</v>
      </c>
      <c r="C1520" s="20" t="s">
        <v>1191</v>
      </c>
      <c r="D1520" s="21">
        <v>1</v>
      </c>
      <c r="E1520" s="22">
        <v>747927.927928</v>
      </c>
    </row>
    <row r="1521" s="29" customFormat="1" ht="28.75" spans="2:5">
      <c r="B1521" s="19" t="s">
        <v>1327</v>
      </c>
      <c r="C1521" s="16" t="s">
        <v>183</v>
      </c>
      <c r="D1521" s="23">
        <v>1</v>
      </c>
      <c r="E1521" s="24">
        <v>747927.927928</v>
      </c>
    </row>
    <row r="1522" s="29" customFormat="1" spans="2:5">
      <c r="B1522" s="25"/>
      <c r="C1522" s="25"/>
      <c r="D1522" s="25"/>
      <c r="E1522" s="25"/>
    </row>
    <row r="1523" s="29" customFormat="1" ht="36" spans="2:5">
      <c r="B1523" s="26" t="s">
        <v>189</v>
      </c>
      <c r="C1523" s="26" t="s">
        <v>189</v>
      </c>
      <c r="D1523" s="26" t="s">
        <v>189</v>
      </c>
      <c r="E1523" s="26" t="s">
        <v>189</v>
      </c>
    </row>
    <row r="1524" s="29" customFormat="1" spans="2:5">
      <c r="B1524" s="26"/>
      <c r="C1524" s="26"/>
      <c r="D1524" s="26"/>
      <c r="E1524" s="26"/>
    </row>
    <row r="1525" s="29" customFormat="1" ht="36" spans="2:5">
      <c r="B1525" s="26" t="s">
        <v>1653</v>
      </c>
      <c r="C1525" s="26" t="s">
        <v>1653</v>
      </c>
      <c r="D1525" s="26" t="s">
        <v>1653</v>
      </c>
      <c r="E1525" s="26" t="s">
        <v>1653</v>
      </c>
    </row>
    <row r="1526" s="29" customFormat="1" spans="2:5">
      <c r="B1526" s="26" t="s">
        <v>1154</v>
      </c>
      <c r="C1526" s="26" t="s">
        <v>1154</v>
      </c>
      <c r="D1526" s="26" t="s">
        <v>1154</v>
      </c>
      <c r="E1526" s="26" t="s">
        <v>1154</v>
      </c>
    </row>
    <row r="1527" s="29" customFormat="1" ht="124" spans="2:5">
      <c r="B1527" s="11" t="s">
        <v>173</v>
      </c>
      <c r="C1527" s="11" t="s">
        <v>173</v>
      </c>
      <c r="D1527" s="11" t="s">
        <v>173</v>
      </c>
      <c r="E1527" s="11" t="s">
        <v>173</v>
      </c>
    </row>
    <row r="1528" s="29" customFormat="1" ht="156" spans="2:5">
      <c r="B1528" s="12" t="s">
        <v>174</v>
      </c>
      <c r="C1528" s="12" t="s">
        <v>174</v>
      </c>
      <c r="D1528" s="12" t="s">
        <v>174</v>
      </c>
      <c r="E1528" s="12" t="s">
        <v>174</v>
      </c>
    </row>
    <row r="1529" s="29" customFormat="1" ht="68" spans="2:5">
      <c r="B1529" s="13" t="s">
        <v>1645</v>
      </c>
      <c r="C1529" s="13" t="s">
        <v>1645</v>
      </c>
      <c r="D1529" s="13" t="s">
        <v>1645</v>
      </c>
      <c r="E1529" s="13" t="s">
        <v>1645</v>
      </c>
    </row>
    <row r="1530" s="29" customFormat="1" ht="22" spans="2:5">
      <c r="B1530" s="14" t="s">
        <v>176</v>
      </c>
      <c r="C1530" s="14" t="s">
        <v>176</v>
      </c>
      <c r="D1530" s="14" t="s">
        <v>176</v>
      </c>
      <c r="E1530" s="14" t="s">
        <v>176</v>
      </c>
    </row>
    <row r="1531" s="29" customFormat="1" spans="2:5">
      <c r="B1531" s="15" t="s">
        <v>177</v>
      </c>
      <c r="C1531" s="16" t="s">
        <v>178</v>
      </c>
      <c r="D1531" s="17" t="s">
        <v>179</v>
      </c>
      <c r="E1531" s="18" t="s">
        <v>180</v>
      </c>
    </row>
    <row r="1532" s="29" customFormat="1" ht="41" spans="2:5">
      <c r="B1532" s="19" t="s">
        <v>1068</v>
      </c>
      <c r="C1532" s="20" t="s">
        <v>182</v>
      </c>
      <c r="D1532" s="21">
        <v>2</v>
      </c>
      <c r="E1532" s="22">
        <v>1088468.468468</v>
      </c>
    </row>
    <row r="1533" s="29" customFormat="1" ht="28" spans="2:5">
      <c r="B1533" s="19" t="s">
        <v>1068</v>
      </c>
      <c r="C1533" s="16" t="s">
        <v>183</v>
      </c>
      <c r="D1533" s="23">
        <v>2</v>
      </c>
      <c r="E1533" s="24">
        <v>1088468.468468</v>
      </c>
    </row>
    <row r="1534" s="29" customFormat="1" ht="41" spans="2:5">
      <c r="B1534" s="19" t="s">
        <v>1069</v>
      </c>
      <c r="C1534" s="20" t="s">
        <v>182</v>
      </c>
      <c r="D1534" s="21">
        <v>2</v>
      </c>
      <c r="E1534" s="22">
        <v>1088468.468468</v>
      </c>
    </row>
    <row r="1535" s="29" customFormat="1" ht="28" spans="2:5">
      <c r="B1535" s="19" t="s">
        <v>1069</v>
      </c>
      <c r="C1535" s="16" t="s">
        <v>183</v>
      </c>
      <c r="D1535" s="23">
        <v>2</v>
      </c>
      <c r="E1535" s="24">
        <v>1088468.468468</v>
      </c>
    </row>
    <row r="1536" s="29" customFormat="1" ht="41" spans="2:5">
      <c r="B1536" s="19" t="s">
        <v>462</v>
      </c>
      <c r="C1536" s="20" t="s">
        <v>182</v>
      </c>
      <c r="D1536" s="21">
        <v>1</v>
      </c>
      <c r="E1536" s="22">
        <v>544234.531532</v>
      </c>
    </row>
    <row r="1537" s="29" customFormat="1" ht="28" spans="2:5">
      <c r="B1537" s="19" t="s">
        <v>462</v>
      </c>
      <c r="C1537" s="20" t="s">
        <v>804</v>
      </c>
      <c r="D1537" s="21">
        <v>1</v>
      </c>
      <c r="E1537" s="22">
        <v>544234.234234</v>
      </c>
    </row>
    <row r="1538" s="29" customFormat="1" ht="28" spans="2:5">
      <c r="B1538" s="19" t="s">
        <v>462</v>
      </c>
      <c r="C1538" s="16" t="s">
        <v>183</v>
      </c>
      <c r="D1538" s="23">
        <v>2</v>
      </c>
      <c r="E1538" s="24">
        <v>1088468.765766</v>
      </c>
    </row>
    <row r="1539" s="29" customFormat="1" ht="41" spans="2:5">
      <c r="B1539" s="19" t="s">
        <v>463</v>
      </c>
      <c r="C1539" s="20" t="s">
        <v>182</v>
      </c>
      <c r="D1539" s="21">
        <v>1</v>
      </c>
      <c r="E1539" s="22">
        <v>544234.234234</v>
      </c>
    </row>
    <row r="1540" s="29" customFormat="1" ht="28" spans="2:5">
      <c r="B1540" s="19" t="s">
        <v>463</v>
      </c>
      <c r="C1540" s="20" t="s">
        <v>804</v>
      </c>
      <c r="D1540" s="21">
        <v>1</v>
      </c>
      <c r="E1540" s="22">
        <v>544234.234234</v>
      </c>
    </row>
    <row r="1541" s="29" customFormat="1" ht="28" spans="2:5">
      <c r="B1541" s="19" t="s">
        <v>463</v>
      </c>
      <c r="C1541" s="16" t="s">
        <v>183</v>
      </c>
      <c r="D1541" s="23">
        <v>2</v>
      </c>
      <c r="E1541" s="24">
        <v>1088468.468468</v>
      </c>
    </row>
    <row r="1542" s="29" customFormat="1" ht="41" spans="2:5">
      <c r="B1542" s="19" t="s">
        <v>1072</v>
      </c>
      <c r="C1542" s="20" t="s">
        <v>182</v>
      </c>
      <c r="D1542" s="21">
        <v>5</v>
      </c>
      <c r="E1542" s="22">
        <v>2900899.81982</v>
      </c>
    </row>
    <row r="1543" s="29" customFormat="1" ht="28" spans="2:5">
      <c r="B1543" s="19" t="s">
        <v>1072</v>
      </c>
      <c r="C1543" s="20" t="s">
        <v>804</v>
      </c>
      <c r="D1543" s="21">
        <v>1</v>
      </c>
      <c r="E1543" s="22">
        <v>580180.18018</v>
      </c>
    </row>
    <row r="1544" s="29" customFormat="1" ht="28.75" spans="2:5">
      <c r="B1544" s="19" t="s">
        <v>1072</v>
      </c>
      <c r="C1544" s="16" t="s">
        <v>183</v>
      </c>
      <c r="D1544" s="23">
        <v>6</v>
      </c>
      <c r="E1544" s="24">
        <v>3481080</v>
      </c>
    </row>
    <row r="1545" s="29" customFormat="1" spans="2:5">
      <c r="B1545" s="25"/>
      <c r="C1545" s="25"/>
      <c r="D1545" s="25"/>
      <c r="E1545" s="25"/>
    </row>
    <row r="1546" s="29" customFormat="1" ht="36" spans="2:5">
      <c r="B1546" s="26" t="s">
        <v>189</v>
      </c>
      <c r="C1546" s="26" t="s">
        <v>189</v>
      </c>
      <c r="D1546" s="26" t="s">
        <v>189</v>
      </c>
      <c r="E1546" s="26" t="s">
        <v>189</v>
      </c>
    </row>
    <row r="1547" s="29" customFormat="1" spans="2:5">
      <c r="B1547" s="26"/>
      <c r="C1547" s="26"/>
      <c r="D1547" s="26"/>
      <c r="E1547" s="26"/>
    </row>
    <row r="1548" s="29" customFormat="1" ht="36" spans="2:5">
      <c r="B1548" s="26" t="s">
        <v>1653</v>
      </c>
      <c r="C1548" s="26" t="s">
        <v>1653</v>
      </c>
      <c r="D1548" s="26" t="s">
        <v>1653</v>
      </c>
      <c r="E1548" s="26" t="s">
        <v>1653</v>
      </c>
    </row>
    <row r="1549" s="29" customFormat="1" spans="2:5">
      <c r="B1549" s="26" t="s">
        <v>1353</v>
      </c>
      <c r="C1549" s="26" t="s">
        <v>1353</v>
      </c>
      <c r="D1549" s="26" t="s">
        <v>1353</v>
      </c>
      <c r="E1549" s="26" t="s">
        <v>1353</v>
      </c>
    </row>
    <row r="1550" s="29" customFormat="1" ht="124" spans="2:5">
      <c r="B1550" s="11" t="s">
        <v>173</v>
      </c>
      <c r="C1550" s="11" t="s">
        <v>173</v>
      </c>
      <c r="D1550" s="11" t="s">
        <v>173</v>
      </c>
      <c r="E1550" s="11" t="s">
        <v>173</v>
      </c>
    </row>
    <row r="1551" s="29" customFormat="1" ht="156" spans="2:5">
      <c r="B1551" s="12" t="s">
        <v>174</v>
      </c>
      <c r="C1551" s="12" t="s">
        <v>174</v>
      </c>
      <c r="D1551" s="12" t="s">
        <v>174</v>
      </c>
      <c r="E1551" s="12" t="s">
        <v>174</v>
      </c>
    </row>
    <row r="1552" s="29" customFormat="1" ht="68" spans="2:5">
      <c r="B1552" s="13" t="s">
        <v>1645</v>
      </c>
      <c r="C1552" s="13" t="s">
        <v>1645</v>
      </c>
      <c r="D1552" s="13" t="s">
        <v>1645</v>
      </c>
      <c r="E1552" s="13" t="s">
        <v>1645</v>
      </c>
    </row>
    <row r="1553" s="29" customFormat="1" ht="22" spans="2:5">
      <c r="B1553" s="14" t="s">
        <v>176</v>
      </c>
      <c r="C1553" s="14" t="s">
        <v>176</v>
      </c>
      <c r="D1553" s="14" t="s">
        <v>176</v>
      </c>
      <c r="E1553" s="14" t="s">
        <v>176</v>
      </c>
    </row>
    <row r="1554" s="29" customFormat="1" spans="2:5">
      <c r="B1554" s="15" t="s">
        <v>177</v>
      </c>
      <c r="C1554" s="16" t="s">
        <v>178</v>
      </c>
      <c r="D1554" s="17" t="s">
        <v>179</v>
      </c>
      <c r="E1554" s="18" t="s">
        <v>180</v>
      </c>
    </row>
    <row r="1555" s="29" customFormat="1" ht="41" spans="2:5">
      <c r="B1555" s="19" t="s">
        <v>1073</v>
      </c>
      <c r="C1555" s="20" t="s">
        <v>182</v>
      </c>
      <c r="D1555" s="21">
        <v>5</v>
      </c>
      <c r="E1555" s="22">
        <v>2900900.54054</v>
      </c>
    </row>
    <row r="1556" s="29" customFormat="1" ht="28" spans="2:5">
      <c r="B1556" s="19" t="s">
        <v>1073</v>
      </c>
      <c r="C1556" s="20" t="s">
        <v>804</v>
      </c>
      <c r="D1556" s="21">
        <v>1</v>
      </c>
      <c r="E1556" s="22">
        <v>580180.18018</v>
      </c>
    </row>
    <row r="1557" s="29" customFormat="1" ht="28" spans="2:5">
      <c r="B1557" s="19" t="s">
        <v>1073</v>
      </c>
      <c r="C1557" s="16" t="s">
        <v>183</v>
      </c>
      <c r="D1557" s="23">
        <v>6</v>
      </c>
      <c r="E1557" s="24">
        <v>3481080.72072</v>
      </c>
    </row>
    <row r="1558" s="29" customFormat="1" ht="41" spans="2:5">
      <c r="B1558" s="19" t="s">
        <v>1568</v>
      </c>
      <c r="C1558" s="20" t="s">
        <v>182</v>
      </c>
      <c r="D1558" s="21">
        <v>1</v>
      </c>
      <c r="E1558" s="22">
        <v>636306.693694</v>
      </c>
    </row>
    <row r="1559" s="29" customFormat="1" ht="28" spans="2:5">
      <c r="B1559" s="19" t="s">
        <v>1568</v>
      </c>
      <c r="C1559" s="20" t="s">
        <v>804</v>
      </c>
      <c r="D1559" s="21">
        <v>1</v>
      </c>
      <c r="E1559" s="22">
        <v>636306.306306</v>
      </c>
    </row>
    <row r="1560" s="29" customFormat="1" ht="28" spans="2:5">
      <c r="B1560" s="19" t="s">
        <v>1568</v>
      </c>
      <c r="C1560" s="16" t="s">
        <v>183</v>
      </c>
      <c r="D1560" s="23">
        <v>2</v>
      </c>
      <c r="E1560" s="24">
        <v>1272613</v>
      </c>
    </row>
    <row r="1561" s="29" customFormat="1" ht="41" spans="2:5">
      <c r="B1561" s="19" t="s">
        <v>1569</v>
      </c>
      <c r="C1561" s="20" t="s">
        <v>182</v>
      </c>
      <c r="D1561" s="21">
        <v>1</v>
      </c>
      <c r="E1561" s="22">
        <v>636306.306306</v>
      </c>
    </row>
    <row r="1562" s="29" customFormat="1" ht="28" spans="2:5">
      <c r="B1562" s="19" t="s">
        <v>1569</v>
      </c>
      <c r="C1562" s="20" t="s">
        <v>804</v>
      </c>
      <c r="D1562" s="21">
        <v>1</v>
      </c>
      <c r="E1562" s="22">
        <v>636306.306306</v>
      </c>
    </row>
    <row r="1563" s="29" customFormat="1" ht="28" spans="2:5">
      <c r="B1563" s="19" t="s">
        <v>1569</v>
      </c>
      <c r="C1563" s="16" t="s">
        <v>183</v>
      </c>
      <c r="D1563" s="23">
        <v>2</v>
      </c>
      <c r="E1563" s="24">
        <v>1272612.612612</v>
      </c>
    </row>
    <row r="1564" s="29" customFormat="1" ht="41" spans="2:5">
      <c r="B1564" s="19" t="s">
        <v>1753</v>
      </c>
      <c r="C1564" s="20" t="s">
        <v>182</v>
      </c>
      <c r="D1564" s="21">
        <v>4</v>
      </c>
      <c r="E1564" s="22">
        <v>944000</v>
      </c>
    </row>
    <row r="1565" s="29" customFormat="1" ht="28" spans="2:5">
      <c r="B1565" s="19" t="s">
        <v>1753</v>
      </c>
      <c r="C1565" s="16" t="s">
        <v>183</v>
      </c>
      <c r="D1565" s="23">
        <v>4</v>
      </c>
      <c r="E1565" s="24">
        <v>944000</v>
      </c>
    </row>
    <row r="1566" s="29" customFormat="1" ht="41" spans="2:5">
      <c r="B1566" s="19" t="s">
        <v>1754</v>
      </c>
      <c r="C1566" s="20" t="s">
        <v>182</v>
      </c>
      <c r="D1566" s="21">
        <v>2</v>
      </c>
      <c r="E1566" s="22">
        <v>158558.558559</v>
      </c>
    </row>
    <row r="1567" s="29" customFormat="1" ht="28.75" spans="2:5">
      <c r="B1567" s="19" t="s">
        <v>1754</v>
      </c>
      <c r="C1567" s="16" t="s">
        <v>183</v>
      </c>
      <c r="D1567" s="23">
        <v>2</v>
      </c>
      <c r="E1567" s="24">
        <v>158558.558559</v>
      </c>
    </row>
    <row r="1568" s="29" customFormat="1" spans="2:5">
      <c r="B1568" s="25"/>
      <c r="C1568" s="25"/>
      <c r="D1568" s="25"/>
      <c r="E1568" s="25"/>
    </row>
    <row r="1569" s="29" customFormat="1" ht="36" spans="2:5">
      <c r="B1569" s="26" t="s">
        <v>189</v>
      </c>
      <c r="C1569" s="26" t="s">
        <v>189</v>
      </c>
      <c r="D1569" s="26" t="s">
        <v>189</v>
      </c>
      <c r="E1569" s="26" t="s">
        <v>189</v>
      </c>
    </row>
    <row r="1570" s="29" customFormat="1" spans="2:5">
      <c r="B1570" s="26"/>
      <c r="C1570" s="26"/>
      <c r="D1570" s="26"/>
      <c r="E1570" s="26"/>
    </row>
    <row r="1571" s="29" customFormat="1" ht="36" spans="2:5">
      <c r="B1571" s="26" t="s">
        <v>1653</v>
      </c>
      <c r="C1571" s="26" t="s">
        <v>1653</v>
      </c>
      <c r="D1571" s="26" t="s">
        <v>1653</v>
      </c>
      <c r="E1571" s="26" t="s">
        <v>1653</v>
      </c>
    </row>
    <row r="1572" s="29" customFormat="1" spans="2:5">
      <c r="B1572" s="26" t="s">
        <v>1361</v>
      </c>
      <c r="C1572" s="26" t="s">
        <v>1361</v>
      </c>
      <c r="D1572" s="26" t="s">
        <v>1361</v>
      </c>
      <c r="E1572" s="26" t="s">
        <v>1361</v>
      </c>
    </row>
    <row r="1573" s="29" customFormat="1" ht="124" spans="2:5">
      <c r="B1573" s="11" t="s">
        <v>173</v>
      </c>
      <c r="C1573" s="11" t="s">
        <v>173</v>
      </c>
      <c r="D1573" s="11" t="s">
        <v>173</v>
      </c>
      <c r="E1573" s="11" t="s">
        <v>173</v>
      </c>
    </row>
    <row r="1574" s="29" customFormat="1" ht="156" spans="2:5">
      <c r="B1574" s="12" t="s">
        <v>174</v>
      </c>
      <c r="C1574" s="12" t="s">
        <v>174</v>
      </c>
      <c r="D1574" s="12" t="s">
        <v>174</v>
      </c>
      <c r="E1574" s="12" t="s">
        <v>174</v>
      </c>
    </row>
    <row r="1575" s="29" customFormat="1" ht="68" spans="2:5">
      <c r="B1575" s="13" t="s">
        <v>1645</v>
      </c>
      <c r="C1575" s="13" t="s">
        <v>1645</v>
      </c>
      <c r="D1575" s="13" t="s">
        <v>1645</v>
      </c>
      <c r="E1575" s="13" t="s">
        <v>1645</v>
      </c>
    </row>
    <row r="1576" s="29" customFormat="1" ht="22" spans="2:5">
      <c r="B1576" s="14" t="s">
        <v>176</v>
      </c>
      <c r="C1576" s="14" t="s">
        <v>176</v>
      </c>
      <c r="D1576" s="14" t="s">
        <v>176</v>
      </c>
      <c r="E1576" s="14" t="s">
        <v>176</v>
      </c>
    </row>
    <row r="1577" s="29" customFormat="1" spans="2:5">
      <c r="B1577" s="15" t="s">
        <v>177</v>
      </c>
      <c r="C1577" s="16" t="s">
        <v>178</v>
      </c>
      <c r="D1577" s="17" t="s">
        <v>179</v>
      </c>
      <c r="E1577" s="18" t="s">
        <v>180</v>
      </c>
    </row>
    <row r="1578" s="29" customFormat="1" ht="41" spans="2:5">
      <c r="B1578" s="19" t="s">
        <v>328</v>
      </c>
      <c r="C1578" s="20" t="s">
        <v>182</v>
      </c>
      <c r="D1578" s="21">
        <v>4</v>
      </c>
      <c r="E1578" s="22">
        <v>673873.873874</v>
      </c>
    </row>
    <row r="1579" s="29" customFormat="1" ht="28" spans="2:5">
      <c r="B1579" s="19" t="s">
        <v>328</v>
      </c>
      <c r="C1579" s="20" t="s">
        <v>804</v>
      </c>
      <c r="D1579" s="21">
        <v>8</v>
      </c>
      <c r="E1579" s="22">
        <v>585225.225225</v>
      </c>
    </row>
    <row r="1580" s="29" customFormat="1" ht="28" spans="2:5">
      <c r="B1580" s="19" t="s">
        <v>328</v>
      </c>
      <c r="C1580" s="16" t="s">
        <v>183</v>
      </c>
      <c r="D1580" s="23">
        <v>12</v>
      </c>
      <c r="E1580" s="24">
        <v>1259099.099099</v>
      </c>
    </row>
    <row r="1581" s="29" customFormat="1" ht="41" spans="2:5">
      <c r="B1581" s="19" t="s">
        <v>329</v>
      </c>
      <c r="C1581" s="20" t="s">
        <v>182</v>
      </c>
      <c r="D1581" s="21">
        <v>3</v>
      </c>
      <c r="E1581" s="22">
        <v>673873.873874</v>
      </c>
    </row>
    <row r="1582" s="29" customFormat="1" ht="28" spans="2:5">
      <c r="B1582" s="19" t="s">
        <v>329</v>
      </c>
      <c r="C1582" s="20" t="s">
        <v>804</v>
      </c>
      <c r="D1582" s="21">
        <v>6</v>
      </c>
      <c r="E1582" s="22">
        <v>1755675.675675</v>
      </c>
    </row>
    <row r="1583" s="29" customFormat="1" ht="28" spans="2:5">
      <c r="B1583" s="19" t="s">
        <v>329</v>
      </c>
      <c r="C1583" s="16" t="s">
        <v>183</v>
      </c>
      <c r="D1583" s="23">
        <v>9</v>
      </c>
      <c r="E1583" s="24">
        <v>2429549.549549</v>
      </c>
    </row>
    <row r="1584" s="29" customFormat="1" ht="28" spans="2:5">
      <c r="B1584" s="19" t="s">
        <v>464</v>
      </c>
      <c r="C1584" s="20" t="s">
        <v>804</v>
      </c>
      <c r="D1584" s="21">
        <v>5</v>
      </c>
      <c r="E1584" s="22">
        <v>190990.990991</v>
      </c>
    </row>
    <row r="1585" s="29" customFormat="1" ht="28" spans="2:5">
      <c r="B1585" s="19" t="s">
        <v>464</v>
      </c>
      <c r="C1585" s="16" t="s">
        <v>183</v>
      </c>
      <c r="D1585" s="23">
        <v>5</v>
      </c>
      <c r="E1585" s="24">
        <v>190990.990991</v>
      </c>
    </row>
    <row r="1586" s="29" customFormat="1" ht="41" spans="2:5">
      <c r="B1586" s="19" t="s">
        <v>330</v>
      </c>
      <c r="C1586" s="20" t="s">
        <v>182</v>
      </c>
      <c r="D1586" s="21">
        <v>20</v>
      </c>
      <c r="E1586" s="22">
        <v>0</v>
      </c>
    </row>
    <row r="1587" s="29" customFormat="1" ht="28" spans="2:5">
      <c r="B1587" s="19" t="s">
        <v>330</v>
      </c>
      <c r="C1587" s="20" t="s">
        <v>804</v>
      </c>
      <c r="D1587" s="21">
        <v>7</v>
      </c>
      <c r="E1587" s="22">
        <v>500000</v>
      </c>
    </row>
    <row r="1588" s="29" customFormat="1" ht="28" spans="2:5">
      <c r="B1588" s="19" t="s">
        <v>330</v>
      </c>
      <c r="C1588" s="16" t="s">
        <v>183</v>
      </c>
      <c r="D1588" s="23">
        <v>27</v>
      </c>
      <c r="E1588" s="24">
        <v>500000</v>
      </c>
    </row>
    <row r="1589" s="29" customFormat="1" ht="28" spans="2:5">
      <c r="B1589" s="19" t="s">
        <v>1755</v>
      </c>
      <c r="C1589" s="20" t="s">
        <v>804</v>
      </c>
      <c r="D1589" s="21">
        <v>1</v>
      </c>
      <c r="E1589" s="22">
        <v>648198.405405</v>
      </c>
    </row>
    <row r="1590" s="29" customFormat="1" ht="28" spans="2:5">
      <c r="B1590" s="19" t="s">
        <v>1755</v>
      </c>
      <c r="C1590" s="16" t="s">
        <v>183</v>
      </c>
      <c r="D1590" s="23">
        <v>1</v>
      </c>
      <c r="E1590" s="24">
        <v>648198.405405</v>
      </c>
    </row>
    <row r="1591" s="29" customFormat="1" ht="28" spans="2:5">
      <c r="B1591" s="19" t="s">
        <v>522</v>
      </c>
      <c r="C1591" s="20" t="s">
        <v>804</v>
      </c>
      <c r="D1591" s="21">
        <v>12</v>
      </c>
      <c r="E1591" s="22">
        <v>2270270.27027</v>
      </c>
    </row>
    <row r="1592" s="29" customFormat="1" ht="17.55" spans="2:5">
      <c r="B1592" s="19" t="s">
        <v>522</v>
      </c>
      <c r="C1592" s="16" t="s">
        <v>183</v>
      </c>
      <c r="D1592" s="23">
        <v>12</v>
      </c>
      <c r="E1592" s="24">
        <v>2270270.27027</v>
      </c>
    </row>
    <row r="1593" s="29" customFormat="1" spans="2:5">
      <c r="B1593" s="25"/>
      <c r="C1593" s="25"/>
      <c r="D1593" s="25"/>
      <c r="E1593" s="25"/>
    </row>
    <row r="1594" s="29" customFormat="1" ht="36" spans="2:5">
      <c r="B1594" s="26" t="s">
        <v>189</v>
      </c>
      <c r="C1594" s="26" t="s">
        <v>189</v>
      </c>
      <c r="D1594" s="26" t="s">
        <v>189</v>
      </c>
      <c r="E1594" s="26" t="s">
        <v>189</v>
      </c>
    </row>
    <row r="1595" s="29" customFormat="1" spans="2:5">
      <c r="B1595" s="26"/>
      <c r="C1595" s="26"/>
      <c r="D1595" s="26"/>
      <c r="E1595" s="26"/>
    </row>
    <row r="1596" s="29" customFormat="1" ht="36" spans="2:5">
      <c r="B1596" s="26" t="s">
        <v>1653</v>
      </c>
      <c r="C1596" s="26" t="s">
        <v>1653</v>
      </c>
      <c r="D1596" s="26" t="s">
        <v>1653</v>
      </c>
      <c r="E1596" s="26" t="s">
        <v>1653</v>
      </c>
    </row>
    <row r="1597" s="29" customFormat="1" spans="2:5">
      <c r="B1597" s="26" t="s">
        <v>1368</v>
      </c>
      <c r="C1597" s="26" t="s">
        <v>1368</v>
      </c>
      <c r="D1597" s="26" t="s">
        <v>1368</v>
      </c>
      <c r="E1597" s="26" t="s">
        <v>1368</v>
      </c>
    </row>
    <row r="1598" s="29" customFormat="1" ht="124" spans="2:5">
      <c r="B1598" s="11" t="s">
        <v>173</v>
      </c>
      <c r="C1598" s="11" t="s">
        <v>173</v>
      </c>
      <c r="D1598" s="11" t="s">
        <v>173</v>
      </c>
      <c r="E1598" s="11" t="s">
        <v>173</v>
      </c>
    </row>
    <row r="1599" s="29" customFormat="1" ht="156" spans="2:5">
      <c r="B1599" s="12" t="s">
        <v>174</v>
      </c>
      <c r="C1599" s="12" t="s">
        <v>174</v>
      </c>
      <c r="D1599" s="12" t="s">
        <v>174</v>
      </c>
      <c r="E1599" s="12" t="s">
        <v>174</v>
      </c>
    </row>
    <row r="1600" s="29" customFormat="1" ht="68" spans="2:5">
      <c r="B1600" s="13" t="s">
        <v>1645</v>
      </c>
      <c r="C1600" s="13" t="s">
        <v>1645</v>
      </c>
      <c r="D1600" s="13" t="s">
        <v>1645</v>
      </c>
      <c r="E1600" s="13" t="s">
        <v>1645</v>
      </c>
    </row>
    <row r="1601" s="29" customFormat="1" ht="22" spans="2:5">
      <c r="B1601" s="14" t="s">
        <v>176</v>
      </c>
      <c r="C1601" s="14" t="s">
        <v>176</v>
      </c>
      <c r="D1601" s="14" t="s">
        <v>176</v>
      </c>
      <c r="E1601" s="14" t="s">
        <v>176</v>
      </c>
    </row>
    <row r="1602" s="29" customFormat="1" spans="2:5">
      <c r="B1602" s="15" t="s">
        <v>177</v>
      </c>
      <c r="C1602" s="16" t="s">
        <v>178</v>
      </c>
      <c r="D1602" s="17" t="s">
        <v>179</v>
      </c>
      <c r="E1602" s="18" t="s">
        <v>180</v>
      </c>
    </row>
    <row r="1603" s="29" customFormat="1" ht="28" spans="2:5">
      <c r="B1603" s="19" t="s">
        <v>334</v>
      </c>
      <c r="C1603" s="20" t="s">
        <v>804</v>
      </c>
      <c r="D1603" s="21">
        <v>4</v>
      </c>
      <c r="E1603" s="22">
        <v>922522.522523</v>
      </c>
    </row>
    <row r="1604" s="29" customFormat="1" ht="28" spans="2:5">
      <c r="B1604" s="19" t="s">
        <v>334</v>
      </c>
      <c r="C1604" s="16" t="s">
        <v>183</v>
      </c>
      <c r="D1604" s="23">
        <v>4</v>
      </c>
      <c r="E1604" s="24">
        <v>922522.522523</v>
      </c>
    </row>
    <row r="1605" s="29" customFormat="1" ht="41" spans="2:5">
      <c r="B1605" s="19" t="s">
        <v>1756</v>
      </c>
      <c r="C1605" s="20" t="s">
        <v>182</v>
      </c>
      <c r="D1605" s="21">
        <v>4</v>
      </c>
      <c r="E1605" s="22">
        <v>300000</v>
      </c>
    </row>
    <row r="1606" s="29" customFormat="1" spans="2:5">
      <c r="B1606" s="19" t="s">
        <v>1756</v>
      </c>
      <c r="C1606" s="16" t="s">
        <v>183</v>
      </c>
      <c r="D1606" s="23">
        <v>4</v>
      </c>
      <c r="E1606" s="24">
        <v>300000</v>
      </c>
    </row>
    <row r="1607" s="29" customFormat="1" ht="41" spans="2:5">
      <c r="B1607" s="19" t="s">
        <v>1757</v>
      </c>
      <c r="C1607" s="20" t="s">
        <v>182</v>
      </c>
      <c r="D1607" s="21">
        <v>1</v>
      </c>
      <c r="E1607" s="22">
        <v>310000</v>
      </c>
    </row>
    <row r="1608" s="29" customFormat="1" ht="28" spans="2:5">
      <c r="B1608" s="19" t="s">
        <v>1757</v>
      </c>
      <c r="C1608" s="16" t="s">
        <v>183</v>
      </c>
      <c r="D1608" s="23">
        <v>1</v>
      </c>
      <c r="E1608" s="24">
        <v>310000</v>
      </c>
    </row>
    <row r="1609" s="29" customFormat="1" ht="41" spans="2:5">
      <c r="B1609" s="19" t="s">
        <v>1758</v>
      </c>
      <c r="C1609" s="20" t="s">
        <v>182</v>
      </c>
      <c r="D1609" s="21">
        <v>1</v>
      </c>
      <c r="E1609" s="22">
        <v>130000</v>
      </c>
    </row>
    <row r="1610" s="29" customFormat="1" spans="2:5">
      <c r="B1610" s="19" t="s">
        <v>1758</v>
      </c>
      <c r="C1610" s="16" t="s">
        <v>183</v>
      </c>
      <c r="D1610" s="23">
        <v>1</v>
      </c>
      <c r="E1610" s="24">
        <v>130000</v>
      </c>
    </row>
    <row r="1611" s="29" customFormat="1" ht="41" spans="2:5">
      <c r="B1611" s="19" t="s">
        <v>1759</v>
      </c>
      <c r="C1611" s="20" t="s">
        <v>182</v>
      </c>
      <c r="D1611" s="21">
        <v>1</v>
      </c>
      <c r="E1611" s="22">
        <v>130000</v>
      </c>
    </row>
    <row r="1612" s="29" customFormat="1" spans="2:5">
      <c r="B1612" s="19" t="s">
        <v>1759</v>
      </c>
      <c r="C1612" s="16" t="s">
        <v>183</v>
      </c>
      <c r="D1612" s="23">
        <v>1</v>
      </c>
      <c r="E1612" s="24">
        <v>130000</v>
      </c>
    </row>
    <row r="1613" s="29" customFormat="1" ht="41" spans="2:5">
      <c r="B1613" s="19" t="s">
        <v>1082</v>
      </c>
      <c r="C1613" s="20" t="s">
        <v>182</v>
      </c>
      <c r="D1613" s="21">
        <v>2</v>
      </c>
      <c r="E1613" s="22">
        <v>135135.135135</v>
      </c>
    </row>
    <row r="1614" s="29" customFormat="1" spans="2:5">
      <c r="B1614" s="19" t="s">
        <v>1082</v>
      </c>
      <c r="C1614" s="16" t="s">
        <v>183</v>
      </c>
      <c r="D1614" s="23">
        <v>2</v>
      </c>
      <c r="E1614" s="24">
        <v>135135.135135</v>
      </c>
    </row>
    <row r="1615" s="29" customFormat="1" ht="41" spans="2:5">
      <c r="B1615" s="19" t="s">
        <v>1760</v>
      </c>
      <c r="C1615" s="20" t="s">
        <v>182</v>
      </c>
      <c r="D1615" s="21">
        <v>1</v>
      </c>
      <c r="E1615" s="22">
        <v>300000</v>
      </c>
    </row>
    <row r="1616" s="29" customFormat="1" ht="17.55" spans="2:5">
      <c r="B1616" s="19" t="s">
        <v>1760</v>
      </c>
      <c r="C1616" s="16" t="s">
        <v>183</v>
      </c>
      <c r="D1616" s="23">
        <v>1</v>
      </c>
      <c r="E1616" s="24">
        <v>300000</v>
      </c>
    </row>
    <row r="1617" s="29" customFormat="1" spans="2:5">
      <c r="B1617" s="25"/>
      <c r="C1617" s="25"/>
      <c r="D1617" s="25"/>
      <c r="E1617" s="25"/>
    </row>
    <row r="1618" s="29" customFormat="1" ht="36" spans="2:5">
      <c r="B1618" s="26" t="s">
        <v>189</v>
      </c>
      <c r="C1618" s="26" t="s">
        <v>189</v>
      </c>
      <c r="D1618" s="26" t="s">
        <v>189</v>
      </c>
      <c r="E1618" s="26" t="s">
        <v>189</v>
      </c>
    </row>
    <row r="1619" s="29" customFormat="1" spans="2:5">
      <c r="B1619" s="26"/>
      <c r="C1619" s="26"/>
      <c r="D1619" s="26"/>
      <c r="E1619" s="26"/>
    </row>
    <row r="1620" s="29" customFormat="1" ht="36" spans="2:5">
      <c r="B1620" s="26" t="s">
        <v>1653</v>
      </c>
      <c r="C1620" s="26" t="s">
        <v>1653</v>
      </c>
      <c r="D1620" s="26" t="s">
        <v>1653</v>
      </c>
      <c r="E1620" s="26" t="s">
        <v>1653</v>
      </c>
    </row>
    <row r="1621" s="29" customFormat="1" spans="2:5">
      <c r="B1621" s="26" t="s">
        <v>1373</v>
      </c>
      <c r="C1621" s="26" t="s">
        <v>1373</v>
      </c>
      <c r="D1621" s="26" t="s">
        <v>1373</v>
      </c>
      <c r="E1621" s="26" t="s">
        <v>1373</v>
      </c>
    </row>
    <row r="1622" s="29" customFormat="1" ht="124" spans="2:5">
      <c r="B1622" s="11" t="s">
        <v>173</v>
      </c>
      <c r="C1622" s="11" t="s">
        <v>173</v>
      </c>
      <c r="D1622" s="11" t="s">
        <v>173</v>
      </c>
      <c r="E1622" s="11" t="s">
        <v>173</v>
      </c>
    </row>
    <row r="1623" s="29" customFormat="1" ht="156" spans="2:5">
      <c r="B1623" s="12" t="s">
        <v>174</v>
      </c>
      <c r="C1623" s="12" t="s">
        <v>174</v>
      </c>
      <c r="D1623" s="12" t="s">
        <v>174</v>
      </c>
      <c r="E1623" s="12" t="s">
        <v>174</v>
      </c>
    </row>
    <row r="1624" s="29" customFormat="1" ht="68" spans="2:5">
      <c r="B1624" s="13" t="s">
        <v>1645</v>
      </c>
      <c r="C1624" s="13" t="s">
        <v>1645</v>
      </c>
      <c r="D1624" s="13" t="s">
        <v>1645</v>
      </c>
      <c r="E1624" s="13" t="s">
        <v>1645</v>
      </c>
    </row>
    <row r="1625" s="29" customFormat="1" ht="22" spans="2:5">
      <c r="B1625" s="14" t="s">
        <v>176</v>
      </c>
      <c r="C1625" s="14" t="s">
        <v>176</v>
      </c>
      <c r="D1625" s="14" t="s">
        <v>176</v>
      </c>
      <c r="E1625" s="14" t="s">
        <v>176</v>
      </c>
    </row>
    <row r="1626" s="29" customFormat="1" spans="2:5">
      <c r="B1626" s="15" t="s">
        <v>177</v>
      </c>
      <c r="C1626" s="16" t="s">
        <v>178</v>
      </c>
      <c r="D1626" s="17" t="s">
        <v>179</v>
      </c>
      <c r="E1626" s="18" t="s">
        <v>180</v>
      </c>
    </row>
    <row r="1627" s="29" customFormat="1" ht="28" spans="2:5">
      <c r="B1627" s="19" t="s">
        <v>1761</v>
      </c>
      <c r="C1627" s="20" t="s">
        <v>804</v>
      </c>
      <c r="D1627" s="21">
        <v>1</v>
      </c>
      <c r="E1627" s="22">
        <v>5800000</v>
      </c>
    </row>
    <row r="1628" s="29" customFormat="1" spans="2:5">
      <c r="B1628" s="19" t="s">
        <v>1761</v>
      </c>
      <c r="C1628" s="16" t="s">
        <v>183</v>
      </c>
      <c r="D1628" s="23">
        <v>1</v>
      </c>
      <c r="E1628" s="24">
        <v>5800000</v>
      </c>
    </row>
    <row r="1629" s="29" customFormat="1" ht="41" spans="2:5">
      <c r="B1629" s="19" t="s">
        <v>470</v>
      </c>
      <c r="C1629" s="20" t="s">
        <v>182</v>
      </c>
      <c r="D1629" s="21">
        <v>26</v>
      </c>
      <c r="E1629" s="22">
        <v>1288288.162161</v>
      </c>
    </row>
    <row r="1630" s="29" customFormat="1" ht="28" spans="2:5">
      <c r="B1630" s="19" t="s">
        <v>470</v>
      </c>
      <c r="C1630" s="20" t="s">
        <v>804</v>
      </c>
      <c r="D1630" s="21">
        <v>8</v>
      </c>
      <c r="E1630" s="22">
        <v>585585.585585</v>
      </c>
    </row>
    <row r="1631" s="29" customFormat="1" ht="28" spans="2:5">
      <c r="B1631" s="19" t="s">
        <v>470</v>
      </c>
      <c r="C1631" s="16" t="s">
        <v>183</v>
      </c>
      <c r="D1631" s="23">
        <v>34</v>
      </c>
      <c r="E1631" s="24">
        <v>1873873.747746</v>
      </c>
    </row>
    <row r="1632" s="29" customFormat="1" ht="28" spans="2:5">
      <c r="B1632" s="19" t="s">
        <v>1762</v>
      </c>
      <c r="C1632" s="20" t="s">
        <v>804</v>
      </c>
      <c r="D1632" s="21">
        <v>1</v>
      </c>
      <c r="E1632" s="22">
        <v>1740000</v>
      </c>
    </row>
    <row r="1633" s="29" customFormat="1" spans="2:5">
      <c r="B1633" s="19" t="s">
        <v>1762</v>
      </c>
      <c r="C1633" s="16" t="s">
        <v>183</v>
      </c>
      <c r="D1633" s="23">
        <v>1</v>
      </c>
      <c r="E1633" s="24">
        <v>1740000</v>
      </c>
    </row>
    <row r="1634" s="29" customFormat="1" ht="28" spans="2:5">
      <c r="B1634" s="19" t="s">
        <v>1763</v>
      </c>
      <c r="C1634" s="20" t="s">
        <v>804</v>
      </c>
      <c r="D1634" s="21">
        <v>2</v>
      </c>
      <c r="E1634" s="22">
        <v>193693.351351</v>
      </c>
    </row>
    <row r="1635" s="29" customFormat="1" spans="2:5">
      <c r="B1635" s="19" t="s">
        <v>1763</v>
      </c>
      <c r="C1635" s="16" t="s">
        <v>183</v>
      </c>
      <c r="D1635" s="23">
        <v>2</v>
      </c>
      <c r="E1635" s="24">
        <v>193693.351351</v>
      </c>
    </row>
    <row r="1636" s="29" customFormat="1" ht="28" spans="2:5">
      <c r="B1636" s="19" t="s">
        <v>1764</v>
      </c>
      <c r="C1636" s="20" t="s">
        <v>804</v>
      </c>
      <c r="D1636" s="21">
        <v>1</v>
      </c>
      <c r="E1636" s="22">
        <v>330000</v>
      </c>
    </row>
    <row r="1637" s="29" customFormat="1" spans="2:5">
      <c r="B1637" s="19" t="s">
        <v>1764</v>
      </c>
      <c r="C1637" s="16" t="s">
        <v>183</v>
      </c>
      <c r="D1637" s="23">
        <v>1</v>
      </c>
      <c r="E1637" s="24">
        <v>330000</v>
      </c>
    </row>
    <row r="1638" s="29" customFormat="1" ht="28" spans="2:5">
      <c r="B1638" s="19" t="s">
        <v>1765</v>
      </c>
      <c r="C1638" s="20" t="s">
        <v>804</v>
      </c>
      <c r="D1638" s="21">
        <v>4</v>
      </c>
      <c r="E1638" s="22">
        <v>180000</v>
      </c>
    </row>
    <row r="1639" s="29" customFormat="1" spans="2:5">
      <c r="B1639" s="19" t="s">
        <v>1765</v>
      </c>
      <c r="C1639" s="16" t="s">
        <v>183</v>
      </c>
      <c r="D1639" s="23">
        <v>4</v>
      </c>
      <c r="E1639" s="24">
        <v>180000</v>
      </c>
    </row>
    <row r="1640" s="29" customFormat="1" ht="28" spans="2:5">
      <c r="B1640" s="19" t="s">
        <v>1766</v>
      </c>
      <c r="C1640" s="20" t="s">
        <v>1664</v>
      </c>
      <c r="D1640" s="21">
        <v>1</v>
      </c>
      <c r="E1640" s="22">
        <v>866000</v>
      </c>
    </row>
    <row r="1641" s="29" customFormat="1" ht="17.55" spans="2:5">
      <c r="B1641" s="19" t="s">
        <v>1766</v>
      </c>
      <c r="C1641" s="16" t="s">
        <v>183</v>
      </c>
      <c r="D1641" s="23">
        <v>1</v>
      </c>
      <c r="E1641" s="24">
        <v>866000</v>
      </c>
    </row>
    <row r="1642" s="29" customFormat="1" spans="2:5">
      <c r="B1642" s="25"/>
      <c r="C1642" s="25"/>
      <c r="D1642" s="25"/>
      <c r="E1642" s="25"/>
    </row>
    <row r="1643" s="29" customFormat="1" ht="36" spans="2:5">
      <c r="B1643" s="26" t="s">
        <v>189</v>
      </c>
      <c r="C1643" s="26" t="s">
        <v>189</v>
      </c>
      <c r="D1643" s="26" t="s">
        <v>189</v>
      </c>
      <c r="E1643" s="26" t="s">
        <v>189</v>
      </c>
    </row>
    <row r="1644" s="29" customFormat="1" spans="2:5">
      <c r="B1644" s="26"/>
      <c r="C1644" s="26"/>
      <c r="D1644" s="26"/>
      <c r="E1644" s="26"/>
    </row>
    <row r="1645" s="29" customFormat="1" ht="36" spans="2:5">
      <c r="B1645" s="26" t="s">
        <v>1653</v>
      </c>
      <c r="C1645" s="26" t="s">
        <v>1653</v>
      </c>
      <c r="D1645" s="26" t="s">
        <v>1653</v>
      </c>
      <c r="E1645" s="26" t="s">
        <v>1653</v>
      </c>
    </row>
    <row r="1646" s="29" customFormat="1" spans="2:5">
      <c r="B1646" s="26" t="s">
        <v>1377</v>
      </c>
      <c r="C1646" s="26" t="s">
        <v>1377</v>
      </c>
      <c r="D1646" s="26" t="s">
        <v>1377</v>
      </c>
      <c r="E1646" s="26" t="s">
        <v>1377</v>
      </c>
    </row>
    <row r="1647" s="29" customFormat="1" ht="124" spans="2:5">
      <c r="B1647" s="11" t="s">
        <v>173</v>
      </c>
      <c r="C1647" s="11" t="s">
        <v>173</v>
      </c>
      <c r="D1647" s="11" t="s">
        <v>173</v>
      </c>
      <c r="E1647" s="11" t="s">
        <v>173</v>
      </c>
    </row>
    <row r="1648" s="29" customFormat="1" ht="156" spans="2:5">
      <c r="B1648" s="12" t="s">
        <v>174</v>
      </c>
      <c r="C1648" s="12" t="s">
        <v>174</v>
      </c>
      <c r="D1648" s="12" t="s">
        <v>174</v>
      </c>
      <c r="E1648" s="12" t="s">
        <v>174</v>
      </c>
    </row>
    <row r="1649" s="29" customFormat="1" ht="68" spans="2:5">
      <c r="B1649" s="13" t="s">
        <v>1645</v>
      </c>
      <c r="C1649" s="13" t="s">
        <v>1645</v>
      </c>
      <c r="D1649" s="13" t="s">
        <v>1645</v>
      </c>
      <c r="E1649" s="13" t="s">
        <v>1645</v>
      </c>
    </row>
    <row r="1650" s="29" customFormat="1" ht="22" spans="2:5">
      <c r="B1650" s="14" t="s">
        <v>176</v>
      </c>
      <c r="C1650" s="14" t="s">
        <v>176</v>
      </c>
      <c r="D1650" s="14" t="s">
        <v>176</v>
      </c>
      <c r="E1650" s="14" t="s">
        <v>176</v>
      </c>
    </row>
    <row r="1651" s="29" customFormat="1" spans="2:5">
      <c r="B1651" s="15" t="s">
        <v>177</v>
      </c>
      <c r="C1651" s="16" t="s">
        <v>178</v>
      </c>
      <c r="D1651" s="17" t="s">
        <v>179</v>
      </c>
      <c r="E1651" s="18" t="s">
        <v>180</v>
      </c>
    </row>
    <row r="1652" s="29" customFormat="1" ht="41" spans="2:5">
      <c r="B1652" s="19" t="s">
        <v>1767</v>
      </c>
      <c r="C1652" s="20" t="s">
        <v>182</v>
      </c>
      <c r="D1652" s="21">
        <v>1</v>
      </c>
      <c r="E1652" s="22">
        <v>265000</v>
      </c>
    </row>
    <row r="1653" s="29" customFormat="1" spans="2:5">
      <c r="B1653" s="19" t="s">
        <v>1767</v>
      </c>
      <c r="C1653" s="16" t="s">
        <v>183</v>
      </c>
      <c r="D1653" s="23">
        <v>1</v>
      </c>
      <c r="E1653" s="24">
        <v>265000</v>
      </c>
    </row>
    <row r="1654" s="29" customFormat="1" ht="41" spans="2:5">
      <c r="B1654" s="19" t="s">
        <v>1768</v>
      </c>
      <c r="C1654" s="20" t="s">
        <v>1191</v>
      </c>
      <c r="D1654" s="21">
        <v>1</v>
      </c>
      <c r="E1654" s="22">
        <v>650000</v>
      </c>
    </row>
    <row r="1655" s="29" customFormat="1" ht="28" spans="2:5">
      <c r="B1655" s="19" t="s">
        <v>1768</v>
      </c>
      <c r="C1655" s="16" t="s">
        <v>183</v>
      </c>
      <c r="D1655" s="23">
        <v>1</v>
      </c>
      <c r="E1655" s="24">
        <v>650000</v>
      </c>
    </row>
    <row r="1656" s="29" customFormat="1" ht="28" spans="2:5">
      <c r="B1656" s="19" t="s">
        <v>1769</v>
      </c>
      <c r="C1656" s="20" t="s">
        <v>804</v>
      </c>
      <c r="D1656" s="21">
        <v>1</v>
      </c>
      <c r="E1656" s="22">
        <v>450000</v>
      </c>
    </row>
    <row r="1657" s="29" customFormat="1" spans="2:5">
      <c r="B1657" s="19" t="s">
        <v>1769</v>
      </c>
      <c r="C1657" s="16" t="s">
        <v>183</v>
      </c>
      <c r="D1657" s="23">
        <v>1</v>
      </c>
      <c r="E1657" s="24">
        <v>450000</v>
      </c>
    </row>
    <row r="1658" s="29" customFormat="1" ht="28" spans="2:5">
      <c r="B1658" s="19" t="s">
        <v>1770</v>
      </c>
      <c r="C1658" s="20" t="s">
        <v>804</v>
      </c>
      <c r="D1658" s="21">
        <v>1</v>
      </c>
      <c r="E1658" s="22">
        <v>350000</v>
      </c>
    </row>
    <row r="1659" s="29" customFormat="1" spans="2:5">
      <c r="B1659" s="19" t="s">
        <v>1770</v>
      </c>
      <c r="C1659" s="16" t="s">
        <v>183</v>
      </c>
      <c r="D1659" s="23">
        <v>1</v>
      </c>
      <c r="E1659" s="24">
        <v>350000</v>
      </c>
    </row>
    <row r="1660" s="29" customFormat="1" ht="28" spans="2:5">
      <c r="B1660" s="19" t="s">
        <v>1771</v>
      </c>
      <c r="C1660" s="20" t="s">
        <v>804</v>
      </c>
      <c r="D1660" s="21">
        <v>1</v>
      </c>
      <c r="E1660" s="22">
        <v>190000</v>
      </c>
    </row>
    <row r="1661" s="29" customFormat="1" ht="28" spans="2:5">
      <c r="B1661" s="19" t="s">
        <v>1771</v>
      </c>
      <c r="C1661" s="16" t="s">
        <v>183</v>
      </c>
      <c r="D1661" s="23">
        <v>1</v>
      </c>
      <c r="E1661" s="24">
        <v>190000</v>
      </c>
    </row>
    <row r="1662" s="29" customFormat="1" ht="41" spans="2:5">
      <c r="B1662" s="19" t="s">
        <v>751</v>
      </c>
      <c r="C1662" s="20" t="s">
        <v>182</v>
      </c>
      <c r="D1662" s="21">
        <v>14</v>
      </c>
      <c r="E1662" s="22">
        <v>108108.027027</v>
      </c>
    </row>
    <row r="1663" s="29" customFormat="1" spans="2:5">
      <c r="B1663" s="19" t="s">
        <v>751</v>
      </c>
      <c r="C1663" s="16" t="s">
        <v>183</v>
      </c>
      <c r="D1663" s="23">
        <v>14</v>
      </c>
      <c r="E1663" s="24">
        <v>108108.027027</v>
      </c>
    </row>
    <row r="1664" s="29" customFormat="1" ht="41" spans="2:5">
      <c r="B1664" s="19" t="s">
        <v>752</v>
      </c>
      <c r="C1664" s="20" t="s">
        <v>182</v>
      </c>
      <c r="D1664" s="21">
        <v>8</v>
      </c>
      <c r="E1664" s="22">
        <v>63063.063063</v>
      </c>
    </row>
    <row r="1665" s="29" customFormat="1" ht="17.55" spans="2:5">
      <c r="B1665" s="19" t="s">
        <v>752</v>
      </c>
      <c r="C1665" s="16" t="s">
        <v>183</v>
      </c>
      <c r="D1665" s="23">
        <v>8</v>
      </c>
      <c r="E1665" s="24">
        <v>63063.063063</v>
      </c>
    </row>
    <row r="1666" s="29" customFormat="1" spans="2:5">
      <c r="B1666" s="25"/>
      <c r="C1666" s="25"/>
      <c r="D1666" s="25"/>
      <c r="E1666" s="25"/>
    </row>
    <row r="1667" s="29" customFormat="1" ht="36" spans="2:5">
      <c r="B1667" s="26" t="s">
        <v>189</v>
      </c>
      <c r="C1667" s="26" t="s">
        <v>189</v>
      </c>
      <c r="D1667" s="26" t="s">
        <v>189</v>
      </c>
      <c r="E1667" s="26" t="s">
        <v>189</v>
      </c>
    </row>
    <row r="1668" s="29" customFormat="1" spans="2:5">
      <c r="B1668" s="26"/>
      <c r="C1668" s="26"/>
      <c r="D1668" s="26"/>
      <c r="E1668" s="26"/>
    </row>
    <row r="1669" s="29" customFormat="1" ht="36" spans="2:5">
      <c r="B1669" s="26" t="s">
        <v>1653</v>
      </c>
      <c r="C1669" s="26" t="s">
        <v>1653</v>
      </c>
      <c r="D1669" s="26" t="s">
        <v>1653</v>
      </c>
      <c r="E1669" s="26" t="s">
        <v>1653</v>
      </c>
    </row>
    <row r="1670" s="29" customFormat="1" spans="2:5">
      <c r="B1670" s="26" t="s">
        <v>1378</v>
      </c>
      <c r="C1670" s="26" t="s">
        <v>1378</v>
      </c>
      <c r="D1670" s="26" t="s">
        <v>1378</v>
      </c>
      <c r="E1670" s="26" t="s">
        <v>1378</v>
      </c>
    </row>
    <row r="1671" s="29" customFormat="1" ht="124" spans="2:5">
      <c r="B1671" s="11" t="s">
        <v>173</v>
      </c>
      <c r="C1671" s="11" t="s">
        <v>173</v>
      </c>
      <c r="D1671" s="11" t="s">
        <v>173</v>
      </c>
      <c r="E1671" s="11" t="s">
        <v>173</v>
      </c>
    </row>
    <row r="1672" s="29" customFormat="1" ht="156" spans="2:5">
      <c r="B1672" s="12" t="s">
        <v>174</v>
      </c>
      <c r="C1672" s="12" t="s">
        <v>174</v>
      </c>
      <c r="D1672" s="12" t="s">
        <v>174</v>
      </c>
      <c r="E1672" s="12" t="s">
        <v>174</v>
      </c>
    </row>
    <row r="1673" s="29" customFormat="1" ht="68" spans="2:5">
      <c r="B1673" s="13" t="s">
        <v>1645</v>
      </c>
      <c r="C1673" s="13" t="s">
        <v>1645</v>
      </c>
      <c r="D1673" s="13" t="s">
        <v>1645</v>
      </c>
      <c r="E1673" s="13" t="s">
        <v>1645</v>
      </c>
    </row>
    <row r="1674" s="29" customFormat="1" ht="22" spans="2:5">
      <c r="B1674" s="14" t="s">
        <v>176</v>
      </c>
      <c r="C1674" s="14" t="s">
        <v>176</v>
      </c>
      <c r="D1674" s="14" t="s">
        <v>176</v>
      </c>
      <c r="E1674" s="14" t="s">
        <v>176</v>
      </c>
    </row>
    <row r="1675" s="29" customFormat="1" spans="2:5">
      <c r="B1675" s="15" t="s">
        <v>177</v>
      </c>
      <c r="C1675" s="16" t="s">
        <v>178</v>
      </c>
      <c r="D1675" s="17" t="s">
        <v>179</v>
      </c>
      <c r="E1675" s="18" t="s">
        <v>180</v>
      </c>
    </row>
    <row r="1676" s="29" customFormat="1" ht="41" spans="2:5">
      <c r="B1676" s="19" t="s">
        <v>753</v>
      </c>
      <c r="C1676" s="20" t="s">
        <v>182</v>
      </c>
      <c r="D1676" s="21">
        <v>7</v>
      </c>
      <c r="E1676" s="22">
        <v>54054.054054</v>
      </c>
    </row>
    <row r="1677" s="29" customFormat="1" spans="2:5">
      <c r="B1677" s="19" t="s">
        <v>753</v>
      </c>
      <c r="C1677" s="16" t="s">
        <v>183</v>
      </c>
      <c r="D1677" s="23">
        <v>7</v>
      </c>
      <c r="E1677" s="24">
        <v>54054.054054</v>
      </c>
    </row>
    <row r="1678" s="29" customFormat="1" ht="41" spans="2:5">
      <c r="B1678" s="19" t="s">
        <v>1772</v>
      </c>
      <c r="C1678" s="20" t="s">
        <v>182</v>
      </c>
      <c r="D1678" s="21">
        <v>1</v>
      </c>
      <c r="E1678" s="22">
        <v>280000</v>
      </c>
    </row>
    <row r="1679" s="29" customFormat="1" spans="2:5">
      <c r="B1679" s="19" t="s">
        <v>1772</v>
      </c>
      <c r="C1679" s="16" t="s">
        <v>183</v>
      </c>
      <c r="D1679" s="23">
        <v>1</v>
      </c>
      <c r="E1679" s="24">
        <v>280000</v>
      </c>
    </row>
    <row r="1680" s="29" customFormat="1" ht="41" spans="2:5">
      <c r="B1680" s="19" t="s">
        <v>1593</v>
      </c>
      <c r="C1680" s="20" t="s">
        <v>182</v>
      </c>
      <c r="D1680" s="21">
        <v>234</v>
      </c>
      <c r="E1680" s="22">
        <v>0</v>
      </c>
    </row>
    <row r="1681" s="29" customFormat="1" ht="28" spans="2:5">
      <c r="B1681" s="19" t="s">
        <v>1593</v>
      </c>
      <c r="C1681" s="20" t="s">
        <v>804</v>
      </c>
      <c r="D1681" s="21">
        <v>97</v>
      </c>
      <c r="E1681" s="22">
        <v>0</v>
      </c>
    </row>
    <row r="1682" s="29" customFormat="1" ht="28" spans="2:5">
      <c r="B1682" s="19" t="s">
        <v>1593</v>
      </c>
      <c r="C1682" s="16" t="s">
        <v>183</v>
      </c>
      <c r="D1682" s="23">
        <v>331</v>
      </c>
      <c r="E1682" s="24">
        <v>0</v>
      </c>
    </row>
    <row r="1683" s="29" customFormat="1" ht="41" spans="2:5">
      <c r="B1683" s="19" t="s">
        <v>1594</v>
      </c>
      <c r="C1683" s="20" t="s">
        <v>182</v>
      </c>
      <c r="D1683" s="21">
        <v>240</v>
      </c>
      <c r="E1683" s="22">
        <v>205405.405404</v>
      </c>
    </row>
    <row r="1684" s="29" customFormat="1" ht="28" spans="2:5">
      <c r="B1684" s="19" t="s">
        <v>1594</v>
      </c>
      <c r="C1684" s="20" t="s">
        <v>804</v>
      </c>
      <c r="D1684" s="21">
        <v>116</v>
      </c>
      <c r="E1684" s="22">
        <v>51351.351351</v>
      </c>
    </row>
    <row r="1685" s="29" customFormat="1" ht="28" spans="2:5">
      <c r="B1685" s="19" t="s">
        <v>1594</v>
      </c>
      <c r="C1685" s="16" t="s">
        <v>183</v>
      </c>
      <c r="D1685" s="23">
        <v>356</v>
      </c>
      <c r="E1685" s="24">
        <v>256756.756755</v>
      </c>
    </row>
    <row r="1686" s="29" customFormat="1" ht="41" spans="2:5">
      <c r="B1686" s="19" t="s">
        <v>631</v>
      </c>
      <c r="C1686" s="20" t="s">
        <v>182</v>
      </c>
      <c r="D1686" s="21">
        <v>1</v>
      </c>
      <c r="E1686" s="22">
        <v>0</v>
      </c>
    </row>
    <row r="1687" s="29" customFormat="1" ht="28.75" spans="2:5">
      <c r="B1687" s="19" t="s">
        <v>631</v>
      </c>
      <c r="C1687" s="16" t="s">
        <v>183</v>
      </c>
      <c r="D1687" s="23">
        <v>1</v>
      </c>
      <c r="E1687" s="24">
        <v>0</v>
      </c>
    </row>
    <row r="1688" s="29" customFormat="1" spans="2:5">
      <c r="B1688" s="25"/>
      <c r="C1688" s="25"/>
      <c r="D1688" s="25"/>
      <c r="E1688" s="25"/>
    </row>
    <row r="1689" s="29" customFormat="1" ht="36" spans="2:5">
      <c r="B1689" s="26" t="s">
        <v>189</v>
      </c>
      <c r="C1689" s="26" t="s">
        <v>189</v>
      </c>
      <c r="D1689" s="26" t="s">
        <v>189</v>
      </c>
      <c r="E1689" s="26" t="s">
        <v>189</v>
      </c>
    </row>
    <row r="1690" s="29" customFormat="1" spans="2:5">
      <c r="B1690" s="26"/>
      <c r="C1690" s="26"/>
      <c r="D1690" s="26"/>
      <c r="E1690" s="26"/>
    </row>
    <row r="1691" s="29" customFormat="1" ht="36" spans="2:5">
      <c r="B1691" s="26" t="s">
        <v>1653</v>
      </c>
      <c r="C1691" s="26" t="s">
        <v>1653</v>
      </c>
      <c r="D1691" s="26" t="s">
        <v>1653</v>
      </c>
      <c r="E1691" s="26" t="s">
        <v>1653</v>
      </c>
    </row>
    <row r="1692" s="29" customFormat="1" spans="2:5">
      <c r="B1692" s="26" t="s">
        <v>1379</v>
      </c>
      <c r="C1692" s="26" t="s">
        <v>1379</v>
      </c>
      <c r="D1692" s="26" t="s">
        <v>1379</v>
      </c>
      <c r="E1692" s="26" t="s">
        <v>1379</v>
      </c>
    </row>
    <row r="1693" s="29" customFormat="1" ht="124" spans="2:5">
      <c r="B1693" s="11" t="s">
        <v>173</v>
      </c>
      <c r="C1693" s="11" t="s">
        <v>173</v>
      </c>
      <c r="D1693" s="11" t="s">
        <v>173</v>
      </c>
      <c r="E1693" s="11" t="s">
        <v>173</v>
      </c>
    </row>
    <row r="1694" s="29" customFormat="1" ht="156" spans="2:5">
      <c r="B1694" s="12" t="s">
        <v>174</v>
      </c>
      <c r="C1694" s="12" t="s">
        <v>174</v>
      </c>
      <c r="D1694" s="12" t="s">
        <v>174</v>
      </c>
      <c r="E1694" s="12" t="s">
        <v>174</v>
      </c>
    </row>
    <row r="1695" s="29" customFormat="1" ht="68" spans="2:5">
      <c r="B1695" s="13" t="s">
        <v>1645</v>
      </c>
      <c r="C1695" s="13" t="s">
        <v>1645</v>
      </c>
      <c r="D1695" s="13" t="s">
        <v>1645</v>
      </c>
      <c r="E1695" s="13" t="s">
        <v>1645</v>
      </c>
    </row>
    <row r="1696" s="29" customFormat="1" ht="22" spans="2:5">
      <c r="B1696" s="14" t="s">
        <v>176</v>
      </c>
      <c r="C1696" s="14" t="s">
        <v>176</v>
      </c>
      <c r="D1696" s="14" t="s">
        <v>176</v>
      </c>
      <c r="E1696" s="14" t="s">
        <v>176</v>
      </c>
    </row>
    <row r="1697" s="29" customFormat="1" spans="2:5">
      <c r="B1697" s="15" t="s">
        <v>177</v>
      </c>
      <c r="C1697" s="16" t="s">
        <v>178</v>
      </c>
      <c r="D1697" s="17" t="s">
        <v>179</v>
      </c>
      <c r="E1697" s="18" t="s">
        <v>180</v>
      </c>
    </row>
    <row r="1698" s="29" customFormat="1" ht="41" spans="2:5">
      <c r="B1698" s="19" t="s">
        <v>1773</v>
      </c>
      <c r="C1698" s="20" t="s">
        <v>182</v>
      </c>
      <c r="D1698" s="21">
        <v>1</v>
      </c>
      <c r="E1698" s="22">
        <v>1670000</v>
      </c>
    </row>
    <row r="1699" s="29" customFormat="1" ht="28" spans="2:5">
      <c r="B1699" s="19" t="s">
        <v>1773</v>
      </c>
      <c r="C1699" s="16" t="s">
        <v>183</v>
      </c>
      <c r="D1699" s="23">
        <v>1</v>
      </c>
      <c r="E1699" s="24">
        <v>1670000</v>
      </c>
    </row>
    <row r="1700" s="29" customFormat="1" ht="41" spans="2:5">
      <c r="B1700" s="19" t="s">
        <v>472</v>
      </c>
      <c r="C1700" s="20" t="s">
        <v>182</v>
      </c>
      <c r="D1700" s="21">
        <v>1</v>
      </c>
      <c r="E1700" s="22">
        <v>0</v>
      </c>
    </row>
    <row r="1701" s="29" customFormat="1" ht="28" spans="2:5">
      <c r="B1701" s="19" t="s">
        <v>472</v>
      </c>
      <c r="C1701" s="20" t="s">
        <v>804</v>
      </c>
      <c r="D1701" s="21">
        <v>2</v>
      </c>
      <c r="E1701" s="22">
        <v>90090.09009</v>
      </c>
    </row>
    <row r="1702" s="29" customFormat="1" ht="28" spans="2:5">
      <c r="B1702" s="19" t="s">
        <v>472</v>
      </c>
      <c r="C1702" s="16" t="s">
        <v>183</v>
      </c>
      <c r="D1702" s="23">
        <v>3</v>
      </c>
      <c r="E1702" s="24">
        <v>90090.09009</v>
      </c>
    </row>
    <row r="1703" s="29" customFormat="1" ht="41" spans="2:5">
      <c r="B1703" s="19" t="s">
        <v>1774</v>
      </c>
      <c r="C1703" s="20" t="s">
        <v>1191</v>
      </c>
      <c r="D1703" s="21">
        <v>1</v>
      </c>
      <c r="E1703" s="22">
        <v>790000</v>
      </c>
    </row>
    <row r="1704" s="29" customFormat="1" ht="28" spans="2:5">
      <c r="B1704" s="19" t="s">
        <v>1774</v>
      </c>
      <c r="C1704" s="16" t="s">
        <v>183</v>
      </c>
      <c r="D1704" s="23">
        <v>1</v>
      </c>
      <c r="E1704" s="24">
        <v>790000</v>
      </c>
    </row>
    <row r="1705" s="29" customFormat="1" ht="28" spans="2:5">
      <c r="B1705" s="19" t="s">
        <v>1775</v>
      </c>
      <c r="C1705" s="20" t="s">
        <v>804</v>
      </c>
      <c r="D1705" s="21">
        <v>1</v>
      </c>
      <c r="E1705" s="22">
        <v>580000</v>
      </c>
    </row>
    <row r="1706" s="29" customFormat="1" ht="28" spans="2:5">
      <c r="B1706" s="19" t="s">
        <v>1775</v>
      </c>
      <c r="C1706" s="16" t="s">
        <v>183</v>
      </c>
      <c r="D1706" s="23">
        <v>1</v>
      </c>
      <c r="E1706" s="24">
        <v>580000</v>
      </c>
    </row>
    <row r="1707" s="29" customFormat="1" ht="28" spans="2:5">
      <c r="B1707" s="19" t="s">
        <v>1776</v>
      </c>
      <c r="C1707" s="20" t="s">
        <v>804</v>
      </c>
      <c r="D1707" s="21">
        <v>1</v>
      </c>
      <c r="E1707" s="22">
        <v>90000</v>
      </c>
    </row>
    <row r="1708" s="29" customFormat="1" spans="2:5">
      <c r="B1708" s="19" t="s">
        <v>1776</v>
      </c>
      <c r="C1708" s="16" t="s">
        <v>183</v>
      </c>
      <c r="D1708" s="23">
        <v>1</v>
      </c>
      <c r="E1708" s="24">
        <v>90000</v>
      </c>
    </row>
    <row r="1709" s="29" customFormat="1" ht="28" spans="2:5">
      <c r="B1709" s="19" t="s">
        <v>1777</v>
      </c>
      <c r="C1709" s="20" t="s">
        <v>804</v>
      </c>
      <c r="D1709" s="21">
        <v>1</v>
      </c>
      <c r="E1709" s="22">
        <v>70000</v>
      </c>
    </row>
    <row r="1710" s="29" customFormat="1" ht="28" spans="2:5">
      <c r="B1710" s="19" t="s">
        <v>1777</v>
      </c>
      <c r="C1710" s="16" t="s">
        <v>183</v>
      </c>
      <c r="D1710" s="23">
        <v>1</v>
      </c>
      <c r="E1710" s="24">
        <v>70000</v>
      </c>
    </row>
    <row r="1711" s="29" customFormat="1" ht="41.75" spans="2:5">
      <c r="B1711" s="20" t="s">
        <v>916</v>
      </c>
      <c r="C1711" s="20" t="s">
        <v>182</v>
      </c>
      <c r="D1711" s="21">
        <v>37</v>
      </c>
      <c r="E1711" s="22">
        <v>2966666.306311</v>
      </c>
    </row>
    <row r="1712" s="29" customFormat="1" spans="2:5">
      <c r="B1712" s="25"/>
      <c r="C1712" s="25"/>
      <c r="D1712" s="25"/>
      <c r="E1712" s="25"/>
    </row>
    <row r="1713" s="29" customFormat="1" ht="36" spans="2:5">
      <c r="B1713" s="26" t="s">
        <v>189</v>
      </c>
      <c r="C1713" s="26" t="s">
        <v>189</v>
      </c>
      <c r="D1713" s="26" t="s">
        <v>189</v>
      </c>
      <c r="E1713" s="26" t="s">
        <v>189</v>
      </c>
    </row>
    <row r="1714" s="29" customFormat="1" spans="2:5">
      <c r="B1714" s="26"/>
      <c r="C1714" s="26"/>
      <c r="D1714" s="26"/>
      <c r="E1714" s="26"/>
    </row>
    <row r="1715" s="29" customFormat="1" ht="36" spans="2:5">
      <c r="B1715" s="26" t="s">
        <v>1653</v>
      </c>
      <c r="C1715" s="26" t="s">
        <v>1653</v>
      </c>
      <c r="D1715" s="26" t="s">
        <v>1653</v>
      </c>
      <c r="E1715" s="26" t="s">
        <v>1653</v>
      </c>
    </row>
    <row r="1716" s="29" customFormat="1" spans="2:5">
      <c r="B1716" s="26" t="s">
        <v>1383</v>
      </c>
      <c r="C1716" s="26" t="s">
        <v>1383</v>
      </c>
      <c r="D1716" s="26" t="s">
        <v>1383</v>
      </c>
      <c r="E1716" s="26" t="s">
        <v>1383</v>
      </c>
    </row>
    <row r="1717" s="29" customFormat="1" ht="124" spans="2:5">
      <c r="B1717" s="11" t="s">
        <v>173</v>
      </c>
      <c r="C1717" s="11" t="s">
        <v>173</v>
      </c>
      <c r="D1717" s="11" t="s">
        <v>173</v>
      </c>
      <c r="E1717" s="11" t="s">
        <v>173</v>
      </c>
    </row>
    <row r="1718" s="29" customFormat="1" ht="156" spans="2:5">
      <c r="B1718" s="12" t="s">
        <v>174</v>
      </c>
      <c r="C1718" s="12" t="s">
        <v>174</v>
      </c>
      <c r="D1718" s="12" t="s">
        <v>174</v>
      </c>
      <c r="E1718" s="12" t="s">
        <v>174</v>
      </c>
    </row>
    <row r="1719" s="29" customFormat="1" ht="68" spans="2:5">
      <c r="B1719" s="13" t="s">
        <v>1645</v>
      </c>
      <c r="C1719" s="13" t="s">
        <v>1645</v>
      </c>
      <c r="D1719" s="13" t="s">
        <v>1645</v>
      </c>
      <c r="E1719" s="13" t="s">
        <v>1645</v>
      </c>
    </row>
    <row r="1720" s="29" customFormat="1" ht="22" spans="2:5">
      <c r="B1720" s="14" t="s">
        <v>176</v>
      </c>
      <c r="C1720" s="14" t="s">
        <v>176</v>
      </c>
      <c r="D1720" s="14" t="s">
        <v>176</v>
      </c>
      <c r="E1720" s="14" t="s">
        <v>176</v>
      </c>
    </row>
    <row r="1721" s="29" customFormat="1" spans="2:5">
      <c r="B1721" s="15" t="s">
        <v>177</v>
      </c>
      <c r="C1721" s="16" t="s">
        <v>178</v>
      </c>
      <c r="D1721" s="17" t="s">
        <v>179</v>
      </c>
      <c r="E1721" s="18" t="s">
        <v>180</v>
      </c>
    </row>
    <row r="1722" s="29" customFormat="1" ht="28" spans="2:5">
      <c r="B1722" s="19" t="s">
        <v>916</v>
      </c>
      <c r="C1722" s="20" t="s">
        <v>804</v>
      </c>
      <c r="D1722" s="21">
        <v>17</v>
      </c>
      <c r="E1722" s="22">
        <v>1363063.063065</v>
      </c>
    </row>
    <row r="1723" s="29" customFormat="1" ht="28" spans="2:5">
      <c r="B1723" s="19" t="s">
        <v>916</v>
      </c>
      <c r="C1723" s="16" t="s">
        <v>183</v>
      </c>
      <c r="D1723" s="23">
        <v>54</v>
      </c>
      <c r="E1723" s="24">
        <v>4329729.369376</v>
      </c>
    </row>
    <row r="1724" s="29" customFormat="1" ht="41" spans="2:5">
      <c r="B1724" s="19" t="s">
        <v>1101</v>
      </c>
      <c r="C1724" s="20" t="s">
        <v>182</v>
      </c>
      <c r="D1724" s="21">
        <v>6</v>
      </c>
      <c r="E1724" s="22">
        <v>502702.576576</v>
      </c>
    </row>
    <row r="1725" s="29" customFormat="1" ht="28" spans="2:5">
      <c r="B1725" s="19" t="s">
        <v>1101</v>
      </c>
      <c r="C1725" s="20" t="s">
        <v>804</v>
      </c>
      <c r="D1725" s="21">
        <v>3</v>
      </c>
      <c r="E1725" s="22">
        <v>251351.351351</v>
      </c>
    </row>
    <row r="1726" s="29" customFormat="1" ht="28" spans="2:5">
      <c r="B1726" s="19" t="s">
        <v>1101</v>
      </c>
      <c r="C1726" s="16" t="s">
        <v>183</v>
      </c>
      <c r="D1726" s="23">
        <v>9</v>
      </c>
      <c r="E1726" s="24">
        <v>754053.927927</v>
      </c>
    </row>
    <row r="1727" s="29" customFormat="1" ht="41" spans="2:5">
      <c r="B1727" s="19" t="s">
        <v>917</v>
      </c>
      <c r="C1727" s="20" t="s">
        <v>182</v>
      </c>
      <c r="D1727" s="21">
        <v>2</v>
      </c>
      <c r="E1727" s="22">
        <v>0</v>
      </c>
    </row>
    <row r="1728" s="29" customFormat="1" ht="28" spans="2:5">
      <c r="B1728" s="19" t="s">
        <v>917</v>
      </c>
      <c r="C1728" s="20" t="s">
        <v>804</v>
      </c>
      <c r="D1728" s="21">
        <v>5</v>
      </c>
      <c r="E1728" s="22">
        <v>754234.063063</v>
      </c>
    </row>
    <row r="1729" s="29" customFormat="1" ht="28" spans="2:5">
      <c r="B1729" s="19" t="s">
        <v>917</v>
      </c>
      <c r="C1729" s="16" t="s">
        <v>183</v>
      </c>
      <c r="D1729" s="23">
        <v>7</v>
      </c>
      <c r="E1729" s="24">
        <v>754234.063063</v>
      </c>
    </row>
    <row r="1730" s="29" customFormat="1" ht="41" spans="2:5">
      <c r="B1730" s="19" t="s">
        <v>1102</v>
      </c>
      <c r="C1730" s="20" t="s">
        <v>182</v>
      </c>
      <c r="D1730" s="21">
        <v>69</v>
      </c>
      <c r="E1730" s="22">
        <v>100901</v>
      </c>
    </row>
    <row r="1731" s="29" customFormat="1" ht="28" spans="2:5">
      <c r="B1731" s="19" t="s">
        <v>1102</v>
      </c>
      <c r="C1731" s="20" t="s">
        <v>804</v>
      </c>
      <c r="D1731" s="21">
        <v>28</v>
      </c>
      <c r="E1731" s="22">
        <v>0</v>
      </c>
    </row>
    <row r="1732" s="29" customFormat="1" ht="28" spans="2:5">
      <c r="B1732" s="19" t="s">
        <v>1102</v>
      </c>
      <c r="C1732" s="16" t="s">
        <v>183</v>
      </c>
      <c r="D1732" s="23">
        <v>97</v>
      </c>
      <c r="E1732" s="24">
        <v>100901</v>
      </c>
    </row>
    <row r="1733" s="29" customFormat="1" ht="41" spans="2:5">
      <c r="B1733" s="19" t="s">
        <v>918</v>
      </c>
      <c r="C1733" s="20" t="s">
        <v>182</v>
      </c>
      <c r="D1733" s="21">
        <v>14</v>
      </c>
      <c r="E1733" s="22">
        <v>0</v>
      </c>
    </row>
    <row r="1734" s="29" customFormat="1" ht="28" spans="2:5">
      <c r="B1734" s="19" t="s">
        <v>918</v>
      </c>
      <c r="C1734" s="20" t="s">
        <v>804</v>
      </c>
      <c r="D1734" s="21">
        <v>5</v>
      </c>
      <c r="E1734" s="22">
        <v>0</v>
      </c>
    </row>
    <row r="1735" s="29" customFormat="1" ht="28.75" spans="2:5">
      <c r="B1735" s="19" t="s">
        <v>918</v>
      </c>
      <c r="C1735" s="16" t="s">
        <v>183</v>
      </c>
      <c r="D1735" s="23">
        <v>19</v>
      </c>
      <c r="E1735" s="24">
        <v>0</v>
      </c>
    </row>
    <row r="1736" s="29" customFormat="1" spans="2:5">
      <c r="B1736" s="25"/>
      <c r="C1736" s="25"/>
      <c r="D1736" s="25"/>
      <c r="E1736" s="25"/>
    </row>
    <row r="1737" s="29" customFormat="1" ht="36" spans="2:5">
      <c r="B1737" s="26" t="s">
        <v>189</v>
      </c>
      <c r="C1737" s="26" t="s">
        <v>189</v>
      </c>
      <c r="D1737" s="26" t="s">
        <v>189</v>
      </c>
      <c r="E1737" s="26" t="s">
        <v>189</v>
      </c>
    </row>
    <row r="1738" s="29" customFormat="1" spans="2:5">
      <c r="B1738" s="26"/>
      <c r="C1738" s="26"/>
      <c r="D1738" s="26"/>
      <c r="E1738" s="26"/>
    </row>
    <row r="1739" s="29" customFormat="1" ht="36" spans="2:5">
      <c r="B1739" s="26" t="s">
        <v>1653</v>
      </c>
      <c r="C1739" s="26" t="s">
        <v>1653</v>
      </c>
      <c r="D1739" s="26" t="s">
        <v>1653</v>
      </c>
      <c r="E1739" s="26" t="s">
        <v>1653</v>
      </c>
    </row>
    <row r="1740" s="29" customFormat="1" spans="2:5">
      <c r="B1740" s="26" t="s">
        <v>1389</v>
      </c>
      <c r="C1740" s="26" t="s">
        <v>1389</v>
      </c>
      <c r="D1740" s="26" t="s">
        <v>1389</v>
      </c>
      <c r="E1740" s="26" t="s">
        <v>1389</v>
      </c>
    </row>
    <row r="1741" s="29" customFormat="1" ht="124" spans="2:5">
      <c r="B1741" s="11" t="s">
        <v>173</v>
      </c>
      <c r="C1741" s="11" t="s">
        <v>173</v>
      </c>
      <c r="D1741" s="11" t="s">
        <v>173</v>
      </c>
      <c r="E1741" s="11" t="s">
        <v>173</v>
      </c>
    </row>
    <row r="1742" s="29" customFormat="1" ht="156" spans="2:5">
      <c r="B1742" s="12" t="s">
        <v>174</v>
      </c>
      <c r="C1742" s="12" t="s">
        <v>174</v>
      </c>
      <c r="D1742" s="12" t="s">
        <v>174</v>
      </c>
      <c r="E1742" s="12" t="s">
        <v>174</v>
      </c>
    </row>
    <row r="1743" s="29" customFormat="1" ht="68" spans="2:5">
      <c r="B1743" s="13" t="s">
        <v>1645</v>
      </c>
      <c r="C1743" s="13" t="s">
        <v>1645</v>
      </c>
      <c r="D1743" s="13" t="s">
        <v>1645</v>
      </c>
      <c r="E1743" s="13" t="s">
        <v>1645</v>
      </c>
    </row>
    <row r="1744" s="29" customFormat="1" ht="22" spans="2:5">
      <c r="B1744" s="14" t="s">
        <v>176</v>
      </c>
      <c r="C1744" s="14" t="s">
        <v>176</v>
      </c>
      <c r="D1744" s="14" t="s">
        <v>176</v>
      </c>
      <c r="E1744" s="14" t="s">
        <v>176</v>
      </c>
    </row>
    <row r="1745" s="29" customFormat="1" spans="2:5">
      <c r="B1745" s="15" t="s">
        <v>177</v>
      </c>
      <c r="C1745" s="16" t="s">
        <v>178</v>
      </c>
      <c r="D1745" s="17" t="s">
        <v>179</v>
      </c>
      <c r="E1745" s="18" t="s">
        <v>180</v>
      </c>
    </row>
    <row r="1746" s="29" customFormat="1" ht="41" spans="2:5">
      <c r="B1746" s="19" t="s">
        <v>919</v>
      </c>
      <c r="C1746" s="20" t="s">
        <v>182</v>
      </c>
      <c r="D1746" s="21">
        <v>24</v>
      </c>
      <c r="E1746" s="22">
        <v>302702.702703</v>
      </c>
    </row>
    <row r="1747" s="29" customFormat="1" ht="28" spans="2:5">
      <c r="B1747" s="19" t="s">
        <v>919</v>
      </c>
      <c r="C1747" s="16" t="s">
        <v>183</v>
      </c>
      <c r="D1747" s="23">
        <v>24</v>
      </c>
      <c r="E1747" s="24">
        <v>302702.702703</v>
      </c>
    </row>
    <row r="1748" s="29" customFormat="1" ht="41" spans="2:5">
      <c r="B1748" s="19" t="s">
        <v>757</v>
      </c>
      <c r="C1748" s="20" t="s">
        <v>182</v>
      </c>
      <c r="D1748" s="21">
        <v>23</v>
      </c>
      <c r="E1748" s="22">
        <v>573873.873874</v>
      </c>
    </row>
    <row r="1749" s="29" customFormat="1" ht="28" spans="2:5">
      <c r="B1749" s="19" t="s">
        <v>757</v>
      </c>
      <c r="C1749" s="20" t="s">
        <v>804</v>
      </c>
      <c r="D1749" s="21">
        <v>7</v>
      </c>
      <c r="E1749" s="22">
        <v>573873.927928</v>
      </c>
    </row>
    <row r="1750" s="29" customFormat="1" ht="28" spans="2:5">
      <c r="B1750" s="19" t="s">
        <v>757</v>
      </c>
      <c r="C1750" s="16" t="s">
        <v>183</v>
      </c>
      <c r="D1750" s="23">
        <v>30</v>
      </c>
      <c r="E1750" s="24">
        <v>1147747.801802</v>
      </c>
    </row>
    <row r="1751" s="29" customFormat="1" ht="41" spans="2:5">
      <c r="B1751" s="19" t="s">
        <v>632</v>
      </c>
      <c r="C1751" s="20" t="s">
        <v>182</v>
      </c>
      <c r="D1751" s="21">
        <v>26</v>
      </c>
      <c r="E1751" s="22">
        <v>0</v>
      </c>
    </row>
    <row r="1752" s="29" customFormat="1" ht="28" spans="2:5">
      <c r="B1752" s="19" t="s">
        <v>632</v>
      </c>
      <c r="C1752" s="20" t="s">
        <v>804</v>
      </c>
      <c r="D1752" s="21">
        <v>11</v>
      </c>
      <c r="E1752" s="22">
        <v>0</v>
      </c>
    </row>
    <row r="1753" s="29" customFormat="1" ht="28" spans="2:5">
      <c r="B1753" s="19" t="s">
        <v>632</v>
      </c>
      <c r="C1753" s="16" t="s">
        <v>183</v>
      </c>
      <c r="D1753" s="23">
        <v>37</v>
      </c>
      <c r="E1753" s="24">
        <v>0</v>
      </c>
    </row>
    <row r="1754" s="29" customFormat="1" ht="28" spans="2:5">
      <c r="B1754" s="19" t="s">
        <v>1104</v>
      </c>
      <c r="C1754" s="20" t="s">
        <v>804</v>
      </c>
      <c r="D1754" s="21">
        <v>14</v>
      </c>
      <c r="E1754" s="22">
        <v>225225.225225</v>
      </c>
    </row>
    <row r="1755" s="29" customFormat="1" ht="28" spans="2:5">
      <c r="B1755" s="19" t="s">
        <v>1104</v>
      </c>
      <c r="C1755" s="16" t="s">
        <v>183</v>
      </c>
      <c r="D1755" s="23">
        <v>14</v>
      </c>
      <c r="E1755" s="24">
        <v>225225.225225</v>
      </c>
    </row>
    <row r="1756" s="29" customFormat="1" ht="41" spans="2:5">
      <c r="B1756" s="19" t="s">
        <v>920</v>
      </c>
      <c r="C1756" s="20" t="s">
        <v>182</v>
      </c>
      <c r="D1756" s="21">
        <v>12</v>
      </c>
      <c r="E1756" s="22">
        <v>442342.342342</v>
      </c>
    </row>
    <row r="1757" s="29" customFormat="1" ht="28" spans="2:5">
      <c r="B1757" s="19" t="s">
        <v>920</v>
      </c>
      <c r="C1757" s="20" t="s">
        <v>804</v>
      </c>
      <c r="D1757" s="21">
        <v>13</v>
      </c>
      <c r="E1757" s="22">
        <v>442342.342342</v>
      </c>
    </row>
    <row r="1758" s="29" customFormat="1" ht="28.75" spans="2:5">
      <c r="B1758" s="19" t="s">
        <v>920</v>
      </c>
      <c r="C1758" s="16" t="s">
        <v>183</v>
      </c>
      <c r="D1758" s="23">
        <v>25</v>
      </c>
      <c r="E1758" s="24">
        <v>884684.684684</v>
      </c>
    </row>
    <row r="1759" s="29" customFormat="1" spans="2:5">
      <c r="B1759" s="25"/>
      <c r="C1759" s="25"/>
      <c r="D1759" s="25"/>
      <c r="E1759" s="25"/>
    </row>
    <row r="1760" s="29" customFormat="1" ht="36" spans="2:5">
      <c r="B1760" s="26" t="s">
        <v>189</v>
      </c>
      <c r="C1760" s="26" t="s">
        <v>189</v>
      </c>
      <c r="D1760" s="26" t="s">
        <v>189</v>
      </c>
      <c r="E1760" s="26" t="s">
        <v>189</v>
      </c>
    </row>
    <row r="1761" s="29" customFormat="1" spans="2:5">
      <c r="B1761" s="26"/>
      <c r="C1761" s="26"/>
      <c r="D1761" s="26"/>
      <c r="E1761" s="26"/>
    </row>
    <row r="1762" s="29" customFormat="1" ht="36" spans="2:5">
      <c r="B1762" s="26" t="s">
        <v>1653</v>
      </c>
      <c r="C1762" s="26" t="s">
        <v>1653</v>
      </c>
      <c r="D1762" s="26" t="s">
        <v>1653</v>
      </c>
      <c r="E1762" s="26" t="s">
        <v>1653</v>
      </c>
    </row>
    <row r="1763" s="29" customFormat="1" spans="2:5">
      <c r="B1763" s="26" t="s">
        <v>1396</v>
      </c>
      <c r="C1763" s="26" t="s">
        <v>1396</v>
      </c>
      <c r="D1763" s="26" t="s">
        <v>1396</v>
      </c>
      <c r="E1763" s="26" t="s">
        <v>1396</v>
      </c>
    </row>
    <row r="1764" s="29" customFormat="1" ht="124" spans="2:5">
      <c r="B1764" s="11" t="s">
        <v>173</v>
      </c>
      <c r="C1764" s="11" t="s">
        <v>173</v>
      </c>
      <c r="D1764" s="11" t="s">
        <v>173</v>
      </c>
      <c r="E1764" s="11" t="s">
        <v>173</v>
      </c>
    </row>
    <row r="1765" s="29" customFormat="1" ht="156" spans="2:5">
      <c r="B1765" s="12" t="s">
        <v>174</v>
      </c>
      <c r="C1765" s="12" t="s">
        <v>174</v>
      </c>
      <c r="D1765" s="12" t="s">
        <v>174</v>
      </c>
      <c r="E1765" s="12" t="s">
        <v>174</v>
      </c>
    </row>
    <row r="1766" s="29" customFormat="1" ht="68" spans="2:5">
      <c r="B1766" s="13" t="s">
        <v>1645</v>
      </c>
      <c r="C1766" s="13" t="s">
        <v>1645</v>
      </c>
      <c r="D1766" s="13" t="s">
        <v>1645</v>
      </c>
      <c r="E1766" s="13" t="s">
        <v>1645</v>
      </c>
    </row>
    <row r="1767" s="29" customFormat="1" ht="22" spans="2:5">
      <c r="B1767" s="14" t="s">
        <v>176</v>
      </c>
      <c r="C1767" s="14" t="s">
        <v>176</v>
      </c>
      <c r="D1767" s="14" t="s">
        <v>176</v>
      </c>
      <c r="E1767" s="14" t="s">
        <v>176</v>
      </c>
    </row>
    <row r="1768" s="29" customFormat="1" spans="2:5">
      <c r="B1768" s="15" t="s">
        <v>177</v>
      </c>
      <c r="C1768" s="16" t="s">
        <v>178</v>
      </c>
      <c r="D1768" s="17" t="s">
        <v>179</v>
      </c>
      <c r="E1768" s="18" t="s">
        <v>180</v>
      </c>
    </row>
    <row r="1769" s="29" customFormat="1" ht="41" spans="2:5">
      <c r="B1769" s="19" t="s">
        <v>633</v>
      </c>
      <c r="C1769" s="20" t="s">
        <v>182</v>
      </c>
      <c r="D1769" s="21">
        <v>29</v>
      </c>
      <c r="E1769" s="22">
        <v>151351.351351</v>
      </c>
    </row>
    <row r="1770" s="29" customFormat="1" ht="28" spans="2:5">
      <c r="B1770" s="19" t="s">
        <v>633</v>
      </c>
      <c r="C1770" s="20" t="s">
        <v>804</v>
      </c>
      <c r="D1770" s="21">
        <v>26</v>
      </c>
      <c r="E1770" s="22">
        <v>302702.855856</v>
      </c>
    </row>
    <row r="1771" s="29" customFormat="1" ht="28" spans="2:5">
      <c r="B1771" s="19" t="s">
        <v>633</v>
      </c>
      <c r="C1771" s="16" t="s">
        <v>183</v>
      </c>
      <c r="D1771" s="23">
        <v>55</v>
      </c>
      <c r="E1771" s="24">
        <v>454054.207207</v>
      </c>
    </row>
    <row r="1772" s="29" customFormat="1" ht="41" spans="2:5">
      <c r="B1772" s="19" t="s">
        <v>634</v>
      </c>
      <c r="C1772" s="20" t="s">
        <v>182</v>
      </c>
      <c r="D1772" s="21">
        <v>9</v>
      </c>
      <c r="E1772" s="22">
        <v>0</v>
      </c>
    </row>
    <row r="1773" s="29" customFormat="1" ht="28" spans="2:5">
      <c r="B1773" s="19" t="s">
        <v>634</v>
      </c>
      <c r="C1773" s="20" t="s">
        <v>804</v>
      </c>
      <c r="D1773" s="21">
        <v>2</v>
      </c>
      <c r="E1773" s="22">
        <v>0</v>
      </c>
    </row>
    <row r="1774" s="29" customFormat="1" ht="28" spans="2:5">
      <c r="B1774" s="19" t="s">
        <v>634</v>
      </c>
      <c r="C1774" s="16" t="s">
        <v>183</v>
      </c>
      <c r="D1774" s="23">
        <v>11</v>
      </c>
      <c r="E1774" s="24">
        <v>0</v>
      </c>
    </row>
    <row r="1775" s="29" customFormat="1" ht="41" spans="2:5">
      <c r="B1775" s="19" t="s">
        <v>921</v>
      </c>
      <c r="C1775" s="20" t="s">
        <v>182</v>
      </c>
      <c r="D1775" s="21">
        <v>19</v>
      </c>
      <c r="E1775" s="22">
        <v>1523423.423425</v>
      </c>
    </row>
    <row r="1776" s="29" customFormat="1" ht="28" spans="2:5">
      <c r="B1776" s="19" t="s">
        <v>921</v>
      </c>
      <c r="C1776" s="20" t="s">
        <v>804</v>
      </c>
      <c r="D1776" s="21">
        <v>26</v>
      </c>
      <c r="E1776" s="22">
        <v>2084684.684686</v>
      </c>
    </row>
    <row r="1777" s="29" customFormat="1" ht="28" spans="2:5">
      <c r="B1777" s="19" t="s">
        <v>921</v>
      </c>
      <c r="C1777" s="16" t="s">
        <v>183</v>
      </c>
      <c r="D1777" s="23">
        <v>45</v>
      </c>
      <c r="E1777" s="24">
        <v>3608108.108111</v>
      </c>
    </row>
    <row r="1778" s="29" customFormat="1" ht="41" spans="2:5">
      <c r="B1778" s="19" t="s">
        <v>635</v>
      </c>
      <c r="C1778" s="20" t="s">
        <v>182</v>
      </c>
      <c r="D1778" s="21">
        <v>24</v>
      </c>
      <c r="E1778" s="22">
        <v>2616216.216216</v>
      </c>
    </row>
    <row r="1779" s="29" customFormat="1" ht="28" spans="2:5">
      <c r="B1779" s="19" t="s">
        <v>635</v>
      </c>
      <c r="C1779" s="20" t="s">
        <v>804</v>
      </c>
      <c r="D1779" s="21">
        <v>13</v>
      </c>
      <c r="E1779" s="22">
        <v>1417117.117117</v>
      </c>
    </row>
    <row r="1780" s="29" customFormat="1" ht="28" spans="2:5">
      <c r="B1780" s="19" t="s">
        <v>635</v>
      </c>
      <c r="C1780" s="16" t="s">
        <v>183</v>
      </c>
      <c r="D1780" s="23">
        <v>37</v>
      </c>
      <c r="E1780" s="24">
        <v>4033333.333333</v>
      </c>
    </row>
    <row r="1781" s="29" customFormat="1" ht="41.75" spans="2:5">
      <c r="B1781" s="20" t="s">
        <v>636</v>
      </c>
      <c r="C1781" s="20" t="s">
        <v>182</v>
      </c>
      <c r="D1781" s="21">
        <v>43</v>
      </c>
      <c r="E1781" s="22">
        <v>5024324.234232</v>
      </c>
    </row>
    <row r="1782" s="29" customFormat="1" spans="2:5">
      <c r="B1782" s="25"/>
      <c r="C1782" s="25"/>
      <c r="D1782" s="25"/>
      <c r="E1782" s="25"/>
    </row>
    <row r="1783" s="29" customFormat="1" ht="36" spans="2:5">
      <c r="B1783" s="26" t="s">
        <v>189</v>
      </c>
      <c r="C1783" s="26" t="s">
        <v>189</v>
      </c>
      <c r="D1783" s="26" t="s">
        <v>189</v>
      </c>
      <c r="E1783" s="26" t="s">
        <v>189</v>
      </c>
    </row>
    <row r="1784" s="29" customFormat="1" spans="2:5">
      <c r="B1784" s="26"/>
      <c r="C1784" s="26"/>
      <c r="D1784" s="26"/>
      <c r="E1784" s="26"/>
    </row>
    <row r="1785" s="29" customFormat="1" ht="36" spans="2:5">
      <c r="B1785" s="26" t="s">
        <v>1653</v>
      </c>
      <c r="C1785" s="26" t="s">
        <v>1653</v>
      </c>
      <c r="D1785" s="26" t="s">
        <v>1653</v>
      </c>
      <c r="E1785" s="26" t="s">
        <v>1653</v>
      </c>
    </row>
    <row r="1786" s="29" customFormat="1" spans="2:5">
      <c r="B1786" s="26" t="s">
        <v>1403</v>
      </c>
      <c r="C1786" s="26" t="s">
        <v>1403</v>
      </c>
      <c r="D1786" s="26" t="s">
        <v>1403</v>
      </c>
      <c r="E1786" s="26" t="s">
        <v>1403</v>
      </c>
    </row>
    <row r="1787" s="29" customFormat="1" ht="124" spans="2:5">
      <c r="B1787" s="11" t="s">
        <v>173</v>
      </c>
      <c r="C1787" s="11" t="s">
        <v>173</v>
      </c>
      <c r="D1787" s="11" t="s">
        <v>173</v>
      </c>
      <c r="E1787" s="11" t="s">
        <v>173</v>
      </c>
    </row>
    <row r="1788" s="29" customFormat="1" ht="156" spans="2:5">
      <c r="B1788" s="12" t="s">
        <v>174</v>
      </c>
      <c r="C1788" s="12" t="s">
        <v>174</v>
      </c>
      <c r="D1788" s="12" t="s">
        <v>174</v>
      </c>
      <c r="E1788" s="12" t="s">
        <v>174</v>
      </c>
    </row>
    <row r="1789" s="29" customFormat="1" ht="68" spans="2:5">
      <c r="B1789" s="13" t="s">
        <v>1645</v>
      </c>
      <c r="C1789" s="13" t="s">
        <v>1645</v>
      </c>
      <c r="D1789" s="13" t="s">
        <v>1645</v>
      </c>
      <c r="E1789" s="13" t="s">
        <v>1645</v>
      </c>
    </row>
    <row r="1790" s="29" customFormat="1" ht="22" spans="2:5">
      <c r="B1790" s="14" t="s">
        <v>176</v>
      </c>
      <c r="C1790" s="14" t="s">
        <v>176</v>
      </c>
      <c r="D1790" s="14" t="s">
        <v>176</v>
      </c>
      <c r="E1790" s="14" t="s">
        <v>176</v>
      </c>
    </row>
    <row r="1791" s="29" customFormat="1" spans="2:5">
      <c r="B1791" s="15" t="s">
        <v>177</v>
      </c>
      <c r="C1791" s="16" t="s">
        <v>178</v>
      </c>
      <c r="D1791" s="17" t="s">
        <v>179</v>
      </c>
      <c r="E1791" s="18" t="s">
        <v>180</v>
      </c>
    </row>
    <row r="1792" s="29" customFormat="1" ht="28" spans="2:5">
      <c r="B1792" s="19" t="s">
        <v>636</v>
      </c>
      <c r="C1792" s="20" t="s">
        <v>804</v>
      </c>
      <c r="D1792" s="21">
        <v>4</v>
      </c>
      <c r="E1792" s="22">
        <v>515315.315315</v>
      </c>
    </row>
    <row r="1793" s="29" customFormat="1" ht="28" spans="2:5">
      <c r="B1793" s="19" t="s">
        <v>636</v>
      </c>
      <c r="C1793" s="16" t="s">
        <v>183</v>
      </c>
      <c r="D1793" s="23">
        <v>47</v>
      </c>
      <c r="E1793" s="24">
        <v>5539639.549547</v>
      </c>
    </row>
    <row r="1794" s="29" customFormat="1" ht="41" spans="2:5">
      <c r="B1794" s="19" t="s">
        <v>1778</v>
      </c>
      <c r="C1794" s="20" t="s">
        <v>182</v>
      </c>
      <c r="D1794" s="21">
        <v>1</v>
      </c>
      <c r="E1794" s="22">
        <v>1022000</v>
      </c>
    </row>
    <row r="1795" s="29" customFormat="1" ht="28" spans="2:5">
      <c r="B1795" s="19" t="s">
        <v>1778</v>
      </c>
      <c r="C1795" s="16" t="s">
        <v>183</v>
      </c>
      <c r="D1795" s="23">
        <v>1</v>
      </c>
      <c r="E1795" s="24">
        <v>1022000</v>
      </c>
    </row>
    <row r="1796" s="29" customFormat="1" ht="41" spans="2:5">
      <c r="B1796" s="19" t="s">
        <v>1779</v>
      </c>
      <c r="C1796" s="20" t="s">
        <v>182</v>
      </c>
      <c r="D1796" s="21">
        <v>1</v>
      </c>
      <c r="E1796" s="22">
        <v>1264900</v>
      </c>
    </row>
    <row r="1797" s="29" customFormat="1" spans="2:5">
      <c r="B1797" s="19" t="s">
        <v>1779</v>
      </c>
      <c r="C1797" s="16" t="s">
        <v>183</v>
      </c>
      <c r="D1797" s="23">
        <v>1</v>
      </c>
      <c r="E1797" s="24">
        <v>1264900</v>
      </c>
    </row>
    <row r="1798" s="29" customFormat="1" ht="28" spans="2:5">
      <c r="B1798" s="19" t="s">
        <v>389</v>
      </c>
      <c r="C1798" s="20" t="s">
        <v>804</v>
      </c>
      <c r="D1798" s="21">
        <v>65</v>
      </c>
      <c r="E1798" s="22">
        <v>0</v>
      </c>
    </row>
    <row r="1799" s="29" customFormat="1" ht="28" spans="2:5">
      <c r="B1799" s="19" t="s">
        <v>389</v>
      </c>
      <c r="C1799" s="16" t="s">
        <v>183</v>
      </c>
      <c r="D1799" s="23">
        <v>65</v>
      </c>
      <c r="E1799" s="24">
        <v>0</v>
      </c>
    </row>
    <row r="1800" s="29" customFormat="1" ht="28" spans="2:5">
      <c r="B1800" s="19" t="s">
        <v>1780</v>
      </c>
      <c r="C1800" s="20" t="s">
        <v>804</v>
      </c>
      <c r="D1800" s="21">
        <v>4</v>
      </c>
      <c r="E1800" s="22">
        <v>1460000</v>
      </c>
    </row>
    <row r="1801" s="29" customFormat="1" spans="2:5">
      <c r="B1801" s="19" t="s">
        <v>1780</v>
      </c>
      <c r="C1801" s="16" t="s">
        <v>183</v>
      </c>
      <c r="D1801" s="23">
        <v>4</v>
      </c>
      <c r="E1801" s="24">
        <v>1460000</v>
      </c>
    </row>
    <row r="1802" s="29" customFormat="1" ht="28" spans="2:5">
      <c r="B1802" s="19" t="s">
        <v>1781</v>
      </c>
      <c r="C1802" s="20" t="s">
        <v>804</v>
      </c>
      <c r="D1802" s="21">
        <v>1</v>
      </c>
      <c r="E1802" s="22">
        <v>2083783.783784</v>
      </c>
    </row>
    <row r="1803" s="29" customFormat="1" spans="2:5">
      <c r="B1803" s="19" t="s">
        <v>1781</v>
      </c>
      <c r="C1803" s="16" t="s">
        <v>183</v>
      </c>
      <c r="D1803" s="23">
        <v>1</v>
      </c>
      <c r="E1803" s="24">
        <v>2083783.783784</v>
      </c>
    </row>
    <row r="1804" s="29" customFormat="1" ht="28" spans="2:5">
      <c r="B1804" s="19" t="s">
        <v>1782</v>
      </c>
      <c r="C1804" s="20" t="s">
        <v>1664</v>
      </c>
      <c r="D1804" s="21">
        <v>1</v>
      </c>
      <c r="E1804" s="22">
        <v>300000</v>
      </c>
    </row>
    <row r="1805" s="29" customFormat="1" ht="28.75" spans="2:5">
      <c r="B1805" s="19" t="s">
        <v>1782</v>
      </c>
      <c r="C1805" s="16" t="s">
        <v>183</v>
      </c>
      <c r="D1805" s="23">
        <v>1</v>
      </c>
      <c r="E1805" s="24">
        <v>300000</v>
      </c>
    </row>
    <row r="1806" s="29" customFormat="1" spans="2:5">
      <c r="B1806" s="25"/>
      <c r="C1806" s="25"/>
      <c r="D1806" s="25"/>
      <c r="E1806" s="25"/>
    </row>
    <row r="1807" s="29" customFormat="1" ht="36" spans="2:5">
      <c r="B1807" s="26" t="s">
        <v>189</v>
      </c>
      <c r="C1807" s="26" t="s">
        <v>189</v>
      </c>
      <c r="D1807" s="26" t="s">
        <v>189</v>
      </c>
      <c r="E1807" s="26" t="s">
        <v>189</v>
      </c>
    </row>
    <row r="1808" s="29" customFormat="1" spans="2:5">
      <c r="B1808" s="26"/>
      <c r="C1808" s="26"/>
      <c r="D1808" s="26"/>
      <c r="E1808" s="26"/>
    </row>
    <row r="1809" s="29" customFormat="1" ht="36" spans="2:5">
      <c r="B1809" s="26" t="s">
        <v>1653</v>
      </c>
      <c r="C1809" s="26" t="s">
        <v>1653</v>
      </c>
      <c r="D1809" s="26" t="s">
        <v>1653</v>
      </c>
      <c r="E1809" s="26" t="s">
        <v>1653</v>
      </c>
    </row>
    <row r="1810" s="29" customFormat="1" spans="2:5">
      <c r="B1810" s="26" t="s">
        <v>1409</v>
      </c>
      <c r="C1810" s="26" t="s">
        <v>1409</v>
      </c>
      <c r="D1810" s="26" t="s">
        <v>1409</v>
      </c>
      <c r="E1810" s="26" t="s">
        <v>1409</v>
      </c>
    </row>
    <row r="1811" s="29" customFormat="1" ht="124" spans="2:5">
      <c r="B1811" s="11" t="s">
        <v>173</v>
      </c>
      <c r="C1811" s="11" t="s">
        <v>173</v>
      </c>
      <c r="D1811" s="11" t="s">
        <v>173</v>
      </c>
      <c r="E1811" s="11" t="s">
        <v>173</v>
      </c>
    </row>
    <row r="1812" s="29" customFormat="1" ht="156" spans="2:5">
      <c r="B1812" s="12" t="s">
        <v>174</v>
      </c>
      <c r="C1812" s="12" t="s">
        <v>174</v>
      </c>
      <c r="D1812" s="12" t="s">
        <v>174</v>
      </c>
      <c r="E1812" s="12" t="s">
        <v>174</v>
      </c>
    </row>
    <row r="1813" s="29" customFormat="1" ht="68" spans="2:5">
      <c r="B1813" s="13" t="s">
        <v>1645</v>
      </c>
      <c r="C1813" s="13" t="s">
        <v>1645</v>
      </c>
      <c r="D1813" s="13" t="s">
        <v>1645</v>
      </c>
      <c r="E1813" s="13" t="s">
        <v>1645</v>
      </c>
    </row>
    <row r="1814" s="29" customFormat="1" ht="22" spans="2:5">
      <c r="B1814" s="14" t="s">
        <v>176</v>
      </c>
      <c r="C1814" s="14" t="s">
        <v>176</v>
      </c>
      <c r="D1814" s="14" t="s">
        <v>176</v>
      </c>
      <c r="E1814" s="14" t="s">
        <v>176</v>
      </c>
    </row>
    <row r="1815" s="29" customFormat="1" spans="2:5">
      <c r="B1815" s="15" t="s">
        <v>177</v>
      </c>
      <c r="C1815" s="16" t="s">
        <v>178</v>
      </c>
      <c r="D1815" s="17" t="s">
        <v>179</v>
      </c>
      <c r="E1815" s="18" t="s">
        <v>180</v>
      </c>
    </row>
    <row r="1816" s="29" customFormat="1" ht="41" spans="2:5">
      <c r="B1816" s="19" t="s">
        <v>1783</v>
      </c>
      <c r="C1816" s="20" t="s">
        <v>182</v>
      </c>
      <c r="D1816" s="21">
        <v>2</v>
      </c>
      <c r="E1816" s="22">
        <v>396000</v>
      </c>
    </row>
    <row r="1817" s="29" customFormat="1" ht="28" spans="2:5">
      <c r="B1817" s="19" t="s">
        <v>1783</v>
      </c>
      <c r="C1817" s="16" t="s">
        <v>183</v>
      </c>
      <c r="D1817" s="23">
        <v>2</v>
      </c>
      <c r="E1817" s="24">
        <v>396000</v>
      </c>
    </row>
    <row r="1818" s="29" customFormat="1" ht="28" spans="2:5">
      <c r="B1818" s="19" t="s">
        <v>1784</v>
      </c>
      <c r="C1818" s="20" t="s">
        <v>1664</v>
      </c>
      <c r="D1818" s="21">
        <v>2</v>
      </c>
      <c r="E1818" s="22">
        <v>930000</v>
      </c>
    </row>
    <row r="1819" s="29" customFormat="1" ht="28" spans="2:5">
      <c r="B1819" s="19" t="s">
        <v>1784</v>
      </c>
      <c r="C1819" s="16" t="s">
        <v>183</v>
      </c>
      <c r="D1819" s="23">
        <v>2</v>
      </c>
      <c r="E1819" s="24">
        <v>930000</v>
      </c>
    </row>
    <row r="1820" s="29" customFormat="1" ht="28" spans="2:5">
      <c r="B1820" s="19" t="s">
        <v>1785</v>
      </c>
      <c r="C1820" s="20" t="s">
        <v>1664</v>
      </c>
      <c r="D1820" s="21">
        <v>4</v>
      </c>
      <c r="E1820" s="22">
        <v>240000</v>
      </c>
    </row>
    <row r="1821" s="29" customFormat="1" ht="28" spans="2:5">
      <c r="B1821" s="19" t="s">
        <v>1785</v>
      </c>
      <c r="C1821" s="16" t="s">
        <v>183</v>
      </c>
      <c r="D1821" s="23">
        <v>4</v>
      </c>
      <c r="E1821" s="24">
        <v>240000</v>
      </c>
    </row>
    <row r="1822" s="29" customFormat="1" ht="41" spans="2:5">
      <c r="B1822" s="19" t="s">
        <v>1786</v>
      </c>
      <c r="C1822" s="20" t="s">
        <v>182</v>
      </c>
      <c r="D1822" s="21">
        <v>4</v>
      </c>
      <c r="E1822" s="22">
        <v>336000</v>
      </c>
    </row>
    <row r="1823" s="29" customFormat="1" ht="28" spans="2:5">
      <c r="B1823" s="19" t="s">
        <v>1786</v>
      </c>
      <c r="C1823" s="16" t="s">
        <v>183</v>
      </c>
      <c r="D1823" s="23">
        <v>4</v>
      </c>
      <c r="E1823" s="24">
        <v>336000</v>
      </c>
    </row>
    <row r="1824" s="29" customFormat="1" ht="41" spans="2:5">
      <c r="B1824" s="19" t="s">
        <v>1787</v>
      </c>
      <c r="C1824" s="20" t="s">
        <v>182</v>
      </c>
      <c r="D1824" s="21">
        <v>1</v>
      </c>
      <c r="E1824" s="22">
        <v>441000</v>
      </c>
    </row>
    <row r="1825" s="29" customFormat="1" ht="28" spans="2:5">
      <c r="B1825" s="19" t="s">
        <v>1787</v>
      </c>
      <c r="C1825" s="16" t="s">
        <v>183</v>
      </c>
      <c r="D1825" s="23">
        <v>1</v>
      </c>
      <c r="E1825" s="24">
        <v>441000</v>
      </c>
    </row>
    <row r="1826" s="29" customFormat="1" ht="41" spans="2:5">
      <c r="B1826" s="19" t="s">
        <v>1788</v>
      </c>
      <c r="C1826" s="20" t="s">
        <v>1191</v>
      </c>
      <c r="D1826" s="21">
        <v>1</v>
      </c>
      <c r="E1826" s="22">
        <v>340000</v>
      </c>
    </row>
    <row r="1827" s="29" customFormat="1" ht="28" spans="2:5">
      <c r="B1827" s="19" t="s">
        <v>1788</v>
      </c>
      <c r="C1827" s="16" t="s">
        <v>183</v>
      </c>
      <c r="D1827" s="23">
        <v>1</v>
      </c>
      <c r="E1827" s="24">
        <v>340000</v>
      </c>
    </row>
    <row r="1828" s="29" customFormat="1" ht="28" spans="2:5">
      <c r="B1828" s="19" t="s">
        <v>1789</v>
      </c>
      <c r="C1828" s="20" t="s">
        <v>804</v>
      </c>
      <c r="D1828" s="21">
        <v>1</v>
      </c>
      <c r="E1828" s="22">
        <v>635000</v>
      </c>
    </row>
    <row r="1829" s="29" customFormat="1" ht="17.55" spans="2:5">
      <c r="B1829" s="19" t="s">
        <v>1789</v>
      </c>
      <c r="C1829" s="16" t="s">
        <v>183</v>
      </c>
      <c r="D1829" s="23">
        <v>1</v>
      </c>
      <c r="E1829" s="24">
        <v>635000</v>
      </c>
    </row>
    <row r="1830" s="29" customFormat="1" spans="2:5">
      <c r="B1830" s="25"/>
      <c r="C1830" s="25"/>
      <c r="D1830" s="25"/>
      <c r="E1830" s="25"/>
    </row>
    <row r="1831" s="29" customFormat="1" ht="36" spans="2:5">
      <c r="B1831" s="26" t="s">
        <v>189</v>
      </c>
      <c r="C1831" s="26" t="s">
        <v>189</v>
      </c>
      <c r="D1831" s="26" t="s">
        <v>189</v>
      </c>
      <c r="E1831" s="26" t="s">
        <v>189</v>
      </c>
    </row>
    <row r="1832" s="29" customFormat="1" spans="2:5">
      <c r="B1832" s="26"/>
      <c r="C1832" s="26"/>
      <c r="D1832" s="26"/>
      <c r="E1832" s="26"/>
    </row>
    <row r="1833" s="29" customFormat="1" ht="36" spans="2:5">
      <c r="B1833" s="26" t="s">
        <v>1653</v>
      </c>
      <c r="C1833" s="26" t="s">
        <v>1653</v>
      </c>
      <c r="D1833" s="26" t="s">
        <v>1653</v>
      </c>
      <c r="E1833" s="26" t="s">
        <v>1653</v>
      </c>
    </row>
    <row r="1834" s="29" customFormat="1" spans="2:5">
      <c r="B1834" s="26" t="s">
        <v>1416</v>
      </c>
      <c r="C1834" s="26" t="s">
        <v>1416</v>
      </c>
      <c r="D1834" s="26" t="s">
        <v>1416</v>
      </c>
      <c r="E1834" s="26" t="s">
        <v>1416</v>
      </c>
    </row>
    <row r="1835" s="29" customFormat="1" ht="124" spans="2:5">
      <c r="B1835" s="11" t="s">
        <v>173</v>
      </c>
      <c r="C1835" s="11" t="s">
        <v>173</v>
      </c>
      <c r="D1835" s="11" t="s">
        <v>173</v>
      </c>
      <c r="E1835" s="11" t="s">
        <v>173</v>
      </c>
    </row>
    <row r="1836" s="29" customFormat="1" ht="156" spans="2:5">
      <c r="B1836" s="12" t="s">
        <v>174</v>
      </c>
      <c r="C1836" s="12" t="s">
        <v>174</v>
      </c>
      <c r="D1836" s="12" t="s">
        <v>174</v>
      </c>
      <c r="E1836" s="12" t="s">
        <v>174</v>
      </c>
    </row>
    <row r="1837" s="29" customFormat="1" ht="68" spans="2:5">
      <c r="B1837" s="13" t="s">
        <v>1645</v>
      </c>
      <c r="C1837" s="13" t="s">
        <v>1645</v>
      </c>
      <c r="D1837" s="13" t="s">
        <v>1645</v>
      </c>
      <c r="E1837" s="13" t="s">
        <v>1645</v>
      </c>
    </row>
    <row r="1838" s="29" customFormat="1" ht="22" spans="2:5">
      <c r="B1838" s="14" t="s">
        <v>176</v>
      </c>
      <c r="C1838" s="14" t="s">
        <v>176</v>
      </c>
      <c r="D1838" s="14" t="s">
        <v>176</v>
      </c>
      <c r="E1838" s="14" t="s">
        <v>176</v>
      </c>
    </row>
    <row r="1839" s="29" customFormat="1" spans="2:5">
      <c r="B1839" s="15" t="s">
        <v>177</v>
      </c>
      <c r="C1839" s="16" t="s">
        <v>178</v>
      </c>
      <c r="D1839" s="17" t="s">
        <v>179</v>
      </c>
      <c r="E1839" s="18" t="s">
        <v>180</v>
      </c>
    </row>
    <row r="1840" s="29" customFormat="1" ht="41" spans="2:5">
      <c r="B1840" s="19" t="s">
        <v>1111</v>
      </c>
      <c r="C1840" s="20" t="s">
        <v>182</v>
      </c>
      <c r="D1840" s="21">
        <v>1</v>
      </c>
      <c r="E1840" s="22">
        <v>0</v>
      </c>
    </row>
    <row r="1841" s="29" customFormat="1" ht="28" spans="2:5">
      <c r="B1841" s="19" t="s">
        <v>1111</v>
      </c>
      <c r="C1841" s="16" t="s">
        <v>183</v>
      </c>
      <c r="D1841" s="23">
        <v>1</v>
      </c>
      <c r="E1841" s="24">
        <v>0</v>
      </c>
    </row>
    <row r="1842" s="29" customFormat="1" ht="28" spans="2:5">
      <c r="B1842" s="19" t="s">
        <v>1790</v>
      </c>
      <c r="C1842" s="20" t="s">
        <v>804</v>
      </c>
      <c r="D1842" s="21">
        <v>1</v>
      </c>
      <c r="E1842" s="22">
        <v>3625000</v>
      </c>
    </row>
    <row r="1843" s="29" customFormat="1" spans="2:5">
      <c r="B1843" s="19" t="s">
        <v>1790</v>
      </c>
      <c r="C1843" s="16" t="s">
        <v>183</v>
      </c>
      <c r="D1843" s="23">
        <v>1</v>
      </c>
      <c r="E1843" s="24">
        <v>3625000</v>
      </c>
    </row>
    <row r="1844" s="29" customFormat="1" ht="41" spans="2:5">
      <c r="B1844" s="19" t="s">
        <v>1791</v>
      </c>
      <c r="C1844" s="20" t="s">
        <v>1191</v>
      </c>
      <c r="D1844" s="21">
        <v>2</v>
      </c>
      <c r="E1844" s="22">
        <v>2160000</v>
      </c>
    </row>
    <row r="1845" s="29" customFormat="1" ht="28" spans="2:5">
      <c r="B1845" s="19" t="s">
        <v>1791</v>
      </c>
      <c r="C1845" s="16" t="s">
        <v>183</v>
      </c>
      <c r="D1845" s="23">
        <v>2</v>
      </c>
      <c r="E1845" s="24">
        <v>2160000</v>
      </c>
    </row>
    <row r="1846" s="29" customFormat="1" ht="41" spans="2:5">
      <c r="B1846" s="19" t="s">
        <v>1792</v>
      </c>
      <c r="C1846" s="20" t="s">
        <v>1191</v>
      </c>
      <c r="D1846" s="21">
        <v>2</v>
      </c>
      <c r="E1846" s="22">
        <v>1752000</v>
      </c>
    </row>
    <row r="1847" s="29" customFormat="1" ht="28" spans="2:5">
      <c r="B1847" s="19" t="s">
        <v>1792</v>
      </c>
      <c r="C1847" s="16" t="s">
        <v>183</v>
      </c>
      <c r="D1847" s="23">
        <v>2</v>
      </c>
      <c r="E1847" s="24">
        <v>1752000</v>
      </c>
    </row>
    <row r="1848" s="29" customFormat="1" ht="41" spans="2:5">
      <c r="B1848" s="19" t="s">
        <v>1793</v>
      </c>
      <c r="C1848" s="20" t="s">
        <v>182</v>
      </c>
      <c r="D1848" s="21">
        <v>1</v>
      </c>
      <c r="E1848" s="22">
        <v>265000</v>
      </c>
    </row>
    <row r="1849" s="29" customFormat="1" ht="28" spans="2:5">
      <c r="B1849" s="19" t="s">
        <v>1793</v>
      </c>
      <c r="C1849" s="16" t="s">
        <v>183</v>
      </c>
      <c r="D1849" s="23">
        <v>1</v>
      </c>
      <c r="E1849" s="24">
        <v>265000</v>
      </c>
    </row>
    <row r="1850" s="29" customFormat="1" ht="41" spans="2:5">
      <c r="B1850" s="19" t="s">
        <v>1794</v>
      </c>
      <c r="C1850" s="20" t="s">
        <v>182</v>
      </c>
      <c r="D1850" s="21">
        <v>1</v>
      </c>
      <c r="E1850" s="22">
        <v>520000</v>
      </c>
    </row>
    <row r="1851" s="29" customFormat="1" ht="28" spans="2:5">
      <c r="B1851" s="19" t="s">
        <v>1794</v>
      </c>
      <c r="C1851" s="16" t="s">
        <v>183</v>
      </c>
      <c r="D1851" s="23">
        <v>1</v>
      </c>
      <c r="E1851" s="24">
        <v>520000</v>
      </c>
    </row>
    <row r="1852" s="29" customFormat="1" ht="41" spans="2:5">
      <c r="B1852" s="19" t="s">
        <v>1795</v>
      </c>
      <c r="C1852" s="20" t="s">
        <v>182</v>
      </c>
      <c r="D1852" s="21">
        <v>1</v>
      </c>
      <c r="E1852" s="22">
        <v>277000</v>
      </c>
    </row>
    <row r="1853" s="29" customFormat="1" ht="28.75" spans="2:5">
      <c r="B1853" s="19" t="s">
        <v>1795</v>
      </c>
      <c r="C1853" s="16" t="s">
        <v>183</v>
      </c>
      <c r="D1853" s="23">
        <v>1</v>
      </c>
      <c r="E1853" s="24">
        <v>277000</v>
      </c>
    </row>
    <row r="1854" s="29" customFormat="1" spans="2:5">
      <c r="B1854" s="25"/>
      <c r="C1854" s="25"/>
      <c r="D1854" s="25"/>
      <c r="E1854" s="25"/>
    </row>
    <row r="1855" s="29" customFormat="1" ht="36" spans="2:5">
      <c r="B1855" s="26" t="s">
        <v>189</v>
      </c>
      <c r="C1855" s="26" t="s">
        <v>189</v>
      </c>
      <c r="D1855" s="26" t="s">
        <v>189</v>
      </c>
      <c r="E1855" s="26" t="s">
        <v>189</v>
      </c>
    </row>
    <row r="1856" s="29" customFormat="1" spans="2:5">
      <c r="B1856" s="26"/>
      <c r="C1856" s="26"/>
      <c r="D1856" s="26"/>
      <c r="E1856" s="26"/>
    </row>
    <row r="1857" s="29" customFormat="1" ht="36" spans="2:5">
      <c r="B1857" s="26" t="s">
        <v>1653</v>
      </c>
      <c r="C1857" s="26" t="s">
        <v>1653</v>
      </c>
      <c r="D1857" s="26" t="s">
        <v>1653</v>
      </c>
      <c r="E1857" s="26" t="s">
        <v>1653</v>
      </c>
    </row>
    <row r="1858" s="29" customFormat="1" spans="2:5">
      <c r="B1858" s="26" t="s">
        <v>1422</v>
      </c>
      <c r="C1858" s="26" t="s">
        <v>1422</v>
      </c>
      <c r="D1858" s="26" t="s">
        <v>1422</v>
      </c>
      <c r="E1858" s="26" t="s">
        <v>1422</v>
      </c>
    </row>
    <row r="1859" s="29" customFormat="1" ht="124" spans="2:5">
      <c r="B1859" s="11" t="s">
        <v>173</v>
      </c>
      <c r="C1859" s="11" t="s">
        <v>173</v>
      </c>
      <c r="D1859" s="11" t="s">
        <v>173</v>
      </c>
      <c r="E1859" s="11" t="s">
        <v>173</v>
      </c>
    </row>
    <row r="1860" s="29" customFormat="1" ht="156" spans="2:5">
      <c r="B1860" s="12" t="s">
        <v>174</v>
      </c>
      <c r="C1860" s="12" t="s">
        <v>174</v>
      </c>
      <c r="D1860" s="12" t="s">
        <v>174</v>
      </c>
      <c r="E1860" s="12" t="s">
        <v>174</v>
      </c>
    </row>
    <row r="1861" s="29" customFormat="1" ht="68" spans="2:5">
      <c r="B1861" s="13" t="s">
        <v>1645</v>
      </c>
      <c r="C1861" s="13" t="s">
        <v>1645</v>
      </c>
      <c r="D1861" s="13" t="s">
        <v>1645</v>
      </c>
      <c r="E1861" s="13" t="s">
        <v>1645</v>
      </c>
    </row>
    <row r="1862" s="29" customFormat="1" ht="22" spans="2:5">
      <c r="B1862" s="14" t="s">
        <v>176</v>
      </c>
      <c r="C1862" s="14" t="s">
        <v>176</v>
      </c>
      <c r="D1862" s="14" t="s">
        <v>176</v>
      </c>
      <c r="E1862" s="14" t="s">
        <v>176</v>
      </c>
    </row>
    <row r="1863" s="29" customFormat="1" spans="2:5">
      <c r="B1863" s="15" t="s">
        <v>177</v>
      </c>
      <c r="C1863" s="16" t="s">
        <v>178</v>
      </c>
      <c r="D1863" s="17" t="s">
        <v>179</v>
      </c>
      <c r="E1863" s="18" t="s">
        <v>180</v>
      </c>
    </row>
    <row r="1864" s="29" customFormat="1" ht="41" spans="2:5">
      <c r="B1864" s="19" t="s">
        <v>1796</v>
      </c>
      <c r="C1864" s="20" t="s">
        <v>182</v>
      </c>
      <c r="D1864" s="21">
        <v>2</v>
      </c>
      <c r="E1864" s="22">
        <v>256000</v>
      </c>
    </row>
    <row r="1865" s="29" customFormat="1" ht="28" spans="2:5">
      <c r="B1865" s="19" t="s">
        <v>1796</v>
      </c>
      <c r="C1865" s="16" t="s">
        <v>183</v>
      </c>
      <c r="D1865" s="23">
        <v>2</v>
      </c>
      <c r="E1865" s="24">
        <v>256000</v>
      </c>
    </row>
    <row r="1866" s="29" customFormat="1" ht="41" spans="2:5">
      <c r="B1866" s="19" t="s">
        <v>390</v>
      </c>
      <c r="C1866" s="20" t="s">
        <v>182</v>
      </c>
      <c r="D1866" s="21">
        <v>1</v>
      </c>
      <c r="E1866" s="22">
        <v>0</v>
      </c>
    </row>
    <row r="1867" s="29" customFormat="1" ht="28" spans="2:5">
      <c r="B1867" s="19" t="s">
        <v>390</v>
      </c>
      <c r="C1867" s="16" t="s">
        <v>183</v>
      </c>
      <c r="D1867" s="23">
        <v>1</v>
      </c>
      <c r="E1867" s="24">
        <v>0</v>
      </c>
    </row>
    <row r="1868" s="29" customFormat="1" ht="41" spans="2:5">
      <c r="B1868" s="19" t="s">
        <v>646</v>
      </c>
      <c r="C1868" s="20" t="s">
        <v>182</v>
      </c>
      <c r="D1868" s="21">
        <v>1</v>
      </c>
      <c r="E1868" s="22">
        <v>0</v>
      </c>
    </row>
    <row r="1869" s="29" customFormat="1" ht="28" spans="2:5">
      <c r="B1869" s="19" t="s">
        <v>646</v>
      </c>
      <c r="C1869" s="20" t="s">
        <v>804</v>
      </c>
      <c r="D1869" s="21">
        <v>5</v>
      </c>
      <c r="E1869" s="22">
        <v>466666.666665</v>
      </c>
    </row>
    <row r="1870" s="29" customFormat="1" ht="28" spans="2:5">
      <c r="B1870" s="19" t="s">
        <v>646</v>
      </c>
      <c r="C1870" s="16" t="s">
        <v>183</v>
      </c>
      <c r="D1870" s="23">
        <v>6</v>
      </c>
      <c r="E1870" s="24">
        <v>466666.666665</v>
      </c>
    </row>
    <row r="1871" s="29" customFormat="1" ht="41" spans="2:5">
      <c r="B1871" s="19" t="s">
        <v>769</v>
      </c>
      <c r="C1871" s="20" t="s">
        <v>182</v>
      </c>
      <c r="D1871" s="21">
        <v>1</v>
      </c>
      <c r="E1871" s="22">
        <v>0</v>
      </c>
    </row>
    <row r="1872" s="29" customFormat="1" ht="28" spans="2:5">
      <c r="B1872" s="19" t="s">
        <v>769</v>
      </c>
      <c r="C1872" s="16" t="s">
        <v>183</v>
      </c>
      <c r="D1872" s="23">
        <v>1</v>
      </c>
      <c r="E1872" s="24">
        <v>0</v>
      </c>
    </row>
    <row r="1873" s="29" customFormat="1" ht="41" spans="2:5">
      <c r="B1873" s="19" t="s">
        <v>931</v>
      </c>
      <c r="C1873" s="20" t="s">
        <v>182</v>
      </c>
      <c r="D1873" s="21">
        <v>3</v>
      </c>
      <c r="E1873" s="22">
        <v>0</v>
      </c>
    </row>
    <row r="1874" s="29" customFormat="1" ht="28" spans="2:5">
      <c r="B1874" s="19" t="s">
        <v>931</v>
      </c>
      <c r="C1874" s="16" t="s">
        <v>183</v>
      </c>
      <c r="D1874" s="23">
        <v>3</v>
      </c>
      <c r="E1874" s="24">
        <v>0</v>
      </c>
    </row>
    <row r="1875" s="29" customFormat="1" ht="41" spans="2:5">
      <c r="B1875" s="19" t="s">
        <v>1797</v>
      </c>
      <c r="C1875" s="20" t="s">
        <v>182</v>
      </c>
      <c r="D1875" s="21">
        <v>1</v>
      </c>
      <c r="E1875" s="22">
        <v>350000</v>
      </c>
    </row>
    <row r="1876" s="29" customFormat="1" ht="28.75" spans="2:5">
      <c r="B1876" s="19" t="s">
        <v>1797</v>
      </c>
      <c r="C1876" s="16" t="s">
        <v>183</v>
      </c>
      <c r="D1876" s="23">
        <v>1</v>
      </c>
      <c r="E1876" s="24">
        <v>350000</v>
      </c>
    </row>
    <row r="1877" s="29" customFormat="1" spans="2:5">
      <c r="B1877" s="25"/>
      <c r="C1877" s="25"/>
      <c r="D1877" s="25"/>
      <c r="E1877" s="25"/>
    </row>
    <row r="1878" s="29" customFormat="1" ht="36" spans="2:5">
      <c r="B1878" s="26" t="s">
        <v>189</v>
      </c>
      <c r="C1878" s="26" t="s">
        <v>189</v>
      </c>
      <c r="D1878" s="26" t="s">
        <v>189</v>
      </c>
      <c r="E1878" s="26" t="s">
        <v>189</v>
      </c>
    </row>
    <row r="1879" s="29" customFormat="1" spans="2:5">
      <c r="B1879" s="26"/>
      <c r="C1879" s="26"/>
      <c r="D1879" s="26"/>
      <c r="E1879" s="26"/>
    </row>
    <row r="1880" s="29" customFormat="1" ht="36" spans="2:5">
      <c r="B1880" s="26" t="s">
        <v>1653</v>
      </c>
      <c r="C1880" s="26" t="s">
        <v>1653</v>
      </c>
      <c r="D1880" s="26" t="s">
        <v>1653</v>
      </c>
      <c r="E1880" s="26" t="s">
        <v>1653</v>
      </c>
    </row>
    <row r="1881" s="29" customFormat="1" spans="2:5">
      <c r="B1881" s="26" t="s">
        <v>1424</v>
      </c>
      <c r="C1881" s="26" t="s">
        <v>1424</v>
      </c>
      <c r="D1881" s="26" t="s">
        <v>1424</v>
      </c>
      <c r="E1881" s="26" t="s">
        <v>1424</v>
      </c>
    </row>
    <row r="1882" s="29" customFormat="1" ht="124" spans="2:5">
      <c r="B1882" s="11" t="s">
        <v>173</v>
      </c>
      <c r="C1882" s="11" t="s">
        <v>173</v>
      </c>
      <c r="D1882" s="11" t="s">
        <v>173</v>
      </c>
      <c r="E1882" s="11" t="s">
        <v>173</v>
      </c>
    </row>
    <row r="1883" s="29" customFormat="1" ht="156" spans="2:5">
      <c r="B1883" s="12" t="s">
        <v>174</v>
      </c>
      <c r="C1883" s="12" t="s">
        <v>174</v>
      </c>
      <c r="D1883" s="12" t="s">
        <v>174</v>
      </c>
      <c r="E1883" s="12" t="s">
        <v>174</v>
      </c>
    </row>
    <row r="1884" s="29" customFormat="1" ht="68" spans="2:5">
      <c r="B1884" s="13" t="s">
        <v>1645</v>
      </c>
      <c r="C1884" s="13" t="s">
        <v>1645</v>
      </c>
      <c r="D1884" s="13" t="s">
        <v>1645</v>
      </c>
      <c r="E1884" s="13" t="s">
        <v>1645</v>
      </c>
    </row>
    <row r="1885" s="29" customFormat="1" ht="22" spans="2:5">
      <c r="B1885" s="14" t="s">
        <v>176</v>
      </c>
      <c r="C1885" s="14" t="s">
        <v>176</v>
      </c>
      <c r="D1885" s="14" t="s">
        <v>176</v>
      </c>
      <c r="E1885" s="14" t="s">
        <v>176</v>
      </c>
    </row>
    <row r="1886" s="29" customFormat="1" spans="2:5">
      <c r="B1886" s="15" t="s">
        <v>177</v>
      </c>
      <c r="C1886" s="16" t="s">
        <v>178</v>
      </c>
      <c r="D1886" s="17" t="s">
        <v>179</v>
      </c>
      <c r="E1886" s="18" t="s">
        <v>180</v>
      </c>
    </row>
    <row r="1887" s="29" customFormat="1" ht="41" spans="2:5">
      <c r="B1887" s="19" t="s">
        <v>1798</v>
      </c>
      <c r="C1887" s="20" t="s">
        <v>182</v>
      </c>
      <c r="D1887" s="21">
        <v>1</v>
      </c>
      <c r="E1887" s="22">
        <v>400000</v>
      </c>
    </row>
    <row r="1888" s="29" customFormat="1" ht="28" spans="2:5">
      <c r="B1888" s="19" t="s">
        <v>1798</v>
      </c>
      <c r="C1888" s="16" t="s">
        <v>183</v>
      </c>
      <c r="D1888" s="23">
        <v>1</v>
      </c>
      <c r="E1888" s="24">
        <v>400000</v>
      </c>
    </row>
    <row r="1889" s="29" customFormat="1" ht="41" spans="2:5">
      <c r="B1889" s="19" t="s">
        <v>1799</v>
      </c>
      <c r="C1889" s="20" t="s">
        <v>182</v>
      </c>
      <c r="D1889" s="21">
        <v>1</v>
      </c>
      <c r="E1889" s="22">
        <v>295000</v>
      </c>
    </row>
    <row r="1890" s="29" customFormat="1" ht="28" spans="2:5">
      <c r="B1890" s="19" t="s">
        <v>1799</v>
      </c>
      <c r="C1890" s="16" t="s">
        <v>183</v>
      </c>
      <c r="D1890" s="23">
        <v>1</v>
      </c>
      <c r="E1890" s="24">
        <v>295000</v>
      </c>
    </row>
    <row r="1891" s="29" customFormat="1" ht="41" spans="2:5">
      <c r="B1891" s="19" t="s">
        <v>1800</v>
      </c>
      <c r="C1891" s="20" t="s">
        <v>182</v>
      </c>
      <c r="D1891" s="21">
        <v>1</v>
      </c>
      <c r="E1891" s="22">
        <v>305000</v>
      </c>
    </row>
    <row r="1892" s="29" customFormat="1" ht="41" spans="2:5">
      <c r="B1892" s="19" t="s">
        <v>1800</v>
      </c>
      <c r="C1892" s="16" t="s">
        <v>183</v>
      </c>
      <c r="D1892" s="23">
        <v>1</v>
      </c>
      <c r="E1892" s="24">
        <v>305000</v>
      </c>
    </row>
    <row r="1893" s="29" customFormat="1" ht="41" spans="2:5">
      <c r="B1893" s="19" t="s">
        <v>1801</v>
      </c>
      <c r="C1893" s="20" t="s">
        <v>182</v>
      </c>
      <c r="D1893" s="21">
        <v>1</v>
      </c>
      <c r="E1893" s="22">
        <v>204000</v>
      </c>
    </row>
    <row r="1894" s="29" customFormat="1" ht="41" spans="2:5">
      <c r="B1894" s="19" t="s">
        <v>1801</v>
      </c>
      <c r="C1894" s="16" t="s">
        <v>183</v>
      </c>
      <c r="D1894" s="23">
        <v>1</v>
      </c>
      <c r="E1894" s="24">
        <v>204000</v>
      </c>
    </row>
    <row r="1895" s="29" customFormat="1" ht="41" spans="2:5">
      <c r="B1895" s="19" t="s">
        <v>1802</v>
      </c>
      <c r="C1895" s="20" t="s">
        <v>182</v>
      </c>
      <c r="D1895" s="21">
        <v>1</v>
      </c>
      <c r="E1895" s="22">
        <v>294000</v>
      </c>
    </row>
    <row r="1896" s="29" customFormat="1" ht="41" spans="2:5">
      <c r="B1896" s="19" t="s">
        <v>1802</v>
      </c>
      <c r="C1896" s="16" t="s">
        <v>183</v>
      </c>
      <c r="D1896" s="23">
        <v>1</v>
      </c>
      <c r="E1896" s="24">
        <v>294000</v>
      </c>
    </row>
    <row r="1897" s="29" customFormat="1" ht="28" spans="2:5">
      <c r="B1897" s="19" t="s">
        <v>1803</v>
      </c>
      <c r="C1897" s="20" t="s">
        <v>804</v>
      </c>
      <c r="D1897" s="21">
        <v>1</v>
      </c>
      <c r="E1897" s="22">
        <v>653153</v>
      </c>
    </row>
    <row r="1898" s="29" customFormat="1" ht="28" spans="2:5">
      <c r="B1898" s="19" t="s">
        <v>1803</v>
      </c>
      <c r="C1898" s="16" t="s">
        <v>183</v>
      </c>
      <c r="D1898" s="23">
        <v>1</v>
      </c>
      <c r="E1898" s="24">
        <v>653153</v>
      </c>
    </row>
    <row r="1899" s="29" customFormat="1" ht="41" spans="2:5">
      <c r="B1899" s="19" t="s">
        <v>1804</v>
      </c>
      <c r="C1899" s="20" t="s">
        <v>182</v>
      </c>
      <c r="D1899" s="21">
        <v>1</v>
      </c>
      <c r="E1899" s="22">
        <v>458500</v>
      </c>
    </row>
    <row r="1900" s="29" customFormat="1" ht="28.75" spans="2:5">
      <c r="B1900" s="19" t="s">
        <v>1804</v>
      </c>
      <c r="C1900" s="16" t="s">
        <v>183</v>
      </c>
      <c r="D1900" s="23">
        <v>1</v>
      </c>
      <c r="E1900" s="24">
        <v>458500</v>
      </c>
    </row>
    <row r="1901" s="29" customFormat="1" spans="2:5">
      <c r="B1901" s="25"/>
      <c r="C1901" s="25"/>
      <c r="D1901" s="25"/>
      <c r="E1901" s="25"/>
    </row>
    <row r="1902" s="29" customFormat="1" ht="36" spans="2:5">
      <c r="B1902" s="26" t="s">
        <v>189</v>
      </c>
      <c r="C1902" s="26" t="s">
        <v>189</v>
      </c>
      <c r="D1902" s="26" t="s">
        <v>189</v>
      </c>
      <c r="E1902" s="26" t="s">
        <v>189</v>
      </c>
    </row>
    <row r="1903" s="29" customFormat="1" spans="2:5">
      <c r="B1903" s="26"/>
      <c r="C1903" s="26"/>
      <c r="D1903" s="26"/>
      <c r="E1903" s="26"/>
    </row>
    <row r="1904" s="29" customFormat="1" ht="36" spans="2:5">
      <c r="B1904" s="26" t="s">
        <v>1653</v>
      </c>
      <c r="C1904" s="26" t="s">
        <v>1653</v>
      </c>
      <c r="D1904" s="26" t="s">
        <v>1653</v>
      </c>
      <c r="E1904" s="26" t="s">
        <v>1653</v>
      </c>
    </row>
    <row r="1905" s="29" customFormat="1" spans="2:5">
      <c r="B1905" s="26" t="s">
        <v>1615</v>
      </c>
      <c r="C1905" s="26" t="s">
        <v>1615</v>
      </c>
      <c r="D1905" s="26" t="s">
        <v>1615</v>
      </c>
      <c r="E1905" s="26" t="s">
        <v>1615</v>
      </c>
    </row>
    <row r="1906" s="29" customFormat="1" ht="124" spans="2:5">
      <c r="B1906" s="11" t="s">
        <v>173</v>
      </c>
      <c r="C1906" s="11" t="s">
        <v>173</v>
      </c>
      <c r="D1906" s="11" t="s">
        <v>173</v>
      </c>
      <c r="E1906" s="11" t="s">
        <v>173</v>
      </c>
    </row>
    <row r="1907" s="29" customFormat="1" ht="156" spans="2:5">
      <c r="B1907" s="12" t="s">
        <v>174</v>
      </c>
      <c r="C1907" s="12" t="s">
        <v>174</v>
      </c>
      <c r="D1907" s="12" t="s">
        <v>174</v>
      </c>
      <c r="E1907" s="12" t="s">
        <v>174</v>
      </c>
    </row>
    <row r="1908" s="29" customFormat="1" ht="68" spans="2:5">
      <c r="B1908" s="13" t="s">
        <v>1645</v>
      </c>
      <c r="C1908" s="13" t="s">
        <v>1645</v>
      </c>
      <c r="D1908" s="13" t="s">
        <v>1645</v>
      </c>
      <c r="E1908" s="13" t="s">
        <v>1645</v>
      </c>
    </row>
    <row r="1909" s="29" customFormat="1" ht="22" spans="2:5">
      <c r="B1909" s="14" t="s">
        <v>176</v>
      </c>
      <c r="C1909" s="14" t="s">
        <v>176</v>
      </c>
      <c r="D1909" s="14" t="s">
        <v>176</v>
      </c>
      <c r="E1909" s="14" t="s">
        <v>176</v>
      </c>
    </row>
    <row r="1910" s="29" customFormat="1" spans="2:5">
      <c r="B1910" s="15" t="s">
        <v>177</v>
      </c>
      <c r="C1910" s="16" t="s">
        <v>178</v>
      </c>
      <c r="D1910" s="17" t="s">
        <v>179</v>
      </c>
      <c r="E1910" s="18" t="s">
        <v>180</v>
      </c>
    </row>
    <row r="1911" s="29" customFormat="1" ht="41" spans="2:5">
      <c r="B1911" s="19" t="s">
        <v>1805</v>
      </c>
      <c r="C1911" s="20" t="s">
        <v>182</v>
      </c>
      <c r="D1911" s="21">
        <v>2</v>
      </c>
      <c r="E1911" s="22">
        <v>850000</v>
      </c>
    </row>
    <row r="1912" s="29" customFormat="1" ht="28" spans="2:5">
      <c r="B1912" s="19" t="s">
        <v>1805</v>
      </c>
      <c r="C1912" s="16" t="s">
        <v>183</v>
      </c>
      <c r="D1912" s="23">
        <v>2</v>
      </c>
      <c r="E1912" s="24">
        <v>850000</v>
      </c>
    </row>
    <row r="1913" s="29" customFormat="1" ht="41" spans="2:5">
      <c r="B1913" s="19" t="s">
        <v>1806</v>
      </c>
      <c r="C1913" s="20" t="s">
        <v>1191</v>
      </c>
      <c r="D1913" s="21">
        <v>2</v>
      </c>
      <c r="E1913" s="22">
        <v>675000</v>
      </c>
    </row>
    <row r="1914" s="29" customFormat="1" ht="28" spans="2:5">
      <c r="B1914" s="19" t="s">
        <v>1806</v>
      </c>
      <c r="C1914" s="16" t="s">
        <v>183</v>
      </c>
      <c r="D1914" s="23">
        <v>2</v>
      </c>
      <c r="E1914" s="24">
        <v>675000</v>
      </c>
    </row>
    <row r="1915" s="29" customFormat="1" ht="41" spans="2:5">
      <c r="B1915" s="19" t="s">
        <v>1807</v>
      </c>
      <c r="C1915" s="20" t="s">
        <v>182</v>
      </c>
      <c r="D1915" s="21">
        <v>2</v>
      </c>
      <c r="E1915" s="22">
        <v>2720000</v>
      </c>
    </row>
    <row r="1916" s="29" customFormat="1" ht="28" spans="2:5">
      <c r="B1916" s="19" t="s">
        <v>1807</v>
      </c>
      <c r="C1916" s="16" t="s">
        <v>183</v>
      </c>
      <c r="D1916" s="23">
        <v>2</v>
      </c>
      <c r="E1916" s="24">
        <v>2720000</v>
      </c>
    </row>
    <row r="1917" s="29" customFormat="1" ht="41" spans="2:5">
      <c r="B1917" s="19" t="s">
        <v>1808</v>
      </c>
      <c r="C1917" s="20" t="s">
        <v>182</v>
      </c>
      <c r="D1917" s="21">
        <v>1</v>
      </c>
      <c r="E1917" s="22">
        <v>1400000</v>
      </c>
    </row>
    <row r="1918" s="29" customFormat="1" ht="28" spans="2:5">
      <c r="B1918" s="19" t="s">
        <v>1808</v>
      </c>
      <c r="C1918" s="16" t="s">
        <v>183</v>
      </c>
      <c r="D1918" s="23">
        <v>1</v>
      </c>
      <c r="E1918" s="24">
        <v>1400000</v>
      </c>
    </row>
    <row r="1919" s="29" customFormat="1" ht="41" spans="2:5">
      <c r="B1919" s="19" t="s">
        <v>1809</v>
      </c>
      <c r="C1919" s="20" t="s">
        <v>182</v>
      </c>
      <c r="D1919" s="21">
        <v>1</v>
      </c>
      <c r="E1919" s="22">
        <v>532000</v>
      </c>
    </row>
    <row r="1920" s="29" customFormat="1" ht="28" spans="2:5">
      <c r="B1920" s="19" t="s">
        <v>1809</v>
      </c>
      <c r="C1920" s="16" t="s">
        <v>183</v>
      </c>
      <c r="D1920" s="23">
        <v>1</v>
      </c>
      <c r="E1920" s="24">
        <v>532000</v>
      </c>
    </row>
    <row r="1921" s="29" customFormat="1" ht="41" spans="2:5">
      <c r="B1921" s="19" t="s">
        <v>1810</v>
      </c>
      <c r="C1921" s="20" t="s">
        <v>1191</v>
      </c>
      <c r="D1921" s="21">
        <v>1</v>
      </c>
      <c r="E1921" s="22">
        <v>1260000</v>
      </c>
    </row>
    <row r="1922" s="29" customFormat="1" ht="28" spans="2:5">
      <c r="B1922" s="19" t="s">
        <v>1810</v>
      </c>
      <c r="C1922" s="16" t="s">
        <v>183</v>
      </c>
      <c r="D1922" s="23">
        <v>1</v>
      </c>
      <c r="E1922" s="24">
        <v>1260000</v>
      </c>
    </row>
    <row r="1923" s="29" customFormat="1" ht="41" spans="2:5">
      <c r="B1923" s="19" t="s">
        <v>1811</v>
      </c>
      <c r="C1923" s="20" t="s">
        <v>1191</v>
      </c>
      <c r="D1923" s="21">
        <v>1</v>
      </c>
      <c r="E1923" s="22">
        <v>949000</v>
      </c>
    </row>
    <row r="1924" s="29" customFormat="1" ht="28.75" spans="2:5">
      <c r="B1924" s="19" t="s">
        <v>1811</v>
      </c>
      <c r="C1924" s="16" t="s">
        <v>183</v>
      </c>
      <c r="D1924" s="23">
        <v>1</v>
      </c>
      <c r="E1924" s="24">
        <v>949000</v>
      </c>
    </row>
    <row r="1925" s="29" customFormat="1" spans="2:5">
      <c r="B1925" s="25"/>
      <c r="C1925" s="25"/>
      <c r="D1925" s="25"/>
      <c r="E1925" s="25"/>
    </row>
    <row r="1926" s="29" customFormat="1" ht="36" spans="2:5">
      <c r="B1926" s="26" t="s">
        <v>189</v>
      </c>
      <c r="C1926" s="26" t="s">
        <v>189</v>
      </c>
      <c r="D1926" s="26" t="s">
        <v>189</v>
      </c>
      <c r="E1926" s="26" t="s">
        <v>189</v>
      </c>
    </row>
    <row r="1927" s="29" customFormat="1" spans="2:5">
      <c r="B1927" s="26"/>
      <c r="C1927" s="26"/>
      <c r="D1927" s="26"/>
      <c r="E1927" s="26"/>
    </row>
    <row r="1928" s="29" customFormat="1" ht="36" spans="2:5">
      <c r="B1928" s="26" t="s">
        <v>1653</v>
      </c>
      <c r="C1928" s="26" t="s">
        <v>1653</v>
      </c>
      <c r="D1928" s="26" t="s">
        <v>1653</v>
      </c>
      <c r="E1928" s="26" t="s">
        <v>1653</v>
      </c>
    </row>
    <row r="1929" s="29" customFormat="1" spans="2:5">
      <c r="B1929" s="26" t="s">
        <v>1623</v>
      </c>
      <c r="C1929" s="26" t="s">
        <v>1623</v>
      </c>
      <c r="D1929" s="26" t="s">
        <v>1623</v>
      </c>
      <c r="E1929" s="26" t="s">
        <v>1623</v>
      </c>
    </row>
    <row r="1930" s="29" customFormat="1" ht="124" spans="2:5">
      <c r="B1930" s="11" t="s">
        <v>173</v>
      </c>
      <c r="C1930" s="11" t="s">
        <v>173</v>
      </c>
      <c r="D1930" s="11" t="s">
        <v>173</v>
      </c>
      <c r="E1930" s="11" t="s">
        <v>173</v>
      </c>
    </row>
    <row r="1931" s="29" customFormat="1" ht="156" spans="2:5">
      <c r="B1931" s="12" t="s">
        <v>174</v>
      </c>
      <c r="C1931" s="12" t="s">
        <v>174</v>
      </c>
      <c r="D1931" s="12" t="s">
        <v>174</v>
      </c>
      <c r="E1931" s="12" t="s">
        <v>174</v>
      </c>
    </row>
    <row r="1932" s="29" customFormat="1" ht="68" spans="2:5">
      <c r="B1932" s="13" t="s">
        <v>1645</v>
      </c>
      <c r="C1932" s="13" t="s">
        <v>1645</v>
      </c>
      <c r="D1932" s="13" t="s">
        <v>1645</v>
      </c>
      <c r="E1932" s="13" t="s">
        <v>1645</v>
      </c>
    </row>
    <row r="1933" s="29" customFormat="1" ht="22" spans="2:5">
      <c r="B1933" s="14" t="s">
        <v>176</v>
      </c>
      <c r="C1933" s="14" t="s">
        <v>176</v>
      </c>
      <c r="D1933" s="14" t="s">
        <v>176</v>
      </c>
      <c r="E1933" s="14" t="s">
        <v>176</v>
      </c>
    </row>
    <row r="1934" s="29" customFormat="1" spans="2:5">
      <c r="B1934" s="15" t="s">
        <v>177</v>
      </c>
      <c r="C1934" s="16" t="s">
        <v>178</v>
      </c>
      <c r="D1934" s="17" t="s">
        <v>179</v>
      </c>
      <c r="E1934" s="18" t="s">
        <v>180</v>
      </c>
    </row>
    <row r="1935" s="29" customFormat="1" ht="41" spans="2:5">
      <c r="B1935" s="19" t="s">
        <v>1812</v>
      </c>
      <c r="C1935" s="20" t="s">
        <v>1191</v>
      </c>
      <c r="D1935" s="21">
        <v>1</v>
      </c>
      <c r="E1935" s="22">
        <v>1140000</v>
      </c>
    </row>
    <row r="1936" s="29" customFormat="1" ht="28" spans="2:5">
      <c r="B1936" s="19" t="s">
        <v>1812</v>
      </c>
      <c r="C1936" s="16" t="s">
        <v>183</v>
      </c>
      <c r="D1936" s="23">
        <v>1</v>
      </c>
      <c r="E1936" s="24">
        <v>1140000</v>
      </c>
    </row>
    <row r="1937" s="29" customFormat="1" ht="41" spans="2:5">
      <c r="B1937" s="19" t="s">
        <v>1813</v>
      </c>
      <c r="C1937" s="20" t="s">
        <v>182</v>
      </c>
      <c r="D1937" s="21">
        <v>1</v>
      </c>
      <c r="E1937" s="22">
        <v>381500</v>
      </c>
    </row>
    <row r="1938" s="29" customFormat="1" ht="28" spans="2:5">
      <c r="B1938" s="19" t="s">
        <v>1813</v>
      </c>
      <c r="C1938" s="16" t="s">
        <v>183</v>
      </c>
      <c r="D1938" s="23">
        <v>1</v>
      </c>
      <c r="E1938" s="24">
        <v>381500</v>
      </c>
    </row>
    <row r="1939" s="29" customFormat="1" ht="41" spans="2:5">
      <c r="B1939" s="19" t="s">
        <v>1607</v>
      </c>
      <c r="C1939" s="20" t="s">
        <v>182</v>
      </c>
      <c r="D1939" s="21">
        <v>4</v>
      </c>
      <c r="E1939" s="22">
        <v>177133.484251</v>
      </c>
    </row>
    <row r="1940" s="29" customFormat="1" spans="2:5">
      <c r="B1940" s="19" t="s">
        <v>1607</v>
      </c>
      <c r="C1940" s="16" t="s">
        <v>183</v>
      </c>
      <c r="D1940" s="23">
        <v>4</v>
      </c>
      <c r="E1940" s="24">
        <v>177133.484251</v>
      </c>
    </row>
    <row r="1941" s="29" customFormat="1" ht="41" spans="2:5">
      <c r="B1941" s="19" t="s">
        <v>1814</v>
      </c>
      <c r="C1941" s="20" t="s">
        <v>1664</v>
      </c>
      <c r="D1941" s="21">
        <v>1</v>
      </c>
      <c r="E1941" s="22">
        <v>0</v>
      </c>
    </row>
    <row r="1942" s="29" customFormat="1" ht="41" spans="2:5">
      <c r="B1942" s="19" t="s">
        <v>1814</v>
      </c>
      <c r="C1942" s="16" t="s">
        <v>183</v>
      </c>
      <c r="D1942" s="23">
        <v>1</v>
      </c>
      <c r="E1942" s="24">
        <v>0</v>
      </c>
    </row>
    <row r="1943" s="29" customFormat="1" ht="41" spans="2:5">
      <c r="B1943" s="19" t="s">
        <v>1815</v>
      </c>
      <c r="C1943" s="20" t="s">
        <v>182</v>
      </c>
      <c r="D1943" s="21">
        <v>1</v>
      </c>
      <c r="E1943" s="22">
        <v>270000</v>
      </c>
    </row>
    <row r="1944" s="29" customFormat="1" ht="28" spans="2:5">
      <c r="B1944" s="19" t="s">
        <v>1815</v>
      </c>
      <c r="C1944" s="16" t="s">
        <v>183</v>
      </c>
      <c r="D1944" s="23">
        <v>1</v>
      </c>
      <c r="E1944" s="24">
        <v>270000</v>
      </c>
    </row>
    <row r="1945" s="29" customFormat="1" ht="41" spans="2:5">
      <c r="B1945" s="19" t="s">
        <v>1816</v>
      </c>
      <c r="C1945" s="20" t="s">
        <v>182</v>
      </c>
      <c r="D1945" s="21">
        <v>2</v>
      </c>
      <c r="E1945" s="22">
        <v>1276000</v>
      </c>
    </row>
    <row r="1946" s="29" customFormat="1" ht="28" spans="2:5">
      <c r="B1946" s="19" t="s">
        <v>1816</v>
      </c>
      <c r="C1946" s="16" t="s">
        <v>183</v>
      </c>
      <c r="D1946" s="23">
        <v>2</v>
      </c>
      <c r="E1946" s="24">
        <v>1276000</v>
      </c>
    </row>
    <row r="1947" s="29" customFormat="1" ht="41" spans="2:5">
      <c r="B1947" s="19" t="s">
        <v>1817</v>
      </c>
      <c r="C1947" s="20" t="s">
        <v>1191</v>
      </c>
      <c r="D1947" s="21">
        <v>2</v>
      </c>
      <c r="E1947" s="22">
        <v>912000</v>
      </c>
    </row>
    <row r="1948" s="29" customFormat="1" ht="28.75" spans="2:5">
      <c r="B1948" s="19" t="s">
        <v>1817</v>
      </c>
      <c r="C1948" s="16" t="s">
        <v>183</v>
      </c>
      <c r="D1948" s="23">
        <v>2</v>
      </c>
      <c r="E1948" s="24">
        <v>912000</v>
      </c>
    </row>
    <row r="1949" s="29" customFormat="1" spans="2:5">
      <c r="B1949" s="25"/>
      <c r="C1949" s="25"/>
      <c r="D1949" s="25"/>
      <c r="E1949" s="25"/>
    </row>
    <row r="1950" s="29" customFormat="1" ht="36" spans="2:5">
      <c r="B1950" s="26" t="s">
        <v>189</v>
      </c>
      <c r="C1950" s="26" t="s">
        <v>189</v>
      </c>
      <c r="D1950" s="26" t="s">
        <v>189</v>
      </c>
      <c r="E1950" s="26" t="s">
        <v>189</v>
      </c>
    </row>
    <row r="1951" s="29" customFormat="1" spans="2:5">
      <c r="B1951" s="26"/>
      <c r="C1951" s="26"/>
      <c r="D1951" s="26"/>
      <c r="E1951" s="26"/>
    </row>
    <row r="1952" s="29" customFormat="1" ht="36" spans="2:5">
      <c r="B1952" s="26" t="s">
        <v>1653</v>
      </c>
      <c r="C1952" s="26" t="s">
        <v>1653</v>
      </c>
      <c r="D1952" s="26" t="s">
        <v>1653</v>
      </c>
      <c r="E1952" s="26" t="s">
        <v>1653</v>
      </c>
    </row>
    <row r="1953" s="29" customFormat="1" spans="2:5">
      <c r="B1953" s="26" t="s">
        <v>1629</v>
      </c>
      <c r="C1953" s="26" t="s">
        <v>1629</v>
      </c>
      <c r="D1953" s="26" t="s">
        <v>1629</v>
      </c>
      <c r="E1953" s="26" t="s">
        <v>1629</v>
      </c>
    </row>
    <row r="1954" s="29" customFormat="1" ht="124" spans="2:5">
      <c r="B1954" s="11" t="s">
        <v>173</v>
      </c>
      <c r="C1954" s="11" t="s">
        <v>173</v>
      </c>
      <c r="D1954" s="11" t="s">
        <v>173</v>
      </c>
      <c r="E1954" s="11" t="s">
        <v>173</v>
      </c>
    </row>
    <row r="1955" s="29" customFormat="1" ht="156" spans="2:5">
      <c r="B1955" s="12" t="s">
        <v>174</v>
      </c>
      <c r="C1955" s="12" t="s">
        <v>174</v>
      </c>
      <c r="D1955" s="12" t="s">
        <v>174</v>
      </c>
      <c r="E1955" s="12" t="s">
        <v>174</v>
      </c>
    </row>
    <row r="1956" s="29" customFormat="1" ht="68" spans="2:5">
      <c r="B1956" s="13" t="s">
        <v>1645</v>
      </c>
      <c r="C1956" s="13" t="s">
        <v>1645</v>
      </c>
      <c r="D1956" s="13" t="s">
        <v>1645</v>
      </c>
      <c r="E1956" s="13" t="s">
        <v>1645</v>
      </c>
    </row>
    <row r="1957" s="29" customFormat="1" ht="22" spans="2:5">
      <c r="B1957" s="14" t="s">
        <v>176</v>
      </c>
      <c r="C1957" s="14" t="s">
        <v>176</v>
      </c>
      <c r="D1957" s="14" t="s">
        <v>176</v>
      </c>
      <c r="E1957" s="14" t="s">
        <v>176</v>
      </c>
    </row>
    <row r="1958" s="29" customFormat="1" spans="2:5">
      <c r="B1958" s="15" t="s">
        <v>177</v>
      </c>
      <c r="C1958" s="16" t="s">
        <v>178</v>
      </c>
      <c r="D1958" s="17" t="s">
        <v>179</v>
      </c>
      <c r="E1958" s="18" t="s">
        <v>180</v>
      </c>
    </row>
    <row r="1959" s="29" customFormat="1" ht="41" spans="2:5">
      <c r="B1959" s="19" t="s">
        <v>1818</v>
      </c>
      <c r="C1959" s="20" t="s">
        <v>182</v>
      </c>
      <c r="D1959" s="21">
        <v>2</v>
      </c>
      <c r="E1959" s="22">
        <v>850000</v>
      </c>
    </row>
    <row r="1960" s="29" customFormat="1" ht="28" spans="2:5">
      <c r="B1960" s="19" t="s">
        <v>1818</v>
      </c>
      <c r="C1960" s="16" t="s">
        <v>183</v>
      </c>
      <c r="D1960" s="23">
        <v>2</v>
      </c>
      <c r="E1960" s="24">
        <v>850000</v>
      </c>
    </row>
    <row r="1961" s="29" customFormat="1" ht="28" spans="2:5">
      <c r="B1961" s="19" t="s">
        <v>1819</v>
      </c>
      <c r="C1961" s="20" t="s">
        <v>1664</v>
      </c>
      <c r="D1961" s="21">
        <v>2</v>
      </c>
      <c r="E1961" s="22">
        <v>600000</v>
      </c>
    </row>
    <row r="1962" s="29" customFormat="1" ht="28" spans="2:5">
      <c r="B1962" s="19" t="s">
        <v>1819</v>
      </c>
      <c r="C1962" s="16" t="s">
        <v>183</v>
      </c>
      <c r="D1962" s="23">
        <v>2</v>
      </c>
      <c r="E1962" s="24">
        <v>600000</v>
      </c>
    </row>
    <row r="1963" s="29" customFormat="1" ht="41" spans="2:5">
      <c r="B1963" s="19" t="s">
        <v>1820</v>
      </c>
      <c r="C1963" s="20" t="s">
        <v>182</v>
      </c>
      <c r="D1963" s="21">
        <v>1</v>
      </c>
      <c r="E1963" s="22">
        <v>995500</v>
      </c>
    </row>
    <row r="1964" s="29" customFormat="1" ht="28" spans="2:5">
      <c r="B1964" s="19" t="s">
        <v>1820</v>
      </c>
      <c r="C1964" s="16" t="s">
        <v>183</v>
      </c>
      <c r="D1964" s="23">
        <v>1</v>
      </c>
      <c r="E1964" s="24">
        <v>995500</v>
      </c>
    </row>
    <row r="1965" s="29" customFormat="1" ht="41" spans="2:5">
      <c r="B1965" s="19" t="s">
        <v>1821</v>
      </c>
      <c r="C1965" s="20" t="s">
        <v>182</v>
      </c>
      <c r="D1965" s="21">
        <v>2</v>
      </c>
      <c r="E1965" s="22">
        <v>2064864.864865</v>
      </c>
    </row>
    <row r="1966" s="29" customFormat="1" ht="28" spans="2:5">
      <c r="B1966" s="19" t="s">
        <v>1821</v>
      </c>
      <c r="C1966" s="16" t="s">
        <v>183</v>
      </c>
      <c r="D1966" s="23">
        <v>2</v>
      </c>
      <c r="E1966" s="24">
        <v>2064864.864865</v>
      </c>
    </row>
    <row r="1967" s="29" customFormat="1" ht="28" spans="2:5">
      <c r="B1967" s="19" t="s">
        <v>1626</v>
      </c>
      <c r="C1967" s="20" t="s">
        <v>804</v>
      </c>
      <c r="D1967" s="21">
        <v>2</v>
      </c>
      <c r="E1967" s="22">
        <v>1718918.477477</v>
      </c>
    </row>
    <row r="1968" s="29" customFormat="1" ht="28" spans="2:5">
      <c r="B1968" s="19" t="s">
        <v>1626</v>
      </c>
      <c r="C1968" s="16" t="s">
        <v>183</v>
      </c>
      <c r="D1968" s="23">
        <v>2</v>
      </c>
      <c r="E1968" s="24">
        <v>1718918.477477</v>
      </c>
    </row>
    <row r="1969" s="29" customFormat="1" ht="28" spans="2:5">
      <c r="B1969" s="19" t="s">
        <v>1627</v>
      </c>
      <c r="C1969" s="20" t="s">
        <v>804</v>
      </c>
      <c r="D1969" s="21">
        <v>3</v>
      </c>
      <c r="E1969" s="22">
        <v>2800000</v>
      </c>
    </row>
    <row r="1970" s="29" customFormat="1" ht="28" spans="2:5">
      <c r="B1970" s="19" t="s">
        <v>1627</v>
      </c>
      <c r="C1970" s="16" t="s">
        <v>183</v>
      </c>
      <c r="D1970" s="23">
        <v>3</v>
      </c>
      <c r="E1970" s="24">
        <v>2800000</v>
      </c>
    </row>
    <row r="1971" s="29" customFormat="1" ht="41" spans="2:5">
      <c r="B1971" s="19" t="s">
        <v>1628</v>
      </c>
      <c r="C1971" s="20" t="s">
        <v>1614</v>
      </c>
      <c r="D1971" s="21">
        <v>2</v>
      </c>
      <c r="E1971" s="22">
        <v>1913514</v>
      </c>
    </row>
    <row r="1972" s="29" customFormat="1" ht="28.75" spans="2:5">
      <c r="B1972" s="19" t="s">
        <v>1628</v>
      </c>
      <c r="C1972" s="16" t="s">
        <v>183</v>
      </c>
      <c r="D1972" s="23">
        <v>2</v>
      </c>
      <c r="E1972" s="24">
        <v>1913514</v>
      </c>
    </row>
    <row r="1973" s="29" customFormat="1" spans="2:5">
      <c r="B1973" s="25"/>
      <c r="C1973" s="25"/>
      <c r="D1973" s="25"/>
      <c r="E1973" s="25"/>
    </row>
    <row r="1974" s="29" customFormat="1" ht="36" spans="2:5">
      <c r="B1974" s="26" t="s">
        <v>189</v>
      </c>
      <c r="C1974" s="26" t="s">
        <v>189</v>
      </c>
      <c r="D1974" s="26" t="s">
        <v>189</v>
      </c>
      <c r="E1974" s="26" t="s">
        <v>189</v>
      </c>
    </row>
    <row r="1975" s="29" customFormat="1" spans="2:5">
      <c r="B1975" s="26"/>
      <c r="C1975" s="26"/>
      <c r="D1975" s="26"/>
      <c r="E1975" s="26"/>
    </row>
    <row r="1976" s="29" customFormat="1" ht="36" spans="2:5">
      <c r="B1976" s="26" t="s">
        <v>1653</v>
      </c>
      <c r="C1976" s="26" t="s">
        <v>1653</v>
      </c>
      <c r="D1976" s="26" t="s">
        <v>1653</v>
      </c>
      <c r="E1976" s="26" t="s">
        <v>1653</v>
      </c>
    </row>
    <row r="1977" s="29" customFormat="1" spans="2:5">
      <c r="B1977" s="26" t="s">
        <v>1637</v>
      </c>
      <c r="C1977" s="26" t="s">
        <v>1637</v>
      </c>
      <c r="D1977" s="26" t="s">
        <v>1637</v>
      </c>
      <c r="E1977" s="26" t="s">
        <v>1637</v>
      </c>
    </row>
    <row r="1978" s="29" customFormat="1" ht="124" spans="2:5">
      <c r="B1978" s="11" t="s">
        <v>173</v>
      </c>
      <c r="C1978" s="11" t="s">
        <v>173</v>
      </c>
      <c r="D1978" s="11" t="s">
        <v>173</v>
      </c>
      <c r="E1978" s="11" t="s">
        <v>173</v>
      </c>
    </row>
    <row r="1979" s="29" customFormat="1" ht="156" spans="2:5">
      <c r="B1979" s="12" t="s">
        <v>174</v>
      </c>
      <c r="C1979" s="12" t="s">
        <v>174</v>
      </c>
      <c r="D1979" s="12" t="s">
        <v>174</v>
      </c>
      <c r="E1979" s="12" t="s">
        <v>174</v>
      </c>
    </row>
    <row r="1980" s="29" customFormat="1" ht="68" spans="2:5">
      <c r="B1980" s="13" t="s">
        <v>1645</v>
      </c>
      <c r="C1980" s="13" t="s">
        <v>1645</v>
      </c>
      <c r="D1980" s="13" t="s">
        <v>1645</v>
      </c>
      <c r="E1980" s="13" t="s">
        <v>1645</v>
      </c>
    </row>
    <row r="1981" s="29" customFormat="1" ht="22" spans="2:5">
      <c r="B1981" s="14" t="s">
        <v>176</v>
      </c>
      <c r="C1981" s="14" t="s">
        <v>176</v>
      </c>
      <c r="D1981" s="14" t="s">
        <v>176</v>
      </c>
      <c r="E1981" s="14" t="s">
        <v>176</v>
      </c>
    </row>
    <row r="1982" s="29" customFormat="1" spans="2:5">
      <c r="B1982" s="15" t="s">
        <v>177</v>
      </c>
      <c r="C1982" s="16" t="s">
        <v>178</v>
      </c>
      <c r="D1982" s="17" t="s">
        <v>179</v>
      </c>
      <c r="E1982" s="18" t="s">
        <v>180</v>
      </c>
    </row>
    <row r="1983" s="29" customFormat="1" ht="55" spans="2:5">
      <c r="B1983" s="19" t="s">
        <v>1822</v>
      </c>
      <c r="C1983" s="20" t="s">
        <v>1481</v>
      </c>
      <c r="D1983" s="21">
        <v>1</v>
      </c>
      <c r="E1983" s="22">
        <v>949549.54955</v>
      </c>
    </row>
    <row r="1984" s="29" customFormat="1" ht="28" spans="2:5">
      <c r="B1984" s="19" t="s">
        <v>1822</v>
      </c>
      <c r="C1984" s="16" t="s">
        <v>183</v>
      </c>
      <c r="D1984" s="23">
        <v>1</v>
      </c>
      <c r="E1984" s="24">
        <v>949549.54955</v>
      </c>
    </row>
    <row r="1985" s="29" customFormat="1" ht="41" spans="2:5">
      <c r="B1985" s="19" t="s">
        <v>391</v>
      </c>
      <c r="C1985" s="20" t="s">
        <v>1191</v>
      </c>
      <c r="D1985" s="21">
        <v>2</v>
      </c>
      <c r="E1985" s="22">
        <v>1828829</v>
      </c>
    </row>
    <row r="1986" s="29" customFormat="1" ht="28" spans="2:5">
      <c r="B1986" s="19" t="s">
        <v>391</v>
      </c>
      <c r="C1986" s="16" t="s">
        <v>183</v>
      </c>
      <c r="D1986" s="23">
        <v>2</v>
      </c>
      <c r="E1986" s="24">
        <v>1828829</v>
      </c>
    </row>
    <row r="1987" s="29" customFormat="1" ht="41" spans="2:5">
      <c r="B1987" s="19" t="s">
        <v>1630</v>
      </c>
      <c r="C1987" s="20" t="s">
        <v>1614</v>
      </c>
      <c r="D1987" s="21">
        <v>4</v>
      </c>
      <c r="E1987" s="22">
        <v>3805405.567568</v>
      </c>
    </row>
    <row r="1988" s="29" customFormat="1" ht="28" spans="2:5">
      <c r="B1988" s="19" t="s">
        <v>1630</v>
      </c>
      <c r="C1988" s="16" t="s">
        <v>183</v>
      </c>
      <c r="D1988" s="23">
        <v>4</v>
      </c>
      <c r="E1988" s="24">
        <v>3805405.567568</v>
      </c>
    </row>
    <row r="1989" s="29" customFormat="1" ht="55" spans="2:5">
      <c r="B1989" s="19" t="s">
        <v>1823</v>
      </c>
      <c r="C1989" s="20" t="s">
        <v>1481</v>
      </c>
      <c r="D1989" s="21">
        <v>2</v>
      </c>
      <c r="E1989" s="22">
        <v>1998198</v>
      </c>
    </row>
    <row r="1990" s="29" customFormat="1" ht="28" spans="2:5">
      <c r="B1990" s="19" t="s">
        <v>1823</v>
      </c>
      <c r="C1990" s="16" t="s">
        <v>183</v>
      </c>
      <c r="D1990" s="23">
        <v>2</v>
      </c>
      <c r="E1990" s="24">
        <v>1998198</v>
      </c>
    </row>
    <row r="1991" s="29" customFormat="1" ht="55" spans="2:5">
      <c r="B1991" s="19" t="s">
        <v>1824</v>
      </c>
      <c r="C1991" s="20" t="s">
        <v>1481</v>
      </c>
      <c r="D1991" s="21">
        <v>3</v>
      </c>
      <c r="E1991" s="22">
        <v>2189188.747748</v>
      </c>
    </row>
    <row r="1992" s="29" customFormat="1" ht="28" spans="2:5">
      <c r="B1992" s="19" t="s">
        <v>1824</v>
      </c>
      <c r="C1992" s="16" t="s">
        <v>183</v>
      </c>
      <c r="D1992" s="23">
        <v>3</v>
      </c>
      <c r="E1992" s="24">
        <v>2189188.747748</v>
      </c>
    </row>
    <row r="1993" s="29" customFormat="1" ht="55" spans="2:5">
      <c r="B1993" s="19" t="s">
        <v>1633</v>
      </c>
      <c r="C1993" s="20" t="s">
        <v>1481</v>
      </c>
      <c r="D1993" s="21">
        <v>4</v>
      </c>
      <c r="E1993" s="22">
        <v>3754955</v>
      </c>
    </row>
    <row r="1994" s="29" customFormat="1" ht="28" spans="2:5">
      <c r="B1994" s="19" t="s">
        <v>1633</v>
      </c>
      <c r="C1994" s="16" t="s">
        <v>183</v>
      </c>
      <c r="D1994" s="23">
        <v>4</v>
      </c>
      <c r="E1994" s="24">
        <v>3754955</v>
      </c>
    </row>
    <row r="1995" s="29" customFormat="1" ht="41" spans="2:5">
      <c r="B1995" s="19" t="s">
        <v>1825</v>
      </c>
      <c r="C1995" s="20" t="s">
        <v>1614</v>
      </c>
      <c r="D1995" s="21">
        <v>4</v>
      </c>
      <c r="E1995" s="22">
        <v>5906306.306306</v>
      </c>
    </row>
    <row r="1996" s="29" customFormat="1" ht="41.75" spans="2:5">
      <c r="B1996" s="19" t="s">
        <v>1825</v>
      </c>
      <c r="C1996" s="16" t="s">
        <v>183</v>
      </c>
      <c r="D1996" s="23">
        <v>4</v>
      </c>
      <c r="E1996" s="24">
        <v>5906306.306306</v>
      </c>
    </row>
    <row r="1997" s="29" customFormat="1" spans="2:5">
      <c r="B1997" s="25"/>
      <c r="C1997" s="25"/>
      <c r="D1997" s="25"/>
      <c r="E1997" s="25"/>
    </row>
    <row r="1998" s="29" customFormat="1" ht="36" spans="2:5">
      <c r="B1998" s="26" t="s">
        <v>189</v>
      </c>
      <c r="C1998" s="26" t="s">
        <v>189</v>
      </c>
      <c r="D1998" s="26" t="s">
        <v>189</v>
      </c>
      <c r="E1998" s="26" t="s">
        <v>189</v>
      </c>
    </row>
    <row r="1999" s="29" customFormat="1" spans="2:5">
      <c r="B1999" s="26"/>
      <c r="C1999" s="26"/>
      <c r="D1999" s="26"/>
      <c r="E1999" s="26"/>
    </row>
    <row r="2000" s="29" customFormat="1" ht="36" spans="2:5">
      <c r="B2000" s="26" t="s">
        <v>1653</v>
      </c>
      <c r="C2000" s="26" t="s">
        <v>1653</v>
      </c>
      <c r="D2000" s="26" t="s">
        <v>1653</v>
      </c>
      <c r="E2000" s="26" t="s">
        <v>1653</v>
      </c>
    </row>
    <row r="2001" s="29" customFormat="1" spans="2:5">
      <c r="B2001" s="26" t="s">
        <v>1642</v>
      </c>
      <c r="C2001" s="26" t="s">
        <v>1642</v>
      </c>
      <c r="D2001" s="26" t="s">
        <v>1642</v>
      </c>
      <c r="E2001" s="26" t="s">
        <v>1642</v>
      </c>
    </row>
    <row r="2002" s="29" customFormat="1" ht="124" spans="2:5">
      <c r="B2002" s="11" t="s">
        <v>173</v>
      </c>
      <c r="C2002" s="11" t="s">
        <v>173</v>
      </c>
      <c r="D2002" s="11" t="s">
        <v>173</v>
      </c>
      <c r="E2002" s="11" t="s">
        <v>173</v>
      </c>
    </row>
    <row r="2003" s="29" customFormat="1" ht="156" spans="2:5">
      <c r="B2003" s="12" t="s">
        <v>174</v>
      </c>
      <c r="C2003" s="12" t="s">
        <v>174</v>
      </c>
      <c r="D2003" s="12" t="s">
        <v>174</v>
      </c>
      <c r="E2003" s="12" t="s">
        <v>174</v>
      </c>
    </row>
    <row r="2004" s="29" customFormat="1" ht="68" spans="2:5">
      <c r="B2004" s="13" t="s">
        <v>1645</v>
      </c>
      <c r="C2004" s="13" t="s">
        <v>1645</v>
      </c>
      <c r="D2004" s="13" t="s">
        <v>1645</v>
      </c>
      <c r="E2004" s="13" t="s">
        <v>1645</v>
      </c>
    </row>
    <row r="2005" s="29" customFormat="1" ht="22" spans="2:5">
      <c r="B2005" s="14" t="s">
        <v>176</v>
      </c>
      <c r="C2005" s="14" t="s">
        <v>176</v>
      </c>
      <c r="D2005" s="14" t="s">
        <v>176</v>
      </c>
      <c r="E2005" s="14" t="s">
        <v>176</v>
      </c>
    </row>
    <row r="2006" s="29" customFormat="1" spans="2:5">
      <c r="B2006" s="15" t="s">
        <v>177</v>
      </c>
      <c r="C2006" s="16" t="s">
        <v>178</v>
      </c>
      <c r="D2006" s="17" t="s">
        <v>179</v>
      </c>
      <c r="E2006" s="18" t="s">
        <v>180</v>
      </c>
    </row>
    <row r="2007" s="29" customFormat="1" ht="28" spans="2:5">
      <c r="B2007" s="19" t="s">
        <v>1635</v>
      </c>
      <c r="C2007" s="20" t="s">
        <v>804</v>
      </c>
      <c r="D2007" s="21">
        <v>2</v>
      </c>
      <c r="E2007" s="22">
        <v>1126126.126126</v>
      </c>
    </row>
    <row r="2008" s="29" customFormat="1" ht="28" spans="2:5">
      <c r="B2008" s="19" t="s">
        <v>1635</v>
      </c>
      <c r="C2008" s="16" t="s">
        <v>183</v>
      </c>
      <c r="D2008" s="23">
        <v>2</v>
      </c>
      <c r="E2008" s="24">
        <v>1126126.126126</v>
      </c>
    </row>
    <row r="2009" s="29" customFormat="1" ht="55" spans="2:5">
      <c r="B2009" s="19" t="s">
        <v>1638</v>
      </c>
      <c r="C2009" s="20" t="s">
        <v>1481</v>
      </c>
      <c r="D2009" s="21">
        <v>1</v>
      </c>
      <c r="E2009" s="22">
        <v>752252.252252</v>
      </c>
    </row>
    <row r="2010" s="29" customFormat="1" ht="28" spans="2:5">
      <c r="B2010" s="19" t="s">
        <v>1638</v>
      </c>
      <c r="C2010" s="16" t="s">
        <v>183</v>
      </c>
      <c r="D2010" s="23">
        <v>1</v>
      </c>
      <c r="E2010" s="24">
        <v>752252.252252</v>
      </c>
    </row>
    <row r="2011" s="29" customFormat="1" ht="28" spans="2:5">
      <c r="B2011" s="19" t="s">
        <v>946</v>
      </c>
      <c r="C2011" s="20" t="s">
        <v>804</v>
      </c>
      <c r="D2011" s="21">
        <v>2</v>
      </c>
      <c r="E2011" s="22">
        <v>366441.441442</v>
      </c>
    </row>
    <row r="2012" s="29" customFormat="1" ht="28" spans="2:5">
      <c r="B2012" s="19" t="s">
        <v>946</v>
      </c>
      <c r="C2012" s="16" t="s">
        <v>183</v>
      </c>
      <c r="D2012" s="23">
        <v>2</v>
      </c>
      <c r="E2012" s="24">
        <v>366441.441442</v>
      </c>
    </row>
    <row r="2013" s="29" customFormat="1" ht="41" spans="2:5">
      <c r="B2013" s="19" t="s">
        <v>1826</v>
      </c>
      <c r="C2013" s="20" t="s">
        <v>182</v>
      </c>
      <c r="D2013" s="21">
        <v>1</v>
      </c>
      <c r="E2013" s="22">
        <v>240000</v>
      </c>
    </row>
    <row r="2014" s="29" customFormat="1" spans="2:5">
      <c r="B2014" s="19" t="s">
        <v>1826</v>
      </c>
      <c r="C2014" s="16" t="s">
        <v>183</v>
      </c>
      <c r="D2014" s="23">
        <v>1</v>
      </c>
      <c r="E2014" s="24">
        <v>240000</v>
      </c>
    </row>
    <row r="2015" s="29" customFormat="1" ht="41" spans="2:5">
      <c r="B2015" s="19" t="s">
        <v>1827</v>
      </c>
      <c r="C2015" s="20" t="s">
        <v>182</v>
      </c>
      <c r="D2015" s="21">
        <v>1</v>
      </c>
      <c r="E2015" s="22">
        <v>231026.346834</v>
      </c>
    </row>
    <row r="2016" s="29" customFormat="1" spans="2:5">
      <c r="B2016" s="19" t="s">
        <v>1827</v>
      </c>
      <c r="C2016" s="16" t="s">
        <v>183</v>
      </c>
      <c r="D2016" s="23">
        <v>1</v>
      </c>
      <c r="E2016" s="24">
        <v>231026.346834</v>
      </c>
    </row>
    <row r="2017" s="29" customFormat="1" ht="28" spans="2:5">
      <c r="B2017" s="19" t="s">
        <v>1828</v>
      </c>
      <c r="C2017" s="20" t="s">
        <v>804</v>
      </c>
      <c r="D2017" s="21">
        <v>1</v>
      </c>
      <c r="E2017" s="22">
        <v>1740000</v>
      </c>
    </row>
    <row r="2018" s="29" customFormat="1" spans="2:5">
      <c r="B2018" s="19" t="s">
        <v>1828</v>
      </c>
      <c r="C2018" s="16" t="s">
        <v>183</v>
      </c>
      <c r="D2018" s="23">
        <v>1</v>
      </c>
      <c r="E2018" s="24">
        <v>1740000</v>
      </c>
    </row>
    <row r="2019" s="29" customFormat="1" ht="28" spans="2:5">
      <c r="B2019" s="19" t="s">
        <v>1829</v>
      </c>
      <c r="C2019" s="20" t="s">
        <v>804</v>
      </c>
      <c r="D2019" s="21">
        <v>1</v>
      </c>
      <c r="E2019" s="22">
        <v>168468.468468</v>
      </c>
    </row>
    <row r="2020" s="29" customFormat="1" ht="17.55" spans="2:5">
      <c r="B2020" s="19" t="s">
        <v>1829</v>
      </c>
      <c r="C2020" s="16" t="s">
        <v>183</v>
      </c>
      <c r="D2020" s="23">
        <v>1</v>
      </c>
      <c r="E2020" s="24">
        <v>168468.468468</v>
      </c>
    </row>
    <row r="2021" s="29" customFormat="1" spans="2:5">
      <c r="B2021" s="25"/>
      <c r="C2021" s="25"/>
      <c r="D2021" s="25"/>
      <c r="E2021" s="25"/>
    </row>
    <row r="2022" s="29" customFormat="1" ht="36" spans="2:5">
      <c r="B2022" s="26" t="s">
        <v>189</v>
      </c>
      <c r="C2022" s="26" t="s">
        <v>189</v>
      </c>
      <c r="D2022" s="26" t="s">
        <v>189</v>
      </c>
      <c r="E2022" s="26" t="s">
        <v>189</v>
      </c>
    </row>
    <row r="2023" s="29" customFormat="1" spans="2:5">
      <c r="B2023" s="26"/>
      <c r="C2023" s="26"/>
      <c r="D2023" s="26"/>
      <c r="E2023" s="26"/>
    </row>
    <row r="2024" s="29" customFormat="1" ht="36" spans="2:5">
      <c r="B2024" s="26" t="s">
        <v>1653</v>
      </c>
      <c r="C2024" s="26" t="s">
        <v>1653</v>
      </c>
      <c r="D2024" s="26" t="s">
        <v>1653</v>
      </c>
      <c r="E2024" s="26" t="s">
        <v>1653</v>
      </c>
    </row>
    <row r="2025" s="29" customFormat="1" spans="2:5">
      <c r="B2025" s="26" t="s">
        <v>1644</v>
      </c>
      <c r="C2025" s="26" t="s">
        <v>1644</v>
      </c>
      <c r="D2025" s="26" t="s">
        <v>1644</v>
      </c>
      <c r="E2025" s="26" t="s">
        <v>1644</v>
      </c>
    </row>
    <row r="2026" s="29" customFormat="1" ht="124" spans="2:5">
      <c r="B2026" s="11" t="s">
        <v>173</v>
      </c>
      <c r="C2026" s="11" t="s">
        <v>173</v>
      </c>
      <c r="D2026" s="11" t="s">
        <v>173</v>
      </c>
      <c r="E2026" s="11" t="s">
        <v>173</v>
      </c>
    </row>
    <row r="2027" s="29" customFormat="1" ht="156" spans="2:5">
      <c r="B2027" s="12" t="s">
        <v>174</v>
      </c>
      <c r="C2027" s="12" t="s">
        <v>174</v>
      </c>
      <c r="D2027" s="12" t="s">
        <v>174</v>
      </c>
      <c r="E2027" s="12" t="s">
        <v>174</v>
      </c>
    </row>
    <row r="2028" s="29" customFormat="1" ht="68" spans="2:5">
      <c r="B2028" s="13" t="s">
        <v>1645</v>
      </c>
      <c r="C2028" s="13" t="s">
        <v>1645</v>
      </c>
      <c r="D2028" s="13" t="s">
        <v>1645</v>
      </c>
      <c r="E2028" s="13" t="s">
        <v>1645</v>
      </c>
    </row>
    <row r="2029" s="29" customFormat="1" ht="22" spans="2:5">
      <c r="B2029" s="14" t="s">
        <v>176</v>
      </c>
      <c r="C2029" s="14" t="s">
        <v>176</v>
      </c>
      <c r="D2029" s="14" t="s">
        <v>176</v>
      </c>
      <c r="E2029" s="14" t="s">
        <v>176</v>
      </c>
    </row>
    <row r="2030" s="29" customFormat="1" spans="2:5">
      <c r="B2030" s="15" t="s">
        <v>177</v>
      </c>
      <c r="C2030" s="16" t="s">
        <v>178</v>
      </c>
      <c r="D2030" s="17" t="s">
        <v>179</v>
      </c>
      <c r="E2030" s="18" t="s">
        <v>180</v>
      </c>
    </row>
    <row r="2031" s="29" customFormat="1" ht="41" spans="2:5">
      <c r="B2031" s="19" t="s">
        <v>1830</v>
      </c>
      <c r="C2031" s="20" t="s">
        <v>182</v>
      </c>
      <c r="D2031" s="21">
        <v>1</v>
      </c>
      <c r="E2031" s="22">
        <v>265434.52615</v>
      </c>
    </row>
    <row r="2032" s="29" customFormat="1" spans="2:5">
      <c r="B2032" s="19" t="s">
        <v>1830</v>
      </c>
      <c r="C2032" s="16" t="s">
        <v>183</v>
      </c>
      <c r="D2032" s="23">
        <v>1</v>
      </c>
      <c r="E2032" s="24">
        <v>265434.52615</v>
      </c>
    </row>
    <row r="2033" s="29" customFormat="1" ht="28" spans="2:5">
      <c r="B2033" s="19" t="s">
        <v>1831</v>
      </c>
      <c r="C2033" s="20" t="s">
        <v>1664</v>
      </c>
      <c r="D2033" s="21">
        <v>1</v>
      </c>
      <c r="E2033" s="22">
        <v>866000</v>
      </c>
    </row>
    <row r="2034" s="29" customFormat="1" spans="2:5">
      <c r="B2034" s="19" t="s">
        <v>1831</v>
      </c>
      <c r="C2034" s="16" t="s">
        <v>183</v>
      </c>
      <c r="D2034" s="23">
        <v>1</v>
      </c>
      <c r="E2034" s="24">
        <v>866000</v>
      </c>
    </row>
    <row r="2035" s="29" customFormat="1" ht="28" spans="2:5">
      <c r="B2035" s="19" t="s">
        <v>1832</v>
      </c>
      <c r="C2035" s="20" t="s">
        <v>1664</v>
      </c>
      <c r="D2035" s="21">
        <v>1</v>
      </c>
      <c r="E2035" s="22">
        <v>600000</v>
      </c>
    </row>
    <row r="2036" s="29" customFormat="1" spans="2:5">
      <c r="B2036" s="19" t="s">
        <v>1832</v>
      </c>
      <c r="C2036" s="16" t="s">
        <v>183</v>
      </c>
      <c r="D2036" s="23">
        <v>1</v>
      </c>
      <c r="E2036" s="24">
        <v>600000</v>
      </c>
    </row>
    <row r="2037" s="29" customFormat="1" ht="28" spans="2:5">
      <c r="B2037" s="19" t="s">
        <v>1833</v>
      </c>
      <c r="C2037" s="20" t="s">
        <v>804</v>
      </c>
      <c r="D2037" s="21">
        <v>1</v>
      </c>
      <c r="E2037" s="22">
        <v>2900000</v>
      </c>
    </row>
    <row r="2038" s="29" customFormat="1" spans="2:5">
      <c r="B2038" s="19" t="s">
        <v>1833</v>
      </c>
      <c r="C2038" s="16" t="s">
        <v>183</v>
      </c>
      <c r="D2038" s="23">
        <v>1</v>
      </c>
      <c r="E2038" s="24">
        <v>2900000</v>
      </c>
    </row>
    <row r="2039" s="29" customFormat="1" ht="28" spans="2:5">
      <c r="B2039" s="19" t="s">
        <v>1834</v>
      </c>
      <c r="C2039" s="20" t="s">
        <v>804</v>
      </c>
      <c r="D2039" s="21">
        <v>2</v>
      </c>
      <c r="E2039" s="22">
        <v>459459.459459</v>
      </c>
    </row>
    <row r="2040" s="29" customFormat="1" ht="28" spans="2:5">
      <c r="B2040" s="19" t="s">
        <v>1834</v>
      </c>
      <c r="C2040" s="16" t="s">
        <v>183</v>
      </c>
      <c r="D2040" s="23">
        <v>2</v>
      </c>
      <c r="E2040" s="24">
        <v>459459.459459</v>
      </c>
    </row>
    <row r="2041" s="29" customFormat="1" ht="17.55" spans="2:5">
      <c r="B2041" s="28" t="s">
        <v>341</v>
      </c>
      <c r="C2041" s="28" t="s">
        <v>341</v>
      </c>
      <c r="D2041" s="23">
        <v>5954</v>
      </c>
      <c r="E2041" s="24">
        <v>527840181.981322</v>
      </c>
    </row>
    <row r="2042" s="29" customFormat="1" spans="2:5">
      <c r="B2042" s="25"/>
      <c r="C2042" s="25"/>
      <c r="D2042" s="25"/>
      <c r="E2042" s="25"/>
    </row>
    <row r="2043" s="29" customFormat="1" ht="36" spans="2:5">
      <c r="B2043" s="26" t="s">
        <v>189</v>
      </c>
      <c r="C2043" s="26" t="s">
        <v>189</v>
      </c>
      <c r="D2043" s="26" t="s">
        <v>189</v>
      </c>
      <c r="E2043" s="26" t="s">
        <v>189</v>
      </c>
    </row>
    <row r="2044" s="29" customFormat="1" spans="2:5">
      <c r="B2044" s="26"/>
      <c r="C2044" s="26"/>
      <c r="D2044" s="26"/>
      <c r="E2044" s="26"/>
    </row>
    <row r="2045" s="29" customFormat="1" ht="36" spans="2:5">
      <c r="B2045" s="26" t="s">
        <v>1653</v>
      </c>
      <c r="C2045" s="26" t="s">
        <v>1653</v>
      </c>
      <c r="D2045" s="26" t="s">
        <v>1653</v>
      </c>
      <c r="E2045" s="26" t="s">
        <v>1653</v>
      </c>
    </row>
    <row r="2046" s="29" customFormat="1" spans="2:5">
      <c r="B2046" s="26" t="s">
        <v>1835</v>
      </c>
      <c r="C2046" s="26" t="s">
        <v>1835</v>
      </c>
      <c r="D2046" s="26" t="s">
        <v>1835</v>
      </c>
      <c r="E2046" s="26" t="s">
        <v>1835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00"/>
  <sheetViews>
    <sheetView workbookViewId="0">
      <selection activeCell="C10" sqref="C10"/>
    </sheetView>
  </sheetViews>
  <sheetFormatPr defaultColWidth="9" defaultRowHeight="16.8" outlineLevelCol="7"/>
  <cols>
    <col min="1" max="1" width="4.66071428571429" style="9" customWidth="1"/>
    <col min="2" max="2" width="30" style="9" customWidth="1"/>
    <col min="3" max="3" width="31.9910714285714" style="9" customWidth="1"/>
    <col min="4" max="4" width="10" style="9" customWidth="1"/>
    <col min="5" max="5" width="15" style="9" customWidth="1"/>
    <col min="6" max="6" width="21.3392857142857" style="9" customWidth="1"/>
    <col min="7" max="7" width="8.33928571428571" style="9" customWidth="1"/>
    <col min="8" max="8" width="4.66071428571429" style="9" customWidth="1"/>
    <col min="9" max="16384" width="9" style="9"/>
  </cols>
  <sheetData>
    <row r="1" s="9" customFormat="1" ht="17" customHeight="1" spans="1:8">
      <c r="A1" s="10" t="s">
        <v>172</v>
      </c>
      <c r="B1" s="11"/>
      <c r="C1" s="11"/>
      <c r="D1" s="11"/>
      <c r="E1" s="11"/>
      <c r="F1" s="11"/>
      <c r="G1" s="11"/>
      <c r="H1" s="10" t="s">
        <v>172</v>
      </c>
    </row>
    <row r="2" s="9" customFormat="1" ht="23" customHeight="1" spans="1:8">
      <c r="A2" s="10" t="s">
        <v>172</v>
      </c>
      <c r="B2" s="12"/>
      <c r="C2" s="12"/>
      <c r="D2" s="12"/>
      <c r="E2" s="12"/>
      <c r="F2" s="12"/>
      <c r="G2" s="12"/>
      <c r="H2" s="10" t="s">
        <v>172</v>
      </c>
    </row>
    <row r="3" s="9" customFormat="1" ht="16" customHeight="1" spans="1:8">
      <c r="A3" s="10" t="s">
        <v>172</v>
      </c>
      <c r="B3" s="13"/>
      <c r="C3" s="13"/>
      <c r="D3" s="13"/>
      <c r="E3" s="13"/>
      <c r="F3" s="13"/>
      <c r="G3" s="13"/>
      <c r="H3" s="10" t="s">
        <v>172</v>
      </c>
    </row>
    <row r="4" s="9" customFormat="1" ht="12" customHeight="1" spans="1:8">
      <c r="A4" s="10" t="s">
        <v>172</v>
      </c>
      <c r="B4" s="14"/>
      <c r="C4" s="14"/>
      <c r="D4" s="14"/>
      <c r="E4" s="14"/>
      <c r="F4" s="14"/>
      <c r="G4" s="14"/>
      <c r="H4" s="10" t="s">
        <v>172</v>
      </c>
    </row>
    <row r="5" s="9" customFormat="1" ht="17" customHeight="1" spans="1:8">
      <c r="A5" s="10" t="s">
        <v>172</v>
      </c>
      <c r="B5" s="15" t="s">
        <v>1836</v>
      </c>
      <c r="C5" s="16" t="s">
        <v>1837</v>
      </c>
      <c r="D5" s="17" t="s">
        <v>1838</v>
      </c>
      <c r="E5" s="18" t="s">
        <v>1839</v>
      </c>
      <c r="F5" s="10" t="s">
        <v>172</v>
      </c>
      <c r="G5" s="10" t="s">
        <v>172</v>
      </c>
      <c r="H5" s="10" t="s">
        <v>172</v>
      </c>
    </row>
    <row r="6" s="9" customFormat="1" ht="37" customHeight="1" spans="1:8">
      <c r="A6" s="10" t="s">
        <v>172</v>
      </c>
      <c r="B6" s="19" t="s">
        <v>1840</v>
      </c>
      <c r="C6" s="20" t="s">
        <v>182</v>
      </c>
      <c r="D6" s="21">
        <v>1</v>
      </c>
      <c r="E6" s="22">
        <v>700000</v>
      </c>
      <c r="F6" s="10" t="s">
        <v>172</v>
      </c>
      <c r="G6" s="10" t="s">
        <v>172</v>
      </c>
      <c r="H6" s="10" t="s">
        <v>172</v>
      </c>
    </row>
    <row r="7" s="9" customFormat="1" ht="17" customHeight="1" spans="1:8">
      <c r="A7" s="10" t="s">
        <v>172</v>
      </c>
      <c r="B7" s="19" t="s">
        <v>1840</v>
      </c>
      <c r="C7" s="16" t="s">
        <v>1841</v>
      </c>
      <c r="D7" s="23">
        <v>1</v>
      </c>
      <c r="E7" s="24">
        <v>700000</v>
      </c>
      <c r="F7" s="10" t="s">
        <v>172</v>
      </c>
      <c r="G7" s="10" t="s">
        <v>172</v>
      </c>
      <c r="H7" s="10" t="s">
        <v>172</v>
      </c>
    </row>
    <row r="8" s="9" customFormat="1" ht="26" customHeight="1" spans="1:8">
      <c r="A8" s="10" t="s">
        <v>172</v>
      </c>
      <c r="B8" s="19" t="s">
        <v>1842</v>
      </c>
      <c r="C8" s="20" t="s">
        <v>804</v>
      </c>
      <c r="D8" s="21">
        <v>1</v>
      </c>
      <c r="E8" s="22">
        <v>720720.720721</v>
      </c>
      <c r="F8" s="10" t="s">
        <v>172</v>
      </c>
      <c r="G8" s="10" t="s">
        <v>172</v>
      </c>
      <c r="H8" s="10" t="s">
        <v>172</v>
      </c>
    </row>
    <row r="9" s="9" customFormat="1" ht="17" customHeight="1" spans="1:8">
      <c r="A9" s="10" t="s">
        <v>172</v>
      </c>
      <c r="B9" s="19" t="s">
        <v>1842</v>
      </c>
      <c r="C9" s="16" t="s">
        <v>1841</v>
      </c>
      <c r="D9" s="23">
        <v>1</v>
      </c>
      <c r="E9" s="24">
        <v>720720.720721</v>
      </c>
      <c r="F9" s="10" t="s">
        <v>172</v>
      </c>
      <c r="G9" s="10" t="s">
        <v>172</v>
      </c>
      <c r="H9" s="10" t="s">
        <v>172</v>
      </c>
    </row>
    <row r="10" s="9" customFormat="1" ht="37" customHeight="1" spans="1:8">
      <c r="A10" s="10" t="s">
        <v>172</v>
      </c>
      <c r="B10" s="19" t="s">
        <v>1843</v>
      </c>
      <c r="C10" s="20" t="s">
        <v>182</v>
      </c>
      <c r="D10" s="21">
        <v>1</v>
      </c>
      <c r="E10" s="22">
        <v>615000</v>
      </c>
      <c r="F10" s="10" t="s">
        <v>172</v>
      </c>
      <c r="G10" s="10" t="s">
        <v>172</v>
      </c>
      <c r="H10" s="10" t="s">
        <v>172</v>
      </c>
    </row>
    <row r="11" s="9" customFormat="1" ht="17" customHeight="1" spans="1:8">
      <c r="A11" s="10" t="s">
        <v>172</v>
      </c>
      <c r="B11" s="19" t="s">
        <v>1843</v>
      </c>
      <c r="C11" s="16" t="s">
        <v>1841</v>
      </c>
      <c r="D11" s="23">
        <v>1</v>
      </c>
      <c r="E11" s="24">
        <v>615000</v>
      </c>
      <c r="F11" s="10" t="s">
        <v>172</v>
      </c>
      <c r="G11" s="10" t="s">
        <v>172</v>
      </c>
      <c r="H11" s="10" t="s">
        <v>172</v>
      </c>
    </row>
    <row r="12" s="9" customFormat="1" ht="26" customHeight="1" spans="1:8">
      <c r="A12" s="10" t="s">
        <v>172</v>
      </c>
      <c r="B12" s="19" t="s">
        <v>1844</v>
      </c>
      <c r="C12" s="20" t="s">
        <v>804</v>
      </c>
      <c r="D12" s="21">
        <v>1</v>
      </c>
      <c r="E12" s="22">
        <v>100900.900901</v>
      </c>
      <c r="F12" s="10" t="s">
        <v>172</v>
      </c>
      <c r="G12" s="10" t="s">
        <v>172</v>
      </c>
      <c r="H12" s="10" t="s">
        <v>172</v>
      </c>
    </row>
    <row r="13" s="9" customFormat="1" ht="17" customHeight="1" spans="1:8">
      <c r="A13" s="10" t="s">
        <v>172</v>
      </c>
      <c r="B13" s="19" t="s">
        <v>1844</v>
      </c>
      <c r="C13" s="16" t="s">
        <v>1841</v>
      </c>
      <c r="D13" s="23">
        <v>1</v>
      </c>
      <c r="E13" s="24">
        <v>100900.900901</v>
      </c>
      <c r="F13" s="10" t="s">
        <v>172</v>
      </c>
      <c r="G13" s="10" t="s">
        <v>172</v>
      </c>
      <c r="H13" s="10" t="s">
        <v>172</v>
      </c>
    </row>
    <row r="14" s="9" customFormat="1" ht="26" customHeight="1" spans="1:8">
      <c r="A14" s="10" t="s">
        <v>172</v>
      </c>
      <c r="B14" s="19" t="s">
        <v>1845</v>
      </c>
      <c r="C14" s="20" t="s">
        <v>804</v>
      </c>
      <c r="D14" s="21">
        <v>1</v>
      </c>
      <c r="E14" s="22">
        <v>81081.081081</v>
      </c>
      <c r="F14" s="10" t="s">
        <v>172</v>
      </c>
      <c r="G14" s="10" t="s">
        <v>172</v>
      </c>
      <c r="H14" s="10" t="s">
        <v>172</v>
      </c>
    </row>
    <row r="15" s="9" customFormat="1" ht="17" customHeight="1" spans="1:8">
      <c r="A15" s="10" t="s">
        <v>172</v>
      </c>
      <c r="B15" s="19" t="s">
        <v>1845</v>
      </c>
      <c r="C15" s="16" t="s">
        <v>1841</v>
      </c>
      <c r="D15" s="23">
        <v>1</v>
      </c>
      <c r="E15" s="24">
        <v>81081.081081</v>
      </c>
      <c r="F15" s="10" t="s">
        <v>172</v>
      </c>
      <c r="G15" s="10" t="s">
        <v>172</v>
      </c>
      <c r="H15" s="10" t="s">
        <v>172</v>
      </c>
    </row>
    <row r="16" s="9" customFormat="1" ht="26" customHeight="1" spans="1:8">
      <c r="A16" s="10" t="s">
        <v>172</v>
      </c>
      <c r="B16" s="19" t="s">
        <v>1846</v>
      </c>
      <c r="C16" s="20" t="s">
        <v>804</v>
      </c>
      <c r="D16" s="21">
        <v>1</v>
      </c>
      <c r="E16" s="22">
        <v>109000</v>
      </c>
      <c r="F16" s="10" t="s">
        <v>172</v>
      </c>
      <c r="G16" s="10" t="s">
        <v>172</v>
      </c>
      <c r="H16" s="10" t="s">
        <v>172</v>
      </c>
    </row>
    <row r="17" s="9" customFormat="1" ht="17" customHeight="1" spans="1:8">
      <c r="A17" s="10" t="s">
        <v>172</v>
      </c>
      <c r="B17" s="19" t="s">
        <v>1846</v>
      </c>
      <c r="C17" s="16" t="s">
        <v>1841</v>
      </c>
      <c r="D17" s="23">
        <v>1</v>
      </c>
      <c r="E17" s="24">
        <v>109000</v>
      </c>
      <c r="F17" s="10" t="s">
        <v>172</v>
      </c>
      <c r="G17" s="10" t="s">
        <v>172</v>
      </c>
      <c r="H17" s="10" t="s">
        <v>172</v>
      </c>
    </row>
    <row r="18" s="9" customFormat="1" ht="37" customHeight="1" spans="1:8">
      <c r="A18" s="10" t="s">
        <v>172</v>
      </c>
      <c r="B18" s="19" t="s">
        <v>1662</v>
      </c>
      <c r="C18" s="20" t="s">
        <v>182</v>
      </c>
      <c r="D18" s="21">
        <v>1</v>
      </c>
      <c r="E18" s="22">
        <v>50000</v>
      </c>
      <c r="F18" s="10" t="s">
        <v>172</v>
      </c>
      <c r="G18" s="10" t="s">
        <v>172</v>
      </c>
      <c r="H18" s="10" t="s">
        <v>172</v>
      </c>
    </row>
    <row r="19" s="9" customFormat="1" ht="17" customHeight="1" spans="1:8">
      <c r="A19" s="10" t="s">
        <v>172</v>
      </c>
      <c r="B19" s="19" t="s">
        <v>1662</v>
      </c>
      <c r="C19" s="16" t="s">
        <v>1841</v>
      </c>
      <c r="D19" s="23">
        <v>1</v>
      </c>
      <c r="E19" s="24">
        <v>50000</v>
      </c>
      <c r="F19" s="10" t="s">
        <v>172</v>
      </c>
      <c r="G19" s="10" t="s">
        <v>172</v>
      </c>
      <c r="H19" s="10" t="s">
        <v>172</v>
      </c>
    </row>
    <row r="20" s="9" customFormat="1" ht="1" customHeight="1" spans="1:8">
      <c r="A20" s="10" t="s">
        <v>172</v>
      </c>
      <c r="B20" s="25"/>
      <c r="C20" s="25"/>
      <c r="D20" s="25"/>
      <c r="E20" s="25"/>
      <c r="F20" s="25"/>
      <c r="G20" s="25"/>
      <c r="H20" s="10" t="s">
        <v>172</v>
      </c>
    </row>
    <row r="21" s="9" customFormat="1" ht="13" customHeight="1" spans="1:8">
      <c r="A21" s="10" t="s">
        <v>172</v>
      </c>
      <c r="B21" s="26"/>
      <c r="C21" s="26"/>
      <c r="D21" s="26"/>
      <c r="E21" s="26"/>
      <c r="F21" s="26"/>
      <c r="G21" s="26"/>
      <c r="H21" s="10" t="s">
        <v>172</v>
      </c>
    </row>
    <row r="22" s="9" customFormat="1" ht="13" customHeight="1" spans="1:8">
      <c r="A22" s="10" t="s">
        <v>172</v>
      </c>
      <c r="B22" s="26"/>
      <c r="C22" s="26"/>
      <c r="D22" s="26"/>
      <c r="E22" s="26"/>
      <c r="F22" s="26"/>
      <c r="G22" s="26"/>
      <c r="H22" s="10" t="s">
        <v>172</v>
      </c>
    </row>
    <row r="23" s="9" customFormat="1" ht="13" customHeight="1" spans="1:8">
      <c r="A23" s="10" t="s">
        <v>172</v>
      </c>
      <c r="B23" s="26"/>
      <c r="C23" s="26"/>
      <c r="D23" s="26"/>
      <c r="E23" s="26"/>
      <c r="F23" s="26"/>
      <c r="G23" s="26"/>
      <c r="H23" s="10" t="s">
        <v>172</v>
      </c>
    </row>
    <row r="24" s="9" customFormat="1" ht="13" customHeight="1" spans="1:8">
      <c r="A24" s="10" t="s">
        <v>172</v>
      </c>
      <c r="B24" s="26"/>
      <c r="C24" s="26"/>
      <c r="D24" s="26"/>
      <c r="E24" s="26"/>
      <c r="F24" s="26"/>
      <c r="G24" s="27" t="s">
        <v>1847</v>
      </c>
      <c r="H24" s="10" t="s">
        <v>172</v>
      </c>
    </row>
    <row r="25" s="9" customFormat="1" ht="17" customHeight="1" spans="1:8">
      <c r="A25" s="10" t="s">
        <v>172</v>
      </c>
      <c r="B25" s="11"/>
      <c r="C25" s="11"/>
      <c r="D25" s="11"/>
      <c r="E25" s="11"/>
      <c r="F25" s="11"/>
      <c r="G25" s="11"/>
      <c r="H25" s="10" t="s">
        <v>172</v>
      </c>
    </row>
    <row r="26" s="9" customFormat="1" ht="23" customHeight="1" spans="1:8">
      <c r="A26" s="10" t="s">
        <v>172</v>
      </c>
      <c r="B26" s="12"/>
      <c r="C26" s="12"/>
      <c r="D26" s="12"/>
      <c r="E26" s="12"/>
      <c r="F26" s="12"/>
      <c r="G26" s="12"/>
      <c r="H26" s="10" t="s">
        <v>172</v>
      </c>
    </row>
    <row r="27" s="9" customFormat="1" ht="16" customHeight="1" spans="1:8">
      <c r="A27" s="10" t="s">
        <v>172</v>
      </c>
      <c r="B27" s="13"/>
      <c r="C27" s="13"/>
      <c r="D27" s="13"/>
      <c r="E27" s="13"/>
      <c r="F27" s="13"/>
      <c r="G27" s="13"/>
      <c r="H27" s="10" t="s">
        <v>172</v>
      </c>
    </row>
    <row r="28" s="9" customFormat="1" ht="12" customHeight="1" spans="1:8">
      <c r="A28" s="10" t="s">
        <v>172</v>
      </c>
      <c r="B28" s="14"/>
      <c r="C28" s="14"/>
      <c r="D28" s="14"/>
      <c r="E28" s="14"/>
      <c r="F28" s="14"/>
      <c r="G28" s="14"/>
      <c r="H28" s="10" t="s">
        <v>172</v>
      </c>
    </row>
    <row r="29" s="9" customFormat="1" ht="17" customHeight="1" spans="1:8">
      <c r="A29" s="10" t="s">
        <v>172</v>
      </c>
      <c r="B29" s="15" t="s">
        <v>1836</v>
      </c>
      <c r="C29" s="16" t="s">
        <v>1837</v>
      </c>
      <c r="D29" s="17" t="s">
        <v>1838</v>
      </c>
      <c r="E29" s="18" t="s">
        <v>1839</v>
      </c>
      <c r="F29" s="10" t="s">
        <v>172</v>
      </c>
      <c r="G29" s="10" t="s">
        <v>172</v>
      </c>
      <c r="H29" s="10" t="s">
        <v>172</v>
      </c>
    </row>
    <row r="30" s="9" customFormat="1" ht="26" customHeight="1" spans="1:8">
      <c r="A30" s="10" t="s">
        <v>172</v>
      </c>
      <c r="B30" s="19" t="s">
        <v>1848</v>
      </c>
      <c r="C30" s="20" t="s">
        <v>804</v>
      </c>
      <c r="D30" s="21">
        <v>2</v>
      </c>
      <c r="E30" s="22">
        <v>145000</v>
      </c>
      <c r="F30" s="10" t="s">
        <v>172</v>
      </c>
      <c r="G30" s="10" t="s">
        <v>172</v>
      </c>
      <c r="H30" s="10" t="s">
        <v>172</v>
      </c>
    </row>
    <row r="31" s="9" customFormat="1" ht="17" customHeight="1" spans="1:8">
      <c r="A31" s="10" t="s">
        <v>172</v>
      </c>
      <c r="B31" s="19" t="s">
        <v>1848</v>
      </c>
      <c r="C31" s="16" t="s">
        <v>1841</v>
      </c>
      <c r="D31" s="23">
        <v>2</v>
      </c>
      <c r="E31" s="24">
        <v>145000</v>
      </c>
      <c r="F31" s="10" t="s">
        <v>172</v>
      </c>
      <c r="G31" s="10" t="s">
        <v>172</v>
      </c>
      <c r="H31" s="10" t="s">
        <v>172</v>
      </c>
    </row>
    <row r="32" s="9" customFormat="1" ht="26" customHeight="1" spans="1:8">
      <c r="A32" s="10" t="s">
        <v>172</v>
      </c>
      <c r="B32" s="19" t="s">
        <v>1849</v>
      </c>
      <c r="C32" s="20" t="s">
        <v>804</v>
      </c>
      <c r="D32" s="21">
        <v>2</v>
      </c>
      <c r="E32" s="22">
        <v>850000</v>
      </c>
      <c r="F32" s="10" t="s">
        <v>172</v>
      </c>
      <c r="G32" s="10" t="s">
        <v>172</v>
      </c>
      <c r="H32" s="10" t="s">
        <v>172</v>
      </c>
    </row>
    <row r="33" s="9" customFormat="1" ht="17" customHeight="1" spans="1:8">
      <c r="A33" s="10" t="s">
        <v>172</v>
      </c>
      <c r="B33" s="19" t="s">
        <v>1849</v>
      </c>
      <c r="C33" s="16" t="s">
        <v>1841</v>
      </c>
      <c r="D33" s="23">
        <v>2</v>
      </c>
      <c r="E33" s="24">
        <v>850000</v>
      </c>
      <c r="F33" s="10" t="s">
        <v>172</v>
      </c>
      <c r="G33" s="10" t="s">
        <v>172</v>
      </c>
      <c r="H33" s="10" t="s">
        <v>172</v>
      </c>
    </row>
    <row r="34" s="9" customFormat="1" ht="26" customHeight="1" spans="1:8">
      <c r="A34" s="10" t="s">
        <v>172</v>
      </c>
      <c r="B34" s="19" t="s">
        <v>1850</v>
      </c>
      <c r="C34" s="20" t="s">
        <v>804</v>
      </c>
      <c r="D34" s="21">
        <v>1</v>
      </c>
      <c r="E34" s="22">
        <v>417117.117117</v>
      </c>
      <c r="F34" s="10" t="s">
        <v>172</v>
      </c>
      <c r="G34" s="10" t="s">
        <v>172</v>
      </c>
      <c r="H34" s="10" t="s">
        <v>172</v>
      </c>
    </row>
    <row r="35" s="9" customFormat="1" ht="17" customHeight="1" spans="1:8">
      <c r="A35" s="10" t="s">
        <v>172</v>
      </c>
      <c r="B35" s="19" t="s">
        <v>1850</v>
      </c>
      <c r="C35" s="16" t="s">
        <v>1841</v>
      </c>
      <c r="D35" s="23">
        <v>1</v>
      </c>
      <c r="E35" s="24">
        <v>417117.117117</v>
      </c>
      <c r="F35" s="10" t="s">
        <v>172</v>
      </c>
      <c r="G35" s="10" t="s">
        <v>172</v>
      </c>
      <c r="H35" s="10" t="s">
        <v>172</v>
      </c>
    </row>
    <row r="36" s="9" customFormat="1" ht="26" customHeight="1" spans="1:8">
      <c r="A36" s="10" t="s">
        <v>172</v>
      </c>
      <c r="B36" s="19" t="s">
        <v>1851</v>
      </c>
      <c r="C36" s="20" t="s">
        <v>804</v>
      </c>
      <c r="D36" s="21">
        <v>1</v>
      </c>
      <c r="E36" s="22">
        <v>786486.486486</v>
      </c>
      <c r="F36" s="10" t="s">
        <v>172</v>
      </c>
      <c r="G36" s="10" t="s">
        <v>172</v>
      </c>
      <c r="H36" s="10" t="s">
        <v>172</v>
      </c>
    </row>
    <row r="37" s="9" customFormat="1" ht="17" customHeight="1" spans="1:8">
      <c r="A37" s="10" t="s">
        <v>172</v>
      </c>
      <c r="B37" s="19" t="s">
        <v>1851</v>
      </c>
      <c r="C37" s="16" t="s">
        <v>1841</v>
      </c>
      <c r="D37" s="23">
        <v>1</v>
      </c>
      <c r="E37" s="24">
        <v>786486.486486</v>
      </c>
      <c r="F37" s="10" t="s">
        <v>172</v>
      </c>
      <c r="G37" s="10" t="s">
        <v>172</v>
      </c>
      <c r="H37" s="10" t="s">
        <v>172</v>
      </c>
    </row>
    <row r="38" s="9" customFormat="1" ht="26" customHeight="1" spans="1:8">
      <c r="A38" s="10" t="s">
        <v>172</v>
      </c>
      <c r="B38" s="19" t="s">
        <v>1172</v>
      </c>
      <c r="C38" s="20" t="s">
        <v>804</v>
      </c>
      <c r="D38" s="21">
        <v>4</v>
      </c>
      <c r="E38" s="22">
        <v>1571171.171172</v>
      </c>
      <c r="F38" s="10" t="s">
        <v>172</v>
      </c>
      <c r="G38" s="10" t="s">
        <v>172</v>
      </c>
      <c r="H38" s="10" t="s">
        <v>172</v>
      </c>
    </row>
    <row r="39" s="9" customFormat="1" ht="17" customHeight="1" spans="1:8">
      <c r="A39" s="10" t="s">
        <v>172</v>
      </c>
      <c r="B39" s="19" t="s">
        <v>1172</v>
      </c>
      <c r="C39" s="16" t="s">
        <v>1841</v>
      </c>
      <c r="D39" s="23">
        <v>4</v>
      </c>
      <c r="E39" s="24">
        <v>1571171.171172</v>
      </c>
      <c r="F39" s="10" t="s">
        <v>172</v>
      </c>
      <c r="G39" s="10" t="s">
        <v>172</v>
      </c>
      <c r="H39" s="10" t="s">
        <v>172</v>
      </c>
    </row>
    <row r="40" s="9" customFormat="1" ht="26" customHeight="1" spans="1:8">
      <c r="A40" s="10" t="s">
        <v>172</v>
      </c>
      <c r="B40" s="19" t="s">
        <v>1852</v>
      </c>
      <c r="C40" s="20" t="s">
        <v>804</v>
      </c>
      <c r="D40" s="21">
        <v>1</v>
      </c>
      <c r="E40" s="22">
        <v>262162.162162</v>
      </c>
      <c r="F40" s="10" t="s">
        <v>172</v>
      </c>
      <c r="G40" s="10" t="s">
        <v>172</v>
      </c>
      <c r="H40" s="10" t="s">
        <v>172</v>
      </c>
    </row>
    <row r="41" s="9" customFormat="1" ht="17" customHeight="1" spans="1:8">
      <c r="A41" s="10" t="s">
        <v>172</v>
      </c>
      <c r="B41" s="19" t="s">
        <v>1852</v>
      </c>
      <c r="C41" s="16" t="s">
        <v>1841</v>
      </c>
      <c r="D41" s="23">
        <v>1</v>
      </c>
      <c r="E41" s="24">
        <v>262162.162162</v>
      </c>
      <c r="F41" s="10" t="s">
        <v>172</v>
      </c>
      <c r="G41" s="10" t="s">
        <v>172</v>
      </c>
      <c r="H41" s="10" t="s">
        <v>172</v>
      </c>
    </row>
    <row r="42" s="9" customFormat="1" ht="37" customHeight="1" spans="1:8">
      <c r="A42" s="10" t="s">
        <v>172</v>
      </c>
      <c r="B42" s="19" t="s">
        <v>1853</v>
      </c>
      <c r="C42" s="20" t="s">
        <v>182</v>
      </c>
      <c r="D42" s="21">
        <v>1</v>
      </c>
      <c r="E42" s="22">
        <v>314414.414414</v>
      </c>
      <c r="F42" s="10" t="s">
        <v>172</v>
      </c>
      <c r="G42" s="10" t="s">
        <v>172</v>
      </c>
      <c r="H42" s="10" t="s">
        <v>172</v>
      </c>
    </row>
    <row r="43" s="9" customFormat="1" ht="17" customHeight="1" spans="1:8">
      <c r="A43" s="10" t="s">
        <v>172</v>
      </c>
      <c r="B43" s="19" t="s">
        <v>1853</v>
      </c>
      <c r="C43" s="16" t="s">
        <v>1841</v>
      </c>
      <c r="D43" s="23">
        <v>1</v>
      </c>
      <c r="E43" s="24">
        <v>314414.414414</v>
      </c>
      <c r="F43" s="10" t="s">
        <v>172</v>
      </c>
      <c r="G43" s="10" t="s">
        <v>172</v>
      </c>
      <c r="H43" s="10" t="s">
        <v>172</v>
      </c>
    </row>
    <row r="44" s="9" customFormat="1" ht="37" customHeight="1" spans="1:8">
      <c r="A44" s="10" t="s">
        <v>172</v>
      </c>
      <c r="B44" s="19" t="s">
        <v>1854</v>
      </c>
      <c r="C44" s="20" t="s">
        <v>182</v>
      </c>
      <c r="D44" s="21">
        <v>1</v>
      </c>
      <c r="E44" s="22">
        <v>350450.45045</v>
      </c>
      <c r="F44" s="10" t="s">
        <v>172</v>
      </c>
      <c r="G44" s="10" t="s">
        <v>172</v>
      </c>
      <c r="H44" s="10" t="s">
        <v>172</v>
      </c>
    </row>
    <row r="45" s="9" customFormat="1" ht="17" customHeight="1" spans="1:8">
      <c r="A45" s="10" t="s">
        <v>172</v>
      </c>
      <c r="B45" s="19" t="s">
        <v>1854</v>
      </c>
      <c r="C45" s="16" t="s">
        <v>1841</v>
      </c>
      <c r="D45" s="23">
        <v>1</v>
      </c>
      <c r="E45" s="24">
        <v>350450.45045</v>
      </c>
      <c r="F45" s="10" t="s">
        <v>172</v>
      </c>
      <c r="G45" s="10" t="s">
        <v>172</v>
      </c>
      <c r="H45" s="10" t="s">
        <v>172</v>
      </c>
    </row>
    <row r="46" s="9" customFormat="1" ht="1" customHeight="1" spans="1:8">
      <c r="A46" s="10" t="s">
        <v>172</v>
      </c>
      <c r="B46" s="25"/>
      <c r="C46" s="25"/>
      <c r="D46" s="25"/>
      <c r="E46" s="25"/>
      <c r="F46" s="25"/>
      <c r="G46" s="25"/>
      <c r="H46" s="10" t="s">
        <v>172</v>
      </c>
    </row>
    <row r="47" s="9" customFormat="1" ht="13" customHeight="1" spans="1:8">
      <c r="A47" s="10" t="s">
        <v>172</v>
      </c>
      <c r="B47" s="26"/>
      <c r="C47" s="26"/>
      <c r="D47" s="26"/>
      <c r="E47" s="26"/>
      <c r="F47" s="26"/>
      <c r="G47" s="26"/>
      <c r="H47" s="10" t="s">
        <v>172</v>
      </c>
    </row>
    <row r="48" s="9" customFormat="1" ht="13" customHeight="1" spans="1:8">
      <c r="A48" s="10" t="s">
        <v>172</v>
      </c>
      <c r="B48" s="26"/>
      <c r="C48" s="26"/>
      <c r="D48" s="26"/>
      <c r="E48" s="26"/>
      <c r="F48" s="26"/>
      <c r="G48" s="26"/>
      <c r="H48" s="10" t="s">
        <v>172</v>
      </c>
    </row>
    <row r="49" s="9" customFormat="1" ht="13" customHeight="1" spans="1:8">
      <c r="A49" s="10" t="s">
        <v>172</v>
      </c>
      <c r="B49" s="26"/>
      <c r="C49" s="26"/>
      <c r="D49" s="26"/>
      <c r="E49" s="26"/>
      <c r="F49" s="26"/>
      <c r="G49" s="26"/>
      <c r="H49" s="10" t="s">
        <v>172</v>
      </c>
    </row>
    <row r="50" s="9" customFormat="1" ht="13" customHeight="1" spans="1:8">
      <c r="A50" s="10" t="s">
        <v>172</v>
      </c>
      <c r="B50" s="26"/>
      <c r="C50" s="26"/>
      <c r="D50" s="26"/>
      <c r="E50" s="26"/>
      <c r="F50" s="26"/>
      <c r="G50" s="27" t="s">
        <v>1847</v>
      </c>
      <c r="H50" s="10" t="s">
        <v>172</v>
      </c>
    </row>
    <row r="51" s="9" customFormat="1" ht="17" customHeight="1" spans="1:8">
      <c r="A51" s="10" t="s">
        <v>172</v>
      </c>
      <c r="B51" s="11"/>
      <c r="C51" s="11"/>
      <c r="D51" s="11"/>
      <c r="E51" s="11"/>
      <c r="F51" s="11"/>
      <c r="G51" s="11"/>
      <c r="H51" s="10" t="s">
        <v>172</v>
      </c>
    </row>
    <row r="52" s="9" customFormat="1" ht="23" customHeight="1" spans="1:8">
      <c r="A52" s="10" t="s">
        <v>172</v>
      </c>
      <c r="B52" s="12"/>
      <c r="C52" s="12"/>
      <c r="D52" s="12"/>
      <c r="E52" s="12"/>
      <c r="F52" s="12"/>
      <c r="G52" s="12"/>
      <c r="H52" s="10" t="s">
        <v>172</v>
      </c>
    </row>
    <row r="53" s="9" customFormat="1" ht="16" customHeight="1" spans="1:8">
      <c r="A53" s="10" t="s">
        <v>172</v>
      </c>
      <c r="B53" s="13"/>
      <c r="C53" s="13"/>
      <c r="D53" s="13"/>
      <c r="E53" s="13"/>
      <c r="F53" s="13"/>
      <c r="G53" s="13"/>
      <c r="H53" s="10" t="s">
        <v>172</v>
      </c>
    </row>
    <row r="54" s="9" customFormat="1" ht="12" customHeight="1" spans="1:8">
      <c r="A54" s="10" t="s">
        <v>172</v>
      </c>
      <c r="B54" s="14"/>
      <c r="C54" s="14"/>
      <c r="D54" s="14"/>
      <c r="E54" s="14"/>
      <c r="F54" s="14"/>
      <c r="G54" s="14"/>
      <c r="H54" s="10" t="s">
        <v>172</v>
      </c>
    </row>
    <row r="55" s="9" customFormat="1" ht="17" customHeight="1" spans="1:8">
      <c r="A55" s="10" t="s">
        <v>172</v>
      </c>
      <c r="B55" s="15" t="s">
        <v>1836</v>
      </c>
      <c r="C55" s="16" t="s">
        <v>1837</v>
      </c>
      <c r="D55" s="17" t="s">
        <v>1838</v>
      </c>
      <c r="E55" s="18" t="s">
        <v>1839</v>
      </c>
      <c r="F55" s="10" t="s">
        <v>172</v>
      </c>
      <c r="G55" s="10" t="s">
        <v>172</v>
      </c>
      <c r="H55" s="10" t="s">
        <v>172</v>
      </c>
    </row>
    <row r="56" s="9" customFormat="1" ht="37" customHeight="1" spans="1:8">
      <c r="A56" s="10" t="s">
        <v>172</v>
      </c>
      <c r="B56" s="19" t="s">
        <v>1440</v>
      </c>
      <c r="C56" s="20" t="s">
        <v>182</v>
      </c>
      <c r="D56" s="21">
        <v>2</v>
      </c>
      <c r="E56" s="22">
        <v>798198.198198</v>
      </c>
      <c r="F56" s="10" t="s">
        <v>172</v>
      </c>
      <c r="G56" s="10" t="s">
        <v>172</v>
      </c>
      <c r="H56" s="10" t="s">
        <v>172</v>
      </c>
    </row>
    <row r="57" s="9" customFormat="1" ht="17" customHeight="1" spans="1:8">
      <c r="A57" s="10" t="s">
        <v>172</v>
      </c>
      <c r="B57" s="19" t="s">
        <v>1440</v>
      </c>
      <c r="C57" s="16" t="s">
        <v>1841</v>
      </c>
      <c r="D57" s="23">
        <v>2</v>
      </c>
      <c r="E57" s="24">
        <v>798198.198198</v>
      </c>
      <c r="F57" s="10" t="s">
        <v>172</v>
      </c>
      <c r="G57" s="10" t="s">
        <v>172</v>
      </c>
      <c r="H57" s="10" t="s">
        <v>172</v>
      </c>
    </row>
    <row r="58" s="9" customFormat="1" ht="26" customHeight="1" spans="1:8">
      <c r="A58" s="10" t="s">
        <v>172</v>
      </c>
      <c r="B58" s="19" t="s">
        <v>1672</v>
      </c>
      <c r="C58" s="20" t="s">
        <v>804</v>
      </c>
      <c r="D58" s="21">
        <v>1</v>
      </c>
      <c r="E58" s="22">
        <v>547747.747748</v>
      </c>
      <c r="F58" s="10" t="s">
        <v>172</v>
      </c>
      <c r="G58" s="10" t="s">
        <v>172</v>
      </c>
      <c r="H58" s="10" t="s">
        <v>172</v>
      </c>
    </row>
    <row r="59" s="9" customFormat="1" ht="17" customHeight="1" spans="1:8">
      <c r="A59" s="10" t="s">
        <v>172</v>
      </c>
      <c r="B59" s="19" t="s">
        <v>1672</v>
      </c>
      <c r="C59" s="16" t="s">
        <v>1841</v>
      </c>
      <c r="D59" s="23">
        <v>1</v>
      </c>
      <c r="E59" s="24">
        <v>547747.747748</v>
      </c>
      <c r="F59" s="10" t="s">
        <v>172</v>
      </c>
      <c r="G59" s="10" t="s">
        <v>172</v>
      </c>
      <c r="H59" s="10" t="s">
        <v>172</v>
      </c>
    </row>
    <row r="60" s="9" customFormat="1" ht="37" customHeight="1" spans="1:8">
      <c r="A60" s="10" t="s">
        <v>172</v>
      </c>
      <c r="B60" s="19" t="s">
        <v>1442</v>
      </c>
      <c r="C60" s="20" t="s">
        <v>182</v>
      </c>
      <c r="D60" s="21">
        <v>1</v>
      </c>
      <c r="E60" s="22">
        <v>360000</v>
      </c>
      <c r="F60" s="10" t="s">
        <v>172</v>
      </c>
      <c r="G60" s="10" t="s">
        <v>172</v>
      </c>
      <c r="H60" s="10" t="s">
        <v>172</v>
      </c>
    </row>
    <row r="61" s="9" customFormat="1" ht="17" customHeight="1" spans="1:8">
      <c r="A61" s="10" t="s">
        <v>172</v>
      </c>
      <c r="B61" s="19" t="s">
        <v>1442</v>
      </c>
      <c r="C61" s="16" t="s">
        <v>1841</v>
      </c>
      <c r="D61" s="23">
        <v>1</v>
      </c>
      <c r="E61" s="24">
        <v>360000</v>
      </c>
      <c r="F61" s="10" t="s">
        <v>172</v>
      </c>
      <c r="G61" s="10" t="s">
        <v>172</v>
      </c>
      <c r="H61" s="10" t="s">
        <v>172</v>
      </c>
    </row>
    <row r="62" s="9" customFormat="1" ht="26" customHeight="1" spans="1:8">
      <c r="A62" s="10" t="s">
        <v>172</v>
      </c>
      <c r="B62" s="19" t="s">
        <v>1443</v>
      </c>
      <c r="C62" s="20" t="s">
        <v>804</v>
      </c>
      <c r="D62" s="21">
        <v>1</v>
      </c>
      <c r="E62" s="22">
        <v>451351.351351</v>
      </c>
      <c r="F62" s="10" t="s">
        <v>172</v>
      </c>
      <c r="G62" s="10" t="s">
        <v>172</v>
      </c>
      <c r="H62" s="10" t="s">
        <v>172</v>
      </c>
    </row>
    <row r="63" s="9" customFormat="1" ht="17" customHeight="1" spans="1:8">
      <c r="A63" s="10" t="s">
        <v>172</v>
      </c>
      <c r="B63" s="19" t="s">
        <v>1443</v>
      </c>
      <c r="C63" s="16" t="s">
        <v>1841</v>
      </c>
      <c r="D63" s="23">
        <v>1</v>
      </c>
      <c r="E63" s="24">
        <v>451351.351351</v>
      </c>
      <c r="F63" s="10" t="s">
        <v>172</v>
      </c>
      <c r="G63" s="10" t="s">
        <v>172</v>
      </c>
      <c r="H63" s="10" t="s">
        <v>172</v>
      </c>
    </row>
    <row r="64" s="9" customFormat="1" ht="37" customHeight="1" spans="1:8">
      <c r="A64" s="10" t="s">
        <v>172</v>
      </c>
      <c r="B64" s="19" t="s">
        <v>1855</v>
      </c>
      <c r="C64" s="20" t="s">
        <v>182</v>
      </c>
      <c r="D64" s="21">
        <v>1</v>
      </c>
      <c r="E64" s="22">
        <v>406306.306306</v>
      </c>
      <c r="F64" s="10" t="s">
        <v>172</v>
      </c>
      <c r="G64" s="10" t="s">
        <v>172</v>
      </c>
      <c r="H64" s="10" t="s">
        <v>172</v>
      </c>
    </row>
    <row r="65" s="9" customFormat="1" ht="17" customHeight="1" spans="1:8">
      <c r="A65" s="10" t="s">
        <v>172</v>
      </c>
      <c r="B65" s="19" t="s">
        <v>1855</v>
      </c>
      <c r="C65" s="16" t="s">
        <v>1841</v>
      </c>
      <c r="D65" s="23">
        <v>1</v>
      </c>
      <c r="E65" s="24">
        <v>406306.306306</v>
      </c>
      <c r="F65" s="10" t="s">
        <v>172</v>
      </c>
      <c r="G65" s="10" t="s">
        <v>172</v>
      </c>
      <c r="H65" s="10" t="s">
        <v>172</v>
      </c>
    </row>
    <row r="66" s="9" customFormat="1" ht="37" customHeight="1" spans="1:8">
      <c r="A66" s="10" t="s">
        <v>172</v>
      </c>
      <c r="B66" s="19" t="s">
        <v>1447</v>
      </c>
      <c r="C66" s="20" t="s">
        <v>182</v>
      </c>
      <c r="D66" s="21">
        <v>1</v>
      </c>
      <c r="E66" s="22">
        <v>451351.351351</v>
      </c>
      <c r="F66" s="10" t="s">
        <v>172</v>
      </c>
      <c r="G66" s="10" t="s">
        <v>172</v>
      </c>
      <c r="H66" s="10" t="s">
        <v>172</v>
      </c>
    </row>
    <row r="67" s="9" customFormat="1" ht="17" customHeight="1" spans="1:8">
      <c r="A67" s="10" t="s">
        <v>172</v>
      </c>
      <c r="B67" s="19" t="s">
        <v>1447</v>
      </c>
      <c r="C67" s="16" t="s">
        <v>1841</v>
      </c>
      <c r="D67" s="23">
        <v>1</v>
      </c>
      <c r="E67" s="24">
        <v>451351.351351</v>
      </c>
      <c r="F67" s="10" t="s">
        <v>172</v>
      </c>
      <c r="G67" s="10" t="s">
        <v>172</v>
      </c>
      <c r="H67" s="10" t="s">
        <v>172</v>
      </c>
    </row>
    <row r="68" s="9" customFormat="1" ht="26" customHeight="1" spans="1:8">
      <c r="A68" s="10" t="s">
        <v>172</v>
      </c>
      <c r="B68" s="19" t="s">
        <v>1856</v>
      </c>
      <c r="C68" s="20" t="s">
        <v>804</v>
      </c>
      <c r="D68" s="21">
        <v>1</v>
      </c>
      <c r="E68" s="22">
        <v>553153.153153</v>
      </c>
      <c r="F68" s="10" t="s">
        <v>172</v>
      </c>
      <c r="G68" s="10" t="s">
        <v>172</v>
      </c>
      <c r="H68" s="10" t="s">
        <v>172</v>
      </c>
    </row>
    <row r="69" s="9" customFormat="1" ht="17" customHeight="1" spans="1:8">
      <c r="A69" s="10" t="s">
        <v>172</v>
      </c>
      <c r="B69" s="19" t="s">
        <v>1856</v>
      </c>
      <c r="C69" s="16" t="s">
        <v>1841</v>
      </c>
      <c r="D69" s="23">
        <v>1</v>
      </c>
      <c r="E69" s="24">
        <v>553153.153153</v>
      </c>
      <c r="F69" s="10" t="s">
        <v>172</v>
      </c>
      <c r="G69" s="10" t="s">
        <v>172</v>
      </c>
      <c r="H69" s="10" t="s">
        <v>172</v>
      </c>
    </row>
    <row r="70" s="9" customFormat="1" ht="1" customHeight="1" spans="1:8">
      <c r="A70" s="10" t="s">
        <v>172</v>
      </c>
      <c r="B70" s="25"/>
      <c r="C70" s="25"/>
      <c r="D70" s="25"/>
      <c r="E70" s="25"/>
      <c r="F70" s="25"/>
      <c r="G70" s="25"/>
      <c r="H70" s="10" t="s">
        <v>172</v>
      </c>
    </row>
    <row r="71" s="9" customFormat="1" ht="13" customHeight="1" spans="1:8">
      <c r="A71" s="10" t="s">
        <v>172</v>
      </c>
      <c r="B71" s="26"/>
      <c r="C71" s="26"/>
      <c r="D71" s="26"/>
      <c r="E71" s="26"/>
      <c r="F71" s="26"/>
      <c r="G71" s="26"/>
      <c r="H71" s="10" t="s">
        <v>172</v>
      </c>
    </row>
    <row r="72" s="9" customFormat="1" ht="13" customHeight="1" spans="1:8">
      <c r="A72" s="10" t="s">
        <v>172</v>
      </c>
      <c r="B72" s="26"/>
      <c r="C72" s="26"/>
      <c r="D72" s="26"/>
      <c r="E72" s="26"/>
      <c r="F72" s="26"/>
      <c r="G72" s="26"/>
      <c r="H72" s="10" t="s">
        <v>172</v>
      </c>
    </row>
    <row r="73" s="9" customFormat="1" ht="13" customHeight="1" spans="1:8">
      <c r="A73" s="10" t="s">
        <v>172</v>
      </c>
      <c r="B73" s="26"/>
      <c r="C73" s="26"/>
      <c r="D73" s="26"/>
      <c r="E73" s="26"/>
      <c r="F73" s="26"/>
      <c r="G73" s="26"/>
      <c r="H73" s="10" t="s">
        <v>172</v>
      </c>
    </row>
    <row r="74" s="9" customFormat="1" ht="13" customHeight="1" spans="1:8">
      <c r="A74" s="10" t="s">
        <v>172</v>
      </c>
      <c r="B74" s="26"/>
      <c r="C74" s="26"/>
      <c r="D74" s="26"/>
      <c r="E74" s="26"/>
      <c r="F74" s="26"/>
      <c r="G74" s="27" t="s">
        <v>1847</v>
      </c>
      <c r="H74" s="10" t="s">
        <v>172</v>
      </c>
    </row>
    <row r="75" s="9" customFormat="1" ht="17" customHeight="1" spans="1:8">
      <c r="A75" s="10" t="s">
        <v>172</v>
      </c>
      <c r="B75" s="11"/>
      <c r="C75" s="11"/>
      <c r="D75" s="11"/>
      <c r="E75" s="11"/>
      <c r="F75" s="11"/>
      <c r="G75" s="11"/>
      <c r="H75" s="10" t="s">
        <v>172</v>
      </c>
    </row>
    <row r="76" s="9" customFormat="1" ht="23" customHeight="1" spans="1:8">
      <c r="A76" s="10" t="s">
        <v>172</v>
      </c>
      <c r="B76" s="12"/>
      <c r="C76" s="12"/>
      <c r="D76" s="12"/>
      <c r="E76" s="12"/>
      <c r="F76" s="12"/>
      <c r="G76" s="12"/>
      <c r="H76" s="10" t="s">
        <v>172</v>
      </c>
    </row>
    <row r="77" s="9" customFormat="1" ht="16" customHeight="1" spans="1:8">
      <c r="A77" s="10" t="s">
        <v>172</v>
      </c>
      <c r="B77" s="13"/>
      <c r="C77" s="13"/>
      <c r="D77" s="13"/>
      <c r="E77" s="13"/>
      <c r="F77" s="13"/>
      <c r="G77" s="13"/>
      <c r="H77" s="10" t="s">
        <v>172</v>
      </c>
    </row>
    <row r="78" s="9" customFormat="1" ht="12" customHeight="1" spans="1:8">
      <c r="A78" s="10" t="s">
        <v>172</v>
      </c>
      <c r="B78" s="14"/>
      <c r="C78" s="14"/>
      <c r="D78" s="14"/>
      <c r="E78" s="14"/>
      <c r="F78" s="14"/>
      <c r="G78" s="14"/>
      <c r="H78" s="10" t="s">
        <v>172</v>
      </c>
    </row>
    <row r="79" s="9" customFormat="1" ht="17" customHeight="1" spans="1:8">
      <c r="A79" s="10" t="s">
        <v>172</v>
      </c>
      <c r="B79" s="15" t="s">
        <v>1836</v>
      </c>
      <c r="C79" s="16" t="s">
        <v>1837</v>
      </c>
      <c r="D79" s="17" t="s">
        <v>1838</v>
      </c>
      <c r="E79" s="18" t="s">
        <v>1839</v>
      </c>
      <c r="F79" s="10" t="s">
        <v>172</v>
      </c>
      <c r="G79" s="10" t="s">
        <v>172</v>
      </c>
      <c r="H79" s="10" t="s">
        <v>172</v>
      </c>
    </row>
    <row r="80" s="9" customFormat="1" ht="26" customHeight="1" spans="1:8">
      <c r="A80" s="10" t="s">
        <v>172</v>
      </c>
      <c r="B80" s="19" t="s">
        <v>1857</v>
      </c>
      <c r="C80" s="20" t="s">
        <v>804</v>
      </c>
      <c r="D80" s="21">
        <v>1</v>
      </c>
      <c r="E80" s="22">
        <v>451351.351351</v>
      </c>
      <c r="F80" s="10" t="s">
        <v>172</v>
      </c>
      <c r="G80" s="10" t="s">
        <v>172</v>
      </c>
      <c r="H80" s="10" t="s">
        <v>172</v>
      </c>
    </row>
    <row r="81" s="9" customFormat="1" ht="17" customHeight="1" spans="1:8">
      <c r="A81" s="10" t="s">
        <v>172</v>
      </c>
      <c r="B81" s="19" t="s">
        <v>1857</v>
      </c>
      <c r="C81" s="16" t="s">
        <v>1841</v>
      </c>
      <c r="D81" s="23">
        <v>1</v>
      </c>
      <c r="E81" s="24">
        <v>451351.351351</v>
      </c>
      <c r="F81" s="10" t="s">
        <v>172</v>
      </c>
      <c r="G81" s="10" t="s">
        <v>172</v>
      </c>
      <c r="H81" s="10" t="s">
        <v>172</v>
      </c>
    </row>
    <row r="82" s="9" customFormat="1" ht="37" customHeight="1" spans="1:8">
      <c r="A82" s="10" t="s">
        <v>172</v>
      </c>
      <c r="B82" s="19" t="s">
        <v>1448</v>
      </c>
      <c r="C82" s="20" t="s">
        <v>182</v>
      </c>
      <c r="D82" s="21">
        <v>1</v>
      </c>
      <c r="E82" s="22">
        <v>451351.351351</v>
      </c>
      <c r="F82" s="10" t="s">
        <v>172</v>
      </c>
      <c r="G82" s="10" t="s">
        <v>172</v>
      </c>
      <c r="H82" s="10" t="s">
        <v>172</v>
      </c>
    </row>
    <row r="83" s="9" customFormat="1" ht="17" customHeight="1" spans="1:8">
      <c r="A83" s="10" t="s">
        <v>172</v>
      </c>
      <c r="B83" s="19" t="s">
        <v>1448</v>
      </c>
      <c r="C83" s="16" t="s">
        <v>1841</v>
      </c>
      <c r="D83" s="23">
        <v>1</v>
      </c>
      <c r="E83" s="24">
        <v>451351.351351</v>
      </c>
      <c r="F83" s="10" t="s">
        <v>172</v>
      </c>
      <c r="G83" s="10" t="s">
        <v>172</v>
      </c>
      <c r="H83" s="10" t="s">
        <v>172</v>
      </c>
    </row>
    <row r="84" s="9" customFormat="1" ht="26" customHeight="1" spans="1:8">
      <c r="A84" s="10" t="s">
        <v>172</v>
      </c>
      <c r="B84" s="19" t="s">
        <v>1449</v>
      </c>
      <c r="C84" s="20" t="s">
        <v>804</v>
      </c>
      <c r="D84" s="21">
        <v>2</v>
      </c>
      <c r="E84" s="22">
        <v>963963.963964</v>
      </c>
      <c r="F84" s="10" t="s">
        <v>172</v>
      </c>
      <c r="G84" s="10" t="s">
        <v>172</v>
      </c>
      <c r="H84" s="10" t="s">
        <v>172</v>
      </c>
    </row>
    <row r="85" s="9" customFormat="1" ht="17" customHeight="1" spans="1:8">
      <c r="A85" s="10" t="s">
        <v>172</v>
      </c>
      <c r="B85" s="19" t="s">
        <v>1449</v>
      </c>
      <c r="C85" s="16" t="s">
        <v>1841</v>
      </c>
      <c r="D85" s="23">
        <v>2</v>
      </c>
      <c r="E85" s="24">
        <v>963963.963964</v>
      </c>
      <c r="F85" s="10" t="s">
        <v>172</v>
      </c>
      <c r="G85" s="10" t="s">
        <v>172</v>
      </c>
      <c r="H85" s="10" t="s">
        <v>172</v>
      </c>
    </row>
    <row r="86" s="9" customFormat="1" ht="26" customHeight="1" spans="1:8">
      <c r="A86" s="10" t="s">
        <v>172</v>
      </c>
      <c r="B86" s="19" t="s">
        <v>1678</v>
      </c>
      <c r="C86" s="20" t="s">
        <v>804</v>
      </c>
      <c r="D86" s="21">
        <v>1</v>
      </c>
      <c r="E86" s="22">
        <v>529730</v>
      </c>
      <c r="F86" s="10" t="s">
        <v>172</v>
      </c>
      <c r="G86" s="10" t="s">
        <v>172</v>
      </c>
      <c r="H86" s="10" t="s">
        <v>172</v>
      </c>
    </row>
    <row r="87" s="9" customFormat="1" ht="17" customHeight="1" spans="1:8">
      <c r="A87" s="10" t="s">
        <v>172</v>
      </c>
      <c r="B87" s="19" t="s">
        <v>1678</v>
      </c>
      <c r="C87" s="16" t="s">
        <v>1841</v>
      </c>
      <c r="D87" s="23">
        <v>1</v>
      </c>
      <c r="E87" s="24">
        <v>529730</v>
      </c>
      <c r="F87" s="10" t="s">
        <v>172</v>
      </c>
      <c r="G87" s="10" t="s">
        <v>172</v>
      </c>
      <c r="H87" s="10" t="s">
        <v>172</v>
      </c>
    </row>
    <row r="88" s="9" customFormat="1" ht="26" customHeight="1" spans="1:8">
      <c r="A88" s="10" t="s">
        <v>172</v>
      </c>
      <c r="B88" s="19" t="s">
        <v>1179</v>
      </c>
      <c r="C88" s="20" t="s">
        <v>804</v>
      </c>
      <c r="D88" s="21">
        <v>1</v>
      </c>
      <c r="E88" s="22">
        <v>517117.117117</v>
      </c>
      <c r="F88" s="10" t="s">
        <v>172</v>
      </c>
      <c r="G88" s="10" t="s">
        <v>172</v>
      </c>
      <c r="H88" s="10" t="s">
        <v>172</v>
      </c>
    </row>
    <row r="89" s="9" customFormat="1" ht="17" customHeight="1" spans="1:8">
      <c r="A89" s="10" t="s">
        <v>172</v>
      </c>
      <c r="B89" s="19" t="s">
        <v>1179</v>
      </c>
      <c r="C89" s="16" t="s">
        <v>1841</v>
      </c>
      <c r="D89" s="23">
        <v>1</v>
      </c>
      <c r="E89" s="24">
        <v>517117.117117</v>
      </c>
      <c r="F89" s="10" t="s">
        <v>172</v>
      </c>
      <c r="G89" s="10" t="s">
        <v>172</v>
      </c>
      <c r="H89" s="10" t="s">
        <v>172</v>
      </c>
    </row>
    <row r="90" s="9" customFormat="1" ht="37" customHeight="1" spans="1:8">
      <c r="A90" s="10" t="s">
        <v>172</v>
      </c>
      <c r="B90" s="19" t="s">
        <v>1180</v>
      </c>
      <c r="C90" s="20" t="s">
        <v>182</v>
      </c>
      <c r="D90" s="21">
        <v>1</v>
      </c>
      <c r="E90" s="22">
        <v>405405.405405</v>
      </c>
      <c r="F90" s="10" t="s">
        <v>172</v>
      </c>
      <c r="G90" s="10" t="s">
        <v>172</v>
      </c>
      <c r="H90" s="10" t="s">
        <v>172</v>
      </c>
    </row>
    <row r="91" s="9" customFormat="1" ht="26" customHeight="1" spans="1:8">
      <c r="A91" s="10" t="s">
        <v>172</v>
      </c>
      <c r="B91" s="19" t="s">
        <v>1180</v>
      </c>
      <c r="C91" s="20" t="s">
        <v>804</v>
      </c>
      <c r="D91" s="21">
        <v>2</v>
      </c>
      <c r="E91" s="22">
        <v>810810.81081</v>
      </c>
      <c r="F91" s="10" t="s">
        <v>172</v>
      </c>
      <c r="G91" s="10" t="s">
        <v>172</v>
      </c>
      <c r="H91" s="10" t="s">
        <v>172</v>
      </c>
    </row>
    <row r="92" s="9" customFormat="1" ht="17" customHeight="1" spans="1:8">
      <c r="A92" s="10" t="s">
        <v>172</v>
      </c>
      <c r="B92" s="19" t="s">
        <v>1180</v>
      </c>
      <c r="C92" s="16" t="s">
        <v>1841</v>
      </c>
      <c r="D92" s="23">
        <v>3</v>
      </c>
      <c r="E92" s="24">
        <v>1216216.216215</v>
      </c>
      <c r="F92" s="10" t="s">
        <v>172</v>
      </c>
      <c r="G92" s="10" t="s">
        <v>172</v>
      </c>
      <c r="H92" s="10" t="s">
        <v>172</v>
      </c>
    </row>
    <row r="93" s="9" customFormat="1" ht="37" customHeight="1" spans="1:8">
      <c r="A93" s="10" t="s">
        <v>172</v>
      </c>
      <c r="B93" s="19" t="s">
        <v>1182</v>
      </c>
      <c r="C93" s="20" t="s">
        <v>182</v>
      </c>
      <c r="D93" s="21">
        <v>1</v>
      </c>
      <c r="E93" s="22">
        <v>481081.081081</v>
      </c>
      <c r="F93" s="10" t="s">
        <v>172</v>
      </c>
      <c r="G93" s="10" t="s">
        <v>172</v>
      </c>
      <c r="H93" s="10" t="s">
        <v>172</v>
      </c>
    </row>
    <row r="94" s="9" customFormat="1" ht="17" customHeight="1" spans="1:8">
      <c r="A94" s="10" t="s">
        <v>172</v>
      </c>
      <c r="B94" s="19" t="s">
        <v>1182</v>
      </c>
      <c r="C94" s="16" t="s">
        <v>1841</v>
      </c>
      <c r="D94" s="23">
        <v>1</v>
      </c>
      <c r="E94" s="24">
        <v>481081.081081</v>
      </c>
      <c r="F94" s="10" t="s">
        <v>172</v>
      </c>
      <c r="G94" s="10" t="s">
        <v>172</v>
      </c>
      <c r="H94" s="10" t="s">
        <v>172</v>
      </c>
    </row>
    <row r="95" s="9" customFormat="1" ht="1" customHeight="1" spans="1:8">
      <c r="A95" s="10" t="s">
        <v>172</v>
      </c>
      <c r="B95" s="25"/>
      <c r="C95" s="25"/>
      <c r="D95" s="25"/>
      <c r="E95" s="25"/>
      <c r="F95" s="25"/>
      <c r="G95" s="25"/>
      <c r="H95" s="10" t="s">
        <v>172</v>
      </c>
    </row>
    <row r="96" s="9" customFormat="1" ht="13" customHeight="1" spans="1:8">
      <c r="A96" s="10" t="s">
        <v>172</v>
      </c>
      <c r="B96" s="26"/>
      <c r="C96" s="26"/>
      <c r="D96" s="26"/>
      <c r="E96" s="26"/>
      <c r="F96" s="26"/>
      <c r="G96" s="26"/>
      <c r="H96" s="10" t="s">
        <v>172</v>
      </c>
    </row>
    <row r="97" s="9" customFormat="1" ht="13" customHeight="1" spans="1:8">
      <c r="A97" s="10" t="s">
        <v>172</v>
      </c>
      <c r="B97" s="26"/>
      <c r="C97" s="26"/>
      <c r="D97" s="26"/>
      <c r="E97" s="26"/>
      <c r="F97" s="26"/>
      <c r="G97" s="26"/>
      <c r="H97" s="10" t="s">
        <v>172</v>
      </c>
    </row>
    <row r="98" s="9" customFormat="1" ht="13" customHeight="1" spans="1:8">
      <c r="A98" s="10" t="s">
        <v>172</v>
      </c>
      <c r="B98" s="26"/>
      <c r="C98" s="26"/>
      <c r="D98" s="26"/>
      <c r="E98" s="26"/>
      <c r="F98" s="26"/>
      <c r="G98" s="26"/>
      <c r="H98" s="10" t="s">
        <v>172</v>
      </c>
    </row>
    <row r="99" s="9" customFormat="1" ht="13" customHeight="1" spans="1:8">
      <c r="A99" s="10" t="s">
        <v>172</v>
      </c>
      <c r="B99" s="26"/>
      <c r="C99" s="26"/>
      <c r="D99" s="26"/>
      <c r="E99" s="26"/>
      <c r="F99" s="26"/>
      <c r="G99" s="27" t="s">
        <v>1847</v>
      </c>
      <c r="H99" s="10" t="s">
        <v>172</v>
      </c>
    </row>
    <row r="100" s="9" customFormat="1" ht="17" customHeight="1" spans="1:8">
      <c r="A100" s="10" t="s">
        <v>172</v>
      </c>
      <c r="B100" s="11"/>
      <c r="C100" s="11"/>
      <c r="D100" s="11"/>
      <c r="E100" s="11"/>
      <c r="F100" s="11"/>
      <c r="G100" s="11"/>
      <c r="H100" s="10" t="s">
        <v>172</v>
      </c>
    </row>
    <row r="101" s="9" customFormat="1" ht="23" customHeight="1" spans="1:8">
      <c r="A101" s="10" t="s">
        <v>172</v>
      </c>
      <c r="B101" s="12"/>
      <c r="C101" s="12"/>
      <c r="D101" s="12"/>
      <c r="E101" s="12"/>
      <c r="F101" s="12"/>
      <c r="G101" s="12"/>
      <c r="H101" s="10" t="s">
        <v>172</v>
      </c>
    </row>
    <row r="102" s="9" customFormat="1" ht="16" customHeight="1" spans="1:8">
      <c r="A102" s="10" t="s">
        <v>172</v>
      </c>
      <c r="B102" s="13"/>
      <c r="C102" s="13"/>
      <c r="D102" s="13"/>
      <c r="E102" s="13"/>
      <c r="F102" s="13"/>
      <c r="G102" s="13"/>
      <c r="H102" s="10" t="s">
        <v>172</v>
      </c>
    </row>
    <row r="103" s="9" customFormat="1" ht="12" customHeight="1" spans="1:8">
      <c r="A103" s="10" t="s">
        <v>172</v>
      </c>
      <c r="B103" s="14"/>
      <c r="C103" s="14"/>
      <c r="D103" s="14"/>
      <c r="E103" s="14"/>
      <c r="F103" s="14"/>
      <c r="G103" s="14"/>
      <c r="H103" s="10" t="s">
        <v>172</v>
      </c>
    </row>
    <row r="104" s="9" customFormat="1" ht="17" customHeight="1" spans="1:8">
      <c r="A104" s="10" t="s">
        <v>172</v>
      </c>
      <c r="B104" s="15" t="s">
        <v>1836</v>
      </c>
      <c r="C104" s="16" t="s">
        <v>1837</v>
      </c>
      <c r="D104" s="17" t="s">
        <v>1838</v>
      </c>
      <c r="E104" s="18" t="s">
        <v>1839</v>
      </c>
      <c r="F104" s="10" t="s">
        <v>172</v>
      </c>
      <c r="G104" s="10" t="s">
        <v>172</v>
      </c>
      <c r="H104" s="10" t="s">
        <v>172</v>
      </c>
    </row>
    <row r="105" s="9" customFormat="1" ht="37" customHeight="1" spans="1:8">
      <c r="A105" s="10" t="s">
        <v>172</v>
      </c>
      <c r="B105" s="19" t="s">
        <v>1183</v>
      </c>
      <c r="C105" s="20" t="s">
        <v>182</v>
      </c>
      <c r="D105" s="21">
        <v>1</v>
      </c>
      <c r="E105" s="22">
        <v>490090.09009</v>
      </c>
      <c r="F105" s="10" t="s">
        <v>172</v>
      </c>
      <c r="G105" s="10" t="s">
        <v>172</v>
      </c>
      <c r="H105" s="10" t="s">
        <v>172</v>
      </c>
    </row>
    <row r="106" s="9" customFormat="1" ht="17" customHeight="1" spans="1:8">
      <c r="A106" s="10" t="s">
        <v>172</v>
      </c>
      <c r="B106" s="19" t="s">
        <v>1183</v>
      </c>
      <c r="C106" s="16" t="s">
        <v>1841</v>
      </c>
      <c r="D106" s="23">
        <v>1</v>
      </c>
      <c r="E106" s="24">
        <v>490090.09009</v>
      </c>
      <c r="F106" s="10" t="s">
        <v>172</v>
      </c>
      <c r="G106" s="10" t="s">
        <v>172</v>
      </c>
      <c r="H106" s="10" t="s">
        <v>172</v>
      </c>
    </row>
    <row r="107" s="9" customFormat="1" ht="26" customHeight="1" spans="1:8">
      <c r="A107" s="10" t="s">
        <v>172</v>
      </c>
      <c r="B107" s="19" t="s">
        <v>1858</v>
      </c>
      <c r="C107" s="20" t="s">
        <v>804</v>
      </c>
      <c r="D107" s="21">
        <v>2</v>
      </c>
      <c r="E107" s="22">
        <v>54054.279279</v>
      </c>
      <c r="F107" s="10" t="s">
        <v>172</v>
      </c>
      <c r="G107" s="10" t="s">
        <v>172</v>
      </c>
      <c r="H107" s="10" t="s">
        <v>172</v>
      </c>
    </row>
    <row r="108" s="9" customFormat="1" ht="17" customHeight="1" spans="1:8">
      <c r="A108" s="10" t="s">
        <v>172</v>
      </c>
      <c r="B108" s="19" t="s">
        <v>1858</v>
      </c>
      <c r="C108" s="16" t="s">
        <v>1841</v>
      </c>
      <c r="D108" s="23">
        <v>2</v>
      </c>
      <c r="E108" s="24">
        <v>54054.279279</v>
      </c>
      <c r="F108" s="10" t="s">
        <v>172</v>
      </c>
      <c r="G108" s="10" t="s">
        <v>172</v>
      </c>
      <c r="H108" s="10" t="s">
        <v>172</v>
      </c>
    </row>
    <row r="109" s="9" customFormat="1" ht="37" customHeight="1" spans="1:8">
      <c r="A109" s="10" t="s">
        <v>172</v>
      </c>
      <c r="B109" s="19" t="s">
        <v>485</v>
      </c>
      <c r="C109" s="20" t="s">
        <v>182</v>
      </c>
      <c r="D109" s="21">
        <v>2</v>
      </c>
      <c r="E109" s="22">
        <v>355855.855856</v>
      </c>
      <c r="F109" s="10" t="s">
        <v>172</v>
      </c>
      <c r="G109" s="10" t="s">
        <v>172</v>
      </c>
      <c r="H109" s="10" t="s">
        <v>172</v>
      </c>
    </row>
    <row r="110" s="9" customFormat="1" ht="17" customHeight="1" spans="1:8">
      <c r="A110" s="10" t="s">
        <v>172</v>
      </c>
      <c r="B110" s="19" t="s">
        <v>485</v>
      </c>
      <c r="C110" s="16" t="s">
        <v>1841</v>
      </c>
      <c r="D110" s="23">
        <v>2</v>
      </c>
      <c r="E110" s="24">
        <v>355855.855856</v>
      </c>
      <c r="F110" s="10" t="s">
        <v>172</v>
      </c>
      <c r="G110" s="10" t="s">
        <v>172</v>
      </c>
      <c r="H110" s="10" t="s">
        <v>172</v>
      </c>
    </row>
    <row r="111" s="9" customFormat="1" ht="26" customHeight="1" spans="1:8">
      <c r="A111" s="10" t="s">
        <v>172</v>
      </c>
      <c r="B111" s="19" t="s">
        <v>1454</v>
      </c>
      <c r="C111" s="20" t="s">
        <v>804</v>
      </c>
      <c r="D111" s="21">
        <v>1</v>
      </c>
      <c r="E111" s="22">
        <v>102252.252252</v>
      </c>
      <c r="F111" s="10" t="s">
        <v>172</v>
      </c>
      <c r="G111" s="10" t="s">
        <v>172</v>
      </c>
      <c r="H111" s="10" t="s">
        <v>172</v>
      </c>
    </row>
    <row r="112" s="9" customFormat="1" ht="17" customHeight="1" spans="1:8">
      <c r="A112" s="10" t="s">
        <v>172</v>
      </c>
      <c r="B112" s="19" t="s">
        <v>1454</v>
      </c>
      <c r="C112" s="16" t="s">
        <v>1841</v>
      </c>
      <c r="D112" s="23">
        <v>1</v>
      </c>
      <c r="E112" s="24">
        <v>102252.252252</v>
      </c>
      <c r="F112" s="10" t="s">
        <v>172</v>
      </c>
      <c r="G112" s="10" t="s">
        <v>172</v>
      </c>
      <c r="H112" s="10" t="s">
        <v>172</v>
      </c>
    </row>
    <row r="113" s="9" customFormat="1" ht="37" customHeight="1" spans="1:8">
      <c r="A113" s="10" t="s">
        <v>172</v>
      </c>
      <c r="B113" s="19" t="s">
        <v>344</v>
      </c>
      <c r="C113" s="20" t="s">
        <v>182</v>
      </c>
      <c r="D113" s="21">
        <v>4</v>
      </c>
      <c r="E113" s="22">
        <v>361040.088932</v>
      </c>
      <c r="F113" s="10" t="s">
        <v>172</v>
      </c>
      <c r="G113" s="10" t="s">
        <v>172</v>
      </c>
      <c r="H113" s="10" t="s">
        <v>172</v>
      </c>
    </row>
    <row r="114" s="9" customFormat="1" ht="26" customHeight="1" spans="1:8">
      <c r="A114" s="10" t="s">
        <v>172</v>
      </c>
      <c r="B114" s="19" t="s">
        <v>344</v>
      </c>
      <c r="C114" s="20" t="s">
        <v>804</v>
      </c>
      <c r="D114" s="21">
        <v>7</v>
      </c>
      <c r="E114" s="22">
        <v>636936.936937</v>
      </c>
      <c r="F114" s="10" t="s">
        <v>172</v>
      </c>
      <c r="G114" s="10" t="s">
        <v>172</v>
      </c>
      <c r="H114" s="10" t="s">
        <v>172</v>
      </c>
    </row>
    <row r="115" s="9" customFormat="1" ht="17" customHeight="1" spans="1:8">
      <c r="A115" s="10" t="s">
        <v>172</v>
      </c>
      <c r="B115" s="19" t="s">
        <v>344</v>
      </c>
      <c r="C115" s="16" t="s">
        <v>1841</v>
      </c>
      <c r="D115" s="23">
        <v>11</v>
      </c>
      <c r="E115" s="24">
        <v>997977.025869</v>
      </c>
      <c r="F115" s="10" t="s">
        <v>172</v>
      </c>
      <c r="G115" s="10" t="s">
        <v>172</v>
      </c>
      <c r="H115" s="10" t="s">
        <v>172</v>
      </c>
    </row>
    <row r="116" s="9" customFormat="1" ht="37" customHeight="1" spans="1:8">
      <c r="A116" s="10" t="s">
        <v>172</v>
      </c>
      <c r="B116" s="19" t="s">
        <v>394</v>
      </c>
      <c r="C116" s="20" t="s">
        <v>182</v>
      </c>
      <c r="D116" s="21">
        <v>8</v>
      </c>
      <c r="E116" s="22">
        <v>1077477.792795</v>
      </c>
      <c r="F116" s="10" t="s">
        <v>172</v>
      </c>
      <c r="G116" s="10" t="s">
        <v>172</v>
      </c>
      <c r="H116" s="10" t="s">
        <v>172</v>
      </c>
    </row>
    <row r="117" s="9" customFormat="1" ht="17" customHeight="1" spans="1:8">
      <c r="A117" s="10" t="s">
        <v>172</v>
      </c>
      <c r="B117" s="19" t="s">
        <v>394</v>
      </c>
      <c r="C117" s="16" t="s">
        <v>1841</v>
      </c>
      <c r="D117" s="23">
        <v>8</v>
      </c>
      <c r="E117" s="24">
        <v>1077477.792795</v>
      </c>
      <c r="F117" s="10" t="s">
        <v>172</v>
      </c>
      <c r="G117" s="10" t="s">
        <v>172</v>
      </c>
      <c r="H117" s="10" t="s">
        <v>172</v>
      </c>
    </row>
    <row r="118" s="9" customFormat="1" ht="26" customHeight="1" spans="1:8">
      <c r="A118" s="10" t="s">
        <v>172</v>
      </c>
      <c r="B118" s="19" t="s">
        <v>1455</v>
      </c>
      <c r="C118" s="20" t="s">
        <v>804</v>
      </c>
      <c r="D118" s="21">
        <v>2</v>
      </c>
      <c r="E118" s="22">
        <v>2728829</v>
      </c>
      <c r="F118" s="10" t="s">
        <v>172</v>
      </c>
      <c r="G118" s="10" t="s">
        <v>172</v>
      </c>
      <c r="H118" s="10" t="s">
        <v>172</v>
      </c>
    </row>
    <row r="119" s="9" customFormat="1" ht="17" customHeight="1" spans="1:8">
      <c r="A119" s="10" t="s">
        <v>172</v>
      </c>
      <c r="B119" s="19" t="s">
        <v>1455</v>
      </c>
      <c r="C119" s="16" t="s">
        <v>1841</v>
      </c>
      <c r="D119" s="23">
        <v>2</v>
      </c>
      <c r="E119" s="24">
        <v>2728829</v>
      </c>
      <c r="F119" s="10" t="s">
        <v>172</v>
      </c>
      <c r="G119" s="10" t="s">
        <v>172</v>
      </c>
      <c r="H119" s="10" t="s">
        <v>172</v>
      </c>
    </row>
    <row r="120" s="9" customFormat="1" ht="1" customHeight="1" spans="1:8">
      <c r="A120" s="10" t="s">
        <v>172</v>
      </c>
      <c r="B120" s="25"/>
      <c r="C120" s="25"/>
      <c r="D120" s="25"/>
      <c r="E120" s="25"/>
      <c r="F120" s="25"/>
      <c r="G120" s="25"/>
      <c r="H120" s="10" t="s">
        <v>172</v>
      </c>
    </row>
    <row r="121" s="9" customFormat="1" ht="13" customHeight="1" spans="1:8">
      <c r="A121" s="10" t="s">
        <v>172</v>
      </c>
      <c r="B121" s="26"/>
      <c r="C121" s="26"/>
      <c r="D121" s="26"/>
      <c r="E121" s="26"/>
      <c r="F121" s="26"/>
      <c r="G121" s="26"/>
      <c r="H121" s="10" t="s">
        <v>172</v>
      </c>
    </row>
    <row r="122" s="9" customFormat="1" ht="13" customHeight="1" spans="1:8">
      <c r="A122" s="10" t="s">
        <v>172</v>
      </c>
      <c r="B122" s="26"/>
      <c r="C122" s="26"/>
      <c r="D122" s="26"/>
      <c r="E122" s="26"/>
      <c r="F122" s="26"/>
      <c r="G122" s="26"/>
      <c r="H122" s="10" t="s">
        <v>172</v>
      </c>
    </row>
    <row r="123" s="9" customFormat="1" ht="13" customHeight="1" spans="1:8">
      <c r="A123" s="10" t="s">
        <v>172</v>
      </c>
      <c r="B123" s="26"/>
      <c r="C123" s="26"/>
      <c r="D123" s="26"/>
      <c r="E123" s="26"/>
      <c r="F123" s="26"/>
      <c r="G123" s="26"/>
      <c r="H123" s="10" t="s">
        <v>172</v>
      </c>
    </row>
    <row r="124" s="9" customFormat="1" ht="13" customHeight="1" spans="1:8">
      <c r="A124" s="10" t="s">
        <v>172</v>
      </c>
      <c r="B124" s="26"/>
      <c r="C124" s="26"/>
      <c r="D124" s="26"/>
      <c r="E124" s="26"/>
      <c r="F124" s="26"/>
      <c r="G124" s="27" t="s">
        <v>1847</v>
      </c>
      <c r="H124" s="10" t="s">
        <v>172</v>
      </c>
    </row>
    <row r="125" s="9" customFormat="1" ht="17" customHeight="1" spans="1:8">
      <c r="A125" s="10" t="s">
        <v>172</v>
      </c>
      <c r="B125" s="11"/>
      <c r="C125" s="11"/>
      <c r="D125" s="11"/>
      <c r="E125" s="11"/>
      <c r="F125" s="11"/>
      <c r="G125" s="11"/>
      <c r="H125" s="10" t="s">
        <v>172</v>
      </c>
    </row>
    <row r="126" s="9" customFormat="1" ht="23" customHeight="1" spans="1:8">
      <c r="A126" s="10" t="s">
        <v>172</v>
      </c>
      <c r="B126" s="12"/>
      <c r="C126" s="12"/>
      <c r="D126" s="12"/>
      <c r="E126" s="12"/>
      <c r="F126" s="12"/>
      <c r="G126" s="12"/>
      <c r="H126" s="10" t="s">
        <v>172</v>
      </c>
    </row>
    <row r="127" s="9" customFormat="1" ht="16" customHeight="1" spans="1:8">
      <c r="A127" s="10" t="s">
        <v>172</v>
      </c>
      <c r="B127" s="13"/>
      <c r="C127" s="13"/>
      <c r="D127" s="13"/>
      <c r="E127" s="13"/>
      <c r="F127" s="13"/>
      <c r="G127" s="13"/>
      <c r="H127" s="10" t="s">
        <v>172</v>
      </c>
    </row>
    <row r="128" s="9" customFormat="1" ht="12" customHeight="1" spans="1:8">
      <c r="A128" s="10" t="s">
        <v>172</v>
      </c>
      <c r="B128" s="14"/>
      <c r="C128" s="14"/>
      <c r="D128" s="14"/>
      <c r="E128" s="14"/>
      <c r="F128" s="14"/>
      <c r="G128" s="14"/>
      <c r="H128" s="10" t="s">
        <v>172</v>
      </c>
    </row>
    <row r="129" s="9" customFormat="1" ht="17" customHeight="1" spans="1:8">
      <c r="A129" s="10" t="s">
        <v>172</v>
      </c>
      <c r="B129" s="15" t="s">
        <v>1836</v>
      </c>
      <c r="C129" s="16" t="s">
        <v>1837</v>
      </c>
      <c r="D129" s="17" t="s">
        <v>1838</v>
      </c>
      <c r="E129" s="18" t="s">
        <v>1839</v>
      </c>
      <c r="F129" s="10" t="s">
        <v>172</v>
      </c>
      <c r="G129" s="10" t="s">
        <v>172</v>
      </c>
      <c r="H129" s="10" t="s">
        <v>172</v>
      </c>
    </row>
    <row r="130" s="9" customFormat="1" ht="37" customHeight="1" spans="1:8">
      <c r="A130" s="10" t="s">
        <v>172</v>
      </c>
      <c r="B130" s="19" t="s">
        <v>1859</v>
      </c>
      <c r="C130" s="20" t="s">
        <v>182</v>
      </c>
      <c r="D130" s="21">
        <v>1</v>
      </c>
      <c r="E130" s="22">
        <v>1629729.72973</v>
      </c>
      <c r="F130" s="10" t="s">
        <v>172</v>
      </c>
      <c r="G130" s="10" t="s">
        <v>172</v>
      </c>
      <c r="H130" s="10" t="s">
        <v>172</v>
      </c>
    </row>
    <row r="131" s="9" customFormat="1" ht="17" customHeight="1" spans="1:8">
      <c r="A131" s="10" t="s">
        <v>172</v>
      </c>
      <c r="B131" s="19" t="s">
        <v>1859</v>
      </c>
      <c r="C131" s="16" t="s">
        <v>1841</v>
      </c>
      <c r="D131" s="23">
        <v>1</v>
      </c>
      <c r="E131" s="24">
        <v>1629729.72973</v>
      </c>
      <c r="F131" s="10" t="s">
        <v>172</v>
      </c>
      <c r="G131" s="10" t="s">
        <v>172</v>
      </c>
      <c r="H131" s="10" t="s">
        <v>172</v>
      </c>
    </row>
    <row r="132" s="9" customFormat="1" ht="37" customHeight="1" spans="1:8">
      <c r="A132" s="10" t="s">
        <v>172</v>
      </c>
      <c r="B132" s="19" t="s">
        <v>1860</v>
      </c>
      <c r="C132" s="20" t="s">
        <v>182</v>
      </c>
      <c r="D132" s="21">
        <v>1</v>
      </c>
      <c r="E132" s="22">
        <v>1821000</v>
      </c>
      <c r="F132" s="10" t="s">
        <v>172</v>
      </c>
      <c r="G132" s="10" t="s">
        <v>172</v>
      </c>
      <c r="H132" s="10" t="s">
        <v>172</v>
      </c>
    </row>
    <row r="133" s="9" customFormat="1" ht="17" customHeight="1" spans="1:8">
      <c r="A133" s="10" t="s">
        <v>172</v>
      </c>
      <c r="B133" s="19" t="s">
        <v>1860</v>
      </c>
      <c r="C133" s="16" t="s">
        <v>1841</v>
      </c>
      <c r="D133" s="23">
        <v>1</v>
      </c>
      <c r="E133" s="24">
        <v>1821000</v>
      </c>
      <c r="F133" s="10" t="s">
        <v>172</v>
      </c>
      <c r="G133" s="10" t="s">
        <v>172</v>
      </c>
      <c r="H133" s="10" t="s">
        <v>172</v>
      </c>
    </row>
    <row r="134" s="9" customFormat="1" ht="37" customHeight="1" spans="1:8">
      <c r="A134" s="10" t="s">
        <v>172</v>
      </c>
      <c r="B134" s="19" t="s">
        <v>575</v>
      </c>
      <c r="C134" s="20" t="s">
        <v>182</v>
      </c>
      <c r="D134" s="21">
        <v>1</v>
      </c>
      <c r="E134" s="22">
        <v>834234.234234</v>
      </c>
      <c r="F134" s="10" t="s">
        <v>172</v>
      </c>
      <c r="G134" s="10" t="s">
        <v>172</v>
      </c>
      <c r="H134" s="10" t="s">
        <v>172</v>
      </c>
    </row>
    <row r="135" s="9" customFormat="1" ht="17" customHeight="1" spans="1:8">
      <c r="A135" s="10" t="s">
        <v>172</v>
      </c>
      <c r="B135" s="19" t="s">
        <v>575</v>
      </c>
      <c r="C135" s="16" t="s">
        <v>1841</v>
      </c>
      <c r="D135" s="23">
        <v>1</v>
      </c>
      <c r="E135" s="24">
        <v>834234.234234</v>
      </c>
      <c r="F135" s="10" t="s">
        <v>172</v>
      </c>
      <c r="G135" s="10" t="s">
        <v>172</v>
      </c>
      <c r="H135" s="10" t="s">
        <v>172</v>
      </c>
    </row>
    <row r="136" s="9" customFormat="1" ht="37" customHeight="1" spans="1:8">
      <c r="A136" s="10" t="s">
        <v>172</v>
      </c>
      <c r="B136" s="19" t="s">
        <v>346</v>
      </c>
      <c r="C136" s="20" t="s">
        <v>182</v>
      </c>
      <c r="D136" s="21">
        <v>1</v>
      </c>
      <c r="E136" s="22">
        <v>834234.234234</v>
      </c>
      <c r="F136" s="10" t="s">
        <v>172</v>
      </c>
      <c r="G136" s="10" t="s">
        <v>172</v>
      </c>
      <c r="H136" s="10" t="s">
        <v>172</v>
      </c>
    </row>
    <row r="137" s="9" customFormat="1" ht="17" customHeight="1" spans="1:8">
      <c r="A137" s="10" t="s">
        <v>172</v>
      </c>
      <c r="B137" s="19" t="s">
        <v>346</v>
      </c>
      <c r="C137" s="16" t="s">
        <v>1841</v>
      </c>
      <c r="D137" s="23">
        <v>1</v>
      </c>
      <c r="E137" s="24">
        <v>834234.234234</v>
      </c>
      <c r="F137" s="10" t="s">
        <v>172</v>
      </c>
      <c r="G137" s="10" t="s">
        <v>172</v>
      </c>
      <c r="H137" s="10" t="s">
        <v>172</v>
      </c>
    </row>
    <row r="138" s="9" customFormat="1" ht="37" customHeight="1" spans="1:8">
      <c r="A138" s="10" t="s">
        <v>172</v>
      </c>
      <c r="B138" s="19" t="s">
        <v>397</v>
      </c>
      <c r="C138" s="20" t="s">
        <v>182</v>
      </c>
      <c r="D138" s="21">
        <v>1</v>
      </c>
      <c r="E138" s="22">
        <v>977477.477477</v>
      </c>
      <c r="F138" s="10" t="s">
        <v>172</v>
      </c>
      <c r="G138" s="10" t="s">
        <v>172</v>
      </c>
      <c r="H138" s="10" t="s">
        <v>172</v>
      </c>
    </row>
    <row r="139" s="9" customFormat="1" ht="26" customHeight="1" spans="1:8">
      <c r="A139" s="10" t="s">
        <v>172</v>
      </c>
      <c r="B139" s="19" t="s">
        <v>397</v>
      </c>
      <c r="C139" s="20" t="s">
        <v>804</v>
      </c>
      <c r="D139" s="21">
        <v>1</v>
      </c>
      <c r="E139" s="22">
        <v>887387.387387</v>
      </c>
      <c r="F139" s="10" t="s">
        <v>172</v>
      </c>
      <c r="G139" s="10" t="s">
        <v>172</v>
      </c>
      <c r="H139" s="10" t="s">
        <v>172</v>
      </c>
    </row>
    <row r="140" s="9" customFormat="1" ht="17" customHeight="1" spans="1:8">
      <c r="A140" s="10" t="s">
        <v>172</v>
      </c>
      <c r="B140" s="19" t="s">
        <v>397</v>
      </c>
      <c r="C140" s="16" t="s">
        <v>1841</v>
      </c>
      <c r="D140" s="23">
        <v>2</v>
      </c>
      <c r="E140" s="24">
        <v>1864864.864864</v>
      </c>
      <c r="F140" s="10" t="s">
        <v>172</v>
      </c>
      <c r="G140" s="10" t="s">
        <v>172</v>
      </c>
      <c r="H140" s="10" t="s">
        <v>172</v>
      </c>
    </row>
    <row r="141" s="9" customFormat="1" ht="37" customHeight="1" spans="1:8">
      <c r="A141" s="10" t="s">
        <v>172</v>
      </c>
      <c r="B141" s="20" t="s">
        <v>347</v>
      </c>
      <c r="C141" s="20" t="s">
        <v>182</v>
      </c>
      <c r="D141" s="21">
        <v>1</v>
      </c>
      <c r="E141" s="22">
        <v>977477.477477</v>
      </c>
      <c r="F141" s="10" t="s">
        <v>172</v>
      </c>
      <c r="G141" s="10" t="s">
        <v>172</v>
      </c>
      <c r="H141" s="10" t="s">
        <v>172</v>
      </c>
    </row>
    <row r="142" s="9" customFormat="1" ht="1" customHeight="1" spans="1:8">
      <c r="A142" s="10" t="s">
        <v>172</v>
      </c>
      <c r="B142" s="25"/>
      <c r="C142" s="25"/>
      <c r="D142" s="25"/>
      <c r="E142" s="25"/>
      <c r="F142" s="25"/>
      <c r="G142" s="25"/>
      <c r="H142" s="10" t="s">
        <v>172</v>
      </c>
    </row>
    <row r="143" s="9" customFormat="1" ht="13" customHeight="1" spans="1:8">
      <c r="A143" s="10" t="s">
        <v>172</v>
      </c>
      <c r="B143" s="26"/>
      <c r="C143" s="26"/>
      <c r="D143" s="26"/>
      <c r="E143" s="26"/>
      <c r="F143" s="26"/>
      <c r="G143" s="26"/>
      <c r="H143" s="10" t="s">
        <v>172</v>
      </c>
    </row>
    <row r="144" s="9" customFormat="1" ht="13" customHeight="1" spans="1:8">
      <c r="A144" s="10" t="s">
        <v>172</v>
      </c>
      <c r="B144" s="26"/>
      <c r="C144" s="26"/>
      <c r="D144" s="26"/>
      <c r="E144" s="26"/>
      <c r="F144" s="26"/>
      <c r="G144" s="26"/>
      <c r="H144" s="10" t="s">
        <v>172</v>
      </c>
    </row>
    <row r="145" s="9" customFormat="1" ht="13" customHeight="1" spans="1:8">
      <c r="A145" s="10" t="s">
        <v>172</v>
      </c>
      <c r="B145" s="26"/>
      <c r="C145" s="26"/>
      <c r="D145" s="26"/>
      <c r="E145" s="26"/>
      <c r="F145" s="26"/>
      <c r="G145" s="26"/>
      <c r="H145" s="10" t="s">
        <v>172</v>
      </c>
    </row>
    <row r="146" s="9" customFormat="1" ht="13" customHeight="1" spans="1:8">
      <c r="A146" s="10" t="s">
        <v>172</v>
      </c>
      <c r="B146" s="26"/>
      <c r="C146" s="26"/>
      <c r="D146" s="26"/>
      <c r="E146" s="26"/>
      <c r="F146" s="26"/>
      <c r="G146" s="27" t="s">
        <v>1847</v>
      </c>
      <c r="H146" s="10" t="s">
        <v>172</v>
      </c>
    </row>
    <row r="147" s="9" customFormat="1" ht="17" customHeight="1" spans="1:8">
      <c r="A147" s="10" t="s">
        <v>172</v>
      </c>
      <c r="B147" s="11"/>
      <c r="C147" s="11"/>
      <c r="D147" s="11"/>
      <c r="E147" s="11"/>
      <c r="F147" s="11"/>
      <c r="G147" s="11"/>
      <c r="H147" s="10" t="s">
        <v>172</v>
      </c>
    </row>
    <row r="148" s="9" customFormat="1" ht="23" customHeight="1" spans="1:8">
      <c r="A148" s="10" t="s">
        <v>172</v>
      </c>
      <c r="B148" s="12"/>
      <c r="C148" s="12"/>
      <c r="D148" s="12"/>
      <c r="E148" s="12"/>
      <c r="F148" s="12"/>
      <c r="G148" s="12"/>
      <c r="H148" s="10" t="s">
        <v>172</v>
      </c>
    </row>
    <row r="149" s="9" customFormat="1" ht="16" customHeight="1" spans="1:8">
      <c r="A149" s="10" t="s">
        <v>172</v>
      </c>
      <c r="B149" s="13"/>
      <c r="C149" s="13"/>
      <c r="D149" s="13"/>
      <c r="E149" s="13"/>
      <c r="F149" s="13"/>
      <c r="G149" s="13"/>
      <c r="H149" s="10" t="s">
        <v>172</v>
      </c>
    </row>
    <row r="150" s="9" customFormat="1" ht="12" customHeight="1" spans="1:8">
      <c r="A150" s="10" t="s">
        <v>172</v>
      </c>
      <c r="B150" s="14"/>
      <c r="C150" s="14"/>
      <c r="D150" s="14"/>
      <c r="E150" s="14"/>
      <c r="F150" s="14"/>
      <c r="G150" s="14"/>
      <c r="H150" s="10" t="s">
        <v>172</v>
      </c>
    </row>
    <row r="151" s="9" customFormat="1" ht="17" customHeight="1" spans="1:8">
      <c r="A151" s="10" t="s">
        <v>172</v>
      </c>
      <c r="B151" s="15" t="s">
        <v>1836</v>
      </c>
      <c r="C151" s="16" t="s">
        <v>1837</v>
      </c>
      <c r="D151" s="17" t="s">
        <v>1838</v>
      </c>
      <c r="E151" s="18" t="s">
        <v>1839</v>
      </c>
      <c r="F151" s="10" t="s">
        <v>172</v>
      </c>
      <c r="G151" s="10" t="s">
        <v>172</v>
      </c>
      <c r="H151" s="10" t="s">
        <v>172</v>
      </c>
    </row>
    <row r="152" s="9" customFormat="1" ht="26" customHeight="1" spans="1:8">
      <c r="A152" s="10" t="s">
        <v>172</v>
      </c>
      <c r="B152" s="19" t="s">
        <v>347</v>
      </c>
      <c r="C152" s="20" t="s">
        <v>804</v>
      </c>
      <c r="D152" s="21">
        <v>2</v>
      </c>
      <c r="E152" s="22">
        <v>1891891.891891</v>
      </c>
      <c r="F152" s="10" t="s">
        <v>172</v>
      </c>
      <c r="G152" s="10" t="s">
        <v>172</v>
      </c>
      <c r="H152" s="10" t="s">
        <v>172</v>
      </c>
    </row>
    <row r="153" s="9" customFormat="1" ht="17" customHeight="1" spans="1:8">
      <c r="A153" s="10" t="s">
        <v>172</v>
      </c>
      <c r="B153" s="19" t="s">
        <v>347</v>
      </c>
      <c r="C153" s="16" t="s">
        <v>1841</v>
      </c>
      <c r="D153" s="23">
        <v>3</v>
      </c>
      <c r="E153" s="24">
        <v>2869369.369368</v>
      </c>
      <c r="F153" s="10" t="s">
        <v>172</v>
      </c>
      <c r="G153" s="10" t="s">
        <v>172</v>
      </c>
      <c r="H153" s="10" t="s">
        <v>172</v>
      </c>
    </row>
    <row r="154" s="9" customFormat="1" ht="26" customHeight="1" spans="1:8">
      <c r="A154" s="10" t="s">
        <v>172</v>
      </c>
      <c r="B154" s="19" t="s">
        <v>1190</v>
      </c>
      <c r="C154" s="20" t="s">
        <v>1191</v>
      </c>
      <c r="D154" s="21">
        <v>2</v>
      </c>
      <c r="E154" s="22">
        <v>1410120</v>
      </c>
      <c r="F154" s="10" t="s">
        <v>172</v>
      </c>
      <c r="G154" s="10" t="s">
        <v>172</v>
      </c>
      <c r="H154" s="10" t="s">
        <v>172</v>
      </c>
    </row>
    <row r="155" s="9" customFormat="1" ht="17" customHeight="1" spans="1:8">
      <c r="A155" s="10" t="s">
        <v>172</v>
      </c>
      <c r="B155" s="19" t="s">
        <v>1190</v>
      </c>
      <c r="C155" s="16" t="s">
        <v>1841</v>
      </c>
      <c r="D155" s="23">
        <v>2</v>
      </c>
      <c r="E155" s="24">
        <v>1410120</v>
      </c>
      <c r="F155" s="10" t="s">
        <v>172</v>
      </c>
      <c r="G155" s="10" t="s">
        <v>172</v>
      </c>
      <c r="H155" s="10" t="s">
        <v>172</v>
      </c>
    </row>
    <row r="156" s="9" customFormat="1" ht="26" customHeight="1" spans="1:8">
      <c r="A156" s="10" t="s">
        <v>172</v>
      </c>
      <c r="B156" s="19" t="s">
        <v>1192</v>
      </c>
      <c r="C156" s="20" t="s">
        <v>1191</v>
      </c>
      <c r="D156" s="21">
        <v>2</v>
      </c>
      <c r="E156" s="22">
        <v>1410120</v>
      </c>
      <c r="F156" s="10" t="s">
        <v>172</v>
      </c>
      <c r="G156" s="10" t="s">
        <v>172</v>
      </c>
      <c r="H156" s="10" t="s">
        <v>172</v>
      </c>
    </row>
    <row r="157" s="9" customFormat="1" ht="37" customHeight="1" spans="1:8">
      <c r="A157" s="10" t="s">
        <v>172</v>
      </c>
      <c r="B157" s="19" t="s">
        <v>1192</v>
      </c>
      <c r="C157" s="20" t="s">
        <v>182</v>
      </c>
      <c r="D157" s="21">
        <v>1</v>
      </c>
      <c r="E157" s="22">
        <v>961259.82363</v>
      </c>
      <c r="F157" s="10" t="s">
        <v>172</v>
      </c>
      <c r="G157" s="10" t="s">
        <v>172</v>
      </c>
      <c r="H157" s="10" t="s">
        <v>172</v>
      </c>
    </row>
    <row r="158" s="9" customFormat="1" ht="26" customHeight="1" spans="1:8">
      <c r="A158" s="10" t="s">
        <v>172</v>
      </c>
      <c r="B158" s="19" t="s">
        <v>1192</v>
      </c>
      <c r="C158" s="20" t="s">
        <v>804</v>
      </c>
      <c r="D158" s="21">
        <v>1</v>
      </c>
      <c r="E158" s="22">
        <v>948649</v>
      </c>
      <c r="F158" s="10" t="s">
        <v>172</v>
      </c>
      <c r="G158" s="10" t="s">
        <v>172</v>
      </c>
      <c r="H158" s="10" t="s">
        <v>172</v>
      </c>
    </row>
    <row r="159" s="9" customFormat="1" ht="17" customHeight="1" spans="1:8">
      <c r="A159" s="10" t="s">
        <v>172</v>
      </c>
      <c r="B159" s="19" t="s">
        <v>1192</v>
      </c>
      <c r="C159" s="16" t="s">
        <v>1841</v>
      </c>
      <c r="D159" s="23">
        <v>4</v>
      </c>
      <c r="E159" s="24">
        <v>3320028.82363</v>
      </c>
      <c r="F159" s="10" t="s">
        <v>172</v>
      </c>
      <c r="G159" s="10" t="s">
        <v>172</v>
      </c>
      <c r="H159" s="10" t="s">
        <v>172</v>
      </c>
    </row>
    <row r="160" s="9" customFormat="1" ht="26" customHeight="1" spans="1:8">
      <c r="A160" s="10" t="s">
        <v>172</v>
      </c>
      <c r="B160" s="19" t="s">
        <v>1456</v>
      </c>
      <c r="C160" s="20" t="s">
        <v>1191</v>
      </c>
      <c r="D160" s="21">
        <v>4</v>
      </c>
      <c r="E160" s="22">
        <v>4068720</v>
      </c>
      <c r="F160" s="10" t="s">
        <v>172</v>
      </c>
      <c r="G160" s="10" t="s">
        <v>172</v>
      </c>
      <c r="H160" s="10" t="s">
        <v>172</v>
      </c>
    </row>
    <row r="161" s="9" customFormat="1" ht="17" customHeight="1" spans="1:8">
      <c r="A161" s="10" t="s">
        <v>172</v>
      </c>
      <c r="B161" s="19" t="s">
        <v>1456</v>
      </c>
      <c r="C161" s="16" t="s">
        <v>1841</v>
      </c>
      <c r="D161" s="23">
        <v>4</v>
      </c>
      <c r="E161" s="24">
        <v>4068720</v>
      </c>
      <c r="F161" s="10" t="s">
        <v>172</v>
      </c>
      <c r="G161" s="10" t="s">
        <v>172</v>
      </c>
      <c r="H161" s="10" t="s">
        <v>172</v>
      </c>
    </row>
    <row r="162" s="9" customFormat="1" ht="26" customHeight="1" spans="1:8">
      <c r="A162" s="10" t="s">
        <v>172</v>
      </c>
      <c r="B162" s="19" t="s">
        <v>398</v>
      </c>
      <c r="C162" s="20" t="s">
        <v>1191</v>
      </c>
      <c r="D162" s="21">
        <v>2</v>
      </c>
      <c r="E162" s="22">
        <v>2034360</v>
      </c>
      <c r="F162" s="10" t="s">
        <v>172</v>
      </c>
      <c r="G162" s="10" t="s">
        <v>172</v>
      </c>
      <c r="H162" s="10" t="s">
        <v>172</v>
      </c>
    </row>
    <row r="163" s="9" customFormat="1" ht="17" customHeight="1" spans="1:8">
      <c r="A163" s="10" t="s">
        <v>172</v>
      </c>
      <c r="B163" s="19" t="s">
        <v>398</v>
      </c>
      <c r="C163" s="16" t="s">
        <v>1841</v>
      </c>
      <c r="D163" s="23">
        <v>2</v>
      </c>
      <c r="E163" s="24">
        <v>2034360</v>
      </c>
      <c r="F163" s="10" t="s">
        <v>172</v>
      </c>
      <c r="G163" s="10" t="s">
        <v>172</v>
      </c>
      <c r="H163" s="10" t="s">
        <v>172</v>
      </c>
    </row>
    <row r="164" s="9" customFormat="1" ht="37" customHeight="1" spans="1:8">
      <c r="A164" s="10" t="s">
        <v>172</v>
      </c>
      <c r="B164" s="19" t="s">
        <v>1686</v>
      </c>
      <c r="C164" s="20" t="s">
        <v>182</v>
      </c>
      <c r="D164" s="21">
        <v>1</v>
      </c>
      <c r="E164" s="22">
        <v>1803153</v>
      </c>
      <c r="F164" s="10" t="s">
        <v>172</v>
      </c>
      <c r="G164" s="10" t="s">
        <v>172</v>
      </c>
      <c r="H164" s="10" t="s">
        <v>172</v>
      </c>
    </row>
    <row r="165" s="9" customFormat="1" ht="17" customHeight="1" spans="1:8">
      <c r="A165" s="10" t="s">
        <v>172</v>
      </c>
      <c r="B165" s="19" t="s">
        <v>1686</v>
      </c>
      <c r="C165" s="16" t="s">
        <v>1841</v>
      </c>
      <c r="D165" s="23">
        <v>1</v>
      </c>
      <c r="E165" s="24">
        <v>1803153</v>
      </c>
      <c r="F165" s="10" t="s">
        <v>172</v>
      </c>
      <c r="G165" s="10" t="s">
        <v>172</v>
      </c>
      <c r="H165" s="10" t="s">
        <v>172</v>
      </c>
    </row>
    <row r="166" s="9" customFormat="1" ht="1" customHeight="1" spans="1:8">
      <c r="A166" s="10" t="s">
        <v>172</v>
      </c>
      <c r="B166" s="25"/>
      <c r="C166" s="25"/>
      <c r="D166" s="25"/>
      <c r="E166" s="25"/>
      <c r="F166" s="25"/>
      <c r="G166" s="25"/>
      <c r="H166" s="10" t="s">
        <v>172</v>
      </c>
    </row>
    <row r="167" s="9" customFormat="1" ht="13" customHeight="1" spans="1:8">
      <c r="A167" s="10" t="s">
        <v>172</v>
      </c>
      <c r="B167" s="26"/>
      <c r="C167" s="26"/>
      <c r="D167" s="26"/>
      <c r="E167" s="26"/>
      <c r="F167" s="26"/>
      <c r="G167" s="26"/>
      <c r="H167" s="10" t="s">
        <v>172</v>
      </c>
    </row>
    <row r="168" s="9" customFormat="1" ht="13" customHeight="1" spans="1:8">
      <c r="A168" s="10" t="s">
        <v>172</v>
      </c>
      <c r="B168" s="26"/>
      <c r="C168" s="26"/>
      <c r="D168" s="26"/>
      <c r="E168" s="26"/>
      <c r="F168" s="26"/>
      <c r="G168" s="26"/>
      <c r="H168" s="10" t="s">
        <v>172</v>
      </c>
    </row>
    <row r="169" s="9" customFormat="1" ht="13" customHeight="1" spans="1:8">
      <c r="A169" s="10" t="s">
        <v>172</v>
      </c>
      <c r="B169" s="26"/>
      <c r="C169" s="26"/>
      <c r="D169" s="26"/>
      <c r="E169" s="26"/>
      <c r="F169" s="26"/>
      <c r="G169" s="26"/>
      <c r="H169" s="10" t="s">
        <v>172</v>
      </c>
    </row>
    <row r="170" s="9" customFormat="1" ht="13" customHeight="1" spans="1:8">
      <c r="A170" s="10" t="s">
        <v>172</v>
      </c>
      <c r="B170" s="26"/>
      <c r="C170" s="26"/>
      <c r="D170" s="26"/>
      <c r="E170" s="26"/>
      <c r="F170" s="26"/>
      <c r="G170" s="27" t="s">
        <v>1847</v>
      </c>
      <c r="H170" s="10" t="s">
        <v>172</v>
      </c>
    </row>
    <row r="171" s="9" customFormat="1" ht="17" customHeight="1" spans="1:8">
      <c r="A171" s="10" t="s">
        <v>172</v>
      </c>
      <c r="B171" s="11"/>
      <c r="C171" s="11"/>
      <c r="D171" s="11"/>
      <c r="E171" s="11"/>
      <c r="F171" s="11"/>
      <c r="G171" s="11"/>
      <c r="H171" s="10" t="s">
        <v>172</v>
      </c>
    </row>
    <row r="172" s="9" customFormat="1" ht="23" customHeight="1" spans="1:8">
      <c r="A172" s="10" t="s">
        <v>172</v>
      </c>
      <c r="B172" s="12"/>
      <c r="C172" s="12"/>
      <c r="D172" s="12"/>
      <c r="E172" s="12"/>
      <c r="F172" s="12"/>
      <c r="G172" s="12"/>
      <c r="H172" s="10" t="s">
        <v>172</v>
      </c>
    </row>
    <row r="173" s="9" customFormat="1" ht="16" customHeight="1" spans="1:8">
      <c r="A173" s="10" t="s">
        <v>172</v>
      </c>
      <c r="B173" s="13"/>
      <c r="C173" s="13"/>
      <c r="D173" s="13"/>
      <c r="E173" s="13"/>
      <c r="F173" s="13"/>
      <c r="G173" s="13"/>
      <c r="H173" s="10" t="s">
        <v>172</v>
      </c>
    </row>
    <row r="174" s="9" customFormat="1" ht="12" customHeight="1" spans="1:8">
      <c r="A174" s="10" t="s">
        <v>172</v>
      </c>
      <c r="B174" s="14"/>
      <c r="C174" s="14"/>
      <c r="D174" s="14"/>
      <c r="E174" s="14"/>
      <c r="F174" s="14"/>
      <c r="G174" s="14"/>
      <c r="H174" s="10" t="s">
        <v>172</v>
      </c>
    </row>
    <row r="175" s="9" customFormat="1" ht="17" customHeight="1" spans="1:8">
      <c r="A175" s="10" t="s">
        <v>172</v>
      </c>
      <c r="B175" s="15" t="s">
        <v>1836</v>
      </c>
      <c r="C175" s="16" t="s">
        <v>1837</v>
      </c>
      <c r="D175" s="17" t="s">
        <v>1838</v>
      </c>
      <c r="E175" s="18" t="s">
        <v>1839</v>
      </c>
      <c r="F175" s="10" t="s">
        <v>172</v>
      </c>
      <c r="G175" s="10" t="s">
        <v>172</v>
      </c>
      <c r="H175" s="10" t="s">
        <v>172</v>
      </c>
    </row>
    <row r="176" s="9" customFormat="1" ht="26" customHeight="1" spans="1:8">
      <c r="A176" s="10" t="s">
        <v>172</v>
      </c>
      <c r="B176" s="19" t="s">
        <v>1193</v>
      </c>
      <c r="C176" s="20" t="s">
        <v>1191</v>
      </c>
      <c r="D176" s="21">
        <v>1</v>
      </c>
      <c r="E176" s="22">
        <v>0</v>
      </c>
      <c r="F176" s="10" t="s">
        <v>172</v>
      </c>
      <c r="G176" s="10" t="s">
        <v>172</v>
      </c>
      <c r="H176" s="10" t="s">
        <v>172</v>
      </c>
    </row>
    <row r="177" s="9" customFormat="1" ht="37" customHeight="1" spans="1:8">
      <c r="A177" s="10" t="s">
        <v>172</v>
      </c>
      <c r="B177" s="19" t="s">
        <v>1193</v>
      </c>
      <c r="C177" s="20" t="s">
        <v>182</v>
      </c>
      <c r="D177" s="21">
        <v>-1</v>
      </c>
      <c r="E177" s="22">
        <v>0</v>
      </c>
      <c r="F177" s="10" t="s">
        <v>172</v>
      </c>
      <c r="G177" s="10" t="s">
        <v>172</v>
      </c>
      <c r="H177" s="10" t="s">
        <v>172</v>
      </c>
    </row>
    <row r="178" s="9" customFormat="1" ht="26" customHeight="1" spans="1:8">
      <c r="A178" s="10" t="s">
        <v>172</v>
      </c>
      <c r="B178" s="19" t="s">
        <v>1193</v>
      </c>
      <c r="C178" s="20" t="s">
        <v>804</v>
      </c>
      <c r="D178" s="21">
        <v>1</v>
      </c>
      <c r="E178" s="22">
        <v>3042793</v>
      </c>
      <c r="F178" s="10" t="s">
        <v>172</v>
      </c>
      <c r="G178" s="10" t="s">
        <v>172</v>
      </c>
      <c r="H178" s="10" t="s">
        <v>172</v>
      </c>
    </row>
    <row r="179" s="9" customFormat="1" ht="17" customHeight="1" spans="1:8">
      <c r="A179" s="10" t="s">
        <v>172</v>
      </c>
      <c r="B179" s="19" t="s">
        <v>1193</v>
      </c>
      <c r="C179" s="16" t="s">
        <v>1841</v>
      </c>
      <c r="D179" s="23">
        <v>1</v>
      </c>
      <c r="E179" s="24">
        <v>3042793</v>
      </c>
      <c r="F179" s="10" t="s">
        <v>172</v>
      </c>
      <c r="G179" s="10" t="s">
        <v>172</v>
      </c>
      <c r="H179" s="10" t="s">
        <v>172</v>
      </c>
    </row>
    <row r="180" s="9" customFormat="1" ht="26" customHeight="1" spans="1:8">
      <c r="A180" s="10" t="s">
        <v>172</v>
      </c>
      <c r="B180" s="19" t="s">
        <v>1861</v>
      </c>
      <c r="C180" s="20" t="s">
        <v>804</v>
      </c>
      <c r="D180" s="21">
        <v>2</v>
      </c>
      <c r="E180" s="22">
        <v>900900.900901</v>
      </c>
      <c r="F180" s="10" t="s">
        <v>172</v>
      </c>
      <c r="G180" s="10" t="s">
        <v>172</v>
      </c>
      <c r="H180" s="10" t="s">
        <v>172</v>
      </c>
    </row>
    <row r="181" s="9" customFormat="1" ht="17" customHeight="1" spans="1:8">
      <c r="A181" s="10" t="s">
        <v>172</v>
      </c>
      <c r="B181" s="19" t="s">
        <v>1861</v>
      </c>
      <c r="C181" s="16" t="s">
        <v>1841</v>
      </c>
      <c r="D181" s="23">
        <v>2</v>
      </c>
      <c r="E181" s="24">
        <v>900900.900901</v>
      </c>
      <c r="F181" s="10" t="s">
        <v>172</v>
      </c>
      <c r="G181" s="10" t="s">
        <v>172</v>
      </c>
      <c r="H181" s="10" t="s">
        <v>172</v>
      </c>
    </row>
    <row r="182" s="9" customFormat="1" ht="26" customHeight="1" spans="1:8">
      <c r="A182" s="10" t="s">
        <v>172</v>
      </c>
      <c r="B182" s="19" t="s">
        <v>1194</v>
      </c>
      <c r="C182" s="20" t="s">
        <v>804</v>
      </c>
      <c r="D182" s="21">
        <v>1</v>
      </c>
      <c r="E182" s="22">
        <v>309009.009009</v>
      </c>
      <c r="F182" s="10" t="s">
        <v>172</v>
      </c>
      <c r="G182" s="10" t="s">
        <v>172</v>
      </c>
      <c r="H182" s="10" t="s">
        <v>172</v>
      </c>
    </row>
    <row r="183" s="9" customFormat="1" ht="17" customHeight="1" spans="1:8">
      <c r="A183" s="10" t="s">
        <v>172</v>
      </c>
      <c r="B183" s="19" t="s">
        <v>1194</v>
      </c>
      <c r="C183" s="16" t="s">
        <v>1841</v>
      </c>
      <c r="D183" s="23">
        <v>1</v>
      </c>
      <c r="E183" s="24">
        <v>309009.009009</v>
      </c>
      <c r="F183" s="10" t="s">
        <v>172</v>
      </c>
      <c r="G183" s="10" t="s">
        <v>172</v>
      </c>
      <c r="H183" s="10" t="s">
        <v>172</v>
      </c>
    </row>
    <row r="184" s="9" customFormat="1" ht="26" customHeight="1" spans="1:8">
      <c r="A184" s="10" t="s">
        <v>172</v>
      </c>
      <c r="B184" s="19" t="s">
        <v>487</v>
      </c>
      <c r="C184" s="20" t="s">
        <v>804</v>
      </c>
      <c r="D184" s="21">
        <v>1</v>
      </c>
      <c r="E184" s="22">
        <v>262162.162162</v>
      </c>
      <c r="F184" s="10" t="s">
        <v>172</v>
      </c>
      <c r="G184" s="10" t="s">
        <v>172</v>
      </c>
      <c r="H184" s="10" t="s">
        <v>172</v>
      </c>
    </row>
    <row r="185" s="9" customFormat="1" ht="17" customHeight="1" spans="1:8">
      <c r="A185" s="10" t="s">
        <v>172</v>
      </c>
      <c r="B185" s="19" t="s">
        <v>487</v>
      </c>
      <c r="C185" s="16" t="s">
        <v>1841</v>
      </c>
      <c r="D185" s="23">
        <v>1</v>
      </c>
      <c r="E185" s="24">
        <v>262162.162162</v>
      </c>
      <c r="F185" s="10" t="s">
        <v>172</v>
      </c>
      <c r="G185" s="10" t="s">
        <v>172</v>
      </c>
      <c r="H185" s="10" t="s">
        <v>172</v>
      </c>
    </row>
    <row r="186" s="9" customFormat="1" ht="26" customHeight="1" spans="1:8">
      <c r="A186" s="10" t="s">
        <v>172</v>
      </c>
      <c r="B186" s="19" t="s">
        <v>1195</v>
      </c>
      <c r="C186" s="20" t="s">
        <v>804</v>
      </c>
      <c r="D186" s="21">
        <v>3</v>
      </c>
      <c r="E186" s="22">
        <v>964864.864866</v>
      </c>
      <c r="F186" s="10" t="s">
        <v>172</v>
      </c>
      <c r="G186" s="10" t="s">
        <v>172</v>
      </c>
      <c r="H186" s="10" t="s">
        <v>172</v>
      </c>
    </row>
    <row r="187" s="9" customFormat="1" ht="17" customHeight="1" spans="1:8">
      <c r="A187" s="10" t="s">
        <v>172</v>
      </c>
      <c r="B187" s="19" t="s">
        <v>1195</v>
      </c>
      <c r="C187" s="16" t="s">
        <v>1841</v>
      </c>
      <c r="D187" s="23">
        <v>3</v>
      </c>
      <c r="E187" s="24">
        <v>964864.864866</v>
      </c>
      <c r="F187" s="10" t="s">
        <v>172</v>
      </c>
      <c r="G187" s="10" t="s">
        <v>172</v>
      </c>
      <c r="H187" s="10" t="s">
        <v>172</v>
      </c>
    </row>
    <row r="188" s="9" customFormat="1" ht="26" customHeight="1" spans="1:8">
      <c r="A188" s="10" t="s">
        <v>172</v>
      </c>
      <c r="B188" s="19" t="s">
        <v>812</v>
      </c>
      <c r="C188" s="20" t="s">
        <v>804</v>
      </c>
      <c r="D188" s="21">
        <v>1</v>
      </c>
      <c r="E188" s="22">
        <v>398198.198198</v>
      </c>
      <c r="F188" s="10" t="s">
        <v>172</v>
      </c>
      <c r="G188" s="10" t="s">
        <v>172</v>
      </c>
      <c r="H188" s="10" t="s">
        <v>172</v>
      </c>
    </row>
    <row r="189" s="9" customFormat="1" ht="17" customHeight="1" spans="1:8">
      <c r="A189" s="10" t="s">
        <v>172</v>
      </c>
      <c r="B189" s="19" t="s">
        <v>812</v>
      </c>
      <c r="C189" s="16" t="s">
        <v>1841</v>
      </c>
      <c r="D189" s="23">
        <v>1</v>
      </c>
      <c r="E189" s="24">
        <v>398198.198198</v>
      </c>
      <c r="F189" s="10" t="s">
        <v>172</v>
      </c>
      <c r="G189" s="10" t="s">
        <v>172</v>
      </c>
      <c r="H189" s="10" t="s">
        <v>172</v>
      </c>
    </row>
    <row r="190" s="9" customFormat="1" ht="1" customHeight="1" spans="1:8">
      <c r="A190" s="10" t="s">
        <v>172</v>
      </c>
      <c r="B190" s="25"/>
      <c r="C190" s="25"/>
      <c r="D190" s="25"/>
      <c r="E190" s="25"/>
      <c r="F190" s="25"/>
      <c r="G190" s="25"/>
      <c r="H190" s="10" t="s">
        <v>172</v>
      </c>
    </row>
    <row r="191" s="9" customFormat="1" ht="13" customHeight="1" spans="1:8">
      <c r="A191" s="10" t="s">
        <v>172</v>
      </c>
      <c r="B191" s="26"/>
      <c r="C191" s="26"/>
      <c r="D191" s="26"/>
      <c r="E191" s="26"/>
      <c r="F191" s="26"/>
      <c r="G191" s="26"/>
      <c r="H191" s="10" t="s">
        <v>172</v>
      </c>
    </row>
    <row r="192" s="9" customFormat="1" ht="13" customHeight="1" spans="1:8">
      <c r="A192" s="10" t="s">
        <v>172</v>
      </c>
      <c r="B192" s="26"/>
      <c r="C192" s="26"/>
      <c r="D192" s="26"/>
      <c r="E192" s="26"/>
      <c r="F192" s="26"/>
      <c r="G192" s="26"/>
      <c r="H192" s="10" t="s">
        <v>172</v>
      </c>
    </row>
    <row r="193" s="9" customFormat="1" ht="13" customHeight="1" spans="1:8">
      <c r="A193" s="10" t="s">
        <v>172</v>
      </c>
      <c r="B193" s="26"/>
      <c r="C193" s="26"/>
      <c r="D193" s="26"/>
      <c r="E193" s="26"/>
      <c r="F193" s="26"/>
      <c r="G193" s="26"/>
      <c r="H193" s="10" t="s">
        <v>172</v>
      </c>
    </row>
    <row r="194" s="9" customFormat="1" ht="13" customHeight="1" spans="1:8">
      <c r="A194" s="10" t="s">
        <v>172</v>
      </c>
      <c r="B194" s="26"/>
      <c r="C194" s="26"/>
      <c r="D194" s="26"/>
      <c r="E194" s="26"/>
      <c r="F194" s="26"/>
      <c r="G194" s="27" t="s">
        <v>1847</v>
      </c>
      <c r="H194" s="10" t="s">
        <v>172</v>
      </c>
    </row>
    <row r="195" s="9" customFormat="1" ht="17" customHeight="1" spans="1:8">
      <c r="A195" s="10" t="s">
        <v>172</v>
      </c>
      <c r="B195" s="11"/>
      <c r="C195" s="11"/>
      <c r="D195" s="11"/>
      <c r="E195" s="11"/>
      <c r="F195" s="11"/>
      <c r="G195" s="11"/>
      <c r="H195" s="10" t="s">
        <v>172</v>
      </c>
    </row>
    <row r="196" s="9" customFormat="1" ht="23" customHeight="1" spans="1:8">
      <c r="A196" s="10" t="s">
        <v>172</v>
      </c>
      <c r="B196" s="12"/>
      <c r="C196" s="12"/>
      <c r="D196" s="12"/>
      <c r="E196" s="12"/>
      <c r="F196" s="12"/>
      <c r="G196" s="12"/>
      <c r="H196" s="10" t="s">
        <v>172</v>
      </c>
    </row>
    <row r="197" s="9" customFormat="1" ht="16" customHeight="1" spans="1:8">
      <c r="A197" s="10" t="s">
        <v>172</v>
      </c>
      <c r="B197" s="13"/>
      <c r="C197" s="13"/>
      <c r="D197" s="13"/>
      <c r="E197" s="13"/>
      <c r="F197" s="13"/>
      <c r="G197" s="13"/>
      <c r="H197" s="10" t="s">
        <v>172</v>
      </c>
    </row>
    <row r="198" s="9" customFormat="1" ht="12" customHeight="1" spans="1:8">
      <c r="A198" s="10" t="s">
        <v>172</v>
      </c>
      <c r="B198" s="14"/>
      <c r="C198" s="14"/>
      <c r="D198" s="14"/>
      <c r="E198" s="14"/>
      <c r="F198" s="14"/>
      <c r="G198" s="14"/>
      <c r="H198" s="10" t="s">
        <v>172</v>
      </c>
    </row>
    <row r="199" s="9" customFormat="1" ht="17" customHeight="1" spans="1:8">
      <c r="A199" s="10" t="s">
        <v>172</v>
      </c>
      <c r="B199" s="15" t="s">
        <v>1836</v>
      </c>
      <c r="C199" s="16" t="s">
        <v>1837</v>
      </c>
      <c r="D199" s="17" t="s">
        <v>1838</v>
      </c>
      <c r="E199" s="18" t="s">
        <v>1839</v>
      </c>
      <c r="F199" s="10" t="s">
        <v>172</v>
      </c>
      <c r="G199" s="10" t="s">
        <v>172</v>
      </c>
      <c r="H199" s="10" t="s">
        <v>172</v>
      </c>
    </row>
    <row r="200" s="9" customFormat="1" ht="26" customHeight="1" spans="1:8">
      <c r="A200" s="10" t="s">
        <v>172</v>
      </c>
      <c r="B200" s="19" t="s">
        <v>960</v>
      </c>
      <c r="C200" s="20" t="s">
        <v>1191</v>
      </c>
      <c r="D200" s="21">
        <v>2</v>
      </c>
      <c r="E200" s="22">
        <v>603460</v>
      </c>
      <c r="F200" s="10" t="s">
        <v>172</v>
      </c>
      <c r="G200" s="10" t="s">
        <v>172</v>
      </c>
      <c r="H200" s="10" t="s">
        <v>172</v>
      </c>
    </row>
    <row r="201" s="9" customFormat="1" ht="26" customHeight="1" spans="1:8">
      <c r="A201" s="10" t="s">
        <v>172</v>
      </c>
      <c r="B201" s="19" t="s">
        <v>960</v>
      </c>
      <c r="C201" s="20" t="s">
        <v>804</v>
      </c>
      <c r="D201" s="21">
        <v>1</v>
      </c>
      <c r="E201" s="22">
        <v>348648.648649</v>
      </c>
      <c r="F201" s="10" t="s">
        <v>172</v>
      </c>
      <c r="G201" s="10" t="s">
        <v>172</v>
      </c>
      <c r="H201" s="10" t="s">
        <v>172</v>
      </c>
    </row>
    <row r="202" s="9" customFormat="1" ht="17" customHeight="1" spans="1:8">
      <c r="A202" s="10" t="s">
        <v>172</v>
      </c>
      <c r="B202" s="19" t="s">
        <v>960</v>
      </c>
      <c r="C202" s="16" t="s">
        <v>1841</v>
      </c>
      <c r="D202" s="23">
        <v>3</v>
      </c>
      <c r="E202" s="24">
        <v>952108.648649</v>
      </c>
      <c r="F202" s="10" t="s">
        <v>172</v>
      </c>
      <c r="G202" s="10" t="s">
        <v>172</v>
      </c>
      <c r="H202" s="10" t="s">
        <v>172</v>
      </c>
    </row>
    <row r="203" s="9" customFormat="1" ht="26" customHeight="1" spans="1:8">
      <c r="A203" s="10" t="s">
        <v>172</v>
      </c>
      <c r="B203" s="19" t="s">
        <v>401</v>
      </c>
      <c r="C203" s="20" t="s">
        <v>1191</v>
      </c>
      <c r="D203" s="21">
        <v>1</v>
      </c>
      <c r="E203" s="22">
        <v>148720</v>
      </c>
      <c r="F203" s="10" t="s">
        <v>172</v>
      </c>
      <c r="G203" s="10" t="s">
        <v>172</v>
      </c>
      <c r="H203" s="10" t="s">
        <v>172</v>
      </c>
    </row>
    <row r="204" s="9" customFormat="1" ht="26" customHeight="1" spans="1:8">
      <c r="A204" s="10" t="s">
        <v>172</v>
      </c>
      <c r="B204" s="19" t="s">
        <v>401</v>
      </c>
      <c r="C204" s="20" t="s">
        <v>804</v>
      </c>
      <c r="D204" s="21">
        <v>4</v>
      </c>
      <c r="E204" s="22">
        <v>628828.828828</v>
      </c>
      <c r="F204" s="10" t="s">
        <v>172</v>
      </c>
      <c r="G204" s="10" t="s">
        <v>172</v>
      </c>
      <c r="H204" s="10" t="s">
        <v>172</v>
      </c>
    </row>
    <row r="205" s="9" customFormat="1" ht="17" customHeight="1" spans="1:8">
      <c r="A205" s="10" t="s">
        <v>172</v>
      </c>
      <c r="B205" s="19" t="s">
        <v>401</v>
      </c>
      <c r="C205" s="16" t="s">
        <v>1841</v>
      </c>
      <c r="D205" s="23">
        <v>5</v>
      </c>
      <c r="E205" s="24">
        <v>777548.828828</v>
      </c>
      <c r="F205" s="10" t="s">
        <v>172</v>
      </c>
      <c r="G205" s="10" t="s">
        <v>172</v>
      </c>
      <c r="H205" s="10" t="s">
        <v>172</v>
      </c>
    </row>
    <row r="206" s="9" customFormat="1" ht="26" customHeight="1" spans="1:8">
      <c r="A206" s="10" t="s">
        <v>172</v>
      </c>
      <c r="B206" s="19" t="s">
        <v>577</v>
      </c>
      <c r="C206" s="20" t="s">
        <v>1191</v>
      </c>
      <c r="D206" s="21">
        <v>1</v>
      </c>
      <c r="E206" s="22">
        <v>148720</v>
      </c>
      <c r="F206" s="10" t="s">
        <v>172</v>
      </c>
      <c r="G206" s="10" t="s">
        <v>172</v>
      </c>
      <c r="H206" s="10" t="s">
        <v>172</v>
      </c>
    </row>
    <row r="207" s="9" customFormat="1" ht="37" customHeight="1" spans="1:8">
      <c r="A207" s="10" t="s">
        <v>172</v>
      </c>
      <c r="B207" s="19" t="s">
        <v>577</v>
      </c>
      <c r="C207" s="20" t="s">
        <v>182</v>
      </c>
      <c r="D207" s="21">
        <v>1</v>
      </c>
      <c r="E207" s="22">
        <v>157207.207207</v>
      </c>
      <c r="F207" s="10" t="s">
        <v>172</v>
      </c>
      <c r="G207" s="10" t="s">
        <v>172</v>
      </c>
      <c r="H207" s="10" t="s">
        <v>172</v>
      </c>
    </row>
    <row r="208" s="9" customFormat="1" ht="26" customHeight="1" spans="1:8">
      <c r="A208" s="10" t="s">
        <v>172</v>
      </c>
      <c r="B208" s="19" t="s">
        <v>577</v>
      </c>
      <c r="C208" s="20" t="s">
        <v>804</v>
      </c>
      <c r="D208" s="21">
        <v>1</v>
      </c>
      <c r="E208" s="22">
        <v>157207.207207</v>
      </c>
      <c r="F208" s="10" t="s">
        <v>172</v>
      </c>
      <c r="G208" s="10" t="s">
        <v>172</v>
      </c>
      <c r="H208" s="10" t="s">
        <v>172</v>
      </c>
    </row>
    <row r="209" s="9" customFormat="1" ht="17" customHeight="1" spans="1:8">
      <c r="A209" s="10" t="s">
        <v>172</v>
      </c>
      <c r="B209" s="19" t="s">
        <v>577</v>
      </c>
      <c r="C209" s="16" t="s">
        <v>1841</v>
      </c>
      <c r="D209" s="23">
        <v>3</v>
      </c>
      <c r="E209" s="24">
        <v>463134.414414</v>
      </c>
      <c r="F209" s="10" t="s">
        <v>172</v>
      </c>
      <c r="G209" s="10" t="s">
        <v>172</v>
      </c>
      <c r="H209" s="10" t="s">
        <v>172</v>
      </c>
    </row>
    <row r="210" s="9" customFormat="1" ht="26" customHeight="1" spans="1:8">
      <c r="A210" s="10" t="s">
        <v>172</v>
      </c>
      <c r="B210" s="19" t="s">
        <v>186</v>
      </c>
      <c r="C210" s="20" t="s">
        <v>1191</v>
      </c>
      <c r="D210" s="21">
        <v>1</v>
      </c>
      <c r="E210" s="22">
        <v>148720</v>
      </c>
      <c r="F210" s="10" t="s">
        <v>172</v>
      </c>
      <c r="G210" s="10" t="s">
        <v>172</v>
      </c>
      <c r="H210" s="10" t="s">
        <v>172</v>
      </c>
    </row>
    <row r="211" s="9" customFormat="1" ht="26" customHeight="1" spans="1:8">
      <c r="A211" s="10" t="s">
        <v>172</v>
      </c>
      <c r="B211" s="19" t="s">
        <v>186</v>
      </c>
      <c r="C211" s="20" t="s">
        <v>804</v>
      </c>
      <c r="D211" s="21">
        <v>4</v>
      </c>
      <c r="E211" s="22">
        <v>628828.828828</v>
      </c>
      <c r="F211" s="10" t="s">
        <v>172</v>
      </c>
      <c r="G211" s="10" t="s">
        <v>172</v>
      </c>
      <c r="H211" s="10" t="s">
        <v>172</v>
      </c>
    </row>
    <row r="212" s="9" customFormat="1" ht="17" customHeight="1" spans="1:8">
      <c r="A212" s="10" t="s">
        <v>172</v>
      </c>
      <c r="B212" s="19" t="s">
        <v>186</v>
      </c>
      <c r="C212" s="16" t="s">
        <v>1841</v>
      </c>
      <c r="D212" s="23">
        <v>5</v>
      </c>
      <c r="E212" s="24">
        <v>777548.828828</v>
      </c>
      <c r="F212" s="10" t="s">
        <v>172</v>
      </c>
      <c r="G212" s="10" t="s">
        <v>172</v>
      </c>
      <c r="H212" s="10" t="s">
        <v>172</v>
      </c>
    </row>
    <row r="213" s="9" customFormat="1" ht="37" customHeight="1" spans="1:8">
      <c r="A213" s="10" t="s">
        <v>172</v>
      </c>
      <c r="B213" s="20" t="s">
        <v>402</v>
      </c>
      <c r="C213" s="20" t="s">
        <v>182</v>
      </c>
      <c r="D213" s="21">
        <v>1</v>
      </c>
      <c r="E213" s="22">
        <v>0</v>
      </c>
      <c r="F213" s="10" t="s">
        <v>172</v>
      </c>
      <c r="G213" s="10" t="s">
        <v>172</v>
      </c>
      <c r="H213" s="10" t="s">
        <v>172</v>
      </c>
    </row>
    <row r="214" s="9" customFormat="1" ht="1" customHeight="1" spans="1:8">
      <c r="A214" s="10" t="s">
        <v>172</v>
      </c>
      <c r="B214" s="25"/>
      <c r="C214" s="25"/>
      <c r="D214" s="25"/>
      <c r="E214" s="25"/>
      <c r="F214" s="25"/>
      <c r="G214" s="25"/>
      <c r="H214" s="10" t="s">
        <v>172</v>
      </c>
    </row>
    <row r="215" s="9" customFormat="1" ht="13" customHeight="1" spans="1:8">
      <c r="A215" s="10" t="s">
        <v>172</v>
      </c>
      <c r="B215" s="26"/>
      <c r="C215" s="26"/>
      <c r="D215" s="26"/>
      <c r="E215" s="26"/>
      <c r="F215" s="26"/>
      <c r="G215" s="26"/>
      <c r="H215" s="10" t="s">
        <v>172</v>
      </c>
    </row>
    <row r="216" s="9" customFormat="1" ht="13" customHeight="1" spans="1:8">
      <c r="A216" s="10" t="s">
        <v>172</v>
      </c>
      <c r="B216" s="26"/>
      <c r="C216" s="26"/>
      <c r="D216" s="26"/>
      <c r="E216" s="26"/>
      <c r="F216" s="26"/>
      <c r="G216" s="26"/>
      <c r="H216" s="10" t="s">
        <v>172</v>
      </c>
    </row>
    <row r="217" s="9" customFormat="1" ht="13" customHeight="1" spans="1:8">
      <c r="A217" s="10" t="s">
        <v>172</v>
      </c>
      <c r="B217" s="26"/>
      <c r="C217" s="26"/>
      <c r="D217" s="26"/>
      <c r="E217" s="26"/>
      <c r="F217" s="26"/>
      <c r="G217" s="26"/>
      <c r="H217" s="10" t="s">
        <v>172</v>
      </c>
    </row>
    <row r="218" s="9" customFormat="1" ht="13" customHeight="1" spans="1:8">
      <c r="A218" s="10" t="s">
        <v>172</v>
      </c>
      <c r="B218" s="26"/>
      <c r="C218" s="26"/>
      <c r="D218" s="26"/>
      <c r="E218" s="26"/>
      <c r="F218" s="26"/>
      <c r="G218" s="27" t="s">
        <v>1847</v>
      </c>
      <c r="H218" s="10" t="s">
        <v>172</v>
      </c>
    </row>
    <row r="219" s="9" customFormat="1" ht="17" customHeight="1" spans="1:8">
      <c r="A219" s="10" t="s">
        <v>172</v>
      </c>
      <c r="B219" s="11"/>
      <c r="C219" s="11"/>
      <c r="D219" s="11"/>
      <c r="E219" s="11"/>
      <c r="F219" s="11"/>
      <c r="G219" s="11"/>
      <c r="H219" s="10" t="s">
        <v>172</v>
      </c>
    </row>
    <row r="220" s="9" customFormat="1" ht="23" customHeight="1" spans="1:8">
      <c r="A220" s="10" t="s">
        <v>172</v>
      </c>
      <c r="B220" s="12"/>
      <c r="C220" s="12"/>
      <c r="D220" s="12"/>
      <c r="E220" s="12"/>
      <c r="F220" s="12"/>
      <c r="G220" s="12"/>
      <c r="H220" s="10" t="s">
        <v>172</v>
      </c>
    </row>
    <row r="221" s="9" customFormat="1" ht="16" customHeight="1" spans="1:8">
      <c r="A221" s="10" t="s">
        <v>172</v>
      </c>
      <c r="B221" s="13"/>
      <c r="C221" s="13"/>
      <c r="D221" s="13"/>
      <c r="E221" s="13"/>
      <c r="F221" s="13"/>
      <c r="G221" s="13"/>
      <c r="H221" s="10" t="s">
        <v>172</v>
      </c>
    </row>
    <row r="222" s="9" customFormat="1" ht="12" customHeight="1" spans="1:8">
      <c r="A222" s="10" t="s">
        <v>172</v>
      </c>
      <c r="B222" s="14"/>
      <c r="C222" s="14"/>
      <c r="D222" s="14"/>
      <c r="E222" s="14"/>
      <c r="F222" s="14"/>
      <c r="G222" s="14"/>
      <c r="H222" s="10" t="s">
        <v>172</v>
      </c>
    </row>
    <row r="223" s="9" customFormat="1" ht="17" customHeight="1" spans="1:8">
      <c r="A223" s="10" t="s">
        <v>172</v>
      </c>
      <c r="B223" s="15" t="s">
        <v>1836</v>
      </c>
      <c r="C223" s="16" t="s">
        <v>1837</v>
      </c>
      <c r="D223" s="17" t="s">
        <v>1838</v>
      </c>
      <c r="E223" s="18" t="s">
        <v>1839</v>
      </c>
      <c r="F223" s="10" t="s">
        <v>172</v>
      </c>
      <c r="G223" s="10" t="s">
        <v>172</v>
      </c>
      <c r="H223" s="10" t="s">
        <v>172</v>
      </c>
    </row>
    <row r="224" s="9" customFormat="1" ht="26" customHeight="1" spans="1:8">
      <c r="A224" s="10" t="s">
        <v>172</v>
      </c>
      <c r="B224" s="19" t="s">
        <v>402</v>
      </c>
      <c r="C224" s="20" t="s">
        <v>804</v>
      </c>
      <c r="D224" s="21">
        <v>4</v>
      </c>
      <c r="E224" s="22">
        <v>614414.414416</v>
      </c>
      <c r="F224" s="10" t="s">
        <v>172</v>
      </c>
      <c r="G224" s="10" t="s">
        <v>172</v>
      </c>
      <c r="H224" s="10" t="s">
        <v>172</v>
      </c>
    </row>
    <row r="225" s="9" customFormat="1" ht="17" customHeight="1" spans="1:8">
      <c r="A225" s="10" t="s">
        <v>172</v>
      </c>
      <c r="B225" s="19" t="s">
        <v>402</v>
      </c>
      <c r="C225" s="16" t="s">
        <v>1841</v>
      </c>
      <c r="D225" s="23">
        <v>5</v>
      </c>
      <c r="E225" s="24">
        <v>614414.414416</v>
      </c>
      <c r="F225" s="10" t="s">
        <v>172</v>
      </c>
      <c r="G225" s="10" t="s">
        <v>172</v>
      </c>
      <c r="H225" s="10" t="s">
        <v>172</v>
      </c>
    </row>
    <row r="226" s="9" customFormat="1" ht="26" customHeight="1" spans="1:8">
      <c r="A226" s="10" t="s">
        <v>172</v>
      </c>
      <c r="B226" s="19" t="s">
        <v>1862</v>
      </c>
      <c r="C226" s="20" t="s">
        <v>1191</v>
      </c>
      <c r="D226" s="21">
        <v>1</v>
      </c>
      <c r="E226" s="22">
        <v>148720</v>
      </c>
      <c r="F226" s="10" t="s">
        <v>172</v>
      </c>
      <c r="G226" s="10" t="s">
        <v>172</v>
      </c>
      <c r="H226" s="10" t="s">
        <v>172</v>
      </c>
    </row>
    <row r="227" s="9" customFormat="1" ht="17" customHeight="1" spans="1:8">
      <c r="A227" s="10" t="s">
        <v>172</v>
      </c>
      <c r="B227" s="19" t="s">
        <v>1862</v>
      </c>
      <c r="C227" s="16" t="s">
        <v>1841</v>
      </c>
      <c r="D227" s="23">
        <v>1</v>
      </c>
      <c r="E227" s="24">
        <v>148720</v>
      </c>
      <c r="F227" s="10" t="s">
        <v>172</v>
      </c>
      <c r="G227" s="10" t="s">
        <v>172</v>
      </c>
      <c r="H227" s="10" t="s">
        <v>172</v>
      </c>
    </row>
    <row r="228" s="9" customFormat="1" ht="26" customHeight="1" spans="1:8">
      <c r="A228" s="10" t="s">
        <v>172</v>
      </c>
      <c r="B228" s="19" t="s">
        <v>350</v>
      </c>
      <c r="C228" s="20" t="s">
        <v>1191</v>
      </c>
      <c r="D228" s="21">
        <v>1</v>
      </c>
      <c r="E228" s="22">
        <v>129350</v>
      </c>
      <c r="F228" s="10" t="s">
        <v>172</v>
      </c>
      <c r="G228" s="10" t="s">
        <v>172</v>
      </c>
      <c r="H228" s="10" t="s">
        <v>172</v>
      </c>
    </row>
    <row r="229" s="9" customFormat="1" ht="17" customHeight="1" spans="1:8">
      <c r="A229" s="10" t="s">
        <v>172</v>
      </c>
      <c r="B229" s="19" t="s">
        <v>350</v>
      </c>
      <c r="C229" s="16" t="s">
        <v>1841</v>
      </c>
      <c r="D229" s="23">
        <v>1</v>
      </c>
      <c r="E229" s="24">
        <v>129350</v>
      </c>
      <c r="F229" s="10" t="s">
        <v>172</v>
      </c>
      <c r="G229" s="10" t="s">
        <v>172</v>
      </c>
      <c r="H229" s="10" t="s">
        <v>172</v>
      </c>
    </row>
    <row r="230" s="9" customFormat="1" ht="26" customHeight="1" spans="1:8">
      <c r="A230" s="10" t="s">
        <v>172</v>
      </c>
      <c r="B230" s="19" t="s">
        <v>403</v>
      </c>
      <c r="C230" s="20" t="s">
        <v>1191</v>
      </c>
      <c r="D230" s="21">
        <v>1</v>
      </c>
      <c r="E230" s="22">
        <v>148720</v>
      </c>
      <c r="F230" s="10" t="s">
        <v>172</v>
      </c>
      <c r="G230" s="10" t="s">
        <v>172</v>
      </c>
      <c r="H230" s="10" t="s">
        <v>172</v>
      </c>
    </row>
    <row r="231" s="9" customFormat="1" ht="26" customHeight="1" spans="1:8">
      <c r="A231" s="10" t="s">
        <v>172</v>
      </c>
      <c r="B231" s="19" t="s">
        <v>403</v>
      </c>
      <c r="C231" s="20" t="s">
        <v>804</v>
      </c>
      <c r="D231" s="21">
        <v>7</v>
      </c>
      <c r="E231" s="22">
        <v>1100450.450449</v>
      </c>
      <c r="F231" s="10" t="s">
        <v>172</v>
      </c>
      <c r="G231" s="10" t="s">
        <v>172</v>
      </c>
      <c r="H231" s="10" t="s">
        <v>172</v>
      </c>
    </row>
    <row r="232" s="9" customFormat="1" ht="17" customHeight="1" spans="1:8">
      <c r="A232" s="10" t="s">
        <v>172</v>
      </c>
      <c r="B232" s="19" t="s">
        <v>403</v>
      </c>
      <c r="C232" s="16" t="s">
        <v>1841</v>
      </c>
      <c r="D232" s="23">
        <v>8</v>
      </c>
      <c r="E232" s="24">
        <v>1249170.450449</v>
      </c>
      <c r="F232" s="10" t="s">
        <v>172</v>
      </c>
      <c r="G232" s="10" t="s">
        <v>172</v>
      </c>
      <c r="H232" s="10" t="s">
        <v>172</v>
      </c>
    </row>
    <row r="233" s="9" customFormat="1" ht="37" customHeight="1" spans="1:8">
      <c r="A233" s="10" t="s">
        <v>172</v>
      </c>
      <c r="B233" s="19" t="s">
        <v>404</v>
      </c>
      <c r="C233" s="20" t="s">
        <v>182</v>
      </c>
      <c r="D233" s="21">
        <v>3</v>
      </c>
      <c r="E233" s="22">
        <v>64864.864865</v>
      </c>
      <c r="F233" s="10" t="s">
        <v>172</v>
      </c>
      <c r="G233" s="10" t="s">
        <v>172</v>
      </c>
      <c r="H233" s="10" t="s">
        <v>172</v>
      </c>
    </row>
    <row r="234" s="9" customFormat="1" ht="26" customHeight="1" spans="1:8">
      <c r="A234" s="10" t="s">
        <v>172</v>
      </c>
      <c r="B234" s="19" t="s">
        <v>404</v>
      </c>
      <c r="C234" s="20" t="s">
        <v>804</v>
      </c>
      <c r="D234" s="21">
        <v>2</v>
      </c>
      <c r="E234" s="22">
        <v>129729.72973</v>
      </c>
      <c r="F234" s="10" t="s">
        <v>172</v>
      </c>
      <c r="G234" s="10" t="s">
        <v>172</v>
      </c>
      <c r="H234" s="10" t="s">
        <v>172</v>
      </c>
    </row>
    <row r="235" s="9" customFormat="1" ht="17" customHeight="1" spans="1:8">
      <c r="A235" s="10" t="s">
        <v>172</v>
      </c>
      <c r="B235" s="19" t="s">
        <v>404</v>
      </c>
      <c r="C235" s="16" t="s">
        <v>1841</v>
      </c>
      <c r="D235" s="23">
        <v>5</v>
      </c>
      <c r="E235" s="24">
        <v>194594.594595</v>
      </c>
      <c r="F235" s="10" t="s">
        <v>172</v>
      </c>
      <c r="G235" s="10" t="s">
        <v>172</v>
      </c>
      <c r="H235" s="10" t="s">
        <v>172</v>
      </c>
    </row>
    <row r="236" s="9" customFormat="1" ht="26" customHeight="1" spans="1:8">
      <c r="A236" s="10" t="s">
        <v>172</v>
      </c>
      <c r="B236" s="19" t="s">
        <v>405</v>
      </c>
      <c r="C236" s="20" t="s">
        <v>1191</v>
      </c>
      <c r="D236" s="21">
        <v>3</v>
      </c>
      <c r="E236" s="22">
        <v>193050</v>
      </c>
      <c r="F236" s="10" t="s">
        <v>172</v>
      </c>
      <c r="G236" s="10" t="s">
        <v>172</v>
      </c>
      <c r="H236" s="10" t="s">
        <v>172</v>
      </c>
    </row>
    <row r="237" s="9" customFormat="1" ht="37" customHeight="1" spans="1:8">
      <c r="A237" s="10" t="s">
        <v>172</v>
      </c>
      <c r="B237" s="19" t="s">
        <v>405</v>
      </c>
      <c r="C237" s="20" t="s">
        <v>182</v>
      </c>
      <c r="D237" s="21">
        <v>1</v>
      </c>
      <c r="E237" s="22">
        <v>0</v>
      </c>
      <c r="F237" s="10" t="s">
        <v>172</v>
      </c>
      <c r="G237" s="10" t="s">
        <v>172</v>
      </c>
      <c r="H237" s="10" t="s">
        <v>172</v>
      </c>
    </row>
    <row r="238" s="9" customFormat="1" ht="1" customHeight="1" spans="1:8">
      <c r="A238" s="10" t="s">
        <v>172</v>
      </c>
      <c r="B238" s="25"/>
      <c r="C238" s="25"/>
      <c r="D238" s="25"/>
      <c r="E238" s="25"/>
      <c r="F238" s="25"/>
      <c r="G238" s="25"/>
      <c r="H238" s="10" t="s">
        <v>172</v>
      </c>
    </row>
    <row r="239" s="9" customFormat="1" ht="13" customHeight="1" spans="1:8">
      <c r="A239" s="10" t="s">
        <v>172</v>
      </c>
      <c r="B239" s="26"/>
      <c r="C239" s="26"/>
      <c r="D239" s="26"/>
      <c r="E239" s="26"/>
      <c r="F239" s="26"/>
      <c r="G239" s="26"/>
      <c r="H239" s="10" t="s">
        <v>172</v>
      </c>
    </row>
    <row r="240" s="9" customFormat="1" ht="13" customHeight="1" spans="1:8">
      <c r="A240" s="10" t="s">
        <v>172</v>
      </c>
      <c r="B240" s="26"/>
      <c r="C240" s="26"/>
      <c r="D240" s="26"/>
      <c r="E240" s="26"/>
      <c r="F240" s="26"/>
      <c r="G240" s="26"/>
      <c r="H240" s="10" t="s">
        <v>172</v>
      </c>
    </row>
    <row r="241" s="9" customFormat="1" ht="13" customHeight="1" spans="1:8">
      <c r="A241" s="10" t="s">
        <v>172</v>
      </c>
      <c r="B241" s="26"/>
      <c r="C241" s="26"/>
      <c r="D241" s="26"/>
      <c r="E241" s="26"/>
      <c r="F241" s="26"/>
      <c r="G241" s="26"/>
      <c r="H241" s="10" t="s">
        <v>172</v>
      </c>
    </row>
    <row r="242" s="9" customFormat="1" ht="13" customHeight="1" spans="1:8">
      <c r="A242" s="10" t="s">
        <v>172</v>
      </c>
      <c r="B242" s="26"/>
      <c r="C242" s="26"/>
      <c r="D242" s="26"/>
      <c r="E242" s="26"/>
      <c r="F242" s="26"/>
      <c r="G242" s="27" t="s">
        <v>1847</v>
      </c>
      <c r="H242" s="10" t="s">
        <v>172</v>
      </c>
    </row>
    <row r="243" s="9" customFormat="1" ht="17" customHeight="1" spans="1:8">
      <c r="A243" s="10" t="s">
        <v>172</v>
      </c>
      <c r="B243" s="11"/>
      <c r="C243" s="11"/>
      <c r="D243" s="11"/>
      <c r="E243" s="11"/>
      <c r="F243" s="11"/>
      <c r="G243" s="11"/>
      <c r="H243" s="10" t="s">
        <v>172</v>
      </c>
    </row>
    <row r="244" s="9" customFormat="1" ht="23" customHeight="1" spans="1:8">
      <c r="A244" s="10" t="s">
        <v>172</v>
      </c>
      <c r="B244" s="12"/>
      <c r="C244" s="12"/>
      <c r="D244" s="12"/>
      <c r="E244" s="12"/>
      <c r="F244" s="12"/>
      <c r="G244" s="12"/>
      <c r="H244" s="10" t="s">
        <v>172</v>
      </c>
    </row>
    <row r="245" s="9" customFormat="1" ht="16" customHeight="1" spans="1:8">
      <c r="A245" s="10" t="s">
        <v>172</v>
      </c>
      <c r="B245" s="13"/>
      <c r="C245" s="13"/>
      <c r="D245" s="13"/>
      <c r="E245" s="13"/>
      <c r="F245" s="13"/>
      <c r="G245" s="13"/>
      <c r="H245" s="10" t="s">
        <v>172</v>
      </c>
    </row>
    <row r="246" s="9" customFormat="1" ht="12" customHeight="1" spans="1:8">
      <c r="A246" s="10" t="s">
        <v>172</v>
      </c>
      <c r="B246" s="14"/>
      <c r="C246" s="14"/>
      <c r="D246" s="14"/>
      <c r="E246" s="14"/>
      <c r="F246" s="14"/>
      <c r="G246" s="14"/>
      <c r="H246" s="10" t="s">
        <v>172</v>
      </c>
    </row>
    <row r="247" s="9" customFormat="1" ht="17" customHeight="1" spans="1:8">
      <c r="A247" s="10" t="s">
        <v>172</v>
      </c>
      <c r="B247" s="15" t="s">
        <v>1836</v>
      </c>
      <c r="C247" s="16" t="s">
        <v>1837</v>
      </c>
      <c r="D247" s="17" t="s">
        <v>1838</v>
      </c>
      <c r="E247" s="18" t="s">
        <v>1839</v>
      </c>
      <c r="F247" s="10" t="s">
        <v>172</v>
      </c>
      <c r="G247" s="10" t="s">
        <v>172</v>
      </c>
      <c r="H247" s="10" t="s">
        <v>172</v>
      </c>
    </row>
    <row r="248" s="9" customFormat="1" ht="26" customHeight="1" spans="1:8">
      <c r="A248" s="10" t="s">
        <v>172</v>
      </c>
      <c r="B248" s="19" t="s">
        <v>405</v>
      </c>
      <c r="C248" s="20" t="s">
        <v>804</v>
      </c>
      <c r="D248" s="21">
        <v>6</v>
      </c>
      <c r="E248" s="22">
        <v>217567.567569</v>
      </c>
      <c r="F248" s="10" t="s">
        <v>172</v>
      </c>
      <c r="G248" s="10" t="s">
        <v>172</v>
      </c>
      <c r="H248" s="10" t="s">
        <v>172</v>
      </c>
    </row>
    <row r="249" s="9" customFormat="1" ht="17" customHeight="1" spans="1:8">
      <c r="A249" s="10" t="s">
        <v>172</v>
      </c>
      <c r="B249" s="19" t="s">
        <v>405</v>
      </c>
      <c r="C249" s="16" t="s">
        <v>1841</v>
      </c>
      <c r="D249" s="23">
        <v>10</v>
      </c>
      <c r="E249" s="24">
        <v>410617.567569</v>
      </c>
      <c r="F249" s="10" t="s">
        <v>172</v>
      </c>
      <c r="G249" s="10" t="s">
        <v>172</v>
      </c>
      <c r="H249" s="10" t="s">
        <v>172</v>
      </c>
    </row>
    <row r="250" s="9" customFormat="1" ht="26" customHeight="1" spans="1:8">
      <c r="A250" s="10" t="s">
        <v>172</v>
      </c>
      <c r="B250" s="19" t="s">
        <v>1463</v>
      </c>
      <c r="C250" s="20" t="s">
        <v>1191</v>
      </c>
      <c r="D250" s="21">
        <v>2</v>
      </c>
      <c r="E250" s="22">
        <v>128700</v>
      </c>
      <c r="F250" s="10" t="s">
        <v>172</v>
      </c>
      <c r="G250" s="10" t="s">
        <v>172</v>
      </c>
      <c r="H250" s="10" t="s">
        <v>172</v>
      </c>
    </row>
    <row r="251" s="9" customFormat="1" ht="37" customHeight="1" spans="1:8">
      <c r="A251" s="10" t="s">
        <v>172</v>
      </c>
      <c r="B251" s="19" t="s">
        <v>1463</v>
      </c>
      <c r="C251" s="20" t="s">
        <v>182</v>
      </c>
      <c r="D251" s="21">
        <v>3</v>
      </c>
      <c r="E251" s="22">
        <v>0</v>
      </c>
      <c r="F251" s="10" t="s">
        <v>172</v>
      </c>
      <c r="G251" s="10" t="s">
        <v>172</v>
      </c>
      <c r="H251" s="10" t="s">
        <v>172</v>
      </c>
    </row>
    <row r="252" s="9" customFormat="1" ht="26" customHeight="1" spans="1:8">
      <c r="A252" s="10" t="s">
        <v>172</v>
      </c>
      <c r="B252" s="19" t="s">
        <v>1463</v>
      </c>
      <c r="C252" s="20" t="s">
        <v>804</v>
      </c>
      <c r="D252" s="21">
        <v>1</v>
      </c>
      <c r="E252" s="22">
        <v>75675.675676</v>
      </c>
      <c r="F252" s="10" t="s">
        <v>172</v>
      </c>
      <c r="G252" s="10" t="s">
        <v>172</v>
      </c>
      <c r="H252" s="10" t="s">
        <v>172</v>
      </c>
    </row>
    <row r="253" s="9" customFormat="1" ht="17" customHeight="1" spans="1:8">
      <c r="A253" s="10" t="s">
        <v>172</v>
      </c>
      <c r="B253" s="19" t="s">
        <v>1463</v>
      </c>
      <c r="C253" s="16" t="s">
        <v>1841</v>
      </c>
      <c r="D253" s="23">
        <v>6</v>
      </c>
      <c r="E253" s="24">
        <v>204375.675676</v>
      </c>
      <c r="F253" s="10" t="s">
        <v>172</v>
      </c>
      <c r="G253" s="10" t="s">
        <v>172</v>
      </c>
      <c r="H253" s="10" t="s">
        <v>172</v>
      </c>
    </row>
    <row r="254" s="9" customFormat="1" ht="26" customHeight="1" spans="1:8">
      <c r="A254" s="10" t="s">
        <v>172</v>
      </c>
      <c r="B254" s="19" t="s">
        <v>187</v>
      </c>
      <c r="C254" s="20" t="s">
        <v>1191</v>
      </c>
      <c r="D254" s="21">
        <v>21</v>
      </c>
      <c r="E254" s="22">
        <v>1228500</v>
      </c>
      <c r="F254" s="10" t="s">
        <v>172</v>
      </c>
      <c r="G254" s="10" t="s">
        <v>172</v>
      </c>
      <c r="H254" s="10" t="s">
        <v>172</v>
      </c>
    </row>
    <row r="255" s="9" customFormat="1" ht="37" customHeight="1" spans="1:8">
      <c r="A255" s="10" t="s">
        <v>172</v>
      </c>
      <c r="B255" s="19" t="s">
        <v>187</v>
      </c>
      <c r="C255" s="20" t="s">
        <v>182</v>
      </c>
      <c r="D255" s="21">
        <v>1</v>
      </c>
      <c r="E255" s="22">
        <v>90090.09009</v>
      </c>
      <c r="F255" s="10" t="s">
        <v>172</v>
      </c>
      <c r="G255" s="10" t="s">
        <v>172</v>
      </c>
      <c r="H255" s="10" t="s">
        <v>172</v>
      </c>
    </row>
    <row r="256" s="9" customFormat="1" ht="26" customHeight="1" spans="1:8">
      <c r="A256" s="10" t="s">
        <v>172</v>
      </c>
      <c r="B256" s="19" t="s">
        <v>187</v>
      </c>
      <c r="C256" s="20" t="s">
        <v>804</v>
      </c>
      <c r="D256" s="21">
        <v>1</v>
      </c>
      <c r="E256" s="22">
        <v>90090.09009</v>
      </c>
      <c r="F256" s="10" t="s">
        <v>172</v>
      </c>
      <c r="G256" s="10" t="s">
        <v>172</v>
      </c>
      <c r="H256" s="10" t="s">
        <v>172</v>
      </c>
    </row>
    <row r="257" s="9" customFormat="1" ht="17" customHeight="1" spans="1:8">
      <c r="A257" s="10" t="s">
        <v>172</v>
      </c>
      <c r="B257" s="19" t="s">
        <v>187</v>
      </c>
      <c r="C257" s="16" t="s">
        <v>1841</v>
      </c>
      <c r="D257" s="23">
        <v>23</v>
      </c>
      <c r="E257" s="24">
        <v>1408680.18018</v>
      </c>
      <c r="F257" s="10" t="s">
        <v>172</v>
      </c>
      <c r="G257" s="10" t="s">
        <v>172</v>
      </c>
      <c r="H257" s="10" t="s">
        <v>172</v>
      </c>
    </row>
    <row r="258" s="9" customFormat="1" ht="26" customHeight="1" spans="1:8">
      <c r="A258" s="10" t="s">
        <v>172</v>
      </c>
      <c r="B258" s="19" t="s">
        <v>406</v>
      </c>
      <c r="C258" s="20" t="s">
        <v>1191</v>
      </c>
      <c r="D258" s="21">
        <v>10</v>
      </c>
      <c r="E258" s="22">
        <v>1339000</v>
      </c>
      <c r="F258" s="10" t="s">
        <v>172</v>
      </c>
      <c r="G258" s="10" t="s">
        <v>172</v>
      </c>
      <c r="H258" s="10" t="s">
        <v>172</v>
      </c>
    </row>
    <row r="259" s="9" customFormat="1" ht="17" customHeight="1" spans="1:8">
      <c r="A259" s="10" t="s">
        <v>172</v>
      </c>
      <c r="B259" s="19" t="s">
        <v>406</v>
      </c>
      <c r="C259" s="16" t="s">
        <v>1841</v>
      </c>
      <c r="D259" s="23">
        <v>10</v>
      </c>
      <c r="E259" s="24">
        <v>1339000</v>
      </c>
      <c r="F259" s="10" t="s">
        <v>172</v>
      </c>
      <c r="G259" s="10" t="s">
        <v>172</v>
      </c>
      <c r="H259" s="10" t="s">
        <v>172</v>
      </c>
    </row>
    <row r="260" s="9" customFormat="1" ht="37" customHeight="1" spans="1:8">
      <c r="A260" s="10" t="s">
        <v>172</v>
      </c>
      <c r="B260" s="20" t="s">
        <v>961</v>
      </c>
      <c r="C260" s="20" t="s">
        <v>182</v>
      </c>
      <c r="D260" s="21">
        <v>1</v>
      </c>
      <c r="E260" s="22">
        <v>60360.36036</v>
      </c>
      <c r="F260" s="10" t="s">
        <v>172</v>
      </c>
      <c r="G260" s="10" t="s">
        <v>172</v>
      </c>
      <c r="H260" s="10" t="s">
        <v>172</v>
      </c>
    </row>
    <row r="261" s="9" customFormat="1" ht="1" customHeight="1" spans="1:8">
      <c r="A261" s="10" t="s">
        <v>172</v>
      </c>
      <c r="B261" s="25"/>
      <c r="C261" s="25"/>
      <c r="D261" s="25"/>
      <c r="E261" s="25"/>
      <c r="F261" s="25"/>
      <c r="G261" s="25"/>
      <c r="H261" s="10" t="s">
        <v>172</v>
      </c>
    </row>
    <row r="262" s="9" customFormat="1" ht="13" customHeight="1" spans="1:8">
      <c r="A262" s="10" t="s">
        <v>172</v>
      </c>
      <c r="B262" s="26"/>
      <c r="C262" s="26"/>
      <c r="D262" s="26"/>
      <c r="E262" s="26"/>
      <c r="F262" s="26"/>
      <c r="G262" s="26"/>
      <c r="H262" s="10" t="s">
        <v>172</v>
      </c>
    </row>
    <row r="263" s="9" customFormat="1" ht="13" customHeight="1" spans="1:8">
      <c r="A263" s="10" t="s">
        <v>172</v>
      </c>
      <c r="B263" s="26"/>
      <c r="C263" s="26"/>
      <c r="D263" s="26"/>
      <c r="E263" s="26"/>
      <c r="F263" s="26"/>
      <c r="G263" s="26"/>
      <c r="H263" s="10" t="s">
        <v>172</v>
      </c>
    </row>
    <row r="264" s="9" customFormat="1" ht="13" customHeight="1" spans="1:8">
      <c r="A264" s="10" t="s">
        <v>172</v>
      </c>
      <c r="B264" s="26"/>
      <c r="C264" s="26"/>
      <c r="D264" s="26"/>
      <c r="E264" s="26"/>
      <c r="F264" s="26"/>
      <c r="G264" s="26"/>
      <c r="H264" s="10" t="s">
        <v>172</v>
      </c>
    </row>
    <row r="265" s="9" customFormat="1" ht="13" customHeight="1" spans="1:8">
      <c r="A265" s="10" t="s">
        <v>172</v>
      </c>
      <c r="B265" s="26"/>
      <c r="C265" s="26"/>
      <c r="D265" s="26"/>
      <c r="E265" s="26"/>
      <c r="F265" s="26"/>
      <c r="G265" s="27" t="s">
        <v>1847</v>
      </c>
      <c r="H265" s="10" t="s">
        <v>172</v>
      </c>
    </row>
    <row r="266" s="9" customFormat="1" ht="17" customHeight="1" spans="1:8">
      <c r="A266" s="10" t="s">
        <v>172</v>
      </c>
      <c r="B266" s="11"/>
      <c r="C266" s="11"/>
      <c r="D266" s="11"/>
      <c r="E266" s="11"/>
      <c r="F266" s="11"/>
      <c r="G266" s="11"/>
      <c r="H266" s="10" t="s">
        <v>172</v>
      </c>
    </row>
    <row r="267" s="9" customFormat="1" ht="23" customHeight="1" spans="1:8">
      <c r="A267" s="10" t="s">
        <v>172</v>
      </c>
      <c r="B267" s="12"/>
      <c r="C267" s="12"/>
      <c r="D267" s="12"/>
      <c r="E267" s="12"/>
      <c r="F267" s="12"/>
      <c r="G267" s="12"/>
      <c r="H267" s="10" t="s">
        <v>172</v>
      </c>
    </row>
    <row r="268" s="9" customFormat="1" ht="16" customHeight="1" spans="1:8">
      <c r="A268" s="10" t="s">
        <v>172</v>
      </c>
      <c r="B268" s="13"/>
      <c r="C268" s="13"/>
      <c r="D268" s="13"/>
      <c r="E268" s="13"/>
      <c r="F268" s="13"/>
      <c r="G268" s="13"/>
      <c r="H268" s="10" t="s">
        <v>172</v>
      </c>
    </row>
    <row r="269" s="9" customFormat="1" ht="12" customHeight="1" spans="1:8">
      <c r="A269" s="10" t="s">
        <v>172</v>
      </c>
      <c r="B269" s="14"/>
      <c r="C269" s="14"/>
      <c r="D269" s="14"/>
      <c r="E269" s="14"/>
      <c r="F269" s="14"/>
      <c r="G269" s="14"/>
      <c r="H269" s="10" t="s">
        <v>172</v>
      </c>
    </row>
    <row r="270" s="9" customFormat="1" ht="17" customHeight="1" spans="1:8">
      <c r="A270" s="10" t="s">
        <v>172</v>
      </c>
      <c r="B270" s="15" t="s">
        <v>1836</v>
      </c>
      <c r="C270" s="16" t="s">
        <v>1837</v>
      </c>
      <c r="D270" s="17" t="s">
        <v>1838</v>
      </c>
      <c r="E270" s="18" t="s">
        <v>1839</v>
      </c>
      <c r="F270" s="10" t="s">
        <v>172</v>
      </c>
      <c r="G270" s="10" t="s">
        <v>172</v>
      </c>
      <c r="H270" s="10" t="s">
        <v>172</v>
      </c>
    </row>
    <row r="271" s="9" customFormat="1" ht="26" customHeight="1" spans="1:8">
      <c r="A271" s="10" t="s">
        <v>172</v>
      </c>
      <c r="B271" s="19" t="s">
        <v>961</v>
      </c>
      <c r="C271" s="20" t="s">
        <v>804</v>
      </c>
      <c r="D271" s="21">
        <v>1</v>
      </c>
      <c r="E271" s="22">
        <v>60360</v>
      </c>
      <c r="F271" s="10" t="s">
        <v>172</v>
      </c>
      <c r="G271" s="10" t="s">
        <v>172</v>
      </c>
      <c r="H271" s="10" t="s">
        <v>172</v>
      </c>
    </row>
    <row r="272" s="9" customFormat="1" ht="17" customHeight="1" spans="1:8">
      <c r="A272" s="10" t="s">
        <v>172</v>
      </c>
      <c r="B272" s="19" t="s">
        <v>961</v>
      </c>
      <c r="C272" s="16" t="s">
        <v>1841</v>
      </c>
      <c r="D272" s="23">
        <v>2</v>
      </c>
      <c r="E272" s="24">
        <v>120720.36036</v>
      </c>
      <c r="F272" s="10" t="s">
        <v>172</v>
      </c>
      <c r="G272" s="10" t="s">
        <v>172</v>
      </c>
      <c r="H272" s="10" t="s">
        <v>172</v>
      </c>
    </row>
    <row r="273" s="9" customFormat="1" ht="26" customHeight="1" spans="1:8">
      <c r="A273" s="10" t="s">
        <v>172</v>
      </c>
      <c r="B273" s="19" t="s">
        <v>1863</v>
      </c>
      <c r="C273" s="20" t="s">
        <v>804</v>
      </c>
      <c r="D273" s="21">
        <v>1</v>
      </c>
      <c r="E273" s="22">
        <v>75675.675676</v>
      </c>
      <c r="F273" s="10" t="s">
        <v>172</v>
      </c>
      <c r="G273" s="10" t="s">
        <v>172</v>
      </c>
      <c r="H273" s="10" t="s">
        <v>172</v>
      </c>
    </row>
    <row r="274" s="9" customFormat="1" ht="17" customHeight="1" spans="1:8">
      <c r="A274" s="10" t="s">
        <v>172</v>
      </c>
      <c r="B274" s="19" t="s">
        <v>1863</v>
      </c>
      <c r="C274" s="16" t="s">
        <v>1841</v>
      </c>
      <c r="D274" s="23">
        <v>1</v>
      </c>
      <c r="E274" s="24">
        <v>75675.675676</v>
      </c>
      <c r="F274" s="10" t="s">
        <v>172</v>
      </c>
      <c r="G274" s="10" t="s">
        <v>172</v>
      </c>
      <c r="H274" s="10" t="s">
        <v>172</v>
      </c>
    </row>
    <row r="275" s="9" customFormat="1" ht="26" customHeight="1" spans="1:8">
      <c r="A275" s="10" t="s">
        <v>172</v>
      </c>
      <c r="B275" s="19" t="s">
        <v>351</v>
      </c>
      <c r="C275" s="20" t="s">
        <v>804</v>
      </c>
      <c r="D275" s="21">
        <v>1</v>
      </c>
      <c r="E275" s="22">
        <v>184054.279279</v>
      </c>
      <c r="F275" s="10" t="s">
        <v>172</v>
      </c>
      <c r="G275" s="10" t="s">
        <v>172</v>
      </c>
      <c r="H275" s="10" t="s">
        <v>172</v>
      </c>
    </row>
    <row r="276" s="9" customFormat="1" ht="17" customHeight="1" spans="1:8">
      <c r="A276" s="10" t="s">
        <v>172</v>
      </c>
      <c r="B276" s="19" t="s">
        <v>351</v>
      </c>
      <c r="C276" s="16" t="s">
        <v>1841</v>
      </c>
      <c r="D276" s="23">
        <v>1</v>
      </c>
      <c r="E276" s="24">
        <v>184054.279279</v>
      </c>
      <c r="F276" s="10" t="s">
        <v>172</v>
      </c>
      <c r="G276" s="10" t="s">
        <v>172</v>
      </c>
      <c r="H276" s="10" t="s">
        <v>172</v>
      </c>
    </row>
    <row r="277" s="9" customFormat="1" ht="26" customHeight="1" spans="1:8">
      <c r="A277" s="10" t="s">
        <v>172</v>
      </c>
      <c r="B277" s="19" t="s">
        <v>1196</v>
      </c>
      <c r="C277" s="20" t="s">
        <v>1191</v>
      </c>
      <c r="D277" s="21">
        <v>16</v>
      </c>
      <c r="E277" s="22">
        <v>891280</v>
      </c>
      <c r="F277" s="10" t="s">
        <v>172</v>
      </c>
      <c r="G277" s="10" t="s">
        <v>172</v>
      </c>
      <c r="H277" s="10" t="s">
        <v>172</v>
      </c>
    </row>
    <row r="278" s="9" customFormat="1" ht="37" customHeight="1" spans="1:8">
      <c r="A278" s="10" t="s">
        <v>172</v>
      </c>
      <c r="B278" s="19" t="s">
        <v>1196</v>
      </c>
      <c r="C278" s="20" t="s">
        <v>182</v>
      </c>
      <c r="D278" s="21">
        <v>2</v>
      </c>
      <c r="E278" s="22">
        <v>182702.702702</v>
      </c>
      <c r="F278" s="10" t="s">
        <v>172</v>
      </c>
      <c r="G278" s="10" t="s">
        <v>172</v>
      </c>
      <c r="H278" s="10" t="s">
        <v>172</v>
      </c>
    </row>
    <row r="279" s="9" customFormat="1" ht="17" customHeight="1" spans="1:8">
      <c r="A279" s="10" t="s">
        <v>172</v>
      </c>
      <c r="B279" s="19" t="s">
        <v>1196</v>
      </c>
      <c r="C279" s="16" t="s">
        <v>1841</v>
      </c>
      <c r="D279" s="23">
        <v>18</v>
      </c>
      <c r="E279" s="24">
        <v>1073982.702702</v>
      </c>
      <c r="F279" s="10" t="s">
        <v>172</v>
      </c>
      <c r="G279" s="10" t="s">
        <v>172</v>
      </c>
      <c r="H279" s="10" t="s">
        <v>172</v>
      </c>
    </row>
    <row r="280" s="9" customFormat="1" ht="26" customHeight="1" spans="1:8">
      <c r="A280" s="10" t="s">
        <v>172</v>
      </c>
      <c r="B280" s="19" t="s">
        <v>1864</v>
      </c>
      <c r="C280" s="20" t="s">
        <v>1191</v>
      </c>
      <c r="D280" s="21">
        <v>10</v>
      </c>
      <c r="E280" s="22">
        <v>578500</v>
      </c>
      <c r="F280" s="10" t="s">
        <v>172</v>
      </c>
      <c r="G280" s="10" t="s">
        <v>172</v>
      </c>
      <c r="H280" s="10" t="s">
        <v>172</v>
      </c>
    </row>
    <row r="281" s="9" customFormat="1" ht="17" customHeight="1" spans="1:8">
      <c r="A281" s="10" t="s">
        <v>172</v>
      </c>
      <c r="B281" s="19" t="s">
        <v>1864</v>
      </c>
      <c r="C281" s="16" t="s">
        <v>1841</v>
      </c>
      <c r="D281" s="23">
        <v>10</v>
      </c>
      <c r="E281" s="24">
        <v>578500</v>
      </c>
      <c r="F281" s="10" t="s">
        <v>172</v>
      </c>
      <c r="G281" s="10" t="s">
        <v>172</v>
      </c>
      <c r="H281" s="10" t="s">
        <v>172</v>
      </c>
    </row>
    <row r="282" s="9" customFormat="1" ht="26" customHeight="1" spans="1:8">
      <c r="A282" s="10" t="s">
        <v>172</v>
      </c>
      <c r="B282" s="19" t="s">
        <v>407</v>
      </c>
      <c r="C282" s="20" t="s">
        <v>1191</v>
      </c>
      <c r="D282" s="21">
        <v>10</v>
      </c>
      <c r="E282" s="22">
        <v>718250</v>
      </c>
      <c r="F282" s="10" t="s">
        <v>172</v>
      </c>
      <c r="G282" s="10" t="s">
        <v>172</v>
      </c>
      <c r="H282" s="10" t="s">
        <v>172</v>
      </c>
    </row>
    <row r="283" s="9" customFormat="1" ht="37" customHeight="1" spans="1:8">
      <c r="A283" s="10" t="s">
        <v>172</v>
      </c>
      <c r="B283" s="19" t="s">
        <v>407</v>
      </c>
      <c r="C283" s="20" t="s">
        <v>182</v>
      </c>
      <c r="D283" s="21">
        <v>1</v>
      </c>
      <c r="E283" s="22">
        <v>78828.828829</v>
      </c>
      <c r="F283" s="10" t="s">
        <v>172</v>
      </c>
      <c r="G283" s="10" t="s">
        <v>172</v>
      </c>
      <c r="H283" s="10" t="s">
        <v>172</v>
      </c>
    </row>
    <row r="284" s="9" customFormat="1" ht="17" customHeight="1" spans="1:8">
      <c r="A284" s="10" t="s">
        <v>172</v>
      </c>
      <c r="B284" s="19" t="s">
        <v>407</v>
      </c>
      <c r="C284" s="16" t="s">
        <v>1841</v>
      </c>
      <c r="D284" s="23">
        <v>11</v>
      </c>
      <c r="E284" s="24">
        <v>797078.828829</v>
      </c>
      <c r="F284" s="10" t="s">
        <v>172</v>
      </c>
      <c r="G284" s="10" t="s">
        <v>172</v>
      </c>
      <c r="H284" s="10" t="s">
        <v>172</v>
      </c>
    </row>
    <row r="285" s="9" customFormat="1" ht="1" customHeight="1" spans="1:8">
      <c r="A285" s="10" t="s">
        <v>172</v>
      </c>
      <c r="B285" s="25"/>
      <c r="C285" s="25"/>
      <c r="D285" s="25"/>
      <c r="E285" s="25"/>
      <c r="F285" s="25"/>
      <c r="G285" s="25"/>
      <c r="H285" s="10" t="s">
        <v>172</v>
      </c>
    </row>
    <row r="286" s="9" customFormat="1" ht="13" customHeight="1" spans="1:8">
      <c r="A286" s="10" t="s">
        <v>172</v>
      </c>
      <c r="B286" s="26"/>
      <c r="C286" s="26"/>
      <c r="D286" s="26"/>
      <c r="E286" s="26"/>
      <c r="F286" s="26"/>
      <c r="G286" s="26"/>
      <c r="H286" s="10" t="s">
        <v>172</v>
      </c>
    </row>
    <row r="287" s="9" customFormat="1" ht="13" customHeight="1" spans="1:8">
      <c r="A287" s="10" t="s">
        <v>172</v>
      </c>
      <c r="B287" s="26"/>
      <c r="C287" s="26"/>
      <c r="D287" s="26"/>
      <c r="E287" s="26"/>
      <c r="F287" s="26"/>
      <c r="G287" s="26"/>
      <c r="H287" s="10" t="s">
        <v>172</v>
      </c>
    </row>
    <row r="288" s="9" customFormat="1" ht="13" customHeight="1" spans="1:8">
      <c r="A288" s="10" t="s">
        <v>172</v>
      </c>
      <c r="B288" s="26"/>
      <c r="C288" s="26"/>
      <c r="D288" s="26"/>
      <c r="E288" s="26"/>
      <c r="F288" s="26"/>
      <c r="G288" s="26"/>
      <c r="H288" s="10" t="s">
        <v>172</v>
      </c>
    </row>
    <row r="289" s="9" customFormat="1" ht="13" customHeight="1" spans="1:8">
      <c r="A289" s="10" t="s">
        <v>172</v>
      </c>
      <c r="B289" s="26"/>
      <c r="C289" s="26"/>
      <c r="D289" s="26"/>
      <c r="E289" s="26"/>
      <c r="F289" s="26"/>
      <c r="G289" s="27" t="s">
        <v>1847</v>
      </c>
      <c r="H289" s="10" t="s">
        <v>172</v>
      </c>
    </row>
    <row r="290" s="9" customFormat="1" ht="17" customHeight="1" spans="1:8">
      <c r="A290" s="10" t="s">
        <v>172</v>
      </c>
      <c r="B290" s="11"/>
      <c r="C290" s="11"/>
      <c r="D290" s="11"/>
      <c r="E290" s="11"/>
      <c r="F290" s="11"/>
      <c r="G290" s="11"/>
      <c r="H290" s="10" t="s">
        <v>172</v>
      </c>
    </row>
    <row r="291" s="9" customFormat="1" ht="23" customHeight="1" spans="1:8">
      <c r="A291" s="10" t="s">
        <v>172</v>
      </c>
      <c r="B291" s="12"/>
      <c r="C291" s="12"/>
      <c r="D291" s="12"/>
      <c r="E291" s="12"/>
      <c r="F291" s="12"/>
      <c r="G291" s="12"/>
      <c r="H291" s="10" t="s">
        <v>172</v>
      </c>
    </row>
    <row r="292" s="9" customFormat="1" ht="16" customHeight="1" spans="1:8">
      <c r="A292" s="10" t="s">
        <v>172</v>
      </c>
      <c r="B292" s="13"/>
      <c r="C292" s="13"/>
      <c r="D292" s="13"/>
      <c r="E292" s="13"/>
      <c r="F292" s="13"/>
      <c r="G292" s="13"/>
      <c r="H292" s="10" t="s">
        <v>172</v>
      </c>
    </row>
    <row r="293" s="9" customFormat="1" ht="12" customHeight="1" spans="1:8">
      <c r="A293" s="10" t="s">
        <v>172</v>
      </c>
      <c r="B293" s="14"/>
      <c r="C293" s="14"/>
      <c r="D293" s="14"/>
      <c r="E293" s="14"/>
      <c r="F293" s="14"/>
      <c r="G293" s="14"/>
      <c r="H293" s="10" t="s">
        <v>172</v>
      </c>
    </row>
    <row r="294" s="9" customFormat="1" ht="17" customHeight="1" spans="1:8">
      <c r="A294" s="10" t="s">
        <v>172</v>
      </c>
      <c r="B294" s="15" t="s">
        <v>1836</v>
      </c>
      <c r="C294" s="16" t="s">
        <v>1837</v>
      </c>
      <c r="D294" s="17" t="s">
        <v>1838</v>
      </c>
      <c r="E294" s="18" t="s">
        <v>1839</v>
      </c>
      <c r="F294" s="10" t="s">
        <v>172</v>
      </c>
      <c r="G294" s="10" t="s">
        <v>172</v>
      </c>
      <c r="H294" s="10" t="s">
        <v>172</v>
      </c>
    </row>
    <row r="295" s="9" customFormat="1" ht="26" customHeight="1" spans="1:8">
      <c r="A295" s="10" t="s">
        <v>172</v>
      </c>
      <c r="B295" s="19" t="s">
        <v>1865</v>
      </c>
      <c r="C295" s="20" t="s">
        <v>1191</v>
      </c>
      <c r="D295" s="21">
        <v>6</v>
      </c>
      <c r="E295" s="22">
        <v>65520</v>
      </c>
      <c r="F295" s="10" t="s">
        <v>172</v>
      </c>
      <c r="G295" s="10" t="s">
        <v>172</v>
      </c>
      <c r="H295" s="10" t="s">
        <v>172</v>
      </c>
    </row>
    <row r="296" s="9" customFormat="1" ht="17" customHeight="1" spans="1:8">
      <c r="A296" s="10" t="s">
        <v>172</v>
      </c>
      <c r="B296" s="19" t="s">
        <v>1865</v>
      </c>
      <c r="C296" s="16" t="s">
        <v>1841</v>
      </c>
      <c r="D296" s="23">
        <v>6</v>
      </c>
      <c r="E296" s="24">
        <v>65520</v>
      </c>
      <c r="F296" s="10" t="s">
        <v>172</v>
      </c>
      <c r="G296" s="10" t="s">
        <v>172</v>
      </c>
      <c r="H296" s="10" t="s">
        <v>172</v>
      </c>
    </row>
    <row r="297" s="9" customFormat="1" ht="26" customHeight="1" spans="1:8">
      <c r="A297" s="10" t="s">
        <v>172</v>
      </c>
      <c r="B297" s="19" t="s">
        <v>1197</v>
      </c>
      <c r="C297" s="20" t="s">
        <v>1191</v>
      </c>
      <c r="D297" s="21">
        <v>10</v>
      </c>
      <c r="E297" s="22">
        <v>187200</v>
      </c>
      <c r="F297" s="10" t="s">
        <v>172</v>
      </c>
      <c r="G297" s="10" t="s">
        <v>172</v>
      </c>
      <c r="H297" s="10" t="s">
        <v>172</v>
      </c>
    </row>
    <row r="298" s="9" customFormat="1" ht="37" customHeight="1" spans="1:8">
      <c r="A298" s="10" t="s">
        <v>172</v>
      </c>
      <c r="B298" s="19" t="s">
        <v>1197</v>
      </c>
      <c r="C298" s="20" t="s">
        <v>182</v>
      </c>
      <c r="D298" s="21">
        <v>1</v>
      </c>
      <c r="E298" s="22">
        <v>29639.63964</v>
      </c>
      <c r="F298" s="10" t="s">
        <v>172</v>
      </c>
      <c r="G298" s="10" t="s">
        <v>172</v>
      </c>
      <c r="H298" s="10" t="s">
        <v>172</v>
      </c>
    </row>
    <row r="299" s="9" customFormat="1" ht="26" customHeight="1" spans="1:8">
      <c r="A299" s="10" t="s">
        <v>172</v>
      </c>
      <c r="B299" s="19" t="s">
        <v>1197</v>
      </c>
      <c r="C299" s="20" t="s">
        <v>804</v>
      </c>
      <c r="D299" s="21">
        <v>1</v>
      </c>
      <c r="E299" s="22">
        <v>29639.63964</v>
      </c>
      <c r="F299" s="10" t="s">
        <v>172</v>
      </c>
      <c r="G299" s="10" t="s">
        <v>172</v>
      </c>
      <c r="H299" s="10" t="s">
        <v>172</v>
      </c>
    </row>
    <row r="300" s="9" customFormat="1" ht="17" customHeight="1" spans="1:8">
      <c r="A300" s="10" t="s">
        <v>172</v>
      </c>
      <c r="B300" s="19" t="s">
        <v>1197</v>
      </c>
      <c r="C300" s="16" t="s">
        <v>1841</v>
      </c>
      <c r="D300" s="23">
        <v>12</v>
      </c>
      <c r="E300" s="24">
        <v>246479.27928</v>
      </c>
      <c r="F300" s="10" t="s">
        <v>172</v>
      </c>
      <c r="G300" s="10" t="s">
        <v>172</v>
      </c>
      <c r="H300" s="10" t="s">
        <v>172</v>
      </c>
    </row>
    <row r="301" s="9" customFormat="1" ht="26" customHeight="1" spans="1:8">
      <c r="A301" s="10" t="s">
        <v>172</v>
      </c>
      <c r="B301" s="19" t="s">
        <v>1689</v>
      </c>
      <c r="C301" s="20" t="s">
        <v>1191</v>
      </c>
      <c r="D301" s="21">
        <v>10</v>
      </c>
      <c r="E301" s="22">
        <v>260000</v>
      </c>
      <c r="F301" s="10" t="s">
        <v>172</v>
      </c>
      <c r="G301" s="10" t="s">
        <v>172</v>
      </c>
      <c r="H301" s="10" t="s">
        <v>172</v>
      </c>
    </row>
    <row r="302" s="9" customFormat="1" ht="17" customHeight="1" spans="1:8">
      <c r="A302" s="10" t="s">
        <v>172</v>
      </c>
      <c r="B302" s="19" t="s">
        <v>1689</v>
      </c>
      <c r="C302" s="16" t="s">
        <v>1841</v>
      </c>
      <c r="D302" s="23">
        <v>10</v>
      </c>
      <c r="E302" s="24">
        <v>260000</v>
      </c>
      <c r="F302" s="10" t="s">
        <v>172</v>
      </c>
      <c r="G302" s="10" t="s">
        <v>172</v>
      </c>
      <c r="H302" s="10" t="s">
        <v>172</v>
      </c>
    </row>
    <row r="303" s="9" customFormat="1" ht="26" customHeight="1" spans="1:8">
      <c r="A303" s="10" t="s">
        <v>172</v>
      </c>
      <c r="B303" s="19" t="s">
        <v>817</v>
      </c>
      <c r="C303" s="20" t="s">
        <v>804</v>
      </c>
      <c r="D303" s="21">
        <v>1</v>
      </c>
      <c r="E303" s="22">
        <v>350450.081081</v>
      </c>
      <c r="F303" s="10" t="s">
        <v>172</v>
      </c>
      <c r="G303" s="10" t="s">
        <v>172</v>
      </c>
      <c r="H303" s="10" t="s">
        <v>172</v>
      </c>
    </row>
    <row r="304" s="9" customFormat="1" ht="17" customHeight="1" spans="1:8">
      <c r="A304" s="10" t="s">
        <v>172</v>
      </c>
      <c r="B304" s="19" t="s">
        <v>817</v>
      </c>
      <c r="C304" s="16" t="s">
        <v>1841</v>
      </c>
      <c r="D304" s="23">
        <v>1</v>
      </c>
      <c r="E304" s="24">
        <v>350450.081081</v>
      </c>
      <c r="F304" s="10" t="s">
        <v>172</v>
      </c>
      <c r="G304" s="10" t="s">
        <v>172</v>
      </c>
      <c r="H304" s="10" t="s">
        <v>172</v>
      </c>
    </row>
    <row r="305" s="9" customFormat="1" ht="26" customHeight="1" spans="1:8">
      <c r="A305" s="10" t="s">
        <v>172</v>
      </c>
      <c r="B305" s="19" t="s">
        <v>1866</v>
      </c>
      <c r="C305" s="20" t="s">
        <v>1191</v>
      </c>
      <c r="D305" s="21">
        <v>19</v>
      </c>
      <c r="E305" s="22">
        <v>1074450</v>
      </c>
      <c r="F305" s="10" t="s">
        <v>172</v>
      </c>
      <c r="G305" s="10" t="s">
        <v>172</v>
      </c>
      <c r="H305" s="10" t="s">
        <v>172</v>
      </c>
    </row>
    <row r="306" s="9" customFormat="1" ht="37" customHeight="1" spans="1:8">
      <c r="A306" s="10" t="s">
        <v>172</v>
      </c>
      <c r="B306" s="19" t="s">
        <v>1866</v>
      </c>
      <c r="C306" s="20" t="s">
        <v>182</v>
      </c>
      <c r="D306" s="21">
        <v>1</v>
      </c>
      <c r="E306" s="22">
        <v>89730</v>
      </c>
      <c r="F306" s="10" t="s">
        <v>172</v>
      </c>
      <c r="G306" s="10" t="s">
        <v>172</v>
      </c>
      <c r="H306" s="10" t="s">
        <v>172</v>
      </c>
    </row>
    <row r="307" s="9" customFormat="1" ht="17" customHeight="1" spans="1:8">
      <c r="A307" s="10" t="s">
        <v>172</v>
      </c>
      <c r="B307" s="19" t="s">
        <v>1866</v>
      </c>
      <c r="C307" s="16" t="s">
        <v>1841</v>
      </c>
      <c r="D307" s="23">
        <v>20</v>
      </c>
      <c r="E307" s="24">
        <v>1164180</v>
      </c>
      <c r="F307" s="10" t="s">
        <v>172</v>
      </c>
      <c r="G307" s="10" t="s">
        <v>172</v>
      </c>
      <c r="H307" s="10" t="s">
        <v>172</v>
      </c>
    </row>
    <row r="308" s="9" customFormat="1" ht="37" customHeight="1" spans="1:8">
      <c r="A308" s="10" t="s">
        <v>172</v>
      </c>
      <c r="B308" s="20" t="s">
        <v>408</v>
      </c>
      <c r="C308" s="20" t="s">
        <v>182</v>
      </c>
      <c r="D308" s="21">
        <v>4</v>
      </c>
      <c r="E308" s="22">
        <v>33324.324324</v>
      </c>
      <c r="F308" s="10" t="s">
        <v>172</v>
      </c>
      <c r="G308" s="10" t="s">
        <v>172</v>
      </c>
      <c r="H308" s="10" t="s">
        <v>172</v>
      </c>
    </row>
    <row r="309" s="9" customFormat="1" ht="1" customHeight="1" spans="1:8">
      <c r="A309" s="10" t="s">
        <v>172</v>
      </c>
      <c r="B309" s="25"/>
      <c r="C309" s="25"/>
      <c r="D309" s="25"/>
      <c r="E309" s="25"/>
      <c r="F309" s="25"/>
      <c r="G309" s="25"/>
      <c r="H309" s="10" t="s">
        <v>172</v>
      </c>
    </row>
    <row r="310" s="9" customFormat="1" ht="13" customHeight="1" spans="1:8">
      <c r="A310" s="10" t="s">
        <v>172</v>
      </c>
      <c r="B310" s="26"/>
      <c r="C310" s="26"/>
      <c r="D310" s="26"/>
      <c r="E310" s="26"/>
      <c r="F310" s="26"/>
      <c r="G310" s="26"/>
      <c r="H310" s="10" t="s">
        <v>172</v>
      </c>
    </row>
    <row r="311" s="9" customFormat="1" ht="13" customHeight="1" spans="1:8">
      <c r="A311" s="10" t="s">
        <v>172</v>
      </c>
      <c r="B311" s="26"/>
      <c r="C311" s="26"/>
      <c r="D311" s="26"/>
      <c r="E311" s="26"/>
      <c r="F311" s="26"/>
      <c r="G311" s="26"/>
      <c r="H311" s="10" t="s">
        <v>172</v>
      </c>
    </row>
    <row r="312" s="9" customFormat="1" ht="13" customHeight="1" spans="1:8">
      <c r="A312" s="10" t="s">
        <v>172</v>
      </c>
      <c r="B312" s="26"/>
      <c r="C312" s="26"/>
      <c r="D312" s="26"/>
      <c r="E312" s="26"/>
      <c r="F312" s="26"/>
      <c r="G312" s="26"/>
      <c r="H312" s="10" t="s">
        <v>172</v>
      </c>
    </row>
    <row r="313" s="9" customFormat="1" ht="13" customHeight="1" spans="1:8">
      <c r="A313" s="10" t="s">
        <v>172</v>
      </c>
      <c r="B313" s="26"/>
      <c r="C313" s="26"/>
      <c r="D313" s="26"/>
      <c r="E313" s="26"/>
      <c r="F313" s="26"/>
      <c r="G313" s="27" t="s">
        <v>1847</v>
      </c>
      <c r="H313" s="10" t="s">
        <v>172</v>
      </c>
    </row>
    <row r="314" s="9" customFormat="1" ht="17" customHeight="1" spans="1:8">
      <c r="A314" s="10" t="s">
        <v>172</v>
      </c>
      <c r="B314" s="11"/>
      <c r="C314" s="11"/>
      <c r="D314" s="11"/>
      <c r="E314" s="11"/>
      <c r="F314" s="11"/>
      <c r="G314" s="11"/>
      <c r="H314" s="10" t="s">
        <v>172</v>
      </c>
    </row>
    <row r="315" s="9" customFormat="1" ht="23" customHeight="1" spans="1:8">
      <c r="A315" s="10" t="s">
        <v>172</v>
      </c>
      <c r="B315" s="12"/>
      <c r="C315" s="12"/>
      <c r="D315" s="12"/>
      <c r="E315" s="12"/>
      <c r="F315" s="12"/>
      <c r="G315" s="12"/>
      <c r="H315" s="10" t="s">
        <v>172</v>
      </c>
    </row>
    <row r="316" s="9" customFormat="1" ht="16" customHeight="1" spans="1:8">
      <c r="A316" s="10" t="s">
        <v>172</v>
      </c>
      <c r="B316" s="13"/>
      <c r="C316" s="13"/>
      <c r="D316" s="13"/>
      <c r="E316" s="13"/>
      <c r="F316" s="13"/>
      <c r="G316" s="13"/>
      <c r="H316" s="10" t="s">
        <v>172</v>
      </c>
    </row>
    <row r="317" s="9" customFormat="1" ht="12" customHeight="1" spans="1:8">
      <c r="A317" s="10" t="s">
        <v>172</v>
      </c>
      <c r="B317" s="14"/>
      <c r="C317" s="14"/>
      <c r="D317" s="14"/>
      <c r="E317" s="14"/>
      <c r="F317" s="14"/>
      <c r="G317" s="14"/>
      <c r="H317" s="10" t="s">
        <v>172</v>
      </c>
    </row>
    <row r="318" s="9" customFormat="1" ht="17" customHeight="1" spans="1:8">
      <c r="A318" s="10" t="s">
        <v>172</v>
      </c>
      <c r="B318" s="15" t="s">
        <v>1836</v>
      </c>
      <c r="C318" s="16" t="s">
        <v>1837</v>
      </c>
      <c r="D318" s="17" t="s">
        <v>1838</v>
      </c>
      <c r="E318" s="18" t="s">
        <v>1839</v>
      </c>
      <c r="F318" s="10" t="s">
        <v>172</v>
      </c>
      <c r="G318" s="10" t="s">
        <v>172</v>
      </c>
      <c r="H318" s="10" t="s">
        <v>172</v>
      </c>
    </row>
    <row r="319" s="9" customFormat="1" ht="26" customHeight="1" spans="1:8">
      <c r="A319" s="10" t="s">
        <v>172</v>
      </c>
      <c r="B319" s="19" t="s">
        <v>408</v>
      </c>
      <c r="C319" s="20" t="s">
        <v>804</v>
      </c>
      <c r="D319" s="21">
        <v>6</v>
      </c>
      <c r="E319" s="22">
        <v>32545.084802</v>
      </c>
      <c r="F319" s="10" t="s">
        <v>172</v>
      </c>
      <c r="G319" s="10" t="s">
        <v>172</v>
      </c>
      <c r="H319" s="10" t="s">
        <v>172</v>
      </c>
    </row>
    <row r="320" s="9" customFormat="1" ht="17" customHeight="1" spans="1:8">
      <c r="A320" s="10" t="s">
        <v>172</v>
      </c>
      <c r="B320" s="19" t="s">
        <v>408</v>
      </c>
      <c r="C320" s="16" t="s">
        <v>1841</v>
      </c>
      <c r="D320" s="23">
        <v>10</v>
      </c>
      <c r="E320" s="24">
        <v>65869.409126</v>
      </c>
      <c r="F320" s="10" t="s">
        <v>172</v>
      </c>
      <c r="G320" s="10" t="s">
        <v>172</v>
      </c>
      <c r="H320" s="10" t="s">
        <v>172</v>
      </c>
    </row>
    <row r="321" s="9" customFormat="1" ht="26" customHeight="1" spans="1:8">
      <c r="A321" s="10" t="s">
        <v>172</v>
      </c>
      <c r="B321" s="19" t="s">
        <v>1464</v>
      </c>
      <c r="C321" s="20" t="s">
        <v>1191</v>
      </c>
      <c r="D321" s="21">
        <v>10</v>
      </c>
      <c r="E321" s="22">
        <v>53300</v>
      </c>
      <c r="F321" s="10" t="s">
        <v>172</v>
      </c>
      <c r="G321" s="10" t="s">
        <v>172</v>
      </c>
      <c r="H321" s="10" t="s">
        <v>172</v>
      </c>
    </row>
    <row r="322" s="9" customFormat="1" ht="17" customHeight="1" spans="1:8">
      <c r="A322" s="10" t="s">
        <v>172</v>
      </c>
      <c r="B322" s="19" t="s">
        <v>1464</v>
      </c>
      <c r="C322" s="16" t="s">
        <v>1841</v>
      </c>
      <c r="D322" s="23">
        <v>10</v>
      </c>
      <c r="E322" s="24">
        <v>53300</v>
      </c>
      <c r="F322" s="10" t="s">
        <v>172</v>
      </c>
      <c r="G322" s="10" t="s">
        <v>172</v>
      </c>
      <c r="H322" s="10" t="s">
        <v>172</v>
      </c>
    </row>
    <row r="323" s="9" customFormat="1" ht="37" customHeight="1" spans="1:8">
      <c r="A323" s="10" t="s">
        <v>172</v>
      </c>
      <c r="B323" s="19" t="s">
        <v>818</v>
      </c>
      <c r="C323" s="20" t="s">
        <v>182</v>
      </c>
      <c r="D323" s="21">
        <v>1</v>
      </c>
      <c r="E323" s="22">
        <v>8783.783784</v>
      </c>
      <c r="F323" s="10" t="s">
        <v>172</v>
      </c>
      <c r="G323" s="10" t="s">
        <v>172</v>
      </c>
      <c r="H323" s="10" t="s">
        <v>172</v>
      </c>
    </row>
    <row r="324" s="9" customFormat="1" ht="17" customHeight="1" spans="1:8">
      <c r="A324" s="10" t="s">
        <v>172</v>
      </c>
      <c r="B324" s="19" t="s">
        <v>818</v>
      </c>
      <c r="C324" s="16" t="s">
        <v>1841</v>
      </c>
      <c r="D324" s="23">
        <v>1</v>
      </c>
      <c r="E324" s="24">
        <v>8783.783784</v>
      </c>
      <c r="F324" s="10" t="s">
        <v>172</v>
      </c>
      <c r="G324" s="10" t="s">
        <v>172</v>
      </c>
      <c r="H324" s="10" t="s">
        <v>172</v>
      </c>
    </row>
    <row r="325" s="9" customFormat="1" ht="37" customHeight="1" spans="1:8">
      <c r="A325" s="10" t="s">
        <v>172</v>
      </c>
      <c r="B325" s="19" t="s">
        <v>409</v>
      </c>
      <c r="C325" s="20" t="s">
        <v>182</v>
      </c>
      <c r="D325" s="21">
        <v>2</v>
      </c>
      <c r="E325" s="22">
        <v>11351.351352</v>
      </c>
      <c r="F325" s="10" t="s">
        <v>172</v>
      </c>
      <c r="G325" s="10" t="s">
        <v>172</v>
      </c>
      <c r="H325" s="10" t="s">
        <v>172</v>
      </c>
    </row>
    <row r="326" s="9" customFormat="1" ht="26" customHeight="1" spans="1:8">
      <c r="A326" s="10" t="s">
        <v>172</v>
      </c>
      <c r="B326" s="19" t="s">
        <v>409</v>
      </c>
      <c r="C326" s="20" t="s">
        <v>804</v>
      </c>
      <c r="D326" s="21">
        <v>1</v>
      </c>
      <c r="E326" s="22">
        <v>5675.675676</v>
      </c>
      <c r="F326" s="10" t="s">
        <v>172</v>
      </c>
      <c r="G326" s="10" t="s">
        <v>172</v>
      </c>
      <c r="H326" s="10" t="s">
        <v>172</v>
      </c>
    </row>
    <row r="327" s="9" customFormat="1" ht="17" customHeight="1" spans="1:8">
      <c r="A327" s="10" t="s">
        <v>172</v>
      </c>
      <c r="B327" s="19" t="s">
        <v>409</v>
      </c>
      <c r="C327" s="16" t="s">
        <v>1841</v>
      </c>
      <c r="D327" s="23">
        <v>3</v>
      </c>
      <c r="E327" s="24">
        <v>17027.027028</v>
      </c>
      <c r="F327" s="10" t="s">
        <v>172</v>
      </c>
      <c r="G327" s="10" t="s">
        <v>172</v>
      </c>
      <c r="H327" s="10" t="s">
        <v>172</v>
      </c>
    </row>
    <row r="328" s="9" customFormat="1" ht="37" customHeight="1" spans="1:8">
      <c r="A328" s="10" t="s">
        <v>172</v>
      </c>
      <c r="B328" s="19" t="s">
        <v>1199</v>
      </c>
      <c r="C328" s="20" t="s">
        <v>182</v>
      </c>
      <c r="D328" s="21">
        <v>8</v>
      </c>
      <c r="E328" s="22">
        <v>200000</v>
      </c>
      <c r="F328" s="10" t="s">
        <v>172</v>
      </c>
      <c r="G328" s="10" t="s">
        <v>172</v>
      </c>
      <c r="H328" s="10" t="s">
        <v>172</v>
      </c>
    </row>
    <row r="329" s="9" customFormat="1" ht="26" customHeight="1" spans="1:8">
      <c r="A329" s="10" t="s">
        <v>172</v>
      </c>
      <c r="B329" s="19" t="s">
        <v>1199</v>
      </c>
      <c r="C329" s="20" t="s">
        <v>804</v>
      </c>
      <c r="D329" s="21">
        <v>3</v>
      </c>
      <c r="E329" s="22">
        <v>75000</v>
      </c>
      <c r="F329" s="10" t="s">
        <v>172</v>
      </c>
      <c r="G329" s="10" t="s">
        <v>172</v>
      </c>
      <c r="H329" s="10" t="s">
        <v>172</v>
      </c>
    </row>
    <row r="330" s="9" customFormat="1" ht="17" customHeight="1" spans="1:8">
      <c r="A330" s="10" t="s">
        <v>172</v>
      </c>
      <c r="B330" s="19" t="s">
        <v>1199</v>
      </c>
      <c r="C330" s="16" t="s">
        <v>1841</v>
      </c>
      <c r="D330" s="23">
        <v>11</v>
      </c>
      <c r="E330" s="24">
        <v>275000</v>
      </c>
      <c r="F330" s="10" t="s">
        <v>172</v>
      </c>
      <c r="G330" s="10" t="s">
        <v>172</v>
      </c>
      <c r="H330" s="10" t="s">
        <v>172</v>
      </c>
    </row>
    <row r="331" s="9" customFormat="1" ht="37" customHeight="1" spans="1:8">
      <c r="A331" s="10" t="s">
        <v>172</v>
      </c>
      <c r="B331" s="20" t="s">
        <v>354</v>
      </c>
      <c r="C331" s="20" t="s">
        <v>182</v>
      </c>
      <c r="D331" s="21">
        <v>8</v>
      </c>
      <c r="E331" s="22">
        <v>36166.216215</v>
      </c>
      <c r="F331" s="10" t="s">
        <v>172</v>
      </c>
      <c r="G331" s="10" t="s">
        <v>172</v>
      </c>
      <c r="H331" s="10" t="s">
        <v>172</v>
      </c>
    </row>
    <row r="332" s="9" customFormat="1" ht="1" customHeight="1" spans="1:8">
      <c r="A332" s="10" t="s">
        <v>172</v>
      </c>
      <c r="B332" s="25"/>
      <c r="C332" s="25"/>
      <c r="D332" s="25"/>
      <c r="E332" s="25"/>
      <c r="F332" s="25"/>
      <c r="G332" s="25"/>
      <c r="H332" s="10" t="s">
        <v>172</v>
      </c>
    </row>
    <row r="333" s="9" customFormat="1" ht="13" customHeight="1" spans="1:8">
      <c r="A333" s="10" t="s">
        <v>172</v>
      </c>
      <c r="B333" s="26"/>
      <c r="C333" s="26"/>
      <c r="D333" s="26"/>
      <c r="E333" s="26"/>
      <c r="F333" s="26"/>
      <c r="G333" s="26"/>
      <c r="H333" s="10" t="s">
        <v>172</v>
      </c>
    </row>
    <row r="334" s="9" customFormat="1" ht="13" customHeight="1" spans="1:8">
      <c r="A334" s="10" t="s">
        <v>172</v>
      </c>
      <c r="B334" s="26"/>
      <c r="C334" s="26"/>
      <c r="D334" s="26"/>
      <c r="E334" s="26"/>
      <c r="F334" s="26"/>
      <c r="G334" s="26"/>
      <c r="H334" s="10" t="s">
        <v>172</v>
      </c>
    </row>
    <row r="335" s="9" customFormat="1" ht="13" customHeight="1" spans="1:8">
      <c r="A335" s="10" t="s">
        <v>172</v>
      </c>
      <c r="B335" s="26"/>
      <c r="C335" s="26"/>
      <c r="D335" s="26"/>
      <c r="E335" s="26"/>
      <c r="F335" s="26"/>
      <c r="G335" s="26"/>
      <c r="H335" s="10" t="s">
        <v>172</v>
      </c>
    </row>
    <row r="336" s="9" customFormat="1" ht="13" customHeight="1" spans="1:8">
      <c r="A336" s="10" t="s">
        <v>172</v>
      </c>
      <c r="B336" s="26"/>
      <c r="C336" s="26"/>
      <c r="D336" s="26"/>
      <c r="E336" s="26"/>
      <c r="F336" s="26"/>
      <c r="G336" s="27" t="s">
        <v>1847</v>
      </c>
      <c r="H336" s="10" t="s">
        <v>172</v>
      </c>
    </row>
    <row r="337" s="9" customFormat="1" ht="17" customHeight="1" spans="1:8">
      <c r="A337" s="10" t="s">
        <v>172</v>
      </c>
      <c r="B337" s="11"/>
      <c r="C337" s="11"/>
      <c r="D337" s="11"/>
      <c r="E337" s="11"/>
      <c r="F337" s="11"/>
      <c r="G337" s="11"/>
      <c r="H337" s="10" t="s">
        <v>172</v>
      </c>
    </row>
    <row r="338" s="9" customFormat="1" ht="23" customHeight="1" spans="1:8">
      <c r="A338" s="10" t="s">
        <v>172</v>
      </c>
      <c r="B338" s="12"/>
      <c r="C338" s="12"/>
      <c r="D338" s="12"/>
      <c r="E338" s="12"/>
      <c r="F338" s="12"/>
      <c r="G338" s="12"/>
      <c r="H338" s="10" t="s">
        <v>172</v>
      </c>
    </row>
    <row r="339" s="9" customFormat="1" ht="16" customHeight="1" spans="1:8">
      <c r="A339" s="10" t="s">
        <v>172</v>
      </c>
      <c r="B339" s="13"/>
      <c r="C339" s="13"/>
      <c r="D339" s="13"/>
      <c r="E339" s="13"/>
      <c r="F339" s="13"/>
      <c r="G339" s="13"/>
      <c r="H339" s="10" t="s">
        <v>172</v>
      </c>
    </row>
    <row r="340" s="9" customFormat="1" ht="12" customHeight="1" spans="1:8">
      <c r="A340" s="10" t="s">
        <v>172</v>
      </c>
      <c r="B340" s="14"/>
      <c r="C340" s="14"/>
      <c r="D340" s="14"/>
      <c r="E340" s="14"/>
      <c r="F340" s="14"/>
      <c r="G340" s="14"/>
      <c r="H340" s="10" t="s">
        <v>172</v>
      </c>
    </row>
    <row r="341" s="9" customFormat="1" ht="17" customHeight="1" spans="1:8">
      <c r="A341" s="10" t="s">
        <v>172</v>
      </c>
      <c r="B341" s="15" t="s">
        <v>1836</v>
      </c>
      <c r="C341" s="16" t="s">
        <v>1837</v>
      </c>
      <c r="D341" s="17" t="s">
        <v>1838</v>
      </c>
      <c r="E341" s="18" t="s">
        <v>1839</v>
      </c>
      <c r="F341" s="10" t="s">
        <v>172</v>
      </c>
      <c r="G341" s="10" t="s">
        <v>172</v>
      </c>
      <c r="H341" s="10" t="s">
        <v>172</v>
      </c>
    </row>
    <row r="342" s="9" customFormat="1" ht="26" customHeight="1" spans="1:8">
      <c r="A342" s="10" t="s">
        <v>172</v>
      </c>
      <c r="B342" s="19" t="s">
        <v>354</v>
      </c>
      <c r="C342" s="20" t="s">
        <v>804</v>
      </c>
      <c r="D342" s="21">
        <v>11</v>
      </c>
      <c r="E342" s="22">
        <v>49054.054054</v>
      </c>
      <c r="F342" s="10" t="s">
        <v>172</v>
      </c>
      <c r="G342" s="10" t="s">
        <v>172</v>
      </c>
      <c r="H342" s="10" t="s">
        <v>172</v>
      </c>
    </row>
    <row r="343" s="9" customFormat="1" ht="17" customHeight="1" spans="1:8">
      <c r="A343" s="10" t="s">
        <v>172</v>
      </c>
      <c r="B343" s="19" t="s">
        <v>354</v>
      </c>
      <c r="C343" s="16" t="s">
        <v>1841</v>
      </c>
      <c r="D343" s="23">
        <v>19</v>
      </c>
      <c r="E343" s="24">
        <v>85220.270269</v>
      </c>
      <c r="F343" s="10" t="s">
        <v>172</v>
      </c>
      <c r="G343" s="10" t="s">
        <v>172</v>
      </c>
      <c r="H343" s="10" t="s">
        <v>172</v>
      </c>
    </row>
    <row r="344" s="9" customFormat="1" ht="26" customHeight="1" spans="1:8">
      <c r="A344" s="10" t="s">
        <v>172</v>
      </c>
      <c r="B344" s="19" t="s">
        <v>194</v>
      </c>
      <c r="C344" s="20" t="s">
        <v>1191</v>
      </c>
      <c r="D344" s="21">
        <v>5</v>
      </c>
      <c r="E344" s="22">
        <v>139750</v>
      </c>
      <c r="F344" s="10" t="s">
        <v>172</v>
      </c>
      <c r="G344" s="10" t="s">
        <v>172</v>
      </c>
      <c r="H344" s="10" t="s">
        <v>172</v>
      </c>
    </row>
    <row r="345" s="9" customFormat="1" ht="37" customHeight="1" spans="1:8">
      <c r="A345" s="10" t="s">
        <v>172</v>
      </c>
      <c r="B345" s="19" t="s">
        <v>194</v>
      </c>
      <c r="C345" s="20" t="s">
        <v>182</v>
      </c>
      <c r="D345" s="21">
        <v>49</v>
      </c>
      <c r="E345" s="22">
        <v>0</v>
      </c>
      <c r="F345" s="10" t="s">
        <v>172</v>
      </c>
      <c r="G345" s="10" t="s">
        <v>172</v>
      </c>
      <c r="H345" s="10" t="s">
        <v>172</v>
      </c>
    </row>
    <row r="346" s="9" customFormat="1" ht="26" customHeight="1" spans="1:8">
      <c r="A346" s="10" t="s">
        <v>172</v>
      </c>
      <c r="B346" s="19" t="s">
        <v>194</v>
      </c>
      <c r="C346" s="20" t="s">
        <v>804</v>
      </c>
      <c r="D346" s="21">
        <v>28</v>
      </c>
      <c r="E346" s="22">
        <v>0</v>
      </c>
      <c r="F346" s="10" t="s">
        <v>172</v>
      </c>
      <c r="G346" s="10" t="s">
        <v>172</v>
      </c>
      <c r="H346" s="10" t="s">
        <v>172</v>
      </c>
    </row>
    <row r="347" s="9" customFormat="1" ht="17" customHeight="1" spans="1:8">
      <c r="A347" s="10" t="s">
        <v>172</v>
      </c>
      <c r="B347" s="19" t="s">
        <v>194</v>
      </c>
      <c r="C347" s="16" t="s">
        <v>1841</v>
      </c>
      <c r="D347" s="23">
        <v>82</v>
      </c>
      <c r="E347" s="24">
        <v>139750</v>
      </c>
      <c r="F347" s="10" t="s">
        <v>172</v>
      </c>
      <c r="G347" s="10" t="s">
        <v>172</v>
      </c>
      <c r="H347" s="10" t="s">
        <v>172</v>
      </c>
    </row>
    <row r="348" s="9" customFormat="1" ht="26" customHeight="1" spans="1:8">
      <c r="A348" s="10" t="s">
        <v>172</v>
      </c>
      <c r="B348" s="19" t="s">
        <v>1867</v>
      </c>
      <c r="C348" s="20" t="s">
        <v>804</v>
      </c>
      <c r="D348" s="21">
        <v>1</v>
      </c>
      <c r="E348" s="22">
        <v>0</v>
      </c>
      <c r="F348" s="10" t="s">
        <v>172</v>
      </c>
      <c r="G348" s="10" t="s">
        <v>172</v>
      </c>
      <c r="H348" s="10" t="s">
        <v>172</v>
      </c>
    </row>
    <row r="349" s="9" customFormat="1" ht="17" customHeight="1" spans="1:8">
      <c r="A349" s="10" t="s">
        <v>172</v>
      </c>
      <c r="B349" s="19" t="s">
        <v>1867</v>
      </c>
      <c r="C349" s="16" t="s">
        <v>1841</v>
      </c>
      <c r="D349" s="23">
        <v>1</v>
      </c>
      <c r="E349" s="24">
        <v>0</v>
      </c>
      <c r="F349" s="10" t="s">
        <v>172</v>
      </c>
      <c r="G349" s="10" t="s">
        <v>172</v>
      </c>
      <c r="H349" s="10" t="s">
        <v>172</v>
      </c>
    </row>
    <row r="350" s="9" customFormat="1" ht="26" customHeight="1" spans="1:8">
      <c r="A350" s="10" t="s">
        <v>172</v>
      </c>
      <c r="B350" s="19" t="s">
        <v>195</v>
      </c>
      <c r="C350" s="20" t="s">
        <v>1191</v>
      </c>
      <c r="D350" s="21">
        <v>1</v>
      </c>
      <c r="E350" s="22">
        <v>26520</v>
      </c>
      <c r="F350" s="10" t="s">
        <v>172</v>
      </c>
      <c r="G350" s="10" t="s">
        <v>172</v>
      </c>
      <c r="H350" s="10" t="s">
        <v>172</v>
      </c>
    </row>
    <row r="351" s="9" customFormat="1" ht="37" customHeight="1" spans="1:8">
      <c r="A351" s="10" t="s">
        <v>172</v>
      </c>
      <c r="B351" s="19" t="s">
        <v>195</v>
      </c>
      <c r="C351" s="20" t="s">
        <v>182</v>
      </c>
      <c r="D351" s="21">
        <v>32</v>
      </c>
      <c r="E351" s="22">
        <v>0</v>
      </c>
      <c r="F351" s="10" t="s">
        <v>172</v>
      </c>
      <c r="G351" s="10" t="s">
        <v>172</v>
      </c>
      <c r="H351" s="10" t="s">
        <v>172</v>
      </c>
    </row>
    <row r="352" s="9" customFormat="1" ht="26" customHeight="1" spans="1:8">
      <c r="A352" s="10" t="s">
        <v>172</v>
      </c>
      <c r="B352" s="19" t="s">
        <v>195</v>
      </c>
      <c r="C352" s="20" t="s">
        <v>804</v>
      </c>
      <c r="D352" s="21">
        <v>14</v>
      </c>
      <c r="E352" s="22">
        <v>0</v>
      </c>
      <c r="F352" s="10" t="s">
        <v>172</v>
      </c>
      <c r="G352" s="10" t="s">
        <v>172</v>
      </c>
      <c r="H352" s="10" t="s">
        <v>172</v>
      </c>
    </row>
    <row r="353" s="9" customFormat="1" ht="17" customHeight="1" spans="1:8">
      <c r="A353" s="10" t="s">
        <v>172</v>
      </c>
      <c r="B353" s="19" t="s">
        <v>195</v>
      </c>
      <c r="C353" s="16" t="s">
        <v>1841</v>
      </c>
      <c r="D353" s="23">
        <v>47</v>
      </c>
      <c r="E353" s="24">
        <v>26520</v>
      </c>
      <c r="F353" s="10" t="s">
        <v>172</v>
      </c>
      <c r="G353" s="10" t="s">
        <v>172</v>
      </c>
      <c r="H353" s="10" t="s">
        <v>172</v>
      </c>
    </row>
    <row r="354" s="9" customFormat="1" ht="26" customHeight="1" spans="1:8">
      <c r="A354" s="10" t="s">
        <v>172</v>
      </c>
      <c r="B354" s="19" t="s">
        <v>196</v>
      </c>
      <c r="C354" s="20" t="s">
        <v>1191</v>
      </c>
      <c r="D354" s="21">
        <v>1</v>
      </c>
      <c r="E354" s="22">
        <v>36400</v>
      </c>
      <c r="F354" s="10" t="s">
        <v>172</v>
      </c>
      <c r="G354" s="10" t="s">
        <v>172</v>
      </c>
      <c r="H354" s="10" t="s">
        <v>172</v>
      </c>
    </row>
    <row r="355" s="9" customFormat="1" ht="37" customHeight="1" spans="1:8">
      <c r="A355" s="10" t="s">
        <v>172</v>
      </c>
      <c r="B355" s="19" t="s">
        <v>196</v>
      </c>
      <c r="C355" s="20" t="s">
        <v>182</v>
      </c>
      <c r="D355" s="21">
        <v>28</v>
      </c>
      <c r="E355" s="22">
        <v>0</v>
      </c>
      <c r="F355" s="10" t="s">
        <v>172</v>
      </c>
      <c r="G355" s="10" t="s">
        <v>172</v>
      </c>
      <c r="H355" s="10" t="s">
        <v>172</v>
      </c>
    </row>
    <row r="356" s="9" customFormat="1" ht="1" customHeight="1" spans="1:8">
      <c r="A356" s="10" t="s">
        <v>172</v>
      </c>
      <c r="B356" s="25"/>
      <c r="C356" s="25"/>
      <c r="D356" s="25"/>
      <c r="E356" s="25"/>
      <c r="F356" s="25"/>
      <c r="G356" s="25"/>
      <c r="H356" s="10" t="s">
        <v>172</v>
      </c>
    </row>
    <row r="357" s="9" customFormat="1" ht="13" customHeight="1" spans="1:8">
      <c r="A357" s="10" t="s">
        <v>172</v>
      </c>
      <c r="B357" s="26"/>
      <c r="C357" s="26"/>
      <c r="D357" s="26"/>
      <c r="E357" s="26"/>
      <c r="F357" s="26"/>
      <c r="G357" s="26"/>
      <c r="H357" s="10" t="s">
        <v>172</v>
      </c>
    </row>
    <row r="358" s="9" customFormat="1" ht="13" customHeight="1" spans="1:8">
      <c r="A358" s="10" t="s">
        <v>172</v>
      </c>
      <c r="B358" s="26"/>
      <c r="C358" s="26"/>
      <c r="D358" s="26"/>
      <c r="E358" s="26"/>
      <c r="F358" s="26"/>
      <c r="G358" s="26"/>
      <c r="H358" s="10" t="s">
        <v>172</v>
      </c>
    </row>
    <row r="359" s="9" customFormat="1" ht="13" customHeight="1" spans="1:8">
      <c r="A359" s="10" t="s">
        <v>172</v>
      </c>
      <c r="B359" s="26"/>
      <c r="C359" s="26"/>
      <c r="D359" s="26"/>
      <c r="E359" s="26"/>
      <c r="F359" s="26"/>
      <c r="G359" s="26"/>
      <c r="H359" s="10" t="s">
        <v>172</v>
      </c>
    </row>
    <row r="360" s="9" customFormat="1" ht="13" customHeight="1" spans="1:8">
      <c r="A360" s="10" t="s">
        <v>172</v>
      </c>
      <c r="B360" s="26"/>
      <c r="C360" s="26"/>
      <c r="D360" s="26"/>
      <c r="E360" s="26"/>
      <c r="F360" s="26"/>
      <c r="G360" s="27" t="s">
        <v>1847</v>
      </c>
      <c r="H360" s="10" t="s">
        <v>172</v>
      </c>
    </row>
    <row r="361" s="9" customFormat="1" ht="17" customHeight="1" spans="1:8">
      <c r="A361" s="10" t="s">
        <v>172</v>
      </c>
      <c r="B361" s="11"/>
      <c r="C361" s="11"/>
      <c r="D361" s="11"/>
      <c r="E361" s="11"/>
      <c r="F361" s="11"/>
      <c r="G361" s="11"/>
      <c r="H361" s="10" t="s">
        <v>172</v>
      </c>
    </row>
    <row r="362" s="9" customFormat="1" ht="23" customHeight="1" spans="1:8">
      <c r="A362" s="10" t="s">
        <v>172</v>
      </c>
      <c r="B362" s="12"/>
      <c r="C362" s="12"/>
      <c r="D362" s="12"/>
      <c r="E362" s="12"/>
      <c r="F362" s="12"/>
      <c r="G362" s="12"/>
      <c r="H362" s="10" t="s">
        <v>172</v>
      </c>
    </row>
    <row r="363" s="9" customFormat="1" ht="16" customHeight="1" spans="1:8">
      <c r="A363" s="10" t="s">
        <v>172</v>
      </c>
      <c r="B363" s="13"/>
      <c r="C363" s="13"/>
      <c r="D363" s="13"/>
      <c r="E363" s="13"/>
      <c r="F363" s="13"/>
      <c r="G363" s="13"/>
      <c r="H363" s="10" t="s">
        <v>172</v>
      </c>
    </row>
    <row r="364" s="9" customFormat="1" ht="12" customHeight="1" spans="1:8">
      <c r="A364" s="10" t="s">
        <v>172</v>
      </c>
      <c r="B364" s="14"/>
      <c r="C364" s="14"/>
      <c r="D364" s="14"/>
      <c r="E364" s="14"/>
      <c r="F364" s="14"/>
      <c r="G364" s="14"/>
      <c r="H364" s="10" t="s">
        <v>172</v>
      </c>
    </row>
    <row r="365" s="9" customFormat="1" ht="17" customHeight="1" spans="1:8">
      <c r="A365" s="10" t="s">
        <v>172</v>
      </c>
      <c r="B365" s="15" t="s">
        <v>1836</v>
      </c>
      <c r="C365" s="16" t="s">
        <v>1837</v>
      </c>
      <c r="D365" s="17" t="s">
        <v>1838</v>
      </c>
      <c r="E365" s="18" t="s">
        <v>1839</v>
      </c>
      <c r="F365" s="10" t="s">
        <v>172</v>
      </c>
      <c r="G365" s="10" t="s">
        <v>172</v>
      </c>
      <c r="H365" s="10" t="s">
        <v>172</v>
      </c>
    </row>
    <row r="366" s="9" customFormat="1" ht="26" customHeight="1" spans="1:8">
      <c r="A366" s="10" t="s">
        <v>172</v>
      </c>
      <c r="B366" s="19" t="s">
        <v>196</v>
      </c>
      <c r="C366" s="20" t="s">
        <v>804</v>
      </c>
      <c r="D366" s="21">
        <v>13</v>
      </c>
      <c r="E366" s="22">
        <v>0</v>
      </c>
      <c r="F366" s="10" t="s">
        <v>172</v>
      </c>
      <c r="G366" s="10" t="s">
        <v>172</v>
      </c>
      <c r="H366" s="10" t="s">
        <v>172</v>
      </c>
    </row>
    <row r="367" s="9" customFormat="1" ht="17" customHeight="1" spans="1:8">
      <c r="A367" s="10" t="s">
        <v>172</v>
      </c>
      <c r="B367" s="19" t="s">
        <v>196</v>
      </c>
      <c r="C367" s="16" t="s">
        <v>1841</v>
      </c>
      <c r="D367" s="23">
        <v>42</v>
      </c>
      <c r="E367" s="24">
        <v>36400</v>
      </c>
      <c r="F367" s="10" t="s">
        <v>172</v>
      </c>
      <c r="G367" s="10" t="s">
        <v>172</v>
      </c>
      <c r="H367" s="10" t="s">
        <v>172</v>
      </c>
    </row>
    <row r="368" s="9" customFormat="1" ht="26" customHeight="1" spans="1:8">
      <c r="A368" s="10" t="s">
        <v>172</v>
      </c>
      <c r="B368" s="19" t="s">
        <v>197</v>
      </c>
      <c r="C368" s="20" t="s">
        <v>1191</v>
      </c>
      <c r="D368" s="21">
        <v>1</v>
      </c>
      <c r="E368" s="22">
        <v>32305</v>
      </c>
      <c r="F368" s="10" t="s">
        <v>172</v>
      </c>
      <c r="G368" s="10" t="s">
        <v>172</v>
      </c>
      <c r="H368" s="10" t="s">
        <v>172</v>
      </c>
    </row>
    <row r="369" s="9" customFormat="1" ht="37" customHeight="1" spans="1:8">
      <c r="A369" s="10" t="s">
        <v>172</v>
      </c>
      <c r="B369" s="19" t="s">
        <v>197</v>
      </c>
      <c r="C369" s="20" t="s">
        <v>182</v>
      </c>
      <c r="D369" s="21">
        <v>11</v>
      </c>
      <c r="E369" s="22">
        <v>0</v>
      </c>
      <c r="F369" s="10" t="s">
        <v>172</v>
      </c>
      <c r="G369" s="10" t="s">
        <v>172</v>
      </c>
      <c r="H369" s="10" t="s">
        <v>172</v>
      </c>
    </row>
    <row r="370" s="9" customFormat="1" ht="26" customHeight="1" spans="1:8">
      <c r="A370" s="10" t="s">
        <v>172</v>
      </c>
      <c r="B370" s="19" t="s">
        <v>197</v>
      </c>
      <c r="C370" s="20" t="s">
        <v>804</v>
      </c>
      <c r="D370" s="21">
        <v>8</v>
      </c>
      <c r="E370" s="22">
        <v>0</v>
      </c>
      <c r="F370" s="10" t="s">
        <v>172</v>
      </c>
      <c r="G370" s="10" t="s">
        <v>172</v>
      </c>
      <c r="H370" s="10" t="s">
        <v>172</v>
      </c>
    </row>
    <row r="371" s="9" customFormat="1" ht="17" customHeight="1" spans="1:8">
      <c r="A371" s="10" t="s">
        <v>172</v>
      </c>
      <c r="B371" s="19" t="s">
        <v>197</v>
      </c>
      <c r="C371" s="16" t="s">
        <v>1841</v>
      </c>
      <c r="D371" s="23">
        <v>20</v>
      </c>
      <c r="E371" s="24">
        <v>32305</v>
      </c>
      <c r="F371" s="10" t="s">
        <v>172</v>
      </c>
      <c r="G371" s="10" t="s">
        <v>172</v>
      </c>
      <c r="H371" s="10" t="s">
        <v>172</v>
      </c>
    </row>
    <row r="372" s="9" customFormat="1" ht="26" customHeight="1" spans="1:8">
      <c r="A372" s="10" t="s">
        <v>172</v>
      </c>
      <c r="B372" s="19" t="s">
        <v>410</v>
      </c>
      <c r="C372" s="20" t="s">
        <v>1191</v>
      </c>
      <c r="D372" s="21">
        <v>1</v>
      </c>
      <c r="E372" s="22">
        <v>61750</v>
      </c>
      <c r="F372" s="10" t="s">
        <v>172</v>
      </c>
      <c r="G372" s="10" t="s">
        <v>172</v>
      </c>
      <c r="H372" s="10" t="s">
        <v>172</v>
      </c>
    </row>
    <row r="373" s="9" customFormat="1" ht="26" customHeight="1" spans="1:8">
      <c r="A373" s="10" t="s">
        <v>172</v>
      </c>
      <c r="B373" s="19" t="s">
        <v>410</v>
      </c>
      <c r="C373" s="20" t="s">
        <v>804</v>
      </c>
      <c r="D373" s="21">
        <v>2</v>
      </c>
      <c r="E373" s="22">
        <v>0</v>
      </c>
      <c r="F373" s="10" t="s">
        <v>172</v>
      </c>
      <c r="G373" s="10" t="s">
        <v>172</v>
      </c>
      <c r="H373" s="10" t="s">
        <v>172</v>
      </c>
    </row>
    <row r="374" s="9" customFormat="1" ht="17" customHeight="1" spans="1:8">
      <c r="A374" s="10" t="s">
        <v>172</v>
      </c>
      <c r="B374" s="19" t="s">
        <v>410</v>
      </c>
      <c r="C374" s="16" t="s">
        <v>1841</v>
      </c>
      <c r="D374" s="23">
        <v>3</v>
      </c>
      <c r="E374" s="24">
        <v>61750</v>
      </c>
      <c r="F374" s="10" t="s">
        <v>172</v>
      </c>
      <c r="G374" s="10" t="s">
        <v>172</v>
      </c>
      <c r="H374" s="10" t="s">
        <v>172</v>
      </c>
    </row>
    <row r="375" s="9" customFormat="1" ht="26" customHeight="1" spans="1:8">
      <c r="A375" s="10" t="s">
        <v>172</v>
      </c>
      <c r="B375" s="19" t="s">
        <v>199</v>
      </c>
      <c r="C375" s="20" t="s">
        <v>1191</v>
      </c>
      <c r="D375" s="21">
        <v>60</v>
      </c>
      <c r="E375" s="22">
        <v>1677000</v>
      </c>
      <c r="F375" s="10" t="s">
        <v>172</v>
      </c>
      <c r="G375" s="10" t="s">
        <v>172</v>
      </c>
      <c r="H375" s="10" t="s">
        <v>172</v>
      </c>
    </row>
    <row r="376" s="9" customFormat="1" ht="37" customHeight="1" spans="1:8">
      <c r="A376" s="10" t="s">
        <v>172</v>
      </c>
      <c r="B376" s="19" t="s">
        <v>199</v>
      </c>
      <c r="C376" s="20" t="s">
        <v>182</v>
      </c>
      <c r="D376" s="21">
        <v>96</v>
      </c>
      <c r="E376" s="22">
        <v>0</v>
      </c>
      <c r="F376" s="10" t="s">
        <v>172</v>
      </c>
      <c r="G376" s="10" t="s">
        <v>172</v>
      </c>
      <c r="H376" s="10" t="s">
        <v>172</v>
      </c>
    </row>
    <row r="377" s="9" customFormat="1" ht="26" customHeight="1" spans="1:8">
      <c r="A377" s="10" t="s">
        <v>172</v>
      </c>
      <c r="B377" s="19" t="s">
        <v>199</v>
      </c>
      <c r="C377" s="20" t="s">
        <v>804</v>
      </c>
      <c r="D377" s="21">
        <v>37</v>
      </c>
      <c r="E377" s="22">
        <v>0</v>
      </c>
      <c r="F377" s="10" t="s">
        <v>172</v>
      </c>
      <c r="G377" s="10" t="s">
        <v>172</v>
      </c>
      <c r="H377" s="10" t="s">
        <v>172</v>
      </c>
    </row>
    <row r="378" s="9" customFormat="1" ht="17" customHeight="1" spans="1:8">
      <c r="A378" s="10" t="s">
        <v>172</v>
      </c>
      <c r="B378" s="19" t="s">
        <v>199</v>
      </c>
      <c r="C378" s="16" t="s">
        <v>1841</v>
      </c>
      <c r="D378" s="23">
        <v>193</v>
      </c>
      <c r="E378" s="24">
        <v>1677000</v>
      </c>
      <c r="F378" s="10" t="s">
        <v>172</v>
      </c>
      <c r="G378" s="10" t="s">
        <v>172</v>
      </c>
      <c r="H378" s="10" t="s">
        <v>172</v>
      </c>
    </row>
    <row r="379" s="9" customFormat="1" ht="1" customHeight="1" spans="1:8">
      <c r="A379" s="10" t="s">
        <v>172</v>
      </c>
      <c r="B379" s="25"/>
      <c r="C379" s="25"/>
      <c r="D379" s="25"/>
      <c r="E379" s="25"/>
      <c r="F379" s="25"/>
      <c r="G379" s="25"/>
      <c r="H379" s="10" t="s">
        <v>172</v>
      </c>
    </row>
    <row r="380" s="9" customFormat="1" ht="13" customHeight="1" spans="1:8">
      <c r="A380" s="10" t="s">
        <v>172</v>
      </c>
      <c r="B380" s="26"/>
      <c r="C380" s="26"/>
      <c r="D380" s="26"/>
      <c r="E380" s="26"/>
      <c r="F380" s="26"/>
      <c r="G380" s="26"/>
      <c r="H380" s="10" t="s">
        <v>172</v>
      </c>
    </row>
    <row r="381" s="9" customFormat="1" ht="13" customHeight="1" spans="1:8">
      <c r="A381" s="10" t="s">
        <v>172</v>
      </c>
      <c r="B381" s="26"/>
      <c r="C381" s="26"/>
      <c r="D381" s="26"/>
      <c r="E381" s="26"/>
      <c r="F381" s="26"/>
      <c r="G381" s="26"/>
      <c r="H381" s="10" t="s">
        <v>172</v>
      </c>
    </row>
    <row r="382" s="9" customFormat="1" ht="13" customHeight="1" spans="1:8">
      <c r="A382" s="10" t="s">
        <v>172</v>
      </c>
      <c r="B382" s="26"/>
      <c r="C382" s="26"/>
      <c r="D382" s="26"/>
      <c r="E382" s="26"/>
      <c r="F382" s="26"/>
      <c r="G382" s="26"/>
      <c r="H382" s="10" t="s">
        <v>172</v>
      </c>
    </row>
    <row r="383" s="9" customFormat="1" ht="13" customHeight="1" spans="1:8">
      <c r="A383" s="10" t="s">
        <v>172</v>
      </c>
      <c r="B383" s="26"/>
      <c r="C383" s="26"/>
      <c r="D383" s="26"/>
      <c r="E383" s="26"/>
      <c r="F383" s="26"/>
      <c r="G383" s="27" t="s">
        <v>1847</v>
      </c>
      <c r="H383" s="10" t="s">
        <v>172</v>
      </c>
    </row>
    <row r="384" s="9" customFormat="1" ht="17" customHeight="1" spans="1:8">
      <c r="A384" s="10" t="s">
        <v>172</v>
      </c>
      <c r="B384" s="11"/>
      <c r="C384" s="11"/>
      <c r="D384" s="11"/>
      <c r="E384" s="11"/>
      <c r="F384" s="11"/>
      <c r="G384" s="11"/>
      <c r="H384" s="10" t="s">
        <v>172</v>
      </c>
    </row>
    <row r="385" s="9" customFormat="1" ht="23" customHeight="1" spans="1:8">
      <c r="A385" s="10" t="s">
        <v>172</v>
      </c>
      <c r="B385" s="12"/>
      <c r="C385" s="12"/>
      <c r="D385" s="12"/>
      <c r="E385" s="12"/>
      <c r="F385" s="12"/>
      <c r="G385" s="12"/>
      <c r="H385" s="10" t="s">
        <v>172</v>
      </c>
    </row>
    <row r="386" s="9" customFormat="1" ht="16" customHeight="1" spans="1:8">
      <c r="A386" s="10" t="s">
        <v>172</v>
      </c>
      <c r="B386" s="13"/>
      <c r="C386" s="13"/>
      <c r="D386" s="13"/>
      <c r="E386" s="13"/>
      <c r="F386" s="13"/>
      <c r="G386" s="13"/>
      <c r="H386" s="10" t="s">
        <v>172</v>
      </c>
    </row>
    <row r="387" s="9" customFormat="1" ht="12" customHeight="1" spans="1:8">
      <c r="A387" s="10" t="s">
        <v>172</v>
      </c>
      <c r="B387" s="14"/>
      <c r="C387" s="14"/>
      <c r="D387" s="14"/>
      <c r="E387" s="14"/>
      <c r="F387" s="14"/>
      <c r="G387" s="14"/>
      <c r="H387" s="10" t="s">
        <v>172</v>
      </c>
    </row>
    <row r="388" s="9" customFormat="1" ht="17" customHeight="1" spans="1:8">
      <c r="A388" s="10" t="s">
        <v>172</v>
      </c>
      <c r="B388" s="15" t="s">
        <v>1836</v>
      </c>
      <c r="C388" s="16" t="s">
        <v>1837</v>
      </c>
      <c r="D388" s="17" t="s">
        <v>1838</v>
      </c>
      <c r="E388" s="18" t="s">
        <v>1839</v>
      </c>
      <c r="F388" s="10" t="s">
        <v>172</v>
      </c>
      <c r="G388" s="10" t="s">
        <v>172</v>
      </c>
      <c r="H388" s="10" t="s">
        <v>172</v>
      </c>
    </row>
    <row r="389" s="9" customFormat="1" ht="26" customHeight="1" spans="1:8">
      <c r="A389" s="10" t="s">
        <v>172</v>
      </c>
      <c r="B389" s="19" t="s">
        <v>200</v>
      </c>
      <c r="C389" s="20" t="s">
        <v>1191</v>
      </c>
      <c r="D389" s="21">
        <v>1</v>
      </c>
      <c r="E389" s="22">
        <v>32500</v>
      </c>
      <c r="F389" s="10" t="s">
        <v>172</v>
      </c>
      <c r="G389" s="10" t="s">
        <v>172</v>
      </c>
      <c r="H389" s="10" t="s">
        <v>172</v>
      </c>
    </row>
    <row r="390" s="9" customFormat="1" ht="37" customHeight="1" spans="1:8">
      <c r="A390" s="10" t="s">
        <v>172</v>
      </c>
      <c r="B390" s="19" t="s">
        <v>200</v>
      </c>
      <c r="C390" s="20" t="s">
        <v>182</v>
      </c>
      <c r="D390" s="21">
        <v>18</v>
      </c>
      <c r="E390" s="22">
        <v>58108.108108</v>
      </c>
      <c r="F390" s="10" t="s">
        <v>172</v>
      </c>
      <c r="G390" s="10" t="s">
        <v>172</v>
      </c>
      <c r="H390" s="10" t="s">
        <v>172</v>
      </c>
    </row>
    <row r="391" s="9" customFormat="1" ht="26" customHeight="1" spans="1:8">
      <c r="A391" s="10" t="s">
        <v>172</v>
      </c>
      <c r="B391" s="19" t="s">
        <v>200</v>
      </c>
      <c r="C391" s="20" t="s">
        <v>804</v>
      </c>
      <c r="D391" s="21">
        <v>11</v>
      </c>
      <c r="E391" s="22">
        <v>403.929252</v>
      </c>
      <c r="F391" s="10" t="s">
        <v>172</v>
      </c>
      <c r="G391" s="10" t="s">
        <v>172</v>
      </c>
      <c r="H391" s="10" t="s">
        <v>172</v>
      </c>
    </row>
    <row r="392" s="9" customFormat="1" ht="17" customHeight="1" spans="1:8">
      <c r="A392" s="10" t="s">
        <v>172</v>
      </c>
      <c r="B392" s="19" t="s">
        <v>200</v>
      </c>
      <c r="C392" s="16" t="s">
        <v>1841</v>
      </c>
      <c r="D392" s="23">
        <v>30</v>
      </c>
      <c r="E392" s="24">
        <v>91012.03736</v>
      </c>
      <c r="F392" s="10" t="s">
        <v>172</v>
      </c>
      <c r="G392" s="10" t="s">
        <v>172</v>
      </c>
      <c r="H392" s="10" t="s">
        <v>172</v>
      </c>
    </row>
    <row r="393" s="9" customFormat="1" ht="26" customHeight="1" spans="1:8">
      <c r="A393" s="10" t="s">
        <v>172</v>
      </c>
      <c r="B393" s="19" t="s">
        <v>201</v>
      </c>
      <c r="C393" s="20" t="s">
        <v>1191</v>
      </c>
      <c r="D393" s="21">
        <v>3</v>
      </c>
      <c r="E393" s="22">
        <v>107640</v>
      </c>
      <c r="F393" s="10" t="s">
        <v>172</v>
      </c>
      <c r="G393" s="10" t="s">
        <v>172</v>
      </c>
      <c r="H393" s="10" t="s">
        <v>172</v>
      </c>
    </row>
    <row r="394" s="9" customFormat="1" ht="37" customHeight="1" spans="1:8">
      <c r="A394" s="10" t="s">
        <v>172</v>
      </c>
      <c r="B394" s="19" t="s">
        <v>201</v>
      </c>
      <c r="C394" s="20" t="s">
        <v>182</v>
      </c>
      <c r="D394" s="21">
        <v>1</v>
      </c>
      <c r="E394" s="22">
        <v>0</v>
      </c>
      <c r="F394" s="10" t="s">
        <v>172</v>
      </c>
      <c r="G394" s="10" t="s">
        <v>172</v>
      </c>
      <c r="H394" s="10" t="s">
        <v>172</v>
      </c>
    </row>
    <row r="395" s="9" customFormat="1" ht="17" customHeight="1" spans="1:8">
      <c r="A395" s="10" t="s">
        <v>172</v>
      </c>
      <c r="B395" s="19" t="s">
        <v>201</v>
      </c>
      <c r="C395" s="16" t="s">
        <v>1841</v>
      </c>
      <c r="D395" s="23">
        <v>4</v>
      </c>
      <c r="E395" s="24">
        <v>107640</v>
      </c>
      <c r="F395" s="10" t="s">
        <v>172</v>
      </c>
      <c r="G395" s="10" t="s">
        <v>172</v>
      </c>
      <c r="H395" s="10" t="s">
        <v>172</v>
      </c>
    </row>
    <row r="396" s="9" customFormat="1" ht="37" customHeight="1" spans="1:8">
      <c r="A396" s="10" t="s">
        <v>172</v>
      </c>
      <c r="B396" s="19" t="s">
        <v>1466</v>
      </c>
      <c r="C396" s="20" t="s">
        <v>182</v>
      </c>
      <c r="D396" s="21">
        <v>1</v>
      </c>
      <c r="E396" s="22">
        <v>181531.531532</v>
      </c>
      <c r="F396" s="10" t="s">
        <v>172</v>
      </c>
      <c r="G396" s="10" t="s">
        <v>172</v>
      </c>
      <c r="H396" s="10" t="s">
        <v>172</v>
      </c>
    </row>
    <row r="397" s="9" customFormat="1" ht="17" customHeight="1" spans="1:8">
      <c r="A397" s="10" t="s">
        <v>172</v>
      </c>
      <c r="B397" s="19" t="s">
        <v>1466</v>
      </c>
      <c r="C397" s="16" t="s">
        <v>1841</v>
      </c>
      <c r="D397" s="23">
        <v>1</v>
      </c>
      <c r="E397" s="24">
        <v>181531.531532</v>
      </c>
      <c r="F397" s="10" t="s">
        <v>172</v>
      </c>
      <c r="G397" s="10" t="s">
        <v>172</v>
      </c>
      <c r="H397" s="10" t="s">
        <v>172</v>
      </c>
    </row>
    <row r="398" s="9" customFormat="1" ht="26" customHeight="1" spans="1:8">
      <c r="A398" s="10" t="s">
        <v>172</v>
      </c>
      <c r="B398" s="19" t="s">
        <v>1868</v>
      </c>
      <c r="C398" s="20" t="s">
        <v>804</v>
      </c>
      <c r="D398" s="21">
        <v>4</v>
      </c>
      <c r="E398" s="22">
        <v>270270.27027</v>
      </c>
      <c r="F398" s="10" t="s">
        <v>172</v>
      </c>
      <c r="G398" s="10" t="s">
        <v>172</v>
      </c>
      <c r="H398" s="10" t="s">
        <v>172</v>
      </c>
    </row>
    <row r="399" s="9" customFormat="1" ht="17" customHeight="1" spans="1:8">
      <c r="A399" s="10" t="s">
        <v>172</v>
      </c>
      <c r="B399" s="19" t="s">
        <v>1868</v>
      </c>
      <c r="C399" s="16" t="s">
        <v>1841</v>
      </c>
      <c r="D399" s="23">
        <v>4</v>
      </c>
      <c r="E399" s="24">
        <v>270270.27027</v>
      </c>
      <c r="F399" s="10" t="s">
        <v>172</v>
      </c>
      <c r="G399" s="10" t="s">
        <v>172</v>
      </c>
      <c r="H399" s="10" t="s">
        <v>172</v>
      </c>
    </row>
    <row r="400" s="9" customFormat="1" ht="26" customHeight="1" spans="1:8">
      <c r="A400" s="10" t="s">
        <v>172</v>
      </c>
      <c r="B400" s="19" t="s">
        <v>411</v>
      </c>
      <c r="C400" s="20" t="s">
        <v>1191</v>
      </c>
      <c r="D400" s="21">
        <v>20</v>
      </c>
      <c r="E400" s="22">
        <v>297700</v>
      </c>
      <c r="F400" s="10" t="s">
        <v>172</v>
      </c>
      <c r="G400" s="10" t="s">
        <v>172</v>
      </c>
      <c r="H400" s="10" t="s">
        <v>172</v>
      </c>
    </row>
    <row r="401" s="9" customFormat="1" ht="37" customHeight="1" spans="1:8">
      <c r="A401" s="10" t="s">
        <v>172</v>
      </c>
      <c r="B401" s="19" t="s">
        <v>411</v>
      </c>
      <c r="C401" s="20" t="s">
        <v>182</v>
      </c>
      <c r="D401" s="21">
        <v>4</v>
      </c>
      <c r="E401" s="22">
        <v>36036.036036</v>
      </c>
      <c r="F401" s="10" t="s">
        <v>172</v>
      </c>
      <c r="G401" s="10" t="s">
        <v>172</v>
      </c>
      <c r="H401" s="10" t="s">
        <v>172</v>
      </c>
    </row>
    <row r="402" s="9" customFormat="1" ht="1" customHeight="1" spans="1:8">
      <c r="A402" s="10" t="s">
        <v>172</v>
      </c>
      <c r="B402" s="25"/>
      <c r="C402" s="25"/>
      <c r="D402" s="25"/>
      <c r="E402" s="25"/>
      <c r="F402" s="25"/>
      <c r="G402" s="25"/>
      <c r="H402" s="10" t="s">
        <v>172</v>
      </c>
    </row>
    <row r="403" s="9" customFormat="1" ht="13" customHeight="1" spans="1:8">
      <c r="A403" s="10" t="s">
        <v>172</v>
      </c>
      <c r="B403" s="26"/>
      <c r="C403" s="26"/>
      <c r="D403" s="26"/>
      <c r="E403" s="26"/>
      <c r="F403" s="26"/>
      <c r="G403" s="26"/>
      <c r="H403" s="10" t="s">
        <v>172</v>
      </c>
    </row>
    <row r="404" s="9" customFormat="1" ht="13" customHeight="1" spans="1:8">
      <c r="A404" s="10" t="s">
        <v>172</v>
      </c>
      <c r="B404" s="26"/>
      <c r="C404" s="26"/>
      <c r="D404" s="26"/>
      <c r="E404" s="26"/>
      <c r="F404" s="26"/>
      <c r="G404" s="26"/>
      <c r="H404" s="10" t="s">
        <v>172</v>
      </c>
    </row>
    <row r="405" s="9" customFormat="1" ht="13" customHeight="1" spans="1:8">
      <c r="A405" s="10" t="s">
        <v>172</v>
      </c>
      <c r="B405" s="26"/>
      <c r="C405" s="26"/>
      <c r="D405" s="26"/>
      <c r="E405" s="26"/>
      <c r="F405" s="26"/>
      <c r="G405" s="26"/>
      <c r="H405" s="10" t="s">
        <v>172</v>
      </c>
    </row>
    <row r="406" s="9" customFormat="1" ht="13" customHeight="1" spans="1:8">
      <c r="A406" s="10" t="s">
        <v>172</v>
      </c>
      <c r="B406" s="26"/>
      <c r="C406" s="26"/>
      <c r="D406" s="26"/>
      <c r="E406" s="26"/>
      <c r="F406" s="26"/>
      <c r="G406" s="27" t="s">
        <v>1847</v>
      </c>
      <c r="H406" s="10" t="s">
        <v>172</v>
      </c>
    </row>
    <row r="407" s="9" customFormat="1" ht="17" customHeight="1" spans="1:8">
      <c r="A407" s="10" t="s">
        <v>172</v>
      </c>
      <c r="B407" s="11"/>
      <c r="C407" s="11"/>
      <c r="D407" s="11"/>
      <c r="E407" s="11"/>
      <c r="F407" s="11"/>
      <c r="G407" s="11"/>
      <c r="H407" s="10" t="s">
        <v>172</v>
      </c>
    </row>
    <row r="408" s="9" customFormat="1" ht="23" customHeight="1" spans="1:8">
      <c r="A408" s="10" t="s">
        <v>172</v>
      </c>
      <c r="B408" s="12"/>
      <c r="C408" s="12"/>
      <c r="D408" s="12"/>
      <c r="E408" s="12"/>
      <c r="F408" s="12"/>
      <c r="G408" s="12"/>
      <c r="H408" s="10" t="s">
        <v>172</v>
      </c>
    </row>
    <row r="409" s="9" customFormat="1" ht="16" customHeight="1" spans="1:8">
      <c r="A409" s="10" t="s">
        <v>172</v>
      </c>
      <c r="B409" s="13"/>
      <c r="C409" s="13"/>
      <c r="D409" s="13"/>
      <c r="E409" s="13"/>
      <c r="F409" s="13"/>
      <c r="G409" s="13"/>
      <c r="H409" s="10" t="s">
        <v>172</v>
      </c>
    </row>
    <row r="410" s="9" customFormat="1" ht="12" customHeight="1" spans="1:8">
      <c r="A410" s="10" t="s">
        <v>172</v>
      </c>
      <c r="B410" s="14"/>
      <c r="C410" s="14"/>
      <c r="D410" s="14"/>
      <c r="E410" s="14"/>
      <c r="F410" s="14"/>
      <c r="G410" s="14"/>
      <c r="H410" s="10" t="s">
        <v>172</v>
      </c>
    </row>
    <row r="411" s="9" customFormat="1" ht="17" customHeight="1" spans="1:8">
      <c r="A411" s="10" t="s">
        <v>172</v>
      </c>
      <c r="B411" s="15" t="s">
        <v>1836</v>
      </c>
      <c r="C411" s="16" t="s">
        <v>1837</v>
      </c>
      <c r="D411" s="17" t="s">
        <v>1838</v>
      </c>
      <c r="E411" s="18" t="s">
        <v>1839</v>
      </c>
      <c r="F411" s="10" t="s">
        <v>172</v>
      </c>
      <c r="G411" s="10" t="s">
        <v>172</v>
      </c>
      <c r="H411" s="10" t="s">
        <v>172</v>
      </c>
    </row>
    <row r="412" s="9" customFormat="1" ht="26" customHeight="1" spans="1:8">
      <c r="A412" s="10" t="s">
        <v>172</v>
      </c>
      <c r="B412" s="19" t="s">
        <v>411</v>
      </c>
      <c r="C412" s="20" t="s">
        <v>804</v>
      </c>
      <c r="D412" s="21">
        <v>19</v>
      </c>
      <c r="E412" s="22">
        <v>406306.306307</v>
      </c>
      <c r="F412" s="10" t="s">
        <v>172</v>
      </c>
      <c r="G412" s="10" t="s">
        <v>172</v>
      </c>
      <c r="H412" s="10" t="s">
        <v>172</v>
      </c>
    </row>
    <row r="413" s="9" customFormat="1" ht="17" customHeight="1" spans="1:8">
      <c r="A413" s="10" t="s">
        <v>172</v>
      </c>
      <c r="B413" s="19" t="s">
        <v>411</v>
      </c>
      <c r="C413" s="16" t="s">
        <v>1841</v>
      </c>
      <c r="D413" s="23">
        <v>43</v>
      </c>
      <c r="E413" s="24">
        <v>740042.342343</v>
      </c>
      <c r="F413" s="10" t="s">
        <v>172</v>
      </c>
      <c r="G413" s="10" t="s">
        <v>172</v>
      </c>
      <c r="H413" s="10" t="s">
        <v>172</v>
      </c>
    </row>
    <row r="414" s="9" customFormat="1" ht="26" customHeight="1" spans="1:8">
      <c r="A414" s="10" t="s">
        <v>172</v>
      </c>
      <c r="B414" s="19" t="s">
        <v>1690</v>
      </c>
      <c r="C414" s="20" t="s">
        <v>804</v>
      </c>
      <c r="D414" s="21">
        <v>20</v>
      </c>
      <c r="E414" s="22">
        <v>2324324.477478</v>
      </c>
      <c r="F414" s="10" t="s">
        <v>172</v>
      </c>
      <c r="G414" s="10" t="s">
        <v>172</v>
      </c>
      <c r="H414" s="10" t="s">
        <v>172</v>
      </c>
    </row>
    <row r="415" s="9" customFormat="1" ht="17" customHeight="1" spans="1:8">
      <c r="A415" s="10" t="s">
        <v>172</v>
      </c>
      <c r="B415" s="19" t="s">
        <v>1690</v>
      </c>
      <c r="C415" s="16" t="s">
        <v>1841</v>
      </c>
      <c r="D415" s="23">
        <v>20</v>
      </c>
      <c r="E415" s="24">
        <v>2324324.477478</v>
      </c>
      <c r="F415" s="10" t="s">
        <v>172</v>
      </c>
      <c r="G415" s="10" t="s">
        <v>172</v>
      </c>
      <c r="H415" s="10" t="s">
        <v>172</v>
      </c>
    </row>
    <row r="416" s="9" customFormat="1" ht="37" customHeight="1" spans="1:8">
      <c r="A416" s="10" t="s">
        <v>172</v>
      </c>
      <c r="B416" s="19" t="s">
        <v>202</v>
      </c>
      <c r="C416" s="20" t="s">
        <v>182</v>
      </c>
      <c r="D416" s="21">
        <v>16</v>
      </c>
      <c r="E416" s="22">
        <v>1736936.45045</v>
      </c>
      <c r="F416" s="10" t="s">
        <v>172</v>
      </c>
      <c r="G416" s="10" t="s">
        <v>172</v>
      </c>
      <c r="H416" s="10" t="s">
        <v>172</v>
      </c>
    </row>
    <row r="417" s="9" customFormat="1" ht="26" customHeight="1" spans="1:8">
      <c r="A417" s="10" t="s">
        <v>172</v>
      </c>
      <c r="B417" s="19" t="s">
        <v>202</v>
      </c>
      <c r="C417" s="20" t="s">
        <v>804</v>
      </c>
      <c r="D417" s="21">
        <v>20</v>
      </c>
      <c r="E417" s="22">
        <v>2270270.27027</v>
      </c>
      <c r="F417" s="10" t="s">
        <v>172</v>
      </c>
      <c r="G417" s="10" t="s">
        <v>172</v>
      </c>
      <c r="H417" s="10" t="s">
        <v>172</v>
      </c>
    </row>
    <row r="418" s="9" customFormat="1" ht="17" customHeight="1" spans="1:8">
      <c r="A418" s="10" t="s">
        <v>172</v>
      </c>
      <c r="B418" s="19" t="s">
        <v>202</v>
      </c>
      <c r="C418" s="16" t="s">
        <v>1841</v>
      </c>
      <c r="D418" s="23">
        <v>36</v>
      </c>
      <c r="E418" s="24">
        <v>4007206.72072</v>
      </c>
      <c r="F418" s="10" t="s">
        <v>172</v>
      </c>
      <c r="G418" s="10" t="s">
        <v>172</v>
      </c>
      <c r="H418" s="10" t="s">
        <v>172</v>
      </c>
    </row>
    <row r="419" s="9" customFormat="1" ht="37" customHeight="1" spans="1:8">
      <c r="A419" s="10" t="s">
        <v>172</v>
      </c>
      <c r="B419" s="19" t="s">
        <v>357</v>
      </c>
      <c r="C419" s="20" t="s">
        <v>182</v>
      </c>
      <c r="D419" s="21">
        <v>14</v>
      </c>
      <c r="E419" s="22">
        <v>1353153.153152</v>
      </c>
      <c r="F419" s="10" t="s">
        <v>172</v>
      </c>
      <c r="G419" s="10" t="s">
        <v>172</v>
      </c>
      <c r="H419" s="10" t="s">
        <v>172</v>
      </c>
    </row>
    <row r="420" s="9" customFormat="1" ht="26" customHeight="1" spans="1:8">
      <c r="A420" s="10" t="s">
        <v>172</v>
      </c>
      <c r="B420" s="19" t="s">
        <v>357</v>
      </c>
      <c r="C420" s="20" t="s">
        <v>804</v>
      </c>
      <c r="D420" s="21">
        <v>15</v>
      </c>
      <c r="E420" s="22">
        <v>1570360.171172</v>
      </c>
      <c r="F420" s="10" t="s">
        <v>172</v>
      </c>
      <c r="G420" s="10" t="s">
        <v>172</v>
      </c>
      <c r="H420" s="10" t="s">
        <v>172</v>
      </c>
    </row>
    <row r="421" s="9" customFormat="1" ht="17" customHeight="1" spans="1:8">
      <c r="A421" s="10" t="s">
        <v>172</v>
      </c>
      <c r="B421" s="19" t="s">
        <v>357</v>
      </c>
      <c r="C421" s="16" t="s">
        <v>1841</v>
      </c>
      <c r="D421" s="23">
        <v>29</v>
      </c>
      <c r="E421" s="24">
        <v>2923513.324324</v>
      </c>
      <c r="F421" s="10" t="s">
        <v>172</v>
      </c>
      <c r="G421" s="10" t="s">
        <v>172</v>
      </c>
      <c r="H421" s="10" t="s">
        <v>172</v>
      </c>
    </row>
    <row r="422" s="9" customFormat="1" ht="37" customHeight="1" spans="1:8">
      <c r="A422" s="10" t="s">
        <v>172</v>
      </c>
      <c r="B422" s="19" t="s">
        <v>491</v>
      </c>
      <c r="C422" s="20" t="s">
        <v>182</v>
      </c>
      <c r="D422" s="21">
        <v>4</v>
      </c>
      <c r="E422" s="22">
        <v>72072.072072</v>
      </c>
      <c r="F422" s="10" t="s">
        <v>172</v>
      </c>
      <c r="G422" s="10" t="s">
        <v>172</v>
      </c>
      <c r="H422" s="10" t="s">
        <v>172</v>
      </c>
    </row>
    <row r="423" s="9" customFormat="1" ht="17" customHeight="1" spans="1:8">
      <c r="A423" s="10" t="s">
        <v>172</v>
      </c>
      <c r="B423" s="19" t="s">
        <v>491</v>
      </c>
      <c r="C423" s="16" t="s">
        <v>1841</v>
      </c>
      <c r="D423" s="23">
        <v>4</v>
      </c>
      <c r="E423" s="24">
        <v>72072.072072</v>
      </c>
      <c r="F423" s="10" t="s">
        <v>172</v>
      </c>
      <c r="G423" s="10" t="s">
        <v>172</v>
      </c>
      <c r="H423" s="10" t="s">
        <v>172</v>
      </c>
    </row>
    <row r="424" s="9" customFormat="1" ht="26" customHeight="1" spans="1:8">
      <c r="A424" s="10" t="s">
        <v>172</v>
      </c>
      <c r="B424" s="19" t="s">
        <v>412</v>
      </c>
      <c r="C424" s="20" t="s">
        <v>1191</v>
      </c>
      <c r="D424" s="21">
        <v>20</v>
      </c>
      <c r="E424" s="22">
        <v>370500</v>
      </c>
      <c r="F424" s="10" t="s">
        <v>172</v>
      </c>
      <c r="G424" s="10" t="s">
        <v>172</v>
      </c>
      <c r="H424" s="10" t="s">
        <v>172</v>
      </c>
    </row>
    <row r="425" s="9" customFormat="1" ht="37" customHeight="1" spans="1:8">
      <c r="A425" s="10" t="s">
        <v>172</v>
      </c>
      <c r="B425" s="19" t="s">
        <v>412</v>
      </c>
      <c r="C425" s="20" t="s">
        <v>182</v>
      </c>
      <c r="D425" s="21">
        <v>44</v>
      </c>
      <c r="E425" s="22">
        <v>1060168.137288</v>
      </c>
      <c r="F425" s="10" t="s">
        <v>172</v>
      </c>
      <c r="G425" s="10" t="s">
        <v>172</v>
      </c>
      <c r="H425" s="10" t="s">
        <v>172</v>
      </c>
    </row>
    <row r="426" s="9" customFormat="1" ht="1" customHeight="1" spans="1:8">
      <c r="A426" s="10" t="s">
        <v>172</v>
      </c>
      <c r="B426" s="25"/>
      <c r="C426" s="25"/>
      <c r="D426" s="25"/>
      <c r="E426" s="25"/>
      <c r="F426" s="25"/>
      <c r="G426" s="25"/>
      <c r="H426" s="10" t="s">
        <v>172</v>
      </c>
    </row>
    <row r="427" s="9" customFormat="1" ht="13" customHeight="1" spans="1:8">
      <c r="A427" s="10" t="s">
        <v>172</v>
      </c>
      <c r="B427" s="26"/>
      <c r="C427" s="26"/>
      <c r="D427" s="26"/>
      <c r="E427" s="26"/>
      <c r="F427" s="26"/>
      <c r="G427" s="26"/>
      <c r="H427" s="10" t="s">
        <v>172</v>
      </c>
    </row>
    <row r="428" s="9" customFormat="1" ht="13" customHeight="1" spans="1:8">
      <c r="A428" s="10" t="s">
        <v>172</v>
      </c>
      <c r="B428" s="26"/>
      <c r="C428" s="26"/>
      <c r="D428" s="26"/>
      <c r="E428" s="26"/>
      <c r="F428" s="26"/>
      <c r="G428" s="26"/>
      <c r="H428" s="10" t="s">
        <v>172</v>
      </c>
    </row>
    <row r="429" s="9" customFormat="1" ht="13" customHeight="1" spans="1:8">
      <c r="A429" s="10" t="s">
        <v>172</v>
      </c>
      <c r="B429" s="26"/>
      <c r="C429" s="26"/>
      <c r="D429" s="26"/>
      <c r="E429" s="26"/>
      <c r="F429" s="26"/>
      <c r="G429" s="26"/>
      <c r="H429" s="10" t="s">
        <v>172</v>
      </c>
    </row>
    <row r="430" s="9" customFormat="1" ht="13" customHeight="1" spans="1:8">
      <c r="A430" s="10" t="s">
        <v>172</v>
      </c>
      <c r="B430" s="26"/>
      <c r="C430" s="26"/>
      <c r="D430" s="26"/>
      <c r="E430" s="26"/>
      <c r="F430" s="26"/>
      <c r="G430" s="27" t="s">
        <v>1847</v>
      </c>
      <c r="H430" s="10" t="s">
        <v>172</v>
      </c>
    </row>
    <row r="431" s="9" customFormat="1" ht="17" customHeight="1" spans="1:8">
      <c r="A431" s="10" t="s">
        <v>172</v>
      </c>
      <c r="B431" s="11"/>
      <c r="C431" s="11"/>
      <c r="D431" s="11"/>
      <c r="E431" s="11"/>
      <c r="F431" s="11"/>
      <c r="G431" s="11"/>
      <c r="H431" s="10" t="s">
        <v>172</v>
      </c>
    </row>
    <row r="432" s="9" customFormat="1" ht="23" customHeight="1" spans="1:8">
      <c r="A432" s="10" t="s">
        <v>172</v>
      </c>
      <c r="B432" s="12"/>
      <c r="C432" s="12"/>
      <c r="D432" s="12"/>
      <c r="E432" s="12"/>
      <c r="F432" s="12"/>
      <c r="G432" s="12"/>
      <c r="H432" s="10" t="s">
        <v>172</v>
      </c>
    </row>
    <row r="433" s="9" customFormat="1" ht="16" customHeight="1" spans="1:8">
      <c r="A433" s="10" t="s">
        <v>172</v>
      </c>
      <c r="B433" s="13"/>
      <c r="C433" s="13"/>
      <c r="D433" s="13"/>
      <c r="E433" s="13"/>
      <c r="F433" s="13"/>
      <c r="G433" s="13"/>
      <c r="H433" s="10" t="s">
        <v>172</v>
      </c>
    </row>
    <row r="434" s="9" customFormat="1" ht="12" customHeight="1" spans="1:8">
      <c r="A434" s="10" t="s">
        <v>172</v>
      </c>
      <c r="B434" s="14"/>
      <c r="C434" s="14"/>
      <c r="D434" s="14"/>
      <c r="E434" s="14"/>
      <c r="F434" s="14"/>
      <c r="G434" s="14"/>
      <c r="H434" s="10" t="s">
        <v>172</v>
      </c>
    </row>
    <row r="435" s="9" customFormat="1" ht="17" customHeight="1" spans="1:8">
      <c r="A435" s="10" t="s">
        <v>172</v>
      </c>
      <c r="B435" s="15" t="s">
        <v>1836</v>
      </c>
      <c r="C435" s="16" t="s">
        <v>1837</v>
      </c>
      <c r="D435" s="17" t="s">
        <v>1838</v>
      </c>
      <c r="E435" s="18" t="s">
        <v>1839</v>
      </c>
      <c r="F435" s="10" t="s">
        <v>172</v>
      </c>
      <c r="G435" s="10" t="s">
        <v>172</v>
      </c>
      <c r="H435" s="10" t="s">
        <v>172</v>
      </c>
    </row>
    <row r="436" s="9" customFormat="1" ht="26" customHeight="1" spans="1:8">
      <c r="A436" s="10" t="s">
        <v>172</v>
      </c>
      <c r="B436" s="19" t="s">
        <v>412</v>
      </c>
      <c r="C436" s="20" t="s">
        <v>804</v>
      </c>
      <c r="D436" s="21">
        <v>16</v>
      </c>
      <c r="E436" s="22">
        <v>414414.414414</v>
      </c>
      <c r="F436" s="10" t="s">
        <v>172</v>
      </c>
      <c r="G436" s="10" t="s">
        <v>172</v>
      </c>
      <c r="H436" s="10" t="s">
        <v>172</v>
      </c>
    </row>
    <row r="437" s="9" customFormat="1" ht="17" customHeight="1" spans="1:8">
      <c r="A437" s="10" t="s">
        <v>172</v>
      </c>
      <c r="B437" s="19" t="s">
        <v>412</v>
      </c>
      <c r="C437" s="16" t="s">
        <v>1841</v>
      </c>
      <c r="D437" s="23">
        <v>80</v>
      </c>
      <c r="E437" s="24">
        <v>1845082.551702</v>
      </c>
      <c r="F437" s="10" t="s">
        <v>172</v>
      </c>
      <c r="G437" s="10" t="s">
        <v>172</v>
      </c>
      <c r="H437" s="10" t="s">
        <v>172</v>
      </c>
    </row>
    <row r="438" s="9" customFormat="1" ht="26" customHeight="1" spans="1:8">
      <c r="A438" s="10" t="s">
        <v>172</v>
      </c>
      <c r="B438" s="19" t="s">
        <v>492</v>
      </c>
      <c r="C438" s="20" t="s">
        <v>804</v>
      </c>
      <c r="D438" s="21">
        <v>32</v>
      </c>
      <c r="E438" s="22">
        <v>3203603.603602</v>
      </c>
      <c r="F438" s="10" t="s">
        <v>172</v>
      </c>
      <c r="G438" s="10" t="s">
        <v>172</v>
      </c>
      <c r="H438" s="10" t="s">
        <v>172</v>
      </c>
    </row>
    <row r="439" s="9" customFormat="1" ht="17" customHeight="1" spans="1:8">
      <c r="A439" s="10" t="s">
        <v>172</v>
      </c>
      <c r="B439" s="19" t="s">
        <v>492</v>
      </c>
      <c r="C439" s="16" t="s">
        <v>1841</v>
      </c>
      <c r="D439" s="23">
        <v>32</v>
      </c>
      <c r="E439" s="24">
        <v>3203603.603602</v>
      </c>
      <c r="F439" s="10" t="s">
        <v>172</v>
      </c>
      <c r="G439" s="10" t="s">
        <v>172</v>
      </c>
      <c r="H439" s="10" t="s">
        <v>172</v>
      </c>
    </row>
    <row r="440" s="9" customFormat="1" ht="26" customHeight="1" spans="1:8">
      <c r="A440" s="10" t="s">
        <v>172</v>
      </c>
      <c r="B440" s="19" t="s">
        <v>413</v>
      </c>
      <c r="C440" s="20" t="s">
        <v>1191</v>
      </c>
      <c r="D440" s="21">
        <v>10</v>
      </c>
      <c r="E440" s="22">
        <v>1075100</v>
      </c>
      <c r="F440" s="10" t="s">
        <v>172</v>
      </c>
      <c r="G440" s="10" t="s">
        <v>172</v>
      </c>
      <c r="H440" s="10" t="s">
        <v>172</v>
      </c>
    </row>
    <row r="441" s="9" customFormat="1" ht="26" customHeight="1" spans="1:8">
      <c r="A441" s="10" t="s">
        <v>172</v>
      </c>
      <c r="B441" s="19" t="s">
        <v>413</v>
      </c>
      <c r="C441" s="20" t="s">
        <v>804</v>
      </c>
      <c r="D441" s="21">
        <v>22</v>
      </c>
      <c r="E441" s="22">
        <v>2682882.882884</v>
      </c>
      <c r="F441" s="10" t="s">
        <v>172</v>
      </c>
      <c r="G441" s="10" t="s">
        <v>172</v>
      </c>
      <c r="H441" s="10" t="s">
        <v>172</v>
      </c>
    </row>
    <row r="442" s="9" customFormat="1" ht="17" customHeight="1" spans="1:8">
      <c r="A442" s="10" t="s">
        <v>172</v>
      </c>
      <c r="B442" s="19" t="s">
        <v>413</v>
      </c>
      <c r="C442" s="16" t="s">
        <v>1841</v>
      </c>
      <c r="D442" s="23">
        <v>32</v>
      </c>
      <c r="E442" s="24">
        <v>3757982.882884</v>
      </c>
      <c r="F442" s="10" t="s">
        <v>172</v>
      </c>
      <c r="G442" s="10" t="s">
        <v>172</v>
      </c>
      <c r="H442" s="10" t="s">
        <v>172</v>
      </c>
    </row>
    <row r="443" s="9" customFormat="1" ht="37" customHeight="1" spans="1:8">
      <c r="A443" s="10" t="s">
        <v>172</v>
      </c>
      <c r="B443" s="19" t="s">
        <v>1202</v>
      </c>
      <c r="C443" s="20" t="s">
        <v>182</v>
      </c>
      <c r="D443" s="21">
        <v>12</v>
      </c>
      <c r="E443" s="22">
        <v>2032432.432431</v>
      </c>
      <c r="F443" s="10" t="s">
        <v>172</v>
      </c>
      <c r="G443" s="10" t="s">
        <v>172</v>
      </c>
      <c r="H443" s="10" t="s">
        <v>172</v>
      </c>
    </row>
    <row r="444" s="9" customFormat="1" ht="26" customHeight="1" spans="1:8">
      <c r="A444" s="10" t="s">
        <v>172</v>
      </c>
      <c r="B444" s="19" t="s">
        <v>1202</v>
      </c>
      <c r="C444" s="20" t="s">
        <v>804</v>
      </c>
      <c r="D444" s="21">
        <v>4</v>
      </c>
      <c r="E444" s="22">
        <v>677477.477477</v>
      </c>
      <c r="F444" s="10" t="s">
        <v>172</v>
      </c>
      <c r="G444" s="10" t="s">
        <v>172</v>
      </c>
      <c r="H444" s="10" t="s">
        <v>172</v>
      </c>
    </row>
    <row r="445" s="9" customFormat="1" ht="17" customHeight="1" spans="1:8">
      <c r="A445" s="10" t="s">
        <v>172</v>
      </c>
      <c r="B445" s="19" t="s">
        <v>1202</v>
      </c>
      <c r="C445" s="16" t="s">
        <v>1841</v>
      </c>
      <c r="D445" s="23">
        <v>16</v>
      </c>
      <c r="E445" s="24">
        <v>2709909.909908</v>
      </c>
      <c r="F445" s="10" t="s">
        <v>172</v>
      </c>
      <c r="G445" s="10" t="s">
        <v>172</v>
      </c>
      <c r="H445" s="10" t="s">
        <v>172</v>
      </c>
    </row>
    <row r="446" s="9" customFormat="1" ht="37" customHeight="1" spans="1:8">
      <c r="A446" s="10" t="s">
        <v>172</v>
      </c>
      <c r="B446" s="19" t="s">
        <v>1869</v>
      </c>
      <c r="C446" s="20" t="s">
        <v>182</v>
      </c>
      <c r="D446" s="21">
        <v>4</v>
      </c>
      <c r="E446" s="22">
        <v>216216.216216</v>
      </c>
      <c r="F446" s="10" t="s">
        <v>172</v>
      </c>
      <c r="G446" s="10" t="s">
        <v>172</v>
      </c>
      <c r="H446" s="10" t="s">
        <v>172</v>
      </c>
    </row>
    <row r="447" s="9" customFormat="1" ht="17" customHeight="1" spans="1:8">
      <c r="A447" s="10" t="s">
        <v>172</v>
      </c>
      <c r="B447" s="19" t="s">
        <v>1869</v>
      </c>
      <c r="C447" s="16" t="s">
        <v>1841</v>
      </c>
      <c r="D447" s="23">
        <v>4</v>
      </c>
      <c r="E447" s="24">
        <v>216216.216216</v>
      </c>
      <c r="F447" s="10" t="s">
        <v>172</v>
      </c>
      <c r="G447" s="10" t="s">
        <v>172</v>
      </c>
      <c r="H447" s="10" t="s">
        <v>172</v>
      </c>
    </row>
    <row r="448" s="9" customFormat="1" ht="37" customHeight="1" spans="1:8">
      <c r="A448" s="10" t="s">
        <v>172</v>
      </c>
      <c r="B448" s="19" t="s">
        <v>963</v>
      </c>
      <c r="C448" s="20" t="s">
        <v>182</v>
      </c>
      <c r="D448" s="21">
        <v>4</v>
      </c>
      <c r="E448" s="22">
        <v>677477.477477</v>
      </c>
      <c r="F448" s="10" t="s">
        <v>172</v>
      </c>
      <c r="G448" s="10" t="s">
        <v>172</v>
      </c>
      <c r="H448" s="10" t="s">
        <v>172</v>
      </c>
    </row>
    <row r="449" s="9" customFormat="1" ht="17" customHeight="1" spans="1:8">
      <c r="A449" s="10" t="s">
        <v>172</v>
      </c>
      <c r="B449" s="19" t="s">
        <v>963</v>
      </c>
      <c r="C449" s="16" t="s">
        <v>1841</v>
      </c>
      <c r="D449" s="23">
        <v>4</v>
      </c>
      <c r="E449" s="24">
        <v>677477.477477</v>
      </c>
      <c r="F449" s="10" t="s">
        <v>172</v>
      </c>
      <c r="G449" s="10" t="s">
        <v>172</v>
      </c>
      <c r="H449" s="10" t="s">
        <v>172</v>
      </c>
    </row>
    <row r="450" s="9" customFormat="1" ht="1" customHeight="1" spans="1:8">
      <c r="A450" s="10" t="s">
        <v>172</v>
      </c>
      <c r="B450" s="25"/>
      <c r="C450" s="25"/>
      <c r="D450" s="25"/>
      <c r="E450" s="25"/>
      <c r="F450" s="25"/>
      <c r="G450" s="25"/>
      <c r="H450" s="10" t="s">
        <v>172</v>
      </c>
    </row>
    <row r="451" s="9" customFormat="1" ht="13" customHeight="1" spans="1:8">
      <c r="A451" s="10" t="s">
        <v>172</v>
      </c>
      <c r="B451" s="26"/>
      <c r="C451" s="26"/>
      <c r="D451" s="26"/>
      <c r="E451" s="26"/>
      <c r="F451" s="26"/>
      <c r="G451" s="26"/>
      <c r="H451" s="10" t="s">
        <v>172</v>
      </c>
    </row>
    <row r="452" s="9" customFormat="1" ht="13" customHeight="1" spans="1:8">
      <c r="A452" s="10" t="s">
        <v>172</v>
      </c>
      <c r="B452" s="26"/>
      <c r="C452" s="26"/>
      <c r="D452" s="26"/>
      <c r="E452" s="26"/>
      <c r="F452" s="26"/>
      <c r="G452" s="26"/>
      <c r="H452" s="10" t="s">
        <v>172</v>
      </c>
    </row>
    <row r="453" s="9" customFormat="1" ht="13" customHeight="1" spans="1:8">
      <c r="A453" s="10" t="s">
        <v>172</v>
      </c>
      <c r="B453" s="26"/>
      <c r="C453" s="26"/>
      <c r="D453" s="26"/>
      <c r="E453" s="26"/>
      <c r="F453" s="26"/>
      <c r="G453" s="26"/>
      <c r="H453" s="10" t="s">
        <v>172</v>
      </c>
    </row>
    <row r="454" s="9" customFormat="1" ht="13" customHeight="1" spans="1:8">
      <c r="A454" s="10" t="s">
        <v>172</v>
      </c>
      <c r="B454" s="26"/>
      <c r="C454" s="26"/>
      <c r="D454" s="26"/>
      <c r="E454" s="26"/>
      <c r="F454" s="26"/>
      <c r="G454" s="27" t="s">
        <v>1847</v>
      </c>
      <c r="H454" s="10" t="s">
        <v>172</v>
      </c>
    </row>
    <row r="455" s="9" customFormat="1" ht="17" customHeight="1" spans="1:8">
      <c r="A455" s="10" t="s">
        <v>172</v>
      </c>
      <c r="B455" s="11"/>
      <c r="C455" s="11"/>
      <c r="D455" s="11"/>
      <c r="E455" s="11"/>
      <c r="F455" s="11"/>
      <c r="G455" s="11"/>
      <c r="H455" s="10" t="s">
        <v>172</v>
      </c>
    </row>
    <row r="456" s="9" customFormat="1" ht="23" customHeight="1" spans="1:8">
      <c r="A456" s="10" t="s">
        <v>172</v>
      </c>
      <c r="B456" s="12"/>
      <c r="C456" s="12"/>
      <c r="D456" s="12"/>
      <c r="E456" s="12"/>
      <c r="F456" s="12"/>
      <c r="G456" s="12"/>
      <c r="H456" s="10" t="s">
        <v>172</v>
      </c>
    </row>
    <row r="457" s="9" customFormat="1" ht="16" customHeight="1" spans="1:8">
      <c r="A457" s="10" t="s">
        <v>172</v>
      </c>
      <c r="B457" s="13"/>
      <c r="C457" s="13"/>
      <c r="D457" s="13"/>
      <c r="E457" s="13"/>
      <c r="F457" s="13"/>
      <c r="G457" s="13"/>
      <c r="H457" s="10" t="s">
        <v>172</v>
      </c>
    </row>
    <row r="458" s="9" customFormat="1" ht="12" customHeight="1" spans="1:8">
      <c r="A458" s="10" t="s">
        <v>172</v>
      </c>
      <c r="B458" s="14"/>
      <c r="C458" s="14"/>
      <c r="D458" s="14"/>
      <c r="E458" s="14"/>
      <c r="F458" s="14"/>
      <c r="G458" s="14"/>
      <c r="H458" s="10" t="s">
        <v>172</v>
      </c>
    </row>
    <row r="459" s="9" customFormat="1" ht="17" customHeight="1" spans="1:8">
      <c r="A459" s="10" t="s">
        <v>172</v>
      </c>
      <c r="B459" s="15" t="s">
        <v>1836</v>
      </c>
      <c r="C459" s="16" t="s">
        <v>1837</v>
      </c>
      <c r="D459" s="17" t="s">
        <v>1838</v>
      </c>
      <c r="E459" s="18" t="s">
        <v>1839</v>
      </c>
      <c r="F459" s="10" t="s">
        <v>172</v>
      </c>
      <c r="G459" s="10" t="s">
        <v>172</v>
      </c>
      <c r="H459" s="10" t="s">
        <v>172</v>
      </c>
    </row>
    <row r="460" s="9" customFormat="1" ht="26" customHeight="1" spans="1:8">
      <c r="A460" s="10" t="s">
        <v>172</v>
      </c>
      <c r="B460" s="19" t="s">
        <v>1870</v>
      </c>
      <c r="C460" s="20" t="s">
        <v>1191</v>
      </c>
      <c r="D460" s="21">
        <v>10</v>
      </c>
      <c r="E460" s="22">
        <v>941200</v>
      </c>
      <c r="F460" s="10" t="s">
        <v>172</v>
      </c>
      <c r="G460" s="10" t="s">
        <v>172</v>
      </c>
      <c r="H460" s="10" t="s">
        <v>172</v>
      </c>
    </row>
    <row r="461" s="9" customFormat="1" ht="17" customHeight="1" spans="1:8">
      <c r="A461" s="10" t="s">
        <v>172</v>
      </c>
      <c r="B461" s="19" t="s">
        <v>1870</v>
      </c>
      <c r="C461" s="16" t="s">
        <v>1841</v>
      </c>
      <c r="D461" s="23">
        <v>10</v>
      </c>
      <c r="E461" s="24">
        <v>941200</v>
      </c>
      <c r="F461" s="10" t="s">
        <v>172</v>
      </c>
      <c r="G461" s="10" t="s">
        <v>172</v>
      </c>
      <c r="H461" s="10" t="s">
        <v>172</v>
      </c>
    </row>
    <row r="462" s="9" customFormat="1" ht="37" customHeight="1" spans="1:8">
      <c r="A462" s="10" t="s">
        <v>172</v>
      </c>
      <c r="B462" s="19" t="s">
        <v>415</v>
      </c>
      <c r="C462" s="20" t="s">
        <v>182</v>
      </c>
      <c r="D462" s="21">
        <v>2</v>
      </c>
      <c r="E462" s="22">
        <v>90811.099099</v>
      </c>
      <c r="F462" s="10" t="s">
        <v>172</v>
      </c>
      <c r="G462" s="10" t="s">
        <v>172</v>
      </c>
      <c r="H462" s="10" t="s">
        <v>172</v>
      </c>
    </row>
    <row r="463" s="9" customFormat="1" ht="17" customHeight="1" spans="1:8">
      <c r="A463" s="10" t="s">
        <v>172</v>
      </c>
      <c r="B463" s="19" t="s">
        <v>415</v>
      </c>
      <c r="C463" s="16" t="s">
        <v>1841</v>
      </c>
      <c r="D463" s="23">
        <v>2</v>
      </c>
      <c r="E463" s="24">
        <v>90811.099099</v>
      </c>
      <c r="F463" s="10" t="s">
        <v>172</v>
      </c>
      <c r="G463" s="10" t="s">
        <v>172</v>
      </c>
      <c r="H463" s="10" t="s">
        <v>172</v>
      </c>
    </row>
    <row r="464" s="9" customFormat="1" ht="26" customHeight="1" spans="1:8">
      <c r="A464" s="10" t="s">
        <v>172</v>
      </c>
      <c r="B464" s="19" t="s">
        <v>203</v>
      </c>
      <c r="C464" s="20" t="s">
        <v>1191</v>
      </c>
      <c r="D464" s="21">
        <v>10</v>
      </c>
      <c r="E464" s="22">
        <v>330856.5</v>
      </c>
      <c r="F464" s="10" t="s">
        <v>172</v>
      </c>
      <c r="G464" s="10" t="s">
        <v>172</v>
      </c>
      <c r="H464" s="10" t="s">
        <v>172</v>
      </c>
    </row>
    <row r="465" s="9" customFormat="1" ht="26" customHeight="1" spans="1:8">
      <c r="A465" s="10" t="s">
        <v>172</v>
      </c>
      <c r="B465" s="19" t="s">
        <v>203</v>
      </c>
      <c r="C465" s="20" t="s">
        <v>804</v>
      </c>
      <c r="D465" s="21">
        <v>3</v>
      </c>
      <c r="E465" s="22">
        <v>194594.657658</v>
      </c>
      <c r="F465" s="10" t="s">
        <v>172</v>
      </c>
      <c r="G465" s="10" t="s">
        <v>172</v>
      </c>
      <c r="H465" s="10" t="s">
        <v>172</v>
      </c>
    </row>
    <row r="466" s="9" customFormat="1" ht="17" customHeight="1" spans="1:8">
      <c r="A466" s="10" t="s">
        <v>172</v>
      </c>
      <c r="B466" s="19" t="s">
        <v>203</v>
      </c>
      <c r="C466" s="16" t="s">
        <v>1841</v>
      </c>
      <c r="D466" s="23">
        <v>13</v>
      </c>
      <c r="E466" s="24">
        <v>525451.157658</v>
      </c>
      <c r="F466" s="10" t="s">
        <v>172</v>
      </c>
      <c r="G466" s="10" t="s">
        <v>172</v>
      </c>
      <c r="H466" s="10" t="s">
        <v>172</v>
      </c>
    </row>
    <row r="467" s="9" customFormat="1" ht="26" customHeight="1" spans="1:8">
      <c r="A467" s="10" t="s">
        <v>172</v>
      </c>
      <c r="B467" s="19" t="s">
        <v>204</v>
      </c>
      <c r="C467" s="20" t="s">
        <v>1191</v>
      </c>
      <c r="D467" s="21">
        <v>20</v>
      </c>
      <c r="E467" s="22">
        <v>661713</v>
      </c>
      <c r="F467" s="10" t="s">
        <v>172</v>
      </c>
      <c r="G467" s="10" t="s">
        <v>172</v>
      </c>
      <c r="H467" s="10" t="s">
        <v>172</v>
      </c>
    </row>
    <row r="468" s="9" customFormat="1" ht="37" customHeight="1" spans="1:8">
      <c r="A468" s="10" t="s">
        <v>172</v>
      </c>
      <c r="B468" s="19" t="s">
        <v>204</v>
      </c>
      <c r="C468" s="20" t="s">
        <v>182</v>
      </c>
      <c r="D468" s="21">
        <v>2</v>
      </c>
      <c r="E468" s="22">
        <v>45405.198198</v>
      </c>
      <c r="F468" s="10" t="s">
        <v>172</v>
      </c>
      <c r="G468" s="10" t="s">
        <v>172</v>
      </c>
      <c r="H468" s="10" t="s">
        <v>172</v>
      </c>
    </row>
    <row r="469" s="9" customFormat="1" ht="26" customHeight="1" spans="1:8">
      <c r="A469" s="10" t="s">
        <v>172</v>
      </c>
      <c r="B469" s="19" t="s">
        <v>204</v>
      </c>
      <c r="C469" s="20" t="s">
        <v>804</v>
      </c>
      <c r="D469" s="21">
        <v>1</v>
      </c>
      <c r="E469" s="22">
        <v>64864.864865</v>
      </c>
      <c r="F469" s="10" t="s">
        <v>172</v>
      </c>
      <c r="G469" s="10" t="s">
        <v>172</v>
      </c>
      <c r="H469" s="10" t="s">
        <v>172</v>
      </c>
    </row>
    <row r="470" s="9" customFormat="1" ht="17" customHeight="1" spans="1:8">
      <c r="A470" s="10" t="s">
        <v>172</v>
      </c>
      <c r="B470" s="19" t="s">
        <v>204</v>
      </c>
      <c r="C470" s="16" t="s">
        <v>1841</v>
      </c>
      <c r="D470" s="23">
        <v>23</v>
      </c>
      <c r="E470" s="24">
        <v>771983.063063</v>
      </c>
      <c r="F470" s="10" t="s">
        <v>172</v>
      </c>
      <c r="G470" s="10" t="s">
        <v>172</v>
      </c>
      <c r="H470" s="10" t="s">
        <v>172</v>
      </c>
    </row>
    <row r="471" s="9" customFormat="1" ht="26" customHeight="1" spans="1:8">
      <c r="A471" s="10" t="s">
        <v>172</v>
      </c>
      <c r="B471" s="19" t="s">
        <v>358</v>
      </c>
      <c r="C471" s="20" t="s">
        <v>1191</v>
      </c>
      <c r="D471" s="21">
        <v>5</v>
      </c>
      <c r="E471" s="22">
        <v>177141.25</v>
      </c>
      <c r="F471" s="10" t="s">
        <v>172</v>
      </c>
      <c r="G471" s="10" t="s">
        <v>172</v>
      </c>
      <c r="H471" s="10" t="s">
        <v>172</v>
      </c>
    </row>
    <row r="472" s="9" customFormat="1" ht="17" customHeight="1" spans="1:8">
      <c r="A472" s="10" t="s">
        <v>172</v>
      </c>
      <c r="B472" s="19" t="s">
        <v>358</v>
      </c>
      <c r="C472" s="16" t="s">
        <v>1841</v>
      </c>
      <c r="D472" s="23">
        <v>5</v>
      </c>
      <c r="E472" s="24">
        <v>177141.25</v>
      </c>
      <c r="F472" s="10" t="s">
        <v>172</v>
      </c>
      <c r="G472" s="10" t="s">
        <v>172</v>
      </c>
      <c r="H472" s="10" t="s">
        <v>172</v>
      </c>
    </row>
    <row r="473" s="9" customFormat="1" ht="26" customHeight="1" spans="1:8">
      <c r="A473" s="10" t="s">
        <v>172</v>
      </c>
      <c r="B473" s="19" t="s">
        <v>359</v>
      </c>
      <c r="C473" s="20" t="s">
        <v>1191</v>
      </c>
      <c r="D473" s="21">
        <v>31</v>
      </c>
      <c r="E473" s="22">
        <v>1098275.75</v>
      </c>
      <c r="F473" s="10" t="s">
        <v>172</v>
      </c>
      <c r="G473" s="10" t="s">
        <v>172</v>
      </c>
      <c r="H473" s="10" t="s">
        <v>172</v>
      </c>
    </row>
    <row r="474" s="9" customFormat="1" ht="17" customHeight="1" spans="1:8">
      <c r="A474" s="10" t="s">
        <v>172</v>
      </c>
      <c r="B474" s="19" t="s">
        <v>359</v>
      </c>
      <c r="C474" s="16" t="s">
        <v>1841</v>
      </c>
      <c r="D474" s="23">
        <v>31</v>
      </c>
      <c r="E474" s="24">
        <v>1098275.75</v>
      </c>
      <c r="F474" s="10" t="s">
        <v>172</v>
      </c>
      <c r="G474" s="10" t="s">
        <v>172</v>
      </c>
      <c r="H474" s="10" t="s">
        <v>172</v>
      </c>
    </row>
    <row r="475" s="9" customFormat="1" ht="1" customHeight="1" spans="1:8">
      <c r="A475" s="10" t="s">
        <v>172</v>
      </c>
      <c r="B475" s="25"/>
      <c r="C475" s="25"/>
      <c r="D475" s="25"/>
      <c r="E475" s="25"/>
      <c r="F475" s="25"/>
      <c r="G475" s="25"/>
      <c r="H475" s="10" t="s">
        <v>172</v>
      </c>
    </row>
    <row r="476" s="9" customFormat="1" ht="13" customHeight="1" spans="1:8">
      <c r="A476" s="10" t="s">
        <v>172</v>
      </c>
      <c r="B476" s="26"/>
      <c r="C476" s="26"/>
      <c r="D476" s="26"/>
      <c r="E476" s="26"/>
      <c r="F476" s="26"/>
      <c r="G476" s="26"/>
      <c r="H476" s="10" t="s">
        <v>172</v>
      </c>
    </row>
    <row r="477" s="9" customFormat="1" ht="13" customHeight="1" spans="1:8">
      <c r="A477" s="10" t="s">
        <v>172</v>
      </c>
      <c r="B477" s="26"/>
      <c r="C477" s="26"/>
      <c r="D477" s="26"/>
      <c r="E477" s="26"/>
      <c r="F477" s="26"/>
      <c r="G477" s="26"/>
      <c r="H477" s="10" t="s">
        <v>172</v>
      </c>
    </row>
    <row r="478" s="9" customFormat="1" ht="13" customHeight="1" spans="1:8">
      <c r="A478" s="10" t="s">
        <v>172</v>
      </c>
      <c r="B478" s="26"/>
      <c r="C478" s="26"/>
      <c r="D478" s="26"/>
      <c r="E478" s="26"/>
      <c r="F478" s="26"/>
      <c r="G478" s="26"/>
      <c r="H478" s="10" t="s">
        <v>172</v>
      </c>
    </row>
    <row r="479" s="9" customFormat="1" ht="13" customHeight="1" spans="1:8">
      <c r="A479" s="10" t="s">
        <v>172</v>
      </c>
      <c r="B479" s="26"/>
      <c r="C479" s="26"/>
      <c r="D479" s="26"/>
      <c r="E479" s="26"/>
      <c r="F479" s="26"/>
      <c r="G479" s="27" t="s">
        <v>1847</v>
      </c>
      <c r="H479" s="10" t="s">
        <v>172</v>
      </c>
    </row>
    <row r="480" s="9" customFormat="1" ht="17" customHeight="1" spans="1:8">
      <c r="A480" s="10" t="s">
        <v>172</v>
      </c>
      <c r="B480" s="11"/>
      <c r="C480" s="11"/>
      <c r="D480" s="11"/>
      <c r="E480" s="11"/>
      <c r="F480" s="11"/>
      <c r="G480" s="11"/>
      <c r="H480" s="10" t="s">
        <v>172</v>
      </c>
    </row>
    <row r="481" s="9" customFormat="1" ht="23" customHeight="1" spans="1:8">
      <c r="A481" s="10" t="s">
        <v>172</v>
      </c>
      <c r="B481" s="12"/>
      <c r="C481" s="12"/>
      <c r="D481" s="12"/>
      <c r="E481" s="12"/>
      <c r="F481" s="12"/>
      <c r="G481" s="12"/>
      <c r="H481" s="10" t="s">
        <v>172</v>
      </c>
    </row>
    <row r="482" s="9" customFormat="1" ht="16" customHeight="1" spans="1:8">
      <c r="A482" s="10" t="s">
        <v>172</v>
      </c>
      <c r="B482" s="13"/>
      <c r="C482" s="13"/>
      <c r="D482" s="13"/>
      <c r="E482" s="13"/>
      <c r="F482" s="13"/>
      <c r="G482" s="13"/>
      <c r="H482" s="10" t="s">
        <v>172</v>
      </c>
    </row>
    <row r="483" s="9" customFormat="1" ht="12" customHeight="1" spans="1:8">
      <c r="A483" s="10" t="s">
        <v>172</v>
      </c>
      <c r="B483" s="14"/>
      <c r="C483" s="14"/>
      <c r="D483" s="14"/>
      <c r="E483" s="14"/>
      <c r="F483" s="14"/>
      <c r="G483" s="14"/>
      <c r="H483" s="10" t="s">
        <v>172</v>
      </c>
    </row>
    <row r="484" s="9" customFormat="1" ht="17" customHeight="1" spans="1:8">
      <c r="A484" s="10" t="s">
        <v>172</v>
      </c>
      <c r="B484" s="15" t="s">
        <v>1836</v>
      </c>
      <c r="C484" s="16" t="s">
        <v>1837</v>
      </c>
      <c r="D484" s="17" t="s">
        <v>1838</v>
      </c>
      <c r="E484" s="18" t="s">
        <v>1839</v>
      </c>
      <c r="F484" s="10" t="s">
        <v>172</v>
      </c>
      <c r="G484" s="10" t="s">
        <v>172</v>
      </c>
      <c r="H484" s="10" t="s">
        <v>172</v>
      </c>
    </row>
    <row r="485" s="9" customFormat="1" ht="26" customHeight="1" spans="1:8">
      <c r="A485" s="10" t="s">
        <v>172</v>
      </c>
      <c r="B485" s="19" t="s">
        <v>964</v>
      </c>
      <c r="C485" s="20" t="s">
        <v>1191</v>
      </c>
      <c r="D485" s="21">
        <v>3</v>
      </c>
      <c r="E485" s="22">
        <v>111553.65</v>
      </c>
      <c r="F485" s="10" t="s">
        <v>172</v>
      </c>
      <c r="G485" s="10" t="s">
        <v>172</v>
      </c>
      <c r="H485" s="10" t="s">
        <v>172</v>
      </c>
    </row>
    <row r="486" s="9" customFormat="1" ht="17" customHeight="1" spans="1:8">
      <c r="A486" s="10" t="s">
        <v>172</v>
      </c>
      <c r="B486" s="19" t="s">
        <v>964</v>
      </c>
      <c r="C486" s="16" t="s">
        <v>1841</v>
      </c>
      <c r="D486" s="23">
        <v>3</v>
      </c>
      <c r="E486" s="24">
        <v>111553.65</v>
      </c>
      <c r="F486" s="10" t="s">
        <v>172</v>
      </c>
      <c r="G486" s="10" t="s">
        <v>172</v>
      </c>
      <c r="H486" s="10" t="s">
        <v>172</v>
      </c>
    </row>
    <row r="487" s="9" customFormat="1" ht="26" customHeight="1" spans="1:8">
      <c r="A487" s="10" t="s">
        <v>172</v>
      </c>
      <c r="B487" s="19" t="s">
        <v>206</v>
      </c>
      <c r="C487" s="20" t="s">
        <v>1191</v>
      </c>
      <c r="D487" s="21">
        <v>5</v>
      </c>
      <c r="E487" s="22">
        <v>185922.75</v>
      </c>
      <c r="F487" s="10" t="s">
        <v>172</v>
      </c>
      <c r="G487" s="10" t="s">
        <v>172</v>
      </c>
      <c r="H487" s="10" t="s">
        <v>172</v>
      </c>
    </row>
    <row r="488" s="9" customFormat="1" ht="26" customHeight="1" spans="1:8">
      <c r="A488" s="10" t="s">
        <v>172</v>
      </c>
      <c r="B488" s="19" t="s">
        <v>206</v>
      </c>
      <c r="C488" s="20" t="s">
        <v>804</v>
      </c>
      <c r="D488" s="21">
        <v>1</v>
      </c>
      <c r="E488" s="22">
        <v>72072.072072</v>
      </c>
      <c r="F488" s="10" t="s">
        <v>172</v>
      </c>
      <c r="G488" s="10" t="s">
        <v>172</v>
      </c>
      <c r="H488" s="10" t="s">
        <v>172</v>
      </c>
    </row>
    <row r="489" s="9" customFormat="1" ht="17" customHeight="1" spans="1:8">
      <c r="A489" s="10" t="s">
        <v>172</v>
      </c>
      <c r="B489" s="19" t="s">
        <v>206</v>
      </c>
      <c r="C489" s="16" t="s">
        <v>1841</v>
      </c>
      <c r="D489" s="23">
        <v>6</v>
      </c>
      <c r="E489" s="24">
        <v>257994.822072</v>
      </c>
      <c r="F489" s="10" t="s">
        <v>172</v>
      </c>
      <c r="G489" s="10" t="s">
        <v>172</v>
      </c>
      <c r="H489" s="10" t="s">
        <v>172</v>
      </c>
    </row>
    <row r="490" s="9" customFormat="1" ht="26" customHeight="1" spans="1:8">
      <c r="A490" s="10" t="s">
        <v>172</v>
      </c>
      <c r="B490" s="19" t="s">
        <v>207</v>
      </c>
      <c r="C490" s="20" t="s">
        <v>1191</v>
      </c>
      <c r="D490" s="21">
        <v>7</v>
      </c>
      <c r="E490" s="22">
        <v>293083.7</v>
      </c>
      <c r="F490" s="10" t="s">
        <v>172</v>
      </c>
      <c r="G490" s="10" t="s">
        <v>172</v>
      </c>
      <c r="H490" s="10" t="s">
        <v>172</v>
      </c>
    </row>
    <row r="491" s="9" customFormat="1" ht="17" customHeight="1" spans="1:8">
      <c r="A491" s="10" t="s">
        <v>172</v>
      </c>
      <c r="B491" s="19" t="s">
        <v>207</v>
      </c>
      <c r="C491" s="16" t="s">
        <v>1841</v>
      </c>
      <c r="D491" s="23">
        <v>7</v>
      </c>
      <c r="E491" s="24">
        <v>293083.7</v>
      </c>
      <c r="F491" s="10" t="s">
        <v>172</v>
      </c>
      <c r="G491" s="10" t="s">
        <v>172</v>
      </c>
      <c r="H491" s="10" t="s">
        <v>172</v>
      </c>
    </row>
    <row r="492" s="9" customFormat="1" ht="26" customHeight="1" spans="1:8">
      <c r="A492" s="10" t="s">
        <v>172</v>
      </c>
      <c r="B492" s="19" t="s">
        <v>208</v>
      </c>
      <c r="C492" s="20" t="s">
        <v>1191</v>
      </c>
      <c r="D492" s="21">
        <v>15</v>
      </c>
      <c r="E492" s="22">
        <v>711486.75</v>
      </c>
      <c r="F492" s="10" t="s">
        <v>172</v>
      </c>
      <c r="G492" s="10" t="s">
        <v>172</v>
      </c>
      <c r="H492" s="10" t="s">
        <v>172</v>
      </c>
    </row>
    <row r="493" s="9" customFormat="1" ht="37" customHeight="1" spans="1:8">
      <c r="A493" s="10" t="s">
        <v>172</v>
      </c>
      <c r="B493" s="19" t="s">
        <v>208</v>
      </c>
      <c r="C493" s="20" t="s">
        <v>182</v>
      </c>
      <c r="D493" s="21">
        <v>3</v>
      </c>
      <c r="E493" s="22">
        <v>123603.603604</v>
      </c>
      <c r="F493" s="10" t="s">
        <v>172</v>
      </c>
      <c r="G493" s="10" t="s">
        <v>172</v>
      </c>
      <c r="H493" s="10" t="s">
        <v>172</v>
      </c>
    </row>
    <row r="494" s="9" customFormat="1" ht="17" customHeight="1" spans="1:8">
      <c r="A494" s="10" t="s">
        <v>172</v>
      </c>
      <c r="B494" s="19" t="s">
        <v>208</v>
      </c>
      <c r="C494" s="16" t="s">
        <v>1841</v>
      </c>
      <c r="D494" s="23">
        <v>18</v>
      </c>
      <c r="E494" s="24">
        <v>835090.353604</v>
      </c>
      <c r="F494" s="10" t="s">
        <v>172</v>
      </c>
      <c r="G494" s="10" t="s">
        <v>172</v>
      </c>
      <c r="H494" s="10" t="s">
        <v>172</v>
      </c>
    </row>
    <row r="495" s="9" customFormat="1" ht="26" customHeight="1" spans="1:8">
      <c r="A495" s="10" t="s">
        <v>172</v>
      </c>
      <c r="B495" s="19" t="s">
        <v>360</v>
      </c>
      <c r="C495" s="20" t="s">
        <v>1191</v>
      </c>
      <c r="D495" s="21">
        <v>20</v>
      </c>
      <c r="E495" s="22">
        <v>948649</v>
      </c>
      <c r="F495" s="10" t="s">
        <v>172</v>
      </c>
      <c r="G495" s="10" t="s">
        <v>172</v>
      </c>
      <c r="H495" s="10" t="s">
        <v>172</v>
      </c>
    </row>
    <row r="496" s="9" customFormat="1" ht="17" customHeight="1" spans="1:8">
      <c r="A496" s="10" t="s">
        <v>172</v>
      </c>
      <c r="B496" s="19" t="s">
        <v>360</v>
      </c>
      <c r="C496" s="16" t="s">
        <v>1841</v>
      </c>
      <c r="D496" s="23">
        <v>20</v>
      </c>
      <c r="E496" s="24">
        <v>948649</v>
      </c>
      <c r="F496" s="10" t="s">
        <v>172</v>
      </c>
      <c r="G496" s="10" t="s">
        <v>172</v>
      </c>
      <c r="H496" s="10" t="s">
        <v>172</v>
      </c>
    </row>
    <row r="497" s="9" customFormat="1" ht="26" customHeight="1" spans="1:8">
      <c r="A497" s="10" t="s">
        <v>172</v>
      </c>
      <c r="B497" s="19" t="s">
        <v>361</v>
      </c>
      <c r="C497" s="20" t="s">
        <v>1191</v>
      </c>
      <c r="D497" s="21">
        <v>13</v>
      </c>
      <c r="E497" s="22">
        <v>799327.75</v>
      </c>
      <c r="F497" s="10" t="s">
        <v>172</v>
      </c>
      <c r="G497" s="10" t="s">
        <v>172</v>
      </c>
      <c r="H497" s="10" t="s">
        <v>172</v>
      </c>
    </row>
    <row r="498" s="9" customFormat="1" ht="37" customHeight="1" spans="1:8">
      <c r="A498" s="10" t="s">
        <v>172</v>
      </c>
      <c r="B498" s="19" t="s">
        <v>361</v>
      </c>
      <c r="C498" s="20" t="s">
        <v>182</v>
      </c>
      <c r="D498" s="21">
        <v>1</v>
      </c>
      <c r="E498" s="22">
        <v>77568</v>
      </c>
      <c r="F498" s="10" t="s">
        <v>172</v>
      </c>
      <c r="G498" s="10" t="s">
        <v>172</v>
      </c>
      <c r="H498" s="10" t="s">
        <v>172</v>
      </c>
    </row>
    <row r="499" s="9" customFormat="1" ht="17" customHeight="1" spans="1:8">
      <c r="A499" s="10" t="s">
        <v>172</v>
      </c>
      <c r="B499" s="19" t="s">
        <v>361</v>
      </c>
      <c r="C499" s="16" t="s">
        <v>1841</v>
      </c>
      <c r="D499" s="23">
        <v>14</v>
      </c>
      <c r="E499" s="24">
        <v>876895.75</v>
      </c>
      <c r="F499" s="10" t="s">
        <v>172</v>
      </c>
      <c r="G499" s="10" t="s">
        <v>172</v>
      </c>
      <c r="H499" s="10" t="s">
        <v>172</v>
      </c>
    </row>
    <row r="500" s="9" customFormat="1" ht="1" customHeight="1" spans="1:8">
      <c r="A500" s="10" t="s">
        <v>172</v>
      </c>
      <c r="B500" s="25"/>
      <c r="C500" s="25"/>
      <c r="D500" s="25"/>
      <c r="E500" s="25"/>
      <c r="F500" s="25"/>
      <c r="G500" s="25"/>
      <c r="H500" s="10" t="s">
        <v>172</v>
      </c>
    </row>
    <row r="501" s="9" customFormat="1" ht="13" customHeight="1" spans="1:8">
      <c r="A501" s="10" t="s">
        <v>172</v>
      </c>
      <c r="B501" s="26"/>
      <c r="C501" s="26"/>
      <c r="D501" s="26"/>
      <c r="E501" s="26"/>
      <c r="F501" s="26"/>
      <c r="G501" s="26"/>
      <c r="H501" s="10" t="s">
        <v>172</v>
      </c>
    </row>
    <row r="502" s="9" customFormat="1" ht="13" customHeight="1" spans="1:8">
      <c r="A502" s="10" t="s">
        <v>172</v>
      </c>
      <c r="B502" s="26"/>
      <c r="C502" s="26"/>
      <c r="D502" s="26"/>
      <c r="E502" s="26"/>
      <c r="F502" s="26"/>
      <c r="G502" s="26"/>
      <c r="H502" s="10" t="s">
        <v>172</v>
      </c>
    </row>
    <row r="503" s="9" customFormat="1" ht="13" customHeight="1" spans="1:8">
      <c r="A503" s="10" t="s">
        <v>172</v>
      </c>
      <c r="B503" s="26"/>
      <c r="C503" s="26"/>
      <c r="D503" s="26"/>
      <c r="E503" s="26"/>
      <c r="F503" s="26"/>
      <c r="G503" s="26"/>
      <c r="H503" s="10" t="s">
        <v>172</v>
      </c>
    </row>
    <row r="504" s="9" customFormat="1" ht="13" customHeight="1" spans="1:8">
      <c r="A504" s="10" t="s">
        <v>172</v>
      </c>
      <c r="B504" s="26"/>
      <c r="C504" s="26"/>
      <c r="D504" s="26"/>
      <c r="E504" s="26"/>
      <c r="F504" s="26"/>
      <c r="G504" s="27" t="s">
        <v>1847</v>
      </c>
      <c r="H504" s="10" t="s">
        <v>172</v>
      </c>
    </row>
    <row r="505" s="9" customFormat="1" ht="17" customHeight="1" spans="1:8">
      <c r="A505" s="10" t="s">
        <v>172</v>
      </c>
      <c r="B505" s="11"/>
      <c r="C505" s="11"/>
      <c r="D505" s="11"/>
      <c r="E505" s="11"/>
      <c r="F505" s="11"/>
      <c r="G505" s="11"/>
      <c r="H505" s="10" t="s">
        <v>172</v>
      </c>
    </row>
    <row r="506" s="9" customFormat="1" ht="23" customHeight="1" spans="1:8">
      <c r="A506" s="10" t="s">
        <v>172</v>
      </c>
      <c r="B506" s="12"/>
      <c r="C506" s="12"/>
      <c r="D506" s="12"/>
      <c r="E506" s="12"/>
      <c r="F506" s="12"/>
      <c r="G506" s="12"/>
      <c r="H506" s="10" t="s">
        <v>172</v>
      </c>
    </row>
    <row r="507" s="9" customFormat="1" ht="16" customHeight="1" spans="1:8">
      <c r="A507" s="10" t="s">
        <v>172</v>
      </c>
      <c r="B507" s="13"/>
      <c r="C507" s="13"/>
      <c r="D507" s="13"/>
      <c r="E507" s="13"/>
      <c r="F507" s="13"/>
      <c r="G507" s="13"/>
      <c r="H507" s="10" t="s">
        <v>172</v>
      </c>
    </row>
    <row r="508" s="9" customFormat="1" ht="12" customHeight="1" spans="1:8">
      <c r="A508" s="10" t="s">
        <v>172</v>
      </c>
      <c r="B508" s="14"/>
      <c r="C508" s="14"/>
      <c r="D508" s="14"/>
      <c r="E508" s="14"/>
      <c r="F508" s="14"/>
      <c r="G508" s="14"/>
      <c r="H508" s="10" t="s">
        <v>172</v>
      </c>
    </row>
    <row r="509" s="9" customFormat="1" ht="17" customHeight="1" spans="1:8">
      <c r="A509" s="10" t="s">
        <v>172</v>
      </c>
      <c r="B509" s="15" t="s">
        <v>1836</v>
      </c>
      <c r="C509" s="16" t="s">
        <v>1837</v>
      </c>
      <c r="D509" s="17" t="s">
        <v>1838</v>
      </c>
      <c r="E509" s="18" t="s">
        <v>1839</v>
      </c>
      <c r="F509" s="10" t="s">
        <v>172</v>
      </c>
      <c r="G509" s="10" t="s">
        <v>172</v>
      </c>
      <c r="H509" s="10" t="s">
        <v>172</v>
      </c>
    </row>
    <row r="510" s="9" customFormat="1" ht="26" customHeight="1" spans="1:8">
      <c r="A510" s="10" t="s">
        <v>172</v>
      </c>
      <c r="B510" s="19" t="s">
        <v>1871</v>
      </c>
      <c r="C510" s="20" t="s">
        <v>1191</v>
      </c>
      <c r="D510" s="21">
        <v>2</v>
      </c>
      <c r="E510" s="22">
        <v>138197.8</v>
      </c>
      <c r="F510" s="10" t="s">
        <v>172</v>
      </c>
      <c r="G510" s="10" t="s">
        <v>172</v>
      </c>
      <c r="H510" s="10" t="s">
        <v>172</v>
      </c>
    </row>
    <row r="511" s="9" customFormat="1" ht="17" customHeight="1" spans="1:8">
      <c r="A511" s="10" t="s">
        <v>172</v>
      </c>
      <c r="B511" s="19" t="s">
        <v>1871</v>
      </c>
      <c r="C511" s="16" t="s">
        <v>1841</v>
      </c>
      <c r="D511" s="23">
        <v>2</v>
      </c>
      <c r="E511" s="24">
        <v>138197.8</v>
      </c>
      <c r="F511" s="10" t="s">
        <v>172</v>
      </c>
      <c r="G511" s="10" t="s">
        <v>172</v>
      </c>
      <c r="H511" s="10" t="s">
        <v>172</v>
      </c>
    </row>
    <row r="512" s="9" customFormat="1" ht="37" customHeight="1" spans="1:8">
      <c r="A512" s="10" t="s">
        <v>172</v>
      </c>
      <c r="B512" s="19" t="s">
        <v>1692</v>
      </c>
      <c r="C512" s="20" t="s">
        <v>182</v>
      </c>
      <c r="D512" s="21">
        <v>1</v>
      </c>
      <c r="E512" s="22">
        <v>0</v>
      </c>
      <c r="F512" s="10" t="s">
        <v>172</v>
      </c>
      <c r="G512" s="10" t="s">
        <v>172</v>
      </c>
      <c r="H512" s="10" t="s">
        <v>172</v>
      </c>
    </row>
    <row r="513" s="9" customFormat="1" ht="17" customHeight="1" spans="1:8">
      <c r="A513" s="10" t="s">
        <v>172</v>
      </c>
      <c r="B513" s="19" t="s">
        <v>1692</v>
      </c>
      <c r="C513" s="16" t="s">
        <v>1841</v>
      </c>
      <c r="D513" s="23">
        <v>1</v>
      </c>
      <c r="E513" s="24">
        <v>0</v>
      </c>
      <c r="F513" s="10" t="s">
        <v>172</v>
      </c>
      <c r="G513" s="10" t="s">
        <v>172</v>
      </c>
      <c r="H513" s="10" t="s">
        <v>172</v>
      </c>
    </row>
    <row r="514" s="9" customFormat="1" ht="26" customHeight="1" spans="1:8">
      <c r="A514" s="10" t="s">
        <v>172</v>
      </c>
      <c r="B514" s="19" t="s">
        <v>418</v>
      </c>
      <c r="C514" s="20" t="s">
        <v>804</v>
      </c>
      <c r="D514" s="21">
        <v>1</v>
      </c>
      <c r="E514" s="22">
        <v>190090</v>
      </c>
      <c r="F514" s="10" t="s">
        <v>172</v>
      </c>
      <c r="G514" s="10" t="s">
        <v>172</v>
      </c>
      <c r="H514" s="10" t="s">
        <v>172</v>
      </c>
    </row>
    <row r="515" s="9" customFormat="1" ht="17" customHeight="1" spans="1:8">
      <c r="A515" s="10" t="s">
        <v>172</v>
      </c>
      <c r="B515" s="19" t="s">
        <v>418</v>
      </c>
      <c r="C515" s="16" t="s">
        <v>1841</v>
      </c>
      <c r="D515" s="23">
        <v>1</v>
      </c>
      <c r="E515" s="24">
        <v>190090</v>
      </c>
      <c r="F515" s="10" t="s">
        <v>172</v>
      </c>
      <c r="G515" s="10" t="s">
        <v>172</v>
      </c>
      <c r="H515" s="10" t="s">
        <v>172</v>
      </c>
    </row>
    <row r="516" s="9" customFormat="1" ht="26" customHeight="1" spans="1:8">
      <c r="A516" s="10" t="s">
        <v>172</v>
      </c>
      <c r="B516" s="19" t="s">
        <v>211</v>
      </c>
      <c r="C516" s="20" t="s">
        <v>1191</v>
      </c>
      <c r="D516" s="21">
        <v>5</v>
      </c>
      <c r="E516" s="22">
        <v>253266</v>
      </c>
      <c r="F516" s="10" t="s">
        <v>172</v>
      </c>
      <c r="G516" s="10" t="s">
        <v>172</v>
      </c>
      <c r="H516" s="10" t="s">
        <v>172</v>
      </c>
    </row>
    <row r="517" s="9" customFormat="1" ht="37" customHeight="1" spans="1:8">
      <c r="A517" s="10" t="s">
        <v>172</v>
      </c>
      <c r="B517" s="19" t="s">
        <v>211</v>
      </c>
      <c r="C517" s="20" t="s">
        <v>182</v>
      </c>
      <c r="D517" s="21">
        <v>16</v>
      </c>
      <c r="E517" s="22">
        <v>899579.705895</v>
      </c>
      <c r="F517" s="10" t="s">
        <v>172</v>
      </c>
      <c r="G517" s="10" t="s">
        <v>172</v>
      </c>
      <c r="H517" s="10" t="s">
        <v>172</v>
      </c>
    </row>
    <row r="518" s="9" customFormat="1" ht="26" customHeight="1" spans="1:8">
      <c r="A518" s="10" t="s">
        <v>172</v>
      </c>
      <c r="B518" s="19" t="s">
        <v>211</v>
      </c>
      <c r="C518" s="20" t="s">
        <v>804</v>
      </c>
      <c r="D518" s="21">
        <v>10</v>
      </c>
      <c r="E518" s="22">
        <v>655855.85586</v>
      </c>
      <c r="F518" s="10" t="s">
        <v>172</v>
      </c>
      <c r="G518" s="10" t="s">
        <v>172</v>
      </c>
      <c r="H518" s="10" t="s">
        <v>172</v>
      </c>
    </row>
    <row r="519" s="9" customFormat="1" ht="17" customHeight="1" spans="1:8">
      <c r="A519" s="10" t="s">
        <v>172</v>
      </c>
      <c r="B519" s="19" t="s">
        <v>211</v>
      </c>
      <c r="C519" s="16" t="s">
        <v>1841</v>
      </c>
      <c r="D519" s="23">
        <v>31</v>
      </c>
      <c r="E519" s="24">
        <v>1808701.561755</v>
      </c>
      <c r="F519" s="10" t="s">
        <v>172</v>
      </c>
      <c r="G519" s="10" t="s">
        <v>172</v>
      </c>
      <c r="H519" s="10" t="s">
        <v>172</v>
      </c>
    </row>
    <row r="520" s="9" customFormat="1" ht="26" customHeight="1" spans="1:8">
      <c r="A520" s="10" t="s">
        <v>172</v>
      </c>
      <c r="B520" s="19" t="s">
        <v>213</v>
      </c>
      <c r="C520" s="20" t="s">
        <v>1191</v>
      </c>
      <c r="D520" s="21">
        <v>43</v>
      </c>
      <c r="E520" s="22">
        <v>2178087.6</v>
      </c>
      <c r="F520" s="10" t="s">
        <v>172</v>
      </c>
      <c r="G520" s="10" t="s">
        <v>172</v>
      </c>
      <c r="H520" s="10" t="s">
        <v>172</v>
      </c>
    </row>
    <row r="521" s="9" customFormat="1" ht="37" customHeight="1" spans="1:8">
      <c r="A521" s="10" t="s">
        <v>172</v>
      </c>
      <c r="B521" s="19" t="s">
        <v>213</v>
      </c>
      <c r="C521" s="20" t="s">
        <v>182</v>
      </c>
      <c r="D521" s="21">
        <v>46</v>
      </c>
      <c r="E521" s="22">
        <v>3069885.586056</v>
      </c>
      <c r="F521" s="10" t="s">
        <v>172</v>
      </c>
      <c r="G521" s="10" t="s">
        <v>172</v>
      </c>
      <c r="H521" s="10" t="s">
        <v>172</v>
      </c>
    </row>
    <row r="522" s="9" customFormat="1" ht="26" customHeight="1" spans="1:8">
      <c r="A522" s="10" t="s">
        <v>172</v>
      </c>
      <c r="B522" s="19" t="s">
        <v>213</v>
      </c>
      <c r="C522" s="20" t="s">
        <v>804</v>
      </c>
      <c r="D522" s="21">
        <v>18</v>
      </c>
      <c r="E522" s="22">
        <v>1208648.342349</v>
      </c>
      <c r="F522" s="10" t="s">
        <v>172</v>
      </c>
      <c r="G522" s="10" t="s">
        <v>172</v>
      </c>
      <c r="H522" s="10" t="s">
        <v>172</v>
      </c>
    </row>
    <row r="523" s="9" customFormat="1" ht="17" customHeight="1" spans="1:8">
      <c r="A523" s="10" t="s">
        <v>172</v>
      </c>
      <c r="B523" s="19" t="s">
        <v>213</v>
      </c>
      <c r="C523" s="16" t="s">
        <v>1841</v>
      </c>
      <c r="D523" s="23">
        <v>107</v>
      </c>
      <c r="E523" s="24">
        <v>6456621.528405</v>
      </c>
      <c r="F523" s="10" t="s">
        <v>172</v>
      </c>
      <c r="G523" s="10" t="s">
        <v>172</v>
      </c>
      <c r="H523" s="10" t="s">
        <v>172</v>
      </c>
    </row>
    <row r="524" s="9" customFormat="1" ht="1" customHeight="1" spans="1:8">
      <c r="A524" s="10" t="s">
        <v>172</v>
      </c>
      <c r="B524" s="25"/>
      <c r="C524" s="25"/>
      <c r="D524" s="25"/>
      <c r="E524" s="25"/>
      <c r="F524" s="25"/>
      <c r="G524" s="25"/>
      <c r="H524" s="10" t="s">
        <v>172</v>
      </c>
    </row>
    <row r="525" s="9" customFormat="1" ht="13" customHeight="1" spans="1:8">
      <c r="A525" s="10" t="s">
        <v>172</v>
      </c>
      <c r="B525" s="26"/>
      <c r="C525" s="26"/>
      <c r="D525" s="26"/>
      <c r="E525" s="26"/>
      <c r="F525" s="26"/>
      <c r="G525" s="26"/>
      <c r="H525" s="10" t="s">
        <v>172</v>
      </c>
    </row>
    <row r="526" s="9" customFormat="1" ht="13" customHeight="1" spans="1:8">
      <c r="A526" s="10" t="s">
        <v>172</v>
      </c>
      <c r="B526" s="26"/>
      <c r="C526" s="26"/>
      <c r="D526" s="26"/>
      <c r="E526" s="26"/>
      <c r="F526" s="26"/>
      <c r="G526" s="26"/>
      <c r="H526" s="10" t="s">
        <v>172</v>
      </c>
    </row>
    <row r="527" s="9" customFormat="1" ht="13" customHeight="1" spans="1:8">
      <c r="A527" s="10" t="s">
        <v>172</v>
      </c>
      <c r="B527" s="26"/>
      <c r="C527" s="26"/>
      <c r="D527" s="26"/>
      <c r="E527" s="26"/>
      <c r="F527" s="26"/>
      <c r="G527" s="26"/>
      <c r="H527" s="10" t="s">
        <v>172</v>
      </c>
    </row>
    <row r="528" s="9" customFormat="1" ht="13" customHeight="1" spans="1:8">
      <c r="A528" s="10" t="s">
        <v>172</v>
      </c>
      <c r="B528" s="26"/>
      <c r="C528" s="26"/>
      <c r="D528" s="26"/>
      <c r="E528" s="26"/>
      <c r="F528" s="26"/>
      <c r="G528" s="27" t="s">
        <v>1847</v>
      </c>
      <c r="H528" s="10" t="s">
        <v>172</v>
      </c>
    </row>
    <row r="529" s="9" customFormat="1" ht="17" customHeight="1" spans="1:8">
      <c r="A529" s="10" t="s">
        <v>172</v>
      </c>
      <c r="B529" s="11"/>
      <c r="C529" s="11"/>
      <c r="D529" s="11"/>
      <c r="E529" s="11"/>
      <c r="F529" s="11"/>
      <c r="G529" s="11"/>
      <c r="H529" s="10" t="s">
        <v>172</v>
      </c>
    </row>
    <row r="530" s="9" customFormat="1" ht="23" customHeight="1" spans="1:8">
      <c r="A530" s="10" t="s">
        <v>172</v>
      </c>
      <c r="B530" s="12"/>
      <c r="C530" s="12"/>
      <c r="D530" s="12"/>
      <c r="E530" s="12"/>
      <c r="F530" s="12"/>
      <c r="G530" s="12"/>
      <c r="H530" s="10" t="s">
        <v>172</v>
      </c>
    </row>
    <row r="531" s="9" customFormat="1" ht="16" customHeight="1" spans="1:8">
      <c r="A531" s="10" t="s">
        <v>172</v>
      </c>
      <c r="B531" s="13"/>
      <c r="C531" s="13"/>
      <c r="D531" s="13"/>
      <c r="E531" s="13"/>
      <c r="F531" s="13"/>
      <c r="G531" s="13"/>
      <c r="H531" s="10" t="s">
        <v>172</v>
      </c>
    </row>
    <row r="532" s="9" customFormat="1" ht="12" customHeight="1" spans="1:8">
      <c r="A532" s="10" t="s">
        <v>172</v>
      </c>
      <c r="B532" s="14"/>
      <c r="C532" s="14"/>
      <c r="D532" s="14"/>
      <c r="E532" s="14"/>
      <c r="F532" s="14"/>
      <c r="G532" s="14"/>
      <c r="H532" s="10" t="s">
        <v>172</v>
      </c>
    </row>
    <row r="533" s="9" customFormat="1" ht="17" customHeight="1" spans="1:8">
      <c r="A533" s="10" t="s">
        <v>172</v>
      </c>
      <c r="B533" s="15" t="s">
        <v>1836</v>
      </c>
      <c r="C533" s="16" t="s">
        <v>1837</v>
      </c>
      <c r="D533" s="17" t="s">
        <v>1838</v>
      </c>
      <c r="E533" s="18" t="s">
        <v>1839</v>
      </c>
      <c r="F533" s="10" t="s">
        <v>172</v>
      </c>
      <c r="G533" s="10" t="s">
        <v>172</v>
      </c>
      <c r="H533" s="10" t="s">
        <v>172</v>
      </c>
    </row>
    <row r="534" s="9" customFormat="1" ht="37" customHeight="1" spans="1:8">
      <c r="A534" s="10" t="s">
        <v>172</v>
      </c>
      <c r="B534" s="19" t="s">
        <v>214</v>
      </c>
      <c r="C534" s="20" t="s">
        <v>182</v>
      </c>
      <c r="D534" s="21">
        <v>1</v>
      </c>
      <c r="E534" s="22">
        <v>75045.045045</v>
      </c>
      <c r="F534" s="10" t="s">
        <v>172</v>
      </c>
      <c r="G534" s="10" t="s">
        <v>172</v>
      </c>
      <c r="H534" s="10" t="s">
        <v>172</v>
      </c>
    </row>
    <row r="535" s="9" customFormat="1" ht="26" customHeight="1" spans="1:8">
      <c r="A535" s="10" t="s">
        <v>172</v>
      </c>
      <c r="B535" s="19" t="s">
        <v>214</v>
      </c>
      <c r="C535" s="20" t="s">
        <v>804</v>
      </c>
      <c r="D535" s="21">
        <v>1</v>
      </c>
      <c r="E535" s="22">
        <v>75045.045045</v>
      </c>
      <c r="F535" s="10" t="s">
        <v>172</v>
      </c>
      <c r="G535" s="10" t="s">
        <v>172</v>
      </c>
      <c r="H535" s="10" t="s">
        <v>172</v>
      </c>
    </row>
    <row r="536" s="9" customFormat="1" ht="17" customHeight="1" spans="1:8">
      <c r="A536" s="10" t="s">
        <v>172</v>
      </c>
      <c r="B536" s="19" t="s">
        <v>214</v>
      </c>
      <c r="C536" s="16" t="s">
        <v>1841</v>
      </c>
      <c r="D536" s="23">
        <v>2</v>
      </c>
      <c r="E536" s="24">
        <v>150090.09009</v>
      </c>
      <c r="F536" s="10" t="s">
        <v>172</v>
      </c>
      <c r="G536" s="10" t="s">
        <v>172</v>
      </c>
      <c r="H536" s="10" t="s">
        <v>172</v>
      </c>
    </row>
    <row r="537" s="9" customFormat="1" ht="37" customHeight="1" spans="1:8">
      <c r="A537" s="10" t="s">
        <v>172</v>
      </c>
      <c r="B537" s="19" t="s">
        <v>215</v>
      </c>
      <c r="C537" s="20" t="s">
        <v>182</v>
      </c>
      <c r="D537" s="21">
        <v>3</v>
      </c>
      <c r="E537" s="22">
        <v>225135.135135</v>
      </c>
      <c r="F537" s="10" t="s">
        <v>172</v>
      </c>
      <c r="G537" s="10" t="s">
        <v>172</v>
      </c>
      <c r="H537" s="10" t="s">
        <v>172</v>
      </c>
    </row>
    <row r="538" s="9" customFormat="1" ht="26" customHeight="1" spans="1:8">
      <c r="A538" s="10" t="s">
        <v>172</v>
      </c>
      <c r="B538" s="19" t="s">
        <v>215</v>
      </c>
      <c r="C538" s="20" t="s">
        <v>804</v>
      </c>
      <c r="D538" s="21">
        <v>1</v>
      </c>
      <c r="E538" s="22">
        <v>75045.045045</v>
      </c>
      <c r="F538" s="10" t="s">
        <v>172</v>
      </c>
      <c r="G538" s="10" t="s">
        <v>172</v>
      </c>
      <c r="H538" s="10" t="s">
        <v>172</v>
      </c>
    </row>
    <row r="539" s="9" customFormat="1" ht="17" customHeight="1" spans="1:8">
      <c r="A539" s="10" t="s">
        <v>172</v>
      </c>
      <c r="B539" s="19" t="s">
        <v>215</v>
      </c>
      <c r="C539" s="16" t="s">
        <v>1841</v>
      </c>
      <c r="D539" s="23">
        <v>4</v>
      </c>
      <c r="E539" s="24">
        <v>300180.18018</v>
      </c>
      <c r="F539" s="10" t="s">
        <v>172</v>
      </c>
      <c r="G539" s="10" t="s">
        <v>172</v>
      </c>
      <c r="H539" s="10" t="s">
        <v>172</v>
      </c>
    </row>
    <row r="540" s="9" customFormat="1" ht="37" customHeight="1" spans="1:8">
      <c r="A540" s="10" t="s">
        <v>172</v>
      </c>
      <c r="B540" s="19" t="s">
        <v>216</v>
      </c>
      <c r="C540" s="20" t="s">
        <v>182</v>
      </c>
      <c r="D540" s="21">
        <v>1</v>
      </c>
      <c r="E540" s="22">
        <v>78828.828829</v>
      </c>
      <c r="F540" s="10" t="s">
        <v>172</v>
      </c>
      <c r="G540" s="10" t="s">
        <v>172</v>
      </c>
      <c r="H540" s="10" t="s">
        <v>172</v>
      </c>
    </row>
    <row r="541" s="9" customFormat="1" ht="17" customHeight="1" spans="1:8">
      <c r="A541" s="10" t="s">
        <v>172</v>
      </c>
      <c r="B541" s="19" t="s">
        <v>216</v>
      </c>
      <c r="C541" s="16" t="s">
        <v>1841</v>
      </c>
      <c r="D541" s="23">
        <v>1</v>
      </c>
      <c r="E541" s="24">
        <v>78828.828829</v>
      </c>
      <c r="F541" s="10" t="s">
        <v>172</v>
      </c>
      <c r="G541" s="10" t="s">
        <v>172</v>
      </c>
      <c r="H541" s="10" t="s">
        <v>172</v>
      </c>
    </row>
    <row r="542" s="9" customFormat="1" ht="26" customHeight="1" spans="1:8">
      <c r="A542" s="10" t="s">
        <v>172</v>
      </c>
      <c r="B542" s="19" t="s">
        <v>364</v>
      </c>
      <c r="C542" s="20" t="s">
        <v>1191</v>
      </c>
      <c r="D542" s="21">
        <v>5</v>
      </c>
      <c r="E542" s="22">
        <v>313287</v>
      </c>
      <c r="F542" s="10" t="s">
        <v>172</v>
      </c>
      <c r="G542" s="10" t="s">
        <v>172</v>
      </c>
      <c r="H542" s="10" t="s">
        <v>172</v>
      </c>
    </row>
    <row r="543" s="9" customFormat="1" ht="37" customHeight="1" spans="1:8">
      <c r="A543" s="10" t="s">
        <v>172</v>
      </c>
      <c r="B543" s="19" t="s">
        <v>364</v>
      </c>
      <c r="C543" s="20" t="s">
        <v>182</v>
      </c>
      <c r="D543" s="21">
        <v>5</v>
      </c>
      <c r="E543" s="22">
        <v>394144.387388</v>
      </c>
      <c r="F543" s="10" t="s">
        <v>172</v>
      </c>
      <c r="G543" s="10" t="s">
        <v>172</v>
      </c>
      <c r="H543" s="10" t="s">
        <v>172</v>
      </c>
    </row>
    <row r="544" s="9" customFormat="1" ht="26" customHeight="1" spans="1:8">
      <c r="A544" s="10" t="s">
        <v>172</v>
      </c>
      <c r="B544" s="19" t="s">
        <v>364</v>
      </c>
      <c r="C544" s="20" t="s">
        <v>804</v>
      </c>
      <c r="D544" s="21">
        <v>2</v>
      </c>
      <c r="E544" s="22">
        <v>157657.693694</v>
      </c>
      <c r="F544" s="10" t="s">
        <v>172</v>
      </c>
      <c r="G544" s="10" t="s">
        <v>172</v>
      </c>
      <c r="H544" s="10" t="s">
        <v>172</v>
      </c>
    </row>
    <row r="545" s="9" customFormat="1" ht="17" customHeight="1" spans="1:8">
      <c r="A545" s="10" t="s">
        <v>172</v>
      </c>
      <c r="B545" s="19" t="s">
        <v>364</v>
      </c>
      <c r="C545" s="16" t="s">
        <v>1841</v>
      </c>
      <c r="D545" s="23">
        <v>12</v>
      </c>
      <c r="E545" s="24">
        <v>865089.081082</v>
      </c>
      <c r="F545" s="10" t="s">
        <v>172</v>
      </c>
      <c r="G545" s="10" t="s">
        <v>172</v>
      </c>
      <c r="H545" s="10" t="s">
        <v>172</v>
      </c>
    </row>
    <row r="546" s="9" customFormat="1" ht="37" customHeight="1" spans="1:8">
      <c r="A546" s="10" t="s">
        <v>172</v>
      </c>
      <c r="B546" s="20" t="s">
        <v>217</v>
      </c>
      <c r="C546" s="20" t="s">
        <v>182</v>
      </c>
      <c r="D546" s="21">
        <v>3</v>
      </c>
      <c r="E546" s="22">
        <v>238378.378377</v>
      </c>
      <c r="F546" s="10" t="s">
        <v>172</v>
      </c>
      <c r="G546" s="10" t="s">
        <v>172</v>
      </c>
      <c r="H546" s="10" t="s">
        <v>172</v>
      </c>
    </row>
    <row r="547" s="9" customFormat="1" ht="1" customHeight="1" spans="1:8">
      <c r="A547" s="10" t="s">
        <v>172</v>
      </c>
      <c r="B547" s="25"/>
      <c r="C547" s="25"/>
      <c r="D547" s="25"/>
      <c r="E547" s="25"/>
      <c r="F547" s="25"/>
      <c r="G547" s="25"/>
      <c r="H547" s="10" t="s">
        <v>172</v>
      </c>
    </row>
    <row r="548" s="9" customFormat="1" ht="13" customHeight="1" spans="1:8">
      <c r="A548" s="10" t="s">
        <v>172</v>
      </c>
      <c r="B548" s="26"/>
      <c r="C548" s="26"/>
      <c r="D548" s="26"/>
      <c r="E548" s="26"/>
      <c r="F548" s="26"/>
      <c r="G548" s="26"/>
      <c r="H548" s="10" t="s">
        <v>172</v>
      </c>
    </row>
    <row r="549" s="9" customFormat="1" ht="13" customHeight="1" spans="1:8">
      <c r="A549" s="10" t="s">
        <v>172</v>
      </c>
      <c r="B549" s="26"/>
      <c r="C549" s="26"/>
      <c r="D549" s="26"/>
      <c r="E549" s="26"/>
      <c r="F549" s="26"/>
      <c r="G549" s="26"/>
      <c r="H549" s="10" t="s">
        <v>172</v>
      </c>
    </row>
    <row r="550" s="9" customFormat="1" ht="13" customHeight="1" spans="1:8">
      <c r="A550" s="10" t="s">
        <v>172</v>
      </c>
      <c r="B550" s="26"/>
      <c r="C550" s="26"/>
      <c r="D550" s="26"/>
      <c r="E550" s="26"/>
      <c r="F550" s="26"/>
      <c r="G550" s="26"/>
      <c r="H550" s="10" t="s">
        <v>172</v>
      </c>
    </row>
    <row r="551" s="9" customFormat="1" ht="13" customHeight="1" spans="1:8">
      <c r="A551" s="10" t="s">
        <v>172</v>
      </c>
      <c r="B551" s="26"/>
      <c r="C551" s="26"/>
      <c r="D551" s="26"/>
      <c r="E551" s="26"/>
      <c r="F551" s="26"/>
      <c r="G551" s="27" t="s">
        <v>1847</v>
      </c>
      <c r="H551" s="10" t="s">
        <v>172</v>
      </c>
    </row>
    <row r="552" s="9" customFormat="1" ht="17" customHeight="1" spans="1:8">
      <c r="A552" s="10" t="s">
        <v>172</v>
      </c>
      <c r="B552" s="11"/>
      <c r="C552" s="11"/>
      <c r="D552" s="11"/>
      <c r="E552" s="11"/>
      <c r="F552" s="11"/>
      <c r="G552" s="11"/>
      <c r="H552" s="10" t="s">
        <v>172</v>
      </c>
    </row>
    <row r="553" s="9" customFormat="1" ht="23" customHeight="1" spans="1:8">
      <c r="A553" s="10" t="s">
        <v>172</v>
      </c>
      <c r="B553" s="12"/>
      <c r="C553" s="12"/>
      <c r="D553" s="12"/>
      <c r="E553" s="12"/>
      <c r="F553" s="12"/>
      <c r="G553" s="12"/>
      <c r="H553" s="10" t="s">
        <v>172</v>
      </c>
    </row>
    <row r="554" s="9" customFormat="1" ht="16" customHeight="1" spans="1:8">
      <c r="A554" s="10" t="s">
        <v>172</v>
      </c>
      <c r="B554" s="13"/>
      <c r="C554" s="13"/>
      <c r="D554" s="13"/>
      <c r="E554" s="13"/>
      <c r="F554" s="13"/>
      <c r="G554" s="13"/>
      <c r="H554" s="10" t="s">
        <v>172</v>
      </c>
    </row>
    <row r="555" s="9" customFormat="1" ht="12" customHeight="1" spans="1:8">
      <c r="A555" s="10" t="s">
        <v>172</v>
      </c>
      <c r="B555" s="14"/>
      <c r="C555" s="14"/>
      <c r="D555" s="14"/>
      <c r="E555" s="14"/>
      <c r="F555" s="14"/>
      <c r="G555" s="14"/>
      <c r="H555" s="10" t="s">
        <v>172</v>
      </c>
    </row>
    <row r="556" s="9" customFormat="1" ht="17" customHeight="1" spans="1:8">
      <c r="A556" s="10" t="s">
        <v>172</v>
      </c>
      <c r="B556" s="15" t="s">
        <v>1836</v>
      </c>
      <c r="C556" s="16" t="s">
        <v>1837</v>
      </c>
      <c r="D556" s="17" t="s">
        <v>1838</v>
      </c>
      <c r="E556" s="18" t="s">
        <v>1839</v>
      </c>
      <c r="F556" s="10" t="s">
        <v>172</v>
      </c>
      <c r="G556" s="10" t="s">
        <v>172</v>
      </c>
      <c r="H556" s="10" t="s">
        <v>172</v>
      </c>
    </row>
    <row r="557" s="9" customFormat="1" ht="26" customHeight="1" spans="1:8">
      <c r="A557" s="10" t="s">
        <v>172</v>
      </c>
      <c r="B557" s="19" t="s">
        <v>217</v>
      </c>
      <c r="C557" s="20" t="s">
        <v>804</v>
      </c>
      <c r="D557" s="21">
        <v>3</v>
      </c>
      <c r="E557" s="22">
        <v>238378.378377</v>
      </c>
      <c r="F557" s="10" t="s">
        <v>172</v>
      </c>
      <c r="G557" s="10" t="s">
        <v>172</v>
      </c>
      <c r="H557" s="10" t="s">
        <v>172</v>
      </c>
    </row>
    <row r="558" s="9" customFormat="1" ht="17" customHeight="1" spans="1:8">
      <c r="A558" s="10" t="s">
        <v>172</v>
      </c>
      <c r="B558" s="19" t="s">
        <v>217</v>
      </c>
      <c r="C558" s="16" t="s">
        <v>1841</v>
      </c>
      <c r="D558" s="23">
        <v>6</v>
      </c>
      <c r="E558" s="24">
        <v>476756.756754</v>
      </c>
      <c r="F558" s="10" t="s">
        <v>172</v>
      </c>
      <c r="G558" s="10" t="s">
        <v>172</v>
      </c>
      <c r="H558" s="10" t="s">
        <v>172</v>
      </c>
    </row>
    <row r="559" s="9" customFormat="1" ht="26" customHeight="1" spans="1:8">
      <c r="A559" s="10" t="s">
        <v>172</v>
      </c>
      <c r="B559" s="19" t="s">
        <v>218</v>
      </c>
      <c r="C559" s="20" t="s">
        <v>1191</v>
      </c>
      <c r="D559" s="21">
        <v>15</v>
      </c>
      <c r="E559" s="22">
        <v>1023311.25</v>
      </c>
      <c r="F559" s="10" t="s">
        <v>172</v>
      </c>
      <c r="G559" s="10" t="s">
        <v>172</v>
      </c>
      <c r="H559" s="10" t="s">
        <v>172</v>
      </c>
    </row>
    <row r="560" s="9" customFormat="1" ht="37" customHeight="1" spans="1:8">
      <c r="A560" s="10" t="s">
        <v>172</v>
      </c>
      <c r="B560" s="19" t="s">
        <v>218</v>
      </c>
      <c r="C560" s="20" t="s">
        <v>182</v>
      </c>
      <c r="D560" s="21">
        <v>29</v>
      </c>
      <c r="E560" s="22">
        <v>2416024.836174</v>
      </c>
      <c r="F560" s="10" t="s">
        <v>172</v>
      </c>
      <c r="G560" s="10" t="s">
        <v>172</v>
      </c>
      <c r="H560" s="10" t="s">
        <v>172</v>
      </c>
    </row>
    <row r="561" s="9" customFormat="1" ht="26" customHeight="1" spans="1:8">
      <c r="A561" s="10" t="s">
        <v>172</v>
      </c>
      <c r="B561" s="19" t="s">
        <v>218</v>
      </c>
      <c r="C561" s="20" t="s">
        <v>804</v>
      </c>
      <c r="D561" s="21">
        <v>11</v>
      </c>
      <c r="E561" s="22">
        <v>936486.918918</v>
      </c>
      <c r="F561" s="10" t="s">
        <v>172</v>
      </c>
      <c r="G561" s="10" t="s">
        <v>172</v>
      </c>
      <c r="H561" s="10" t="s">
        <v>172</v>
      </c>
    </row>
    <row r="562" s="9" customFormat="1" ht="17" customHeight="1" spans="1:8">
      <c r="A562" s="10" t="s">
        <v>172</v>
      </c>
      <c r="B562" s="19" t="s">
        <v>218</v>
      </c>
      <c r="C562" s="16" t="s">
        <v>1841</v>
      </c>
      <c r="D562" s="23">
        <v>55</v>
      </c>
      <c r="E562" s="24">
        <v>4375823.005092</v>
      </c>
      <c r="F562" s="10" t="s">
        <v>172</v>
      </c>
      <c r="G562" s="10" t="s">
        <v>172</v>
      </c>
      <c r="H562" s="10" t="s">
        <v>172</v>
      </c>
    </row>
    <row r="563" s="9" customFormat="1" ht="26" customHeight="1" spans="1:8">
      <c r="A563" s="10" t="s">
        <v>172</v>
      </c>
      <c r="B563" s="19" t="s">
        <v>220</v>
      </c>
      <c r="C563" s="20" t="s">
        <v>1191</v>
      </c>
      <c r="D563" s="21">
        <v>10</v>
      </c>
      <c r="E563" s="22">
        <v>682207.5</v>
      </c>
      <c r="F563" s="10" t="s">
        <v>172</v>
      </c>
      <c r="G563" s="10" t="s">
        <v>172</v>
      </c>
      <c r="H563" s="10" t="s">
        <v>172</v>
      </c>
    </row>
    <row r="564" s="9" customFormat="1" ht="37" customHeight="1" spans="1:8">
      <c r="A564" s="10" t="s">
        <v>172</v>
      </c>
      <c r="B564" s="19" t="s">
        <v>220</v>
      </c>
      <c r="C564" s="20" t="s">
        <v>182</v>
      </c>
      <c r="D564" s="21">
        <v>16</v>
      </c>
      <c r="E564" s="22">
        <v>1313513.252251</v>
      </c>
      <c r="F564" s="10" t="s">
        <v>172</v>
      </c>
      <c r="G564" s="10" t="s">
        <v>172</v>
      </c>
      <c r="H564" s="10" t="s">
        <v>172</v>
      </c>
    </row>
    <row r="565" s="9" customFormat="1" ht="26" customHeight="1" spans="1:8">
      <c r="A565" s="10" t="s">
        <v>172</v>
      </c>
      <c r="B565" s="19" t="s">
        <v>220</v>
      </c>
      <c r="C565" s="20" t="s">
        <v>804</v>
      </c>
      <c r="D565" s="21">
        <v>6</v>
      </c>
      <c r="E565" s="22">
        <v>510810.81081</v>
      </c>
      <c r="F565" s="10" t="s">
        <v>172</v>
      </c>
      <c r="G565" s="10" t="s">
        <v>172</v>
      </c>
      <c r="H565" s="10" t="s">
        <v>172</v>
      </c>
    </row>
    <row r="566" s="9" customFormat="1" ht="17" customHeight="1" spans="1:8">
      <c r="A566" s="10" t="s">
        <v>172</v>
      </c>
      <c r="B566" s="19" t="s">
        <v>220</v>
      </c>
      <c r="C566" s="16" t="s">
        <v>1841</v>
      </c>
      <c r="D566" s="23">
        <v>32</v>
      </c>
      <c r="E566" s="24">
        <v>2506531.563061</v>
      </c>
      <c r="F566" s="10" t="s">
        <v>172</v>
      </c>
      <c r="G566" s="10" t="s">
        <v>172</v>
      </c>
      <c r="H566" s="10" t="s">
        <v>172</v>
      </c>
    </row>
    <row r="567" s="9" customFormat="1" ht="37" customHeight="1" spans="1:8">
      <c r="A567" s="10" t="s">
        <v>172</v>
      </c>
      <c r="B567" s="19" t="s">
        <v>221</v>
      </c>
      <c r="C567" s="20" t="s">
        <v>182</v>
      </c>
      <c r="D567" s="21">
        <v>16</v>
      </c>
      <c r="E567" s="22">
        <v>1397461.033942</v>
      </c>
      <c r="F567" s="10" t="s">
        <v>172</v>
      </c>
      <c r="G567" s="10" t="s">
        <v>172</v>
      </c>
      <c r="H567" s="10" t="s">
        <v>172</v>
      </c>
    </row>
    <row r="568" s="9" customFormat="1" ht="26" customHeight="1" spans="1:8">
      <c r="A568" s="10" t="s">
        <v>172</v>
      </c>
      <c r="B568" s="19" t="s">
        <v>221</v>
      </c>
      <c r="C568" s="20" t="s">
        <v>804</v>
      </c>
      <c r="D568" s="21">
        <v>11</v>
      </c>
      <c r="E568" s="22">
        <v>889189.18919</v>
      </c>
      <c r="F568" s="10" t="s">
        <v>172</v>
      </c>
      <c r="G568" s="10" t="s">
        <v>172</v>
      </c>
      <c r="H568" s="10" t="s">
        <v>172</v>
      </c>
    </row>
    <row r="569" s="9" customFormat="1" ht="17" customHeight="1" spans="1:8">
      <c r="A569" s="10" t="s">
        <v>172</v>
      </c>
      <c r="B569" s="19" t="s">
        <v>221</v>
      </c>
      <c r="C569" s="16" t="s">
        <v>1841</v>
      </c>
      <c r="D569" s="23">
        <v>27</v>
      </c>
      <c r="E569" s="24">
        <v>2286650.223132</v>
      </c>
      <c r="F569" s="10" t="s">
        <v>172</v>
      </c>
      <c r="G569" s="10" t="s">
        <v>172</v>
      </c>
      <c r="H569" s="10" t="s">
        <v>172</v>
      </c>
    </row>
    <row r="570" s="9" customFormat="1" ht="37" customHeight="1" spans="1:8">
      <c r="A570" s="10" t="s">
        <v>172</v>
      </c>
      <c r="B570" s="20" t="s">
        <v>420</v>
      </c>
      <c r="C570" s="20" t="s">
        <v>182</v>
      </c>
      <c r="D570" s="21">
        <v>2</v>
      </c>
      <c r="E570" s="22">
        <v>195495.495496</v>
      </c>
      <c r="F570" s="10" t="s">
        <v>172</v>
      </c>
      <c r="G570" s="10" t="s">
        <v>172</v>
      </c>
      <c r="H570" s="10" t="s">
        <v>172</v>
      </c>
    </row>
    <row r="571" s="9" customFormat="1" ht="1" customHeight="1" spans="1:8">
      <c r="A571" s="10" t="s">
        <v>172</v>
      </c>
      <c r="B571" s="25"/>
      <c r="C571" s="25"/>
      <c r="D571" s="25"/>
      <c r="E571" s="25"/>
      <c r="F571" s="25"/>
      <c r="G571" s="25"/>
      <c r="H571" s="10" t="s">
        <v>172</v>
      </c>
    </row>
    <row r="572" s="9" customFormat="1" ht="13" customHeight="1" spans="1:8">
      <c r="A572" s="10" t="s">
        <v>172</v>
      </c>
      <c r="B572" s="26"/>
      <c r="C572" s="26"/>
      <c r="D572" s="26"/>
      <c r="E572" s="26"/>
      <c r="F572" s="26"/>
      <c r="G572" s="26"/>
      <c r="H572" s="10" t="s">
        <v>172</v>
      </c>
    </row>
    <row r="573" s="9" customFormat="1" ht="13" customHeight="1" spans="1:8">
      <c r="A573" s="10" t="s">
        <v>172</v>
      </c>
      <c r="B573" s="26"/>
      <c r="C573" s="26"/>
      <c r="D573" s="26"/>
      <c r="E573" s="26"/>
      <c r="F573" s="26"/>
      <c r="G573" s="26"/>
      <c r="H573" s="10" t="s">
        <v>172</v>
      </c>
    </row>
    <row r="574" s="9" customFormat="1" ht="13" customHeight="1" spans="1:8">
      <c r="A574" s="10" t="s">
        <v>172</v>
      </c>
      <c r="B574" s="26"/>
      <c r="C574" s="26"/>
      <c r="D574" s="26"/>
      <c r="E574" s="26"/>
      <c r="F574" s="26"/>
      <c r="G574" s="26"/>
      <c r="H574" s="10" t="s">
        <v>172</v>
      </c>
    </row>
    <row r="575" s="9" customFormat="1" ht="13" customHeight="1" spans="1:8">
      <c r="A575" s="10" t="s">
        <v>172</v>
      </c>
      <c r="B575" s="26"/>
      <c r="C575" s="26"/>
      <c r="D575" s="26"/>
      <c r="E575" s="26"/>
      <c r="F575" s="26"/>
      <c r="G575" s="27" t="s">
        <v>1847</v>
      </c>
      <c r="H575" s="10" t="s">
        <v>172</v>
      </c>
    </row>
    <row r="576" s="9" customFormat="1" ht="17" customHeight="1" spans="1:8">
      <c r="A576" s="10" t="s">
        <v>172</v>
      </c>
      <c r="B576" s="11"/>
      <c r="C576" s="11"/>
      <c r="D576" s="11"/>
      <c r="E576" s="11"/>
      <c r="F576" s="11"/>
      <c r="G576" s="11"/>
      <c r="H576" s="10" t="s">
        <v>172</v>
      </c>
    </row>
    <row r="577" s="9" customFormat="1" ht="23" customHeight="1" spans="1:8">
      <c r="A577" s="10" t="s">
        <v>172</v>
      </c>
      <c r="B577" s="12"/>
      <c r="C577" s="12"/>
      <c r="D577" s="12"/>
      <c r="E577" s="12"/>
      <c r="F577" s="12"/>
      <c r="G577" s="12"/>
      <c r="H577" s="10" t="s">
        <v>172</v>
      </c>
    </row>
    <row r="578" s="9" customFormat="1" ht="16" customHeight="1" spans="1:8">
      <c r="A578" s="10" t="s">
        <v>172</v>
      </c>
      <c r="B578" s="13"/>
      <c r="C578" s="13"/>
      <c r="D578" s="13"/>
      <c r="E578" s="13"/>
      <c r="F578" s="13"/>
      <c r="G578" s="13"/>
      <c r="H578" s="10" t="s">
        <v>172</v>
      </c>
    </row>
    <row r="579" s="9" customFormat="1" ht="12" customHeight="1" spans="1:8">
      <c r="A579" s="10" t="s">
        <v>172</v>
      </c>
      <c r="B579" s="14"/>
      <c r="C579" s="14"/>
      <c r="D579" s="14"/>
      <c r="E579" s="14"/>
      <c r="F579" s="14"/>
      <c r="G579" s="14"/>
      <c r="H579" s="10" t="s">
        <v>172</v>
      </c>
    </row>
    <row r="580" s="9" customFormat="1" ht="17" customHeight="1" spans="1:8">
      <c r="A580" s="10" t="s">
        <v>172</v>
      </c>
      <c r="B580" s="15" t="s">
        <v>1836</v>
      </c>
      <c r="C580" s="16" t="s">
        <v>1837</v>
      </c>
      <c r="D580" s="17" t="s">
        <v>1838</v>
      </c>
      <c r="E580" s="18" t="s">
        <v>1839</v>
      </c>
      <c r="F580" s="10" t="s">
        <v>172</v>
      </c>
      <c r="G580" s="10" t="s">
        <v>172</v>
      </c>
      <c r="H580" s="10" t="s">
        <v>172</v>
      </c>
    </row>
    <row r="581" s="9" customFormat="1" ht="26" customHeight="1" spans="1:8">
      <c r="A581" s="10" t="s">
        <v>172</v>
      </c>
      <c r="B581" s="19" t="s">
        <v>420</v>
      </c>
      <c r="C581" s="20" t="s">
        <v>804</v>
      </c>
      <c r="D581" s="21">
        <v>1</v>
      </c>
      <c r="E581" s="22">
        <v>97747.747748</v>
      </c>
      <c r="F581" s="10" t="s">
        <v>172</v>
      </c>
      <c r="G581" s="10" t="s">
        <v>172</v>
      </c>
      <c r="H581" s="10" t="s">
        <v>172</v>
      </c>
    </row>
    <row r="582" s="9" customFormat="1" ht="17" customHeight="1" spans="1:8">
      <c r="A582" s="10" t="s">
        <v>172</v>
      </c>
      <c r="B582" s="19" t="s">
        <v>420</v>
      </c>
      <c r="C582" s="16" t="s">
        <v>1841</v>
      </c>
      <c r="D582" s="23">
        <v>3</v>
      </c>
      <c r="E582" s="24">
        <v>293243.243244</v>
      </c>
      <c r="F582" s="10" t="s">
        <v>172</v>
      </c>
      <c r="G582" s="10" t="s">
        <v>172</v>
      </c>
      <c r="H582" s="10" t="s">
        <v>172</v>
      </c>
    </row>
    <row r="583" s="9" customFormat="1" ht="26" customHeight="1" spans="1:8">
      <c r="A583" s="10" t="s">
        <v>172</v>
      </c>
      <c r="B583" s="19" t="s">
        <v>222</v>
      </c>
      <c r="C583" s="20" t="s">
        <v>1191</v>
      </c>
      <c r="D583" s="21">
        <v>3</v>
      </c>
      <c r="E583" s="22">
        <v>168647.7</v>
      </c>
      <c r="F583" s="10" t="s">
        <v>172</v>
      </c>
      <c r="G583" s="10" t="s">
        <v>172</v>
      </c>
      <c r="H583" s="10" t="s">
        <v>172</v>
      </c>
    </row>
    <row r="584" s="9" customFormat="1" ht="37" customHeight="1" spans="1:8">
      <c r="A584" s="10" t="s">
        <v>172</v>
      </c>
      <c r="B584" s="19" t="s">
        <v>222</v>
      </c>
      <c r="C584" s="20" t="s">
        <v>182</v>
      </c>
      <c r="D584" s="21">
        <v>6</v>
      </c>
      <c r="E584" s="22">
        <v>386846.846846</v>
      </c>
      <c r="F584" s="10" t="s">
        <v>172</v>
      </c>
      <c r="G584" s="10" t="s">
        <v>172</v>
      </c>
      <c r="H584" s="10" t="s">
        <v>172</v>
      </c>
    </row>
    <row r="585" s="9" customFormat="1" ht="26" customHeight="1" spans="1:8">
      <c r="A585" s="10" t="s">
        <v>172</v>
      </c>
      <c r="B585" s="19" t="s">
        <v>222</v>
      </c>
      <c r="C585" s="20" t="s">
        <v>804</v>
      </c>
      <c r="D585" s="21">
        <v>4</v>
      </c>
      <c r="E585" s="22">
        <v>407207.720721</v>
      </c>
      <c r="F585" s="10" t="s">
        <v>172</v>
      </c>
      <c r="G585" s="10" t="s">
        <v>172</v>
      </c>
      <c r="H585" s="10" t="s">
        <v>172</v>
      </c>
    </row>
    <row r="586" s="9" customFormat="1" ht="17" customHeight="1" spans="1:8">
      <c r="A586" s="10" t="s">
        <v>172</v>
      </c>
      <c r="B586" s="19" t="s">
        <v>222</v>
      </c>
      <c r="C586" s="16" t="s">
        <v>1841</v>
      </c>
      <c r="D586" s="23">
        <v>13</v>
      </c>
      <c r="E586" s="24">
        <v>962702.267567</v>
      </c>
      <c r="F586" s="10" t="s">
        <v>172</v>
      </c>
      <c r="G586" s="10" t="s">
        <v>172</v>
      </c>
      <c r="H586" s="10" t="s">
        <v>172</v>
      </c>
    </row>
    <row r="587" s="9" customFormat="1" ht="26" customHeight="1" spans="1:8">
      <c r="A587" s="10" t="s">
        <v>172</v>
      </c>
      <c r="B587" s="19" t="s">
        <v>223</v>
      </c>
      <c r="C587" s="20" t="s">
        <v>1191</v>
      </c>
      <c r="D587" s="21">
        <v>2</v>
      </c>
      <c r="E587" s="22">
        <v>121802.2</v>
      </c>
      <c r="F587" s="10" t="s">
        <v>172</v>
      </c>
      <c r="G587" s="10" t="s">
        <v>172</v>
      </c>
      <c r="H587" s="10" t="s">
        <v>172</v>
      </c>
    </row>
    <row r="588" s="9" customFormat="1" ht="37" customHeight="1" spans="1:8">
      <c r="A588" s="10" t="s">
        <v>172</v>
      </c>
      <c r="B588" s="19" t="s">
        <v>223</v>
      </c>
      <c r="C588" s="20" t="s">
        <v>182</v>
      </c>
      <c r="D588" s="21">
        <v>2</v>
      </c>
      <c r="E588" s="22">
        <v>186846.846847</v>
      </c>
      <c r="F588" s="10" t="s">
        <v>172</v>
      </c>
      <c r="G588" s="10" t="s">
        <v>172</v>
      </c>
      <c r="H588" s="10" t="s">
        <v>172</v>
      </c>
    </row>
    <row r="589" s="9" customFormat="1" ht="26" customHeight="1" spans="1:8">
      <c r="A589" s="10" t="s">
        <v>172</v>
      </c>
      <c r="B589" s="19" t="s">
        <v>223</v>
      </c>
      <c r="C589" s="20" t="s">
        <v>804</v>
      </c>
      <c r="D589" s="21">
        <v>2</v>
      </c>
      <c r="E589" s="22">
        <v>219819.81982</v>
      </c>
      <c r="F589" s="10" t="s">
        <v>172</v>
      </c>
      <c r="G589" s="10" t="s">
        <v>172</v>
      </c>
      <c r="H589" s="10" t="s">
        <v>172</v>
      </c>
    </row>
    <row r="590" s="9" customFormat="1" ht="17" customHeight="1" spans="1:8">
      <c r="A590" s="10" t="s">
        <v>172</v>
      </c>
      <c r="B590" s="19" t="s">
        <v>223</v>
      </c>
      <c r="C590" s="16" t="s">
        <v>1841</v>
      </c>
      <c r="D590" s="23">
        <v>6</v>
      </c>
      <c r="E590" s="24">
        <v>528468.866667</v>
      </c>
      <c r="F590" s="10" t="s">
        <v>172</v>
      </c>
      <c r="G590" s="10" t="s">
        <v>172</v>
      </c>
      <c r="H590" s="10" t="s">
        <v>172</v>
      </c>
    </row>
    <row r="591" s="9" customFormat="1" ht="37" customHeight="1" spans="1:8">
      <c r="A591" s="10" t="s">
        <v>172</v>
      </c>
      <c r="B591" s="19" t="s">
        <v>224</v>
      </c>
      <c r="C591" s="20" t="s">
        <v>182</v>
      </c>
      <c r="D591" s="21">
        <v>4</v>
      </c>
      <c r="E591" s="22">
        <v>401261.261262</v>
      </c>
      <c r="F591" s="10" t="s">
        <v>172</v>
      </c>
      <c r="G591" s="10" t="s">
        <v>172</v>
      </c>
      <c r="H591" s="10" t="s">
        <v>172</v>
      </c>
    </row>
    <row r="592" s="9" customFormat="1" ht="26" customHeight="1" spans="1:8">
      <c r="A592" s="10" t="s">
        <v>172</v>
      </c>
      <c r="B592" s="19" t="s">
        <v>224</v>
      </c>
      <c r="C592" s="20" t="s">
        <v>804</v>
      </c>
      <c r="D592" s="21">
        <v>2</v>
      </c>
      <c r="E592" s="22">
        <v>236036.036036</v>
      </c>
      <c r="F592" s="10" t="s">
        <v>172</v>
      </c>
      <c r="G592" s="10" t="s">
        <v>172</v>
      </c>
      <c r="H592" s="10" t="s">
        <v>172</v>
      </c>
    </row>
    <row r="593" s="9" customFormat="1" ht="17" customHeight="1" spans="1:8">
      <c r="A593" s="10" t="s">
        <v>172</v>
      </c>
      <c r="B593" s="19" t="s">
        <v>224</v>
      </c>
      <c r="C593" s="16" t="s">
        <v>1841</v>
      </c>
      <c r="D593" s="23">
        <v>6</v>
      </c>
      <c r="E593" s="24">
        <v>637297.297298</v>
      </c>
      <c r="F593" s="10" t="s">
        <v>172</v>
      </c>
      <c r="G593" s="10" t="s">
        <v>172</v>
      </c>
      <c r="H593" s="10" t="s">
        <v>172</v>
      </c>
    </row>
    <row r="594" s="9" customFormat="1" ht="1" customHeight="1" spans="1:8">
      <c r="A594" s="10" t="s">
        <v>172</v>
      </c>
      <c r="B594" s="25"/>
      <c r="C594" s="25"/>
      <c r="D594" s="25"/>
      <c r="E594" s="25"/>
      <c r="F594" s="25"/>
      <c r="G594" s="25"/>
      <c r="H594" s="10" t="s">
        <v>172</v>
      </c>
    </row>
    <row r="595" s="9" customFormat="1" ht="13" customHeight="1" spans="1:8">
      <c r="A595" s="10" t="s">
        <v>172</v>
      </c>
      <c r="B595" s="26"/>
      <c r="C595" s="26"/>
      <c r="D595" s="26"/>
      <c r="E595" s="26"/>
      <c r="F595" s="26"/>
      <c r="G595" s="26"/>
      <c r="H595" s="10" t="s">
        <v>172</v>
      </c>
    </row>
    <row r="596" s="9" customFormat="1" ht="13" customHeight="1" spans="1:8">
      <c r="A596" s="10" t="s">
        <v>172</v>
      </c>
      <c r="B596" s="26"/>
      <c r="C596" s="26"/>
      <c r="D596" s="26"/>
      <c r="E596" s="26"/>
      <c r="F596" s="26"/>
      <c r="G596" s="26"/>
      <c r="H596" s="10" t="s">
        <v>172</v>
      </c>
    </row>
    <row r="597" s="9" customFormat="1" ht="13" customHeight="1" spans="1:8">
      <c r="A597" s="10" t="s">
        <v>172</v>
      </c>
      <c r="B597" s="26"/>
      <c r="C597" s="26"/>
      <c r="D597" s="26"/>
      <c r="E597" s="26"/>
      <c r="F597" s="26"/>
      <c r="G597" s="26"/>
      <c r="H597" s="10" t="s">
        <v>172</v>
      </c>
    </row>
    <row r="598" s="9" customFormat="1" ht="13" customHeight="1" spans="1:8">
      <c r="A598" s="10" t="s">
        <v>172</v>
      </c>
      <c r="B598" s="26"/>
      <c r="C598" s="26"/>
      <c r="D598" s="26"/>
      <c r="E598" s="26"/>
      <c r="F598" s="26"/>
      <c r="G598" s="27" t="s">
        <v>1847</v>
      </c>
      <c r="H598" s="10" t="s">
        <v>172</v>
      </c>
    </row>
    <row r="599" s="9" customFormat="1" ht="17" customHeight="1" spans="1:8">
      <c r="A599" s="10" t="s">
        <v>172</v>
      </c>
      <c r="B599" s="11"/>
      <c r="C599" s="11"/>
      <c r="D599" s="11"/>
      <c r="E599" s="11"/>
      <c r="F599" s="11"/>
      <c r="G599" s="11"/>
      <c r="H599" s="10" t="s">
        <v>172</v>
      </c>
    </row>
    <row r="600" s="9" customFormat="1" ht="23" customHeight="1" spans="1:8">
      <c r="A600" s="10" t="s">
        <v>172</v>
      </c>
      <c r="B600" s="12"/>
      <c r="C600" s="12"/>
      <c r="D600" s="12"/>
      <c r="E600" s="12"/>
      <c r="F600" s="12"/>
      <c r="G600" s="12"/>
      <c r="H600" s="10" t="s">
        <v>172</v>
      </c>
    </row>
    <row r="601" s="9" customFormat="1" ht="16" customHeight="1" spans="1:8">
      <c r="A601" s="10" t="s">
        <v>172</v>
      </c>
      <c r="B601" s="13"/>
      <c r="C601" s="13"/>
      <c r="D601" s="13"/>
      <c r="E601" s="13"/>
      <c r="F601" s="13"/>
      <c r="G601" s="13"/>
      <c r="H601" s="10" t="s">
        <v>172</v>
      </c>
    </row>
    <row r="602" s="9" customFormat="1" ht="12" customHeight="1" spans="1:8">
      <c r="A602" s="10" t="s">
        <v>172</v>
      </c>
      <c r="B602" s="14"/>
      <c r="C602" s="14"/>
      <c r="D602" s="14"/>
      <c r="E602" s="14"/>
      <c r="F602" s="14"/>
      <c r="G602" s="14"/>
      <c r="H602" s="10" t="s">
        <v>172</v>
      </c>
    </row>
    <row r="603" s="9" customFormat="1" ht="17" customHeight="1" spans="1:8">
      <c r="A603" s="10" t="s">
        <v>172</v>
      </c>
      <c r="B603" s="15" t="s">
        <v>1836</v>
      </c>
      <c r="C603" s="16" t="s">
        <v>1837</v>
      </c>
      <c r="D603" s="17" t="s">
        <v>1838</v>
      </c>
      <c r="E603" s="18" t="s">
        <v>1839</v>
      </c>
      <c r="F603" s="10" t="s">
        <v>172</v>
      </c>
      <c r="G603" s="10" t="s">
        <v>172</v>
      </c>
      <c r="H603" s="10" t="s">
        <v>172</v>
      </c>
    </row>
    <row r="604" s="9" customFormat="1" ht="37" customHeight="1" spans="1:8">
      <c r="A604" s="10" t="s">
        <v>172</v>
      </c>
      <c r="B604" s="19" t="s">
        <v>225</v>
      </c>
      <c r="C604" s="20" t="s">
        <v>182</v>
      </c>
      <c r="D604" s="21">
        <v>2</v>
      </c>
      <c r="E604" s="22">
        <v>160180.18018</v>
      </c>
      <c r="F604" s="10" t="s">
        <v>172</v>
      </c>
      <c r="G604" s="10" t="s">
        <v>172</v>
      </c>
      <c r="H604" s="10" t="s">
        <v>172</v>
      </c>
    </row>
    <row r="605" s="9" customFormat="1" ht="17" customHeight="1" spans="1:8">
      <c r="A605" s="10" t="s">
        <v>172</v>
      </c>
      <c r="B605" s="19" t="s">
        <v>225</v>
      </c>
      <c r="C605" s="16" t="s">
        <v>1841</v>
      </c>
      <c r="D605" s="23">
        <v>2</v>
      </c>
      <c r="E605" s="24">
        <v>160180.18018</v>
      </c>
      <c r="F605" s="10" t="s">
        <v>172</v>
      </c>
      <c r="G605" s="10" t="s">
        <v>172</v>
      </c>
      <c r="H605" s="10" t="s">
        <v>172</v>
      </c>
    </row>
    <row r="606" s="9" customFormat="1" ht="37" customHeight="1" spans="1:8">
      <c r="A606" s="10" t="s">
        <v>172</v>
      </c>
      <c r="B606" s="19" t="s">
        <v>227</v>
      </c>
      <c r="C606" s="20" t="s">
        <v>182</v>
      </c>
      <c r="D606" s="21">
        <v>2</v>
      </c>
      <c r="E606" s="22">
        <v>185084.057594</v>
      </c>
      <c r="F606" s="10" t="s">
        <v>172</v>
      </c>
      <c r="G606" s="10" t="s">
        <v>172</v>
      </c>
      <c r="H606" s="10" t="s">
        <v>172</v>
      </c>
    </row>
    <row r="607" s="9" customFormat="1" ht="26" customHeight="1" spans="1:8">
      <c r="A607" s="10" t="s">
        <v>172</v>
      </c>
      <c r="B607" s="19" t="s">
        <v>227</v>
      </c>
      <c r="C607" s="20" t="s">
        <v>804</v>
      </c>
      <c r="D607" s="21">
        <v>1</v>
      </c>
      <c r="E607" s="22">
        <v>109909.90991</v>
      </c>
      <c r="F607" s="10" t="s">
        <v>172</v>
      </c>
      <c r="G607" s="10" t="s">
        <v>172</v>
      </c>
      <c r="H607" s="10" t="s">
        <v>172</v>
      </c>
    </row>
    <row r="608" s="9" customFormat="1" ht="17" customHeight="1" spans="1:8">
      <c r="A608" s="10" t="s">
        <v>172</v>
      </c>
      <c r="B608" s="19" t="s">
        <v>227</v>
      </c>
      <c r="C608" s="16" t="s">
        <v>1841</v>
      </c>
      <c r="D608" s="23">
        <v>3</v>
      </c>
      <c r="E608" s="24">
        <v>294993.967504</v>
      </c>
      <c r="F608" s="10" t="s">
        <v>172</v>
      </c>
      <c r="G608" s="10" t="s">
        <v>172</v>
      </c>
      <c r="H608" s="10" t="s">
        <v>172</v>
      </c>
    </row>
    <row r="609" s="9" customFormat="1" ht="26" customHeight="1" spans="1:8">
      <c r="A609" s="10" t="s">
        <v>172</v>
      </c>
      <c r="B609" s="19" t="s">
        <v>969</v>
      </c>
      <c r="C609" s="20" t="s">
        <v>804</v>
      </c>
      <c r="D609" s="21">
        <v>4</v>
      </c>
      <c r="E609" s="22">
        <v>6666667</v>
      </c>
      <c r="F609" s="10" t="s">
        <v>172</v>
      </c>
      <c r="G609" s="10" t="s">
        <v>172</v>
      </c>
      <c r="H609" s="10" t="s">
        <v>172</v>
      </c>
    </row>
    <row r="610" s="9" customFormat="1" ht="17" customHeight="1" spans="1:8">
      <c r="A610" s="10" t="s">
        <v>172</v>
      </c>
      <c r="B610" s="19" t="s">
        <v>969</v>
      </c>
      <c r="C610" s="16" t="s">
        <v>1841</v>
      </c>
      <c r="D610" s="23">
        <v>4</v>
      </c>
      <c r="E610" s="24">
        <v>6666667</v>
      </c>
      <c r="F610" s="10" t="s">
        <v>172</v>
      </c>
      <c r="G610" s="10" t="s">
        <v>172</v>
      </c>
      <c r="H610" s="10" t="s">
        <v>172</v>
      </c>
    </row>
    <row r="611" s="9" customFormat="1" ht="37" customHeight="1" spans="1:8">
      <c r="A611" s="10" t="s">
        <v>172</v>
      </c>
      <c r="B611" s="19" t="s">
        <v>237</v>
      </c>
      <c r="C611" s="20" t="s">
        <v>182</v>
      </c>
      <c r="D611" s="21">
        <v>4</v>
      </c>
      <c r="E611" s="22">
        <v>5162162</v>
      </c>
      <c r="F611" s="10" t="s">
        <v>172</v>
      </c>
      <c r="G611" s="10" t="s">
        <v>172</v>
      </c>
      <c r="H611" s="10" t="s">
        <v>172</v>
      </c>
    </row>
    <row r="612" s="9" customFormat="1" ht="17" customHeight="1" spans="1:8">
      <c r="A612" s="10" t="s">
        <v>172</v>
      </c>
      <c r="B612" s="19" t="s">
        <v>237</v>
      </c>
      <c r="C612" s="16" t="s">
        <v>1841</v>
      </c>
      <c r="D612" s="23">
        <v>4</v>
      </c>
      <c r="E612" s="24">
        <v>5162162</v>
      </c>
      <c r="F612" s="10" t="s">
        <v>172</v>
      </c>
      <c r="G612" s="10" t="s">
        <v>172</v>
      </c>
      <c r="H612" s="10" t="s">
        <v>172</v>
      </c>
    </row>
    <row r="613" s="9" customFormat="1" ht="37" customHeight="1" spans="1:8">
      <c r="A613" s="10" t="s">
        <v>172</v>
      </c>
      <c r="B613" s="19" t="s">
        <v>239</v>
      </c>
      <c r="C613" s="20" t="s">
        <v>182</v>
      </c>
      <c r="D613" s="21">
        <v>2</v>
      </c>
      <c r="E613" s="22">
        <v>3623423.423423</v>
      </c>
      <c r="F613" s="10" t="s">
        <v>172</v>
      </c>
      <c r="G613" s="10" t="s">
        <v>172</v>
      </c>
      <c r="H613" s="10" t="s">
        <v>172</v>
      </c>
    </row>
    <row r="614" s="9" customFormat="1" ht="17" customHeight="1" spans="1:8">
      <c r="A614" s="10" t="s">
        <v>172</v>
      </c>
      <c r="B614" s="19" t="s">
        <v>239</v>
      </c>
      <c r="C614" s="16" t="s">
        <v>1841</v>
      </c>
      <c r="D614" s="23">
        <v>2</v>
      </c>
      <c r="E614" s="24">
        <v>3623423.423423</v>
      </c>
      <c r="F614" s="10" t="s">
        <v>172</v>
      </c>
      <c r="G614" s="10" t="s">
        <v>172</v>
      </c>
      <c r="H614" s="10" t="s">
        <v>172</v>
      </c>
    </row>
    <row r="615" s="9" customFormat="1" ht="26" customHeight="1" spans="1:8">
      <c r="A615" s="10" t="s">
        <v>172</v>
      </c>
      <c r="B615" s="19" t="s">
        <v>245</v>
      </c>
      <c r="C615" s="20" t="s">
        <v>804</v>
      </c>
      <c r="D615" s="21">
        <v>4</v>
      </c>
      <c r="E615" s="22">
        <v>2702702.81982</v>
      </c>
      <c r="F615" s="10" t="s">
        <v>172</v>
      </c>
      <c r="G615" s="10" t="s">
        <v>172</v>
      </c>
      <c r="H615" s="10" t="s">
        <v>172</v>
      </c>
    </row>
    <row r="616" s="9" customFormat="1" ht="17" customHeight="1" spans="1:8">
      <c r="A616" s="10" t="s">
        <v>172</v>
      </c>
      <c r="B616" s="19" t="s">
        <v>245</v>
      </c>
      <c r="C616" s="16" t="s">
        <v>1841</v>
      </c>
      <c r="D616" s="23">
        <v>4</v>
      </c>
      <c r="E616" s="24">
        <v>2702702.81982</v>
      </c>
      <c r="F616" s="10" t="s">
        <v>172</v>
      </c>
      <c r="G616" s="10" t="s">
        <v>172</v>
      </c>
      <c r="H616" s="10" t="s">
        <v>172</v>
      </c>
    </row>
    <row r="617" s="9" customFormat="1" ht="1" customHeight="1" spans="1:8">
      <c r="A617" s="10" t="s">
        <v>172</v>
      </c>
      <c r="B617" s="25"/>
      <c r="C617" s="25"/>
      <c r="D617" s="25"/>
      <c r="E617" s="25"/>
      <c r="F617" s="25"/>
      <c r="G617" s="25"/>
      <c r="H617" s="10" t="s">
        <v>172</v>
      </c>
    </row>
    <row r="618" s="9" customFormat="1" ht="13" customHeight="1" spans="1:8">
      <c r="A618" s="10" t="s">
        <v>172</v>
      </c>
      <c r="B618" s="26"/>
      <c r="C618" s="26"/>
      <c r="D618" s="26"/>
      <c r="E618" s="26"/>
      <c r="F618" s="26"/>
      <c r="G618" s="26"/>
      <c r="H618" s="10" t="s">
        <v>172</v>
      </c>
    </row>
    <row r="619" s="9" customFormat="1" ht="13" customHeight="1" spans="1:8">
      <c r="A619" s="10" t="s">
        <v>172</v>
      </c>
      <c r="B619" s="26"/>
      <c r="C619" s="26"/>
      <c r="D619" s="26"/>
      <c r="E619" s="26"/>
      <c r="F619" s="26"/>
      <c r="G619" s="26"/>
      <c r="H619" s="10" t="s">
        <v>172</v>
      </c>
    </row>
    <row r="620" s="9" customFormat="1" ht="13" customHeight="1" spans="1:8">
      <c r="A620" s="10" t="s">
        <v>172</v>
      </c>
      <c r="B620" s="26"/>
      <c r="C620" s="26"/>
      <c r="D620" s="26"/>
      <c r="E620" s="26"/>
      <c r="F620" s="26"/>
      <c r="G620" s="26"/>
      <c r="H620" s="10" t="s">
        <v>172</v>
      </c>
    </row>
    <row r="621" s="9" customFormat="1" ht="13" customHeight="1" spans="1:8">
      <c r="A621" s="10" t="s">
        <v>172</v>
      </c>
      <c r="B621" s="26"/>
      <c r="C621" s="26"/>
      <c r="D621" s="26"/>
      <c r="E621" s="26"/>
      <c r="F621" s="26"/>
      <c r="G621" s="27" t="s">
        <v>1847</v>
      </c>
      <c r="H621" s="10" t="s">
        <v>172</v>
      </c>
    </row>
    <row r="622" s="9" customFormat="1" ht="17" customHeight="1" spans="1:8">
      <c r="A622" s="10" t="s">
        <v>172</v>
      </c>
      <c r="B622" s="11"/>
      <c r="C622" s="11"/>
      <c r="D622" s="11"/>
      <c r="E622" s="11"/>
      <c r="F622" s="11"/>
      <c r="G622" s="11"/>
      <c r="H622" s="10" t="s">
        <v>172</v>
      </c>
    </row>
    <row r="623" s="9" customFormat="1" ht="23" customHeight="1" spans="1:8">
      <c r="A623" s="10" t="s">
        <v>172</v>
      </c>
      <c r="B623" s="12"/>
      <c r="C623" s="12"/>
      <c r="D623" s="12"/>
      <c r="E623" s="12"/>
      <c r="F623" s="12"/>
      <c r="G623" s="12"/>
      <c r="H623" s="10" t="s">
        <v>172</v>
      </c>
    </row>
    <row r="624" s="9" customFormat="1" ht="16" customHeight="1" spans="1:8">
      <c r="A624" s="10" t="s">
        <v>172</v>
      </c>
      <c r="B624" s="13"/>
      <c r="C624" s="13"/>
      <c r="D624" s="13"/>
      <c r="E624" s="13"/>
      <c r="F624" s="13"/>
      <c r="G624" s="13"/>
      <c r="H624" s="10" t="s">
        <v>172</v>
      </c>
    </row>
    <row r="625" s="9" customFormat="1" ht="12" customHeight="1" spans="1:8">
      <c r="A625" s="10" t="s">
        <v>172</v>
      </c>
      <c r="B625" s="14"/>
      <c r="C625" s="14"/>
      <c r="D625" s="14"/>
      <c r="E625" s="14"/>
      <c r="F625" s="14"/>
      <c r="G625" s="14"/>
      <c r="H625" s="10" t="s">
        <v>172</v>
      </c>
    </row>
    <row r="626" s="9" customFormat="1" ht="17" customHeight="1" spans="1:8">
      <c r="A626" s="10" t="s">
        <v>172</v>
      </c>
      <c r="B626" s="15" t="s">
        <v>1836</v>
      </c>
      <c r="C626" s="16" t="s">
        <v>1837</v>
      </c>
      <c r="D626" s="17" t="s">
        <v>1838</v>
      </c>
      <c r="E626" s="18" t="s">
        <v>1839</v>
      </c>
      <c r="F626" s="10" t="s">
        <v>172</v>
      </c>
      <c r="G626" s="10" t="s">
        <v>172</v>
      </c>
      <c r="H626" s="10" t="s">
        <v>172</v>
      </c>
    </row>
    <row r="627" s="9" customFormat="1" ht="37" customHeight="1" spans="1:8">
      <c r="A627" s="10" t="s">
        <v>172</v>
      </c>
      <c r="B627" s="19" t="s">
        <v>251</v>
      </c>
      <c r="C627" s="20" t="s">
        <v>182</v>
      </c>
      <c r="D627" s="21">
        <v>4</v>
      </c>
      <c r="E627" s="22">
        <v>3659459</v>
      </c>
      <c r="F627" s="10" t="s">
        <v>172</v>
      </c>
      <c r="G627" s="10" t="s">
        <v>172</v>
      </c>
      <c r="H627" s="10" t="s">
        <v>172</v>
      </c>
    </row>
    <row r="628" s="9" customFormat="1" ht="17" customHeight="1" spans="1:8">
      <c r="A628" s="10" t="s">
        <v>172</v>
      </c>
      <c r="B628" s="19" t="s">
        <v>251</v>
      </c>
      <c r="C628" s="16" t="s">
        <v>1841</v>
      </c>
      <c r="D628" s="23">
        <v>4</v>
      </c>
      <c r="E628" s="24">
        <v>3659459</v>
      </c>
      <c r="F628" s="10" t="s">
        <v>172</v>
      </c>
      <c r="G628" s="10" t="s">
        <v>172</v>
      </c>
      <c r="H628" s="10" t="s">
        <v>172</v>
      </c>
    </row>
    <row r="629" s="9" customFormat="1" ht="26" customHeight="1" spans="1:8">
      <c r="A629" s="10" t="s">
        <v>172</v>
      </c>
      <c r="B629" s="19" t="s">
        <v>252</v>
      </c>
      <c r="C629" s="20" t="s">
        <v>804</v>
      </c>
      <c r="D629" s="21">
        <v>2</v>
      </c>
      <c r="E629" s="22">
        <v>2929819.81982</v>
      </c>
      <c r="F629" s="10" t="s">
        <v>172</v>
      </c>
      <c r="G629" s="10" t="s">
        <v>172</v>
      </c>
      <c r="H629" s="10" t="s">
        <v>172</v>
      </c>
    </row>
    <row r="630" s="9" customFormat="1" ht="17" customHeight="1" spans="1:8">
      <c r="A630" s="10" t="s">
        <v>172</v>
      </c>
      <c r="B630" s="19" t="s">
        <v>252</v>
      </c>
      <c r="C630" s="16" t="s">
        <v>1841</v>
      </c>
      <c r="D630" s="23">
        <v>2</v>
      </c>
      <c r="E630" s="24">
        <v>2929819.81982</v>
      </c>
      <c r="F630" s="10" t="s">
        <v>172</v>
      </c>
      <c r="G630" s="10" t="s">
        <v>172</v>
      </c>
      <c r="H630" s="10" t="s">
        <v>172</v>
      </c>
    </row>
    <row r="631" s="9" customFormat="1" ht="37" customHeight="1" spans="1:8">
      <c r="A631" s="10" t="s">
        <v>172</v>
      </c>
      <c r="B631" s="19" t="s">
        <v>1872</v>
      </c>
      <c r="C631" s="20" t="s">
        <v>182</v>
      </c>
      <c r="D631" s="21">
        <v>12</v>
      </c>
      <c r="E631" s="22">
        <v>8142877.451085</v>
      </c>
      <c r="F631" s="10" t="s">
        <v>172</v>
      </c>
      <c r="G631" s="10" t="s">
        <v>172</v>
      </c>
      <c r="H631" s="10" t="s">
        <v>172</v>
      </c>
    </row>
    <row r="632" s="9" customFormat="1" ht="17" customHeight="1" spans="1:8">
      <c r="A632" s="10" t="s">
        <v>172</v>
      </c>
      <c r="B632" s="19" t="s">
        <v>1872</v>
      </c>
      <c r="C632" s="16" t="s">
        <v>1841</v>
      </c>
      <c r="D632" s="23">
        <v>12</v>
      </c>
      <c r="E632" s="24">
        <v>8142877.451085</v>
      </c>
      <c r="F632" s="10" t="s">
        <v>172</v>
      </c>
      <c r="G632" s="10" t="s">
        <v>172</v>
      </c>
      <c r="H632" s="10" t="s">
        <v>172</v>
      </c>
    </row>
    <row r="633" s="9" customFormat="1" ht="26" customHeight="1" spans="1:8">
      <c r="A633" s="10" t="s">
        <v>172</v>
      </c>
      <c r="B633" s="19" t="s">
        <v>1873</v>
      </c>
      <c r="C633" s="20" t="s">
        <v>804</v>
      </c>
      <c r="D633" s="21">
        <v>2</v>
      </c>
      <c r="E633" s="22">
        <v>2789188.747748</v>
      </c>
      <c r="F633" s="10" t="s">
        <v>172</v>
      </c>
      <c r="G633" s="10" t="s">
        <v>172</v>
      </c>
      <c r="H633" s="10" t="s">
        <v>172</v>
      </c>
    </row>
    <row r="634" s="9" customFormat="1" ht="17" customHeight="1" spans="1:8">
      <c r="A634" s="10" t="s">
        <v>172</v>
      </c>
      <c r="B634" s="19" t="s">
        <v>1873</v>
      </c>
      <c r="C634" s="16" t="s">
        <v>1841</v>
      </c>
      <c r="D634" s="23">
        <v>2</v>
      </c>
      <c r="E634" s="24">
        <v>2789188.747748</v>
      </c>
      <c r="F634" s="10" t="s">
        <v>172</v>
      </c>
      <c r="G634" s="10" t="s">
        <v>172</v>
      </c>
      <c r="H634" s="10" t="s">
        <v>172</v>
      </c>
    </row>
    <row r="635" s="9" customFormat="1" ht="26" customHeight="1" spans="1:8">
      <c r="A635" s="10" t="s">
        <v>172</v>
      </c>
      <c r="B635" s="19" t="s">
        <v>1874</v>
      </c>
      <c r="C635" s="20" t="s">
        <v>804</v>
      </c>
      <c r="D635" s="21">
        <v>2</v>
      </c>
      <c r="E635" s="22">
        <v>2741441.441441</v>
      </c>
      <c r="F635" s="10" t="s">
        <v>172</v>
      </c>
      <c r="G635" s="10" t="s">
        <v>172</v>
      </c>
      <c r="H635" s="10" t="s">
        <v>172</v>
      </c>
    </row>
    <row r="636" s="9" customFormat="1" ht="17" customHeight="1" spans="1:8">
      <c r="A636" s="10" t="s">
        <v>172</v>
      </c>
      <c r="B636" s="19" t="s">
        <v>1874</v>
      </c>
      <c r="C636" s="16" t="s">
        <v>1841</v>
      </c>
      <c r="D636" s="23">
        <v>2</v>
      </c>
      <c r="E636" s="24">
        <v>2741441.441441</v>
      </c>
      <c r="F636" s="10" t="s">
        <v>172</v>
      </c>
      <c r="G636" s="10" t="s">
        <v>172</v>
      </c>
      <c r="H636" s="10" t="s">
        <v>172</v>
      </c>
    </row>
    <row r="637" s="9" customFormat="1" ht="37" customHeight="1" spans="1:8">
      <c r="A637" s="10" t="s">
        <v>172</v>
      </c>
      <c r="B637" s="19" t="s">
        <v>267</v>
      </c>
      <c r="C637" s="20" t="s">
        <v>182</v>
      </c>
      <c r="D637" s="21">
        <v>4</v>
      </c>
      <c r="E637" s="22">
        <v>5397297</v>
      </c>
      <c r="F637" s="10" t="s">
        <v>172</v>
      </c>
      <c r="G637" s="10" t="s">
        <v>172</v>
      </c>
      <c r="H637" s="10" t="s">
        <v>172</v>
      </c>
    </row>
    <row r="638" s="9" customFormat="1" ht="17" customHeight="1" spans="1:8">
      <c r="A638" s="10" t="s">
        <v>172</v>
      </c>
      <c r="B638" s="19" t="s">
        <v>267</v>
      </c>
      <c r="C638" s="16" t="s">
        <v>1841</v>
      </c>
      <c r="D638" s="23">
        <v>4</v>
      </c>
      <c r="E638" s="24">
        <v>5397297</v>
      </c>
      <c r="F638" s="10" t="s">
        <v>172</v>
      </c>
      <c r="G638" s="10" t="s">
        <v>172</v>
      </c>
      <c r="H638" s="10" t="s">
        <v>172</v>
      </c>
    </row>
    <row r="639" s="9" customFormat="1" ht="26" customHeight="1" spans="1:8">
      <c r="A639" s="10" t="s">
        <v>172</v>
      </c>
      <c r="B639" s="19" t="s">
        <v>1875</v>
      </c>
      <c r="C639" s="20" t="s">
        <v>804</v>
      </c>
      <c r="D639" s="21">
        <v>4</v>
      </c>
      <c r="E639" s="22">
        <v>4843243</v>
      </c>
      <c r="F639" s="10" t="s">
        <v>172</v>
      </c>
      <c r="G639" s="10" t="s">
        <v>172</v>
      </c>
      <c r="H639" s="10" t="s">
        <v>172</v>
      </c>
    </row>
    <row r="640" s="9" customFormat="1" ht="17" customHeight="1" spans="1:8">
      <c r="A640" s="10" t="s">
        <v>172</v>
      </c>
      <c r="B640" s="19" t="s">
        <v>1875</v>
      </c>
      <c r="C640" s="16" t="s">
        <v>1841</v>
      </c>
      <c r="D640" s="23">
        <v>4</v>
      </c>
      <c r="E640" s="24">
        <v>4843243</v>
      </c>
      <c r="F640" s="10" t="s">
        <v>172</v>
      </c>
      <c r="G640" s="10" t="s">
        <v>172</v>
      </c>
      <c r="H640" s="10" t="s">
        <v>172</v>
      </c>
    </row>
    <row r="641" s="9" customFormat="1" ht="1" customHeight="1" spans="1:8">
      <c r="A641" s="10" t="s">
        <v>172</v>
      </c>
      <c r="B641" s="25"/>
      <c r="C641" s="25"/>
      <c r="D641" s="25"/>
      <c r="E641" s="25"/>
      <c r="F641" s="25"/>
      <c r="G641" s="25"/>
      <c r="H641" s="10" t="s">
        <v>172</v>
      </c>
    </row>
    <row r="642" s="9" customFormat="1" ht="13" customHeight="1" spans="1:8">
      <c r="A642" s="10" t="s">
        <v>172</v>
      </c>
      <c r="B642" s="26"/>
      <c r="C642" s="26"/>
      <c r="D642" s="26"/>
      <c r="E642" s="26"/>
      <c r="F642" s="26"/>
      <c r="G642" s="26"/>
      <c r="H642" s="10" t="s">
        <v>172</v>
      </c>
    </row>
    <row r="643" s="9" customFormat="1" ht="13" customHeight="1" spans="1:8">
      <c r="A643" s="10" t="s">
        <v>172</v>
      </c>
      <c r="B643" s="26"/>
      <c r="C643" s="26"/>
      <c r="D643" s="26"/>
      <c r="E643" s="26"/>
      <c r="F643" s="26"/>
      <c r="G643" s="26"/>
      <c r="H643" s="10" t="s">
        <v>172</v>
      </c>
    </row>
    <row r="644" s="9" customFormat="1" ht="13" customHeight="1" spans="1:8">
      <c r="A644" s="10" t="s">
        <v>172</v>
      </c>
      <c r="B644" s="26"/>
      <c r="C644" s="26"/>
      <c r="D644" s="26"/>
      <c r="E644" s="26"/>
      <c r="F644" s="26"/>
      <c r="G644" s="26"/>
      <c r="H644" s="10" t="s">
        <v>172</v>
      </c>
    </row>
    <row r="645" s="9" customFormat="1" ht="13" customHeight="1" spans="1:8">
      <c r="A645" s="10" t="s">
        <v>172</v>
      </c>
      <c r="B645" s="26"/>
      <c r="C645" s="26"/>
      <c r="D645" s="26"/>
      <c r="E645" s="26"/>
      <c r="F645" s="26"/>
      <c r="G645" s="27" t="s">
        <v>1847</v>
      </c>
      <c r="H645" s="10" t="s">
        <v>172</v>
      </c>
    </row>
    <row r="646" s="9" customFormat="1" ht="17" customHeight="1" spans="1:8">
      <c r="A646" s="10" t="s">
        <v>172</v>
      </c>
      <c r="B646" s="11"/>
      <c r="C646" s="11"/>
      <c r="D646" s="11"/>
      <c r="E646" s="11"/>
      <c r="F646" s="11"/>
      <c r="G646" s="11"/>
      <c r="H646" s="10" t="s">
        <v>172</v>
      </c>
    </row>
    <row r="647" s="9" customFormat="1" ht="23" customHeight="1" spans="1:8">
      <c r="A647" s="10" t="s">
        <v>172</v>
      </c>
      <c r="B647" s="12"/>
      <c r="C647" s="12"/>
      <c r="D647" s="12"/>
      <c r="E647" s="12"/>
      <c r="F647" s="12"/>
      <c r="G647" s="12"/>
      <c r="H647" s="10" t="s">
        <v>172</v>
      </c>
    </row>
    <row r="648" s="9" customFormat="1" ht="16" customHeight="1" spans="1:8">
      <c r="A648" s="10" t="s">
        <v>172</v>
      </c>
      <c r="B648" s="13"/>
      <c r="C648" s="13"/>
      <c r="D648" s="13"/>
      <c r="E648" s="13"/>
      <c r="F648" s="13"/>
      <c r="G648" s="13"/>
      <c r="H648" s="10" t="s">
        <v>172</v>
      </c>
    </row>
    <row r="649" s="9" customFormat="1" ht="12" customHeight="1" spans="1:8">
      <c r="A649" s="10" t="s">
        <v>172</v>
      </c>
      <c r="B649" s="14"/>
      <c r="C649" s="14"/>
      <c r="D649" s="14"/>
      <c r="E649" s="14"/>
      <c r="F649" s="14"/>
      <c r="G649" s="14"/>
      <c r="H649" s="10" t="s">
        <v>172</v>
      </c>
    </row>
    <row r="650" s="9" customFormat="1" ht="17" customHeight="1" spans="1:8">
      <c r="A650" s="10" t="s">
        <v>172</v>
      </c>
      <c r="B650" s="15" t="s">
        <v>1836</v>
      </c>
      <c r="C650" s="16" t="s">
        <v>1837</v>
      </c>
      <c r="D650" s="17" t="s">
        <v>1838</v>
      </c>
      <c r="E650" s="18" t="s">
        <v>1839</v>
      </c>
      <c r="F650" s="10" t="s">
        <v>172</v>
      </c>
      <c r="G650" s="10" t="s">
        <v>172</v>
      </c>
      <c r="H650" s="10" t="s">
        <v>172</v>
      </c>
    </row>
    <row r="651" s="9" customFormat="1" ht="26" customHeight="1" spans="1:8">
      <c r="A651" s="10" t="s">
        <v>172</v>
      </c>
      <c r="B651" s="19" t="s">
        <v>1693</v>
      </c>
      <c r="C651" s="20" t="s">
        <v>804</v>
      </c>
      <c r="D651" s="21">
        <v>6</v>
      </c>
      <c r="E651" s="22">
        <v>9463513.927928</v>
      </c>
      <c r="F651" s="10" t="s">
        <v>172</v>
      </c>
      <c r="G651" s="10" t="s">
        <v>172</v>
      </c>
      <c r="H651" s="10" t="s">
        <v>172</v>
      </c>
    </row>
    <row r="652" s="9" customFormat="1" ht="17" customHeight="1" spans="1:8">
      <c r="A652" s="10" t="s">
        <v>172</v>
      </c>
      <c r="B652" s="19" t="s">
        <v>1693</v>
      </c>
      <c r="C652" s="16" t="s">
        <v>1841</v>
      </c>
      <c r="D652" s="23">
        <v>6</v>
      </c>
      <c r="E652" s="24">
        <v>9463513.927928</v>
      </c>
      <c r="F652" s="10" t="s">
        <v>172</v>
      </c>
      <c r="G652" s="10" t="s">
        <v>172</v>
      </c>
      <c r="H652" s="10" t="s">
        <v>172</v>
      </c>
    </row>
    <row r="653" s="9" customFormat="1" ht="26" customHeight="1" spans="1:8">
      <c r="A653" s="10" t="s">
        <v>172</v>
      </c>
      <c r="B653" s="19" t="s">
        <v>1482</v>
      </c>
      <c r="C653" s="20" t="s">
        <v>804</v>
      </c>
      <c r="D653" s="21">
        <v>8</v>
      </c>
      <c r="E653" s="22">
        <v>12508108.54955</v>
      </c>
      <c r="F653" s="10" t="s">
        <v>172</v>
      </c>
      <c r="G653" s="10" t="s">
        <v>172</v>
      </c>
      <c r="H653" s="10" t="s">
        <v>172</v>
      </c>
    </row>
    <row r="654" s="9" customFormat="1" ht="17" customHeight="1" spans="1:8">
      <c r="A654" s="10" t="s">
        <v>172</v>
      </c>
      <c r="B654" s="19" t="s">
        <v>1482</v>
      </c>
      <c r="C654" s="16" t="s">
        <v>1841</v>
      </c>
      <c r="D654" s="23">
        <v>8</v>
      </c>
      <c r="E654" s="24">
        <v>12508108.54955</v>
      </c>
      <c r="F654" s="10" t="s">
        <v>172</v>
      </c>
      <c r="G654" s="10" t="s">
        <v>172</v>
      </c>
      <c r="H654" s="10" t="s">
        <v>172</v>
      </c>
    </row>
    <row r="655" s="9" customFormat="1" ht="37" customHeight="1" spans="1:8">
      <c r="A655" s="10" t="s">
        <v>172</v>
      </c>
      <c r="B655" s="19" t="s">
        <v>1876</v>
      </c>
      <c r="C655" s="20" t="s">
        <v>182</v>
      </c>
      <c r="D655" s="21">
        <v>1</v>
      </c>
      <c r="E655" s="22">
        <v>120000</v>
      </c>
      <c r="F655" s="10" t="s">
        <v>172</v>
      </c>
      <c r="G655" s="10" t="s">
        <v>172</v>
      </c>
      <c r="H655" s="10" t="s">
        <v>172</v>
      </c>
    </row>
    <row r="656" s="9" customFormat="1" ht="17" customHeight="1" spans="1:8">
      <c r="A656" s="10" t="s">
        <v>172</v>
      </c>
      <c r="B656" s="19" t="s">
        <v>1876</v>
      </c>
      <c r="C656" s="16" t="s">
        <v>1841</v>
      </c>
      <c r="D656" s="23">
        <v>1</v>
      </c>
      <c r="E656" s="24">
        <v>120000</v>
      </c>
      <c r="F656" s="10" t="s">
        <v>172</v>
      </c>
      <c r="G656" s="10" t="s">
        <v>172</v>
      </c>
      <c r="H656" s="10" t="s">
        <v>172</v>
      </c>
    </row>
    <row r="657" s="9" customFormat="1" ht="37" customHeight="1" spans="1:8">
      <c r="A657" s="10" t="s">
        <v>172</v>
      </c>
      <c r="B657" s="19" t="s">
        <v>1877</v>
      </c>
      <c r="C657" s="20" t="s">
        <v>182</v>
      </c>
      <c r="D657" s="21">
        <v>2</v>
      </c>
      <c r="E657" s="22">
        <v>390000</v>
      </c>
      <c r="F657" s="10" t="s">
        <v>172</v>
      </c>
      <c r="G657" s="10" t="s">
        <v>172</v>
      </c>
      <c r="H657" s="10" t="s">
        <v>172</v>
      </c>
    </row>
    <row r="658" s="9" customFormat="1" ht="17" customHeight="1" spans="1:8">
      <c r="A658" s="10" t="s">
        <v>172</v>
      </c>
      <c r="B658" s="19" t="s">
        <v>1877</v>
      </c>
      <c r="C658" s="16" t="s">
        <v>1841</v>
      </c>
      <c r="D658" s="23">
        <v>2</v>
      </c>
      <c r="E658" s="24">
        <v>390000</v>
      </c>
      <c r="F658" s="10" t="s">
        <v>172</v>
      </c>
      <c r="G658" s="10" t="s">
        <v>172</v>
      </c>
      <c r="H658" s="10" t="s">
        <v>172</v>
      </c>
    </row>
    <row r="659" s="9" customFormat="1" ht="26" customHeight="1" spans="1:8">
      <c r="A659" s="10" t="s">
        <v>172</v>
      </c>
      <c r="B659" s="19" t="s">
        <v>1878</v>
      </c>
      <c r="C659" s="20" t="s">
        <v>804</v>
      </c>
      <c r="D659" s="21">
        <v>2</v>
      </c>
      <c r="E659" s="22">
        <v>74000</v>
      </c>
      <c r="F659" s="10" t="s">
        <v>172</v>
      </c>
      <c r="G659" s="10" t="s">
        <v>172</v>
      </c>
      <c r="H659" s="10" t="s">
        <v>172</v>
      </c>
    </row>
    <row r="660" s="9" customFormat="1" ht="17" customHeight="1" spans="1:8">
      <c r="A660" s="10" t="s">
        <v>172</v>
      </c>
      <c r="B660" s="19" t="s">
        <v>1878</v>
      </c>
      <c r="C660" s="16" t="s">
        <v>1841</v>
      </c>
      <c r="D660" s="23">
        <v>2</v>
      </c>
      <c r="E660" s="24">
        <v>74000</v>
      </c>
      <c r="F660" s="10" t="s">
        <v>172</v>
      </c>
      <c r="G660" s="10" t="s">
        <v>172</v>
      </c>
      <c r="H660" s="10" t="s">
        <v>172</v>
      </c>
    </row>
    <row r="661" s="9" customFormat="1" ht="26" customHeight="1" spans="1:8">
      <c r="A661" s="10" t="s">
        <v>172</v>
      </c>
      <c r="B661" s="19" t="s">
        <v>1879</v>
      </c>
      <c r="C661" s="20" t="s">
        <v>804</v>
      </c>
      <c r="D661" s="21">
        <v>2</v>
      </c>
      <c r="E661" s="22">
        <v>1214864.864865</v>
      </c>
      <c r="F661" s="10" t="s">
        <v>172</v>
      </c>
      <c r="G661" s="10" t="s">
        <v>172</v>
      </c>
      <c r="H661" s="10" t="s">
        <v>172</v>
      </c>
    </row>
    <row r="662" s="9" customFormat="1" ht="17" customHeight="1" spans="1:8">
      <c r="A662" s="10" t="s">
        <v>172</v>
      </c>
      <c r="B662" s="19" t="s">
        <v>1879</v>
      </c>
      <c r="C662" s="16" t="s">
        <v>1841</v>
      </c>
      <c r="D662" s="23">
        <v>2</v>
      </c>
      <c r="E662" s="24">
        <v>1214864.864865</v>
      </c>
      <c r="F662" s="10" t="s">
        <v>172</v>
      </c>
      <c r="G662" s="10" t="s">
        <v>172</v>
      </c>
      <c r="H662" s="10" t="s">
        <v>172</v>
      </c>
    </row>
    <row r="663" s="9" customFormat="1" ht="26" customHeight="1" spans="1:8">
      <c r="A663" s="10" t="s">
        <v>172</v>
      </c>
      <c r="B663" s="19" t="s">
        <v>975</v>
      </c>
      <c r="C663" s="20" t="s">
        <v>1191</v>
      </c>
      <c r="D663" s="21">
        <v>0</v>
      </c>
      <c r="E663" s="22">
        <v>2910000</v>
      </c>
      <c r="F663" s="10" t="s">
        <v>172</v>
      </c>
      <c r="G663" s="10" t="s">
        <v>172</v>
      </c>
      <c r="H663" s="10" t="s">
        <v>172</v>
      </c>
    </row>
    <row r="664" s="9" customFormat="1" ht="37" customHeight="1" spans="1:8">
      <c r="A664" s="10" t="s">
        <v>172</v>
      </c>
      <c r="B664" s="19" t="s">
        <v>975</v>
      </c>
      <c r="C664" s="20" t="s">
        <v>182</v>
      </c>
      <c r="D664" s="21">
        <v>226</v>
      </c>
      <c r="E664" s="22">
        <v>0</v>
      </c>
      <c r="F664" s="10" t="s">
        <v>172</v>
      </c>
      <c r="G664" s="10" t="s">
        <v>172</v>
      </c>
      <c r="H664" s="10" t="s">
        <v>172</v>
      </c>
    </row>
    <row r="665" s="9" customFormat="1" ht="1" customHeight="1" spans="1:8">
      <c r="A665" s="10" t="s">
        <v>172</v>
      </c>
      <c r="B665" s="25"/>
      <c r="C665" s="25"/>
      <c r="D665" s="25"/>
      <c r="E665" s="25"/>
      <c r="F665" s="25"/>
      <c r="G665" s="25"/>
      <c r="H665" s="10" t="s">
        <v>172</v>
      </c>
    </row>
    <row r="666" s="9" customFormat="1" ht="13" customHeight="1" spans="1:8">
      <c r="A666" s="10" t="s">
        <v>172</v>
      </c>
      <c r="B666" s="26"/>
      <c r="C666" s="26"/>
      <c r="D666" s="26"/>
      <c r="E666" s="26"/>
      <c r="F666" s="26"/>
      <c r="G666" s="26"/>
      <c r="H666" s="10" t="s">
        <v>172</v>
      </c>
    </row>
    <row r="667" s="9" customFormat="1" ht="13" customHeight="1" spans="1:8">
      <c r="A667" s="10" t="s">
        <v>172</v>
      </c>
      <c r="B667" s="26"/>
      <c r="C667" s="26"/>
      <c r="D667" s="26"/>
      <c r="E667" s="26"/>
      <c r="F667" s="26"/>
      <c r="G667" s="26"/>
      <c r="H667" s="10" t="s">
        <v>172</v>
      </c>
    </row>
    <row r="668" s="9" customFormat="1" ht="13" customHeight="1" spans="1:8">
      <c r="A668" s="10" t="s">
        <v>172</v>
      </c>
      <c r="B668" s="26"/>
      <c r="C668" s="26"/>
      <c r="D668" s="26"/>
      <c r="E668" s="26"/>
      <c r="F668" s="26"/>
      <c r="G668" s="26"/>
      <c r="H668" s="10" t="s">
        <v>172</v>
      </c>
    </row>
    <row r="669" s="9" customFormat="1" ht="13" customHeight="1" spans="1:8">
      <c r="A669" s="10" t="s">
        <v>172</v>
      </c>
      <c r="B669" s="26"/>
      <c r="C669" s="26"/>
      <c r="D669" s="26"/>
      <c r="E669" s="26"/>
      <c r="F669" s="26"/>
      <c r="G669" s="27" t="s">
        <v>1847</v>
      </c>
      <c r="H669" s="10" t="s">
        <v>172</v>
      </c>
    </row>
    <row r="670" s="9" customFormat="1" ht="17" customHeight="1" spans="1:8">
      <c r="A670" s="10" t="s">
        <v>172</v>
      </c>
      <c r="B670" s="11"/>
      <c r="C670" s="11"/>
      <c r="D670" s="11"/>
      <c r="E670" s="11"/>
      <c r="F670" s="11"/>
      <c r="G670" s="11"/>
      <c r="H670" s="10" t="s">
        <v>172</v>
      </c>
    </row>
    <row r="671" s="9" customFormat="1" ht="23" customHeight="1" spans="1:8">
      <c r="A671" s="10" t="s">
        <v>172</v>
      </c>
      <c r="B671" s="12"/>
      <c r="C671" s="12"/>
      <c r="D671" s="12"/>
      <c r="E671" s="12"/>
      <c r="F671" s="12"/>
      <c r="G671" s="12"/>
      <c r="H671" s="10" t="s">
        <v>172</v>
      </c>
    </row>
    <row r="672" s="9" customFormat="1" ht="16" customHeight="1" spans="1:8">
      <c r="A672" s="10" t="s">
        <v>172</v>
      </c>
      <c r="B672" s="13"/>
      <c r="C672" s="13"/>
      <c r="D672" s="13"/>
      <c r="E672" s="13"/>
      <c r="F672" s="13"/>
      <c r="G672" s="13"/>
      <c r="H672" s="10" t="s">
        <v>172</v>
      </c>
    </row>
    <row r="673" s="9" customFormat="1" ht="12" customHeight="1" spans="1:8">
      <c r="A673" s="10" t="s">
        <v>172</v>
      </c>
      <c r="B673" s="14"/>
      <c r="C673" s="14"/>
      <c r="D673" s="14"/>
      <c r="E673" s="14"/>
      <c r="F673" s="14"/>
      <c r="G673" s="14"/>
      <c r="H673" s="10" t="s">
        <v>172</v>
      </c>
    </row>
    <row r="674" s="9" customFormat="1" ht="17" customHeight="1" spans="1:8">
      <c r="A674" s="10" t="s">
        <v>172</v>
      </c>
      <c r="B674" s="15" t="s">
        <v>1836</v>
      </c>
      <c r="C674" s="16" t="s">
        <v>1837</v>
      </c>
      <c r="D674" s="17" t="s">
        <v>1838</v>
      </c>
      <c r="E674" s="18" t="s">
        <v>1839</v>
      </c>
      <c r="F674" s="10" t="s">
        <v>172</v>
      </c>
      <c r="G674" s="10" t="s">
        <v>172</v>
      </c>
      <c r="H674" s="10" t="s">
        <v>172</v>
      </c>
    </row>
    <row r="675" s="9" customFormat="1" ht="26" customHeight="1" spans="1:8">
      <c r="A675" s="10" t="s">
        <v>172</v>
      </c>
      <c r="B675" s="19" t="s">
        <v>975</v>
      </c>
      <c r="C675" s="20" t="s">
        <v>804</v>
      </c>
      <c r="D675" s="21">
        <v>108</v>
      </c>
      <c r="E675" s="22">
        <v>0</v>
      </c>
      <c r="F675" s="10" t="s">
        <v>172</v>
      </c>
      <c r="G675" s="10" t="s">
        <v>172</v>
      </c>
      <c r="H675" s="10" t="s">
        <v>172</v>
      </c>
    </row>
    <row r="676" s="9" customFormat="1" ht="17" customHeight="1" spans="1:8">
      <c r="A676" s="10" t="s">
        <v>172</v>
      </c>
      <c r="B676" s="19" t="s">
        <v>975</v>
      </c>
      <c r="C676" s="16" t="s">
        <v>1841</v>
      </c>
      <c r="D676" s="23">
        <v>334</v>
      </c>
      <c r="E676" s="24">
        <v>2910000</v>
      </c>
      <c r="F676" s="10" t="s">
        <v>172</v>
      </c>
      <c r="G676" s="10" t="s">
        <v>172</v>
      </c>
      <c r="H676" s="10" t="s">
        <v>172</v>
      </c>
    </row>
    <row r="677" s="9" customFormat="1" ht="37" customHeight="1" spans="1:8">
      <c r="A677" s="10" t="s">
        <v>172</v>
      </c>
      <c r="B677" s="19" t="s">
        <v>1484</v>
      </c>
      <c r="C677" s="20" t="s">
        <v>182</v>
      </c>
      <c r="D677" s="21">
        <v>225</v>
      </c>
      <c r="E677" s="22">
        <v>0</v>
      </c>
      <c r="F677" s="10" t="s">
        <v>172</v>
      </c>
      <c r="G677" s="10" t="s">
        <v>172</v>
      </c>
      <c r="H677" s="10" t="s">
        <v>172</v>
      </c>
    </row>
    <row r="678" s="9" customFormat="1" ht="26" customHeight="1" spans="1:8">
      <c r="A678" s="10" t="s">
        <v>172</v>
      </c>
      <c r="B678" s="19" t="s">
        <v>1484</v>
      </c>
      <c r="C678" s="20" t="s">
        <v>804</v>
      </c>
      <c r="D678" s="21">
        <v>108</v>
      </c>
      <c r="E678" s="22">
        <v>0</v>
      </c>
      <c r="F678" s="10" t="s">
        <v>172</v>
      </c>
      <c r="G678" s="10" t="s">
        <v>172</v>
      </c>
      <c r="H678" s="10" t="s">
        <v>172</v>
      </c>
    </row>
    <row r="679" s="9" customFormat="1" ht="17" customHeight="1" spans="1:8">
      <c r="A679" s="10" t="s">
        <v>172</v>
      </c>
      <c r="B679" s="19" t="s">
        <v>1484</v>
      </c>
      <c r="C679" s="16" t="s">
        <v>1841</v>
      </c>
      <c r="D679" s="23">
        <v>333</v>
      </c>
      <c r="E679" s="24">
        <v>0</v>
      </c>
      <c r="F679" s="10" t="s">
        <v>172</v>
      </c>
      <c r="G679" s="10" t="s">
        <v>172</v>
      </c>
      <c r="H679" s="10" t="s">
        <v>172</v>
      </c>
    </row>
    <row r="680" s="9" customFormat="1" ht="37" customHeight="1" spans="1:8">
      <c r="A680" s="10" t="s">
        <v>172</v>
      </c>
      <c r="B680" s="19" t="s">
        <v>272</v>
      </c>
      <c r="C680" s="20" t="s">
        <v>182</v>
      </c>
      <c r="D680" s="21">
        <v>34</v>
      </c>
      <c r="E680" s="22">
        <v>466666.666669</v>
      </c>
      <c r="F680" s="10" t="s">
        <v>172</v>
      </c>
      <c r="G680" s="10" t="s">
        <v>172</v>
      </c>
      <c r="H680" s="10" t="s">
        <v>172</v>
      </c>
    </row>
    <row r="681" s="9" customFormat="1" ht="26" customHeight="1" spans="1:8">
      <c r="A681" s="10" t="s">
        <v>172</v>
      </c>
      <c r="B681" s="19" t="s">
        <v>272</v>
      </c>
      <c r="C681" s="20" t="s">
        <v>804</v>
      </c>
      <c r="D681" s="21">
        <v>60</v>
      </c>
      <c r="E681" s="22">
        <v>1800000.198198</v>
      </c>
      <c r="F681" s="10" t="s">
        <v>172</v>
      </c>
      <c r="G681" s="10" t="s">
        <v>172</v>
      </c>
      <c r="H681" s="10" t="s">
        <v>172</v>
      </c>
    </row>
    <row r="682" s="9" customFormat="1" ht="17" customHeight="1" spans="1:8">
      <c r="A682" s="10" t="s">
        <v>172</v>
      </c>
      <c r="B682" s="19" t="s">
        <v>272</v>
      </c>
      <c r="C682" s="16" t="s">
        <v>1841</v>
      </c>
      <c r="D682" s="23">
        <v>94</v>
      </c>
      <c r="E682" s="24">
        <v>2266666.864867</v>
      </c>
      <c r="F682" s="10" t="s">
        <v>172</v>
      </c>
      <c r="G682" s="10" t="s">
        <v>172</v>
      </c>
      <c r="H682" s="10" t="s">
        <v>172</v>
      </c>
    </row>
    <row r="683" s="9" customFormat="1" ht="37" customHeight="1" spans="1:8">
      <c r="A683" s="10" t="s">
        <v>172</v>
      </c>
      <c r="B683" s="19" t="s">
        <v>421</v>
      </c>
      <c r="C683" s="20" t="s">
        <v>182</v>
      </c>
      <c r="D683" s="21">
        <v>10</v>
      </c>
      <c r="E683" s="22">
        <v>200000</v>
      </c>
      <c r="F683" s="10" t="s">
        <v>172</v>
      </c>
      <c r="G683" s="10" t="s">
        <v>172</v>
      </c>
      <c r="H683" s="10" t="s">
        <v>172</v>
      </c>
    </row>
    <row r="684" s="9" customFormat="1" ht="26" customHeight="1" spans="1:8">
      <c r="A684" s="10" t="s">
        <v>172</v>
      </c>
      <c r="B684" s="19" t="s">
        <v>421</v>
      </c>
      <c r="C684" s="20" t="s">
        <v>804</v>
      </c>
      <c r="D684" s="21">
        <v>60</v>
      </c>
      <c r="E684" s="22">
        <v>733334.54955</v>
      </c>
      <c r="F684" s="10" t="s">
        <v>172</v>
      </c>
      <c r="G684" s="10" t="s">
        <v>172</v>
      </c>
      <c r="H684" s="10" t="s">
        <v>172</v>
      </c>
    </row>
    <row r="685" s="9" customFormat="1" ht="17" customHeight="1" spans="1:8">
      <c r="A685" s="10" t="s">
        <v>172</v>
      </c>
      <c r="B685" s="19" t="s">
        <v>421</v>
      </c>
      <c r="C685" s="16" t="s">
        <v>1841</v>
      </c>
      <c r="D685" s="23">
        <v>70</v>
      </c>
      <c r="E685" s="24">
        <v>933334.54955</v>
      </c>
      <c r="F685" s="10" t="s">
        <v>172</v>
      </c>
      <c r="G685" s="10" t="s">
        <v>172</v>
      </c>
      <c r="H685" s="10" t="s">
        <v>172</v>
      </c>
    </row>
    <row r="686" s="9" customFormat="1" ht="37" customHeight="1" spans="1:8">
      <c r="A686" s="10" t="s">
        <v>172</v>
      </c>
      <c r="B686" s="19" t="s">
        <v>274</v>
      </c>
      <c r="C686" s="20" t="s">
        <v>182</v>
      </c>
      <c r="D686" s="21">
        <v>1</v>
      </c>
      <c r="E686" s="22">
        <v>0</v>
      </c>
      <c r="F686" s="10" t="s">
        <v>172</v>
      </c>
      <c r="G686" s="10" t="s">
        <v>172</v>
      </c>
      <c r="H686" s="10" t="s">
        <v>172</v>
      </c>
    </row>
    <row r="687" s="9" customFormat="1" ht="26" customHeight="1" spans="1:8">
      <c r="A687" s="10" t="s">
        <v>172</v>
      </c>
      <c r="B687" s="19" t="s">
        <v>274</v>
      </c>
      <c r="C687" s="20" t="s">
        <v>804</v>
      </c>
      <c r="D687" s="21">
        <v>1</v>
      </c>
      <c r="E687" s="22">
        <v>0</v>
      </c>
      <c r="F687" s="10" t="s">
        <v>172</v>
      </c>
      <c r="G687" s="10" t="s">
        <v>172</v>
      </c>
      <c r="H687" s="10" t="s">
        <v>172</v>
      </c>
    </row>
    <row r="688" s="9" customFormat="1" ht="17" customHeight="1" spans="1:8">
      <c r="A688" s="10" t="s">
        <v>172</v>
      </c>
      <c r="B688" s="19" t="s">
        <v>274</v>
      </c>
      <c r="C688" s="16" t="s">
        <v>1841</v>
      </c>
      <c r="D688" s="23">
        <v>2</v>
      </c>
      <c r="E688" s="24">
        <v>0</v>
      </c>
      <c r="F688" s="10" t="s">
        <v>172</v>
      </c>
      <c r="G688" s="10" t="s">
        <v>172</v>
      </c>
      <c r="H688" s="10" t="s">
        <v>172</v>
      </c>
    </row>
    <row r="689" s="9" customFormat="1" ht="1" customHeight="1" spans="1:8">
      <c r="A689" s="10" t="s">
        <v>172</v>
      </c>
      <c r="B689" s="25"/>
      <c r="C689" s="25"/>
      <c r="D689" s="25"/>
      <c r="E689" s="25"/>
      <c r="F689" s="25"/>
      <c r="G689" s="25"/>
      <c r="H689" s="10" t="s">
        <v>172</v>
      </c>
    </row>
    <row r="690" s="9" customFormat="1" ht="13" customHeight="1" spans="1:8">
      <c r="A690" s="10" t="s">
        <v>172</v>
      </c>
      <c r="B690" s="26"/>
      <c r="C690" s="26"/>
      <c r="D690" s="26"/>
      <c r="E690" s="26"/>
      <c r="F690" s="26"/>
      <c r="G690" s="26"/>
      <c r="H690" s="10" t="s">
        <v>172</v>
      </c>
    </row>
    <row r="691" s="9" customFormat="1" ht="13" customHeight="1" spans="1:8">
      <c r="A691" s="10" t="s">
        <v>172</v>
      </c>
      <c r="B691" s="26"/>
      <c r="C691" s="26"/>
      <c r="D691" s="26"/>
      <c r="E691" s="26"/>
      <c r="F691" s="26"/>
      <c r="G691" s="26"/>
      <c r="H691" s="10" t="s">
        <v>172</v>
      </c>
    </row>
    <row r="692" s="9" customFormat="1" ht="13" customHeight="1" spans="1:8">
      <c r="A692" s="10" t="s">
        <v>172</v>
      </c>
      <c r="B692" s="26"/>
      <c r="C692" s="26"/>
      <c r="D692" s="26"/>
      <c r="E692" s="26"/>
      <c r="F692" s="26"/>
      <c r="G692" s="26"/>
      <c r="H692" s="10" t="s">
        <v>172</v>
      </c>
    </row>
    <row r="693" s="9" customFormat="1" ht="13" customHeight="1" spans="1:8">
      <c r="A693" s="10" t="s">
        <v>172</v>
      </c>
      <c r="B693" s="26"/>
      <c r="C693" s="26"/>
      <c r="D693" s="26"/>
      <c r="E693" s="26"/>
      <c r="F693" s="26"/>
      <c r="G693" s="27" t="s">
        <v>1847</v>
      </c>
      <c r="H693" s="10" t="s">
        <v>172</v>
      </c>
    </row>
    <row r="694" s="9" customFormat="1" ht="17" customHeight="1" spans="1:8">
      <c r="A694" s="10" t="s">
        <v>172</v>
      </c>
      <c r="B694" s="11"/>
      <c r="C694" s="11"/>
      <c r="D694" s="11"/>
      <c r="E694" s="11"/>
      <c r="F694" s="11"/>
      <c r="G694" s="11"/>
      <c r="H694" s="10" t="s">
        <v>172</v>
      </c>
    </row>
    <row r="695" s="9" customFormat="1" ht="23" customHeight="1" spans="1:8">
      <c r="A695" s="10" t="s">
        <v>172</v>
      </c>
      <c r="B695" s="12"/>
      <c r="C695" s="12"/>
      <c r="D695" s="12"/>
      <c r="E695" s="12"/>
      <c r="F695" s="12"/>
      <c r="G695" s="12"/>
      <c r="H695" s="10" t="s">
        <v>172</v>
      </c>
    </row>
    <row r="696" s="9" customFormat="1" ht="16" customHeight="1" spans="1:8">
      <c r="A696" s="10" t="s">
        <v>172</v>
      </c>
      <c r="B696" s="13"/>
      <c r="C696" s="13"/>
      <c r="D696" s="13"/>
      <c r="E696" s="13"/>
      <c r="F696" s="13"/>
      <c r="G696" s="13"/>
      <c r="H696" s="10" t="s">
        <v>172</v>
      </c>
    </row>
    <row r="697" s="9" customFormat="1" ht="12" customHeight="1" spans="1:8">
      <c r="A697" s="10" t="s">
        <v>172</v>
      </c>
      <c r="B697" s="14"/>
      <c r="C697" s="14"/>
      <c r="D697" s="14"/>
      <c r="E697" s="14"/>
      <c r="F697" s="14"/>
      <c r="G697" s="14"/>
      <c r="H697" s="10" t="s">
        <v>172</v>
      </c>
    </row>
    <row r="698" s="9" customFormat="1" ht="17" customHeight="1" spans="1:8">
      <c r="A698" s="10" t="s">
        <v>172</v>
      </c>
      <c r="B698" s="15" t="s">
        <v>1836</v>
      </c>
      <c r="C698" s="16" t="s">
        <v>1837</v>
      </c>
      <c r="D698" s="17" t="s">
        <v>1838</v>
      </c>
      <c r="E698" s="18" t="s">
        <v>1839</v>
      </c>
      <c r="F698" s="10" t="s">
        <v>172</v>
      </c>
      <c r="G698" s="10" t="s">
        <v>172</v>
      </c>
      <c r="H698" s="10" t="s">
        <v>172</v>
      </c>
    </row>
    <row r="699" s="9" customFormat="1" ht="37" customHeight="1" spans="1:8">
      <c r="A699" s="10" t="s">
        <v>172</v>
      </c>
      <c r="B699" s="19" t="s">
        <v>583</v>
      </c>
      <c r="C699" s="20" t="s">
        <v>182</v>
      </c>
      <c r="D699" s="21">
        <v>4</v>
      </c>
      <c r="E699" s="22">
        <v>0</v>
      </c>
      <c r="F699" s="10" t="s">
        <v>172</v>
      </c>
      <c r="G699" s="10" t="s">
        <v>172</v>
      </c>
      <c r="H699" s="10" t="s">
        <v>172</v>
      </c>
    </row>
    <row r="700" s="9" customFormat="1" ht="17" customHeight="1" spans="1:8">
      <c r="A700" s="10" t="s">
        <v>172</v>
      </c>
      <c r="B700" s="19" t="s">
        <v>583</v>
      </c>
      <c r="C700" s="16" t="s">
        <v>1841</v>
      </c>
      <c r="D700" s="23">
        <v>4</v>
      </c>
      <c r="E700" s="24">
        <v>0</v>
      </c>
      <c r="F700" s="10" t="s">
        <v>172</v>
      </c>
      <c r="G700" s="10" t="s">
        <v>172</v>
      </c>
      <c r="H700" s="10" t="s">
        <v>172</v>
      </c>
    </row>
    <row r="701" s="9" customFormat="1" ht="26" customHeight="1" spans="1:8">
      <c r="A701" s="10" t="s">
        <v>172</v>
      </c>
      <c r="B701" s="19" t="s">
        <v>367</v>
      </c>
      <c r="C701" s="20" t="s">
        <v>804</v>
      </c>
      <c r="D701" s="21">
        <v>2</v>
      </c>
      <c r="E701" s="22">
        <v>0</v>
      </c>
      <c r="F701" s="10" t="s">
        <v>172</v>
      </c>
      <c r="G701" s="10" t="s">
        <v>172</v>
      </c>
      <c r="H701" s="10" t="s">
        <v>172</v>
      </c>
    </row>
    <row r="702" s="9" customFormat="1" ht="17" customHeight="1" spans="1:8">
      <c r="A702" s="10" t="s">
        <v>172</v>
      </c>
      <c r="B702" s="19" t="s">
        <v>367</v>
      </c>
      <c r="C702" s="16" t="s">
        <v>1841</v>
      </c>
      <c r="D702" s="23">
        <v>2</v>
      </c>
      <c r="E702" s="24">
        <v>0</v>
      </c>
      <c r="F702" s="10" t="s">
        <v>172</v>
      </c>
      <c r="G702" s="10" t="s">
        <v>172</v>
      </c>
      <c r="H702" s="10" t="s">
        <v>172</v>
      </c>
    </row>
    <row r="703" s="9" customFormat="1" ht="37" customHeight="1" spans="1:8">
      <c r="A703" s="10" t="s">
        <v>172</v>
      </c>
      <c r="B703" s="19" t="s">
        <v>422</v>
      </c>
      <c r="C703" s="20" t="s">
        <v>182</v>
      </c>
      <c r="D703" s="21">
        <v>1</v>
      </c>
      <c r="E703" s="22">
        <v>0</v>
      </c>
      <c r="F703" s="10" t="s">
        <v>172</v>
      </c>
      <c r="G703" s="10" t="s">
        <v>172</v>
      </c>
      <c r="H703" s="10" t="s">
        <v>172</v>
      </c>
    </row>
    <row r="704" s="9" customFormat="1" ht="17" customHeight="1" spans="1:8">
      <c r="A704" s="10" t="s">
        <v>172</v>
      </c>
      <c r="B704" s="19" t="s">
        <v>422</v>
      </c>
      <c r="C704" s="16" t="s">
        <v>1841</v>
      </c>
      <c r="D704" s="23">
        <v>1</v>
      </c>
      <c r="E704" s="24">
        <v>0</v>
      </c>
      <c r="F704" s="10" t="s">
        <v>172</v>
      </c>
      <c r="G704" s="10" t="s">
        <v>172</v>
      </c>
      <c r="H704" s="10" t="s">
        <v>172</v>
      </c>
    </row>
    <row r="705" s="9" customFormat="1" ht="37" customHeight="1" spans="1:8">
      <c r="A705" s="10" t="s">
        <v>172</v>
      </c>
      <c r="B705" s="19" t="s">
        <v>495</v>
      </c>
      <c r="C705" s="20" t="s">
        <v>182</v>
      </c>
      <c r="D705" s="21">
        <v>5</v>
      </c>
      <c r="E705" s="22">
        <v>123423.396396</v>
      </c>
      <c r="F705" s="10" t="s">
        <v>172</v>
      </c>
      <c r="G705" s="10" t="s">
        <v>172</v>
      </c>
      <c r="H705" s="10" t="s">
        <v>172</v>
      </c>
    </row>
    <row r="706" s="9" customFormat="1" ht="26" customHeight="1" spans="1:8">
      <c r="A706" s="10" t="s">
        <v>172</v>
      </c>
      <c r="B706" s="19" t="s">
        <v>495</v>
      </c>
      <c r="C706" s="20" t="s">
        <v>804</v>
      </c>
      <c r="D706" s="21">
        <v>6</v>
      </c>
      <c r="E706" s="22">
        <v>246847</v>
      </c>
      <c r="F706" s="10" t="s">
        <v>172</v>
      </c>
      <c r="G706" s="10" t="s">
        <v>172</v>
      </c>
      <c r="H706" s="10" t="s">
        <v>172</v>
      </c>
    </row>
    <row r="707" s="9" customFormat="1" ht="17" customHeight="1" spans="1:8">
      <c r="A707" s="10" t="s">
        <v>172</v>
      </c>
      <c r="B707" s="19" t="s">
        <v>495</v>
      </c>
      <c r="C707" s="16" t="s">
        <v>1841</v>
      </c>
      <c r="D707" s="23">
        <v>11</v>
      </c>
      <c r="E707" s="24">
        <v>370270.396396</v>
      </c>
      <c r="F707" s="10" t="s">
        <v>172</v>
      </c>
      <c r="G707" s="10" t="s">
        <v>172</v>
      </c>
      <c r="H707" s="10" t="s">
        <v>172</v>
      </c>
    </row>
    <row r="708" s="9" customFormat="1" ht="37" customHeight="1" spans="1:8">
      <c r="A708" s="10" t="s">
        <v>172</v>
      </c>
      <c r="B708" s="19" t="s">
        <v>1880</v>
      </c>
      <c r="C708" s="20" t="s">
        <v>182</v>
      </c>
      <c r="D708" s="21">
        <v>5</v>
      </c>
      <c r="E708" s="22">
        <v>0</v>
      </c>
      <c r="F708" s="10" t="s">
        <v>172</v>
      </c>
      <c r="G708" s="10" t="s">
        <v>172</v>
      </c>
      <c r="H708" s="10" t="s">
        <v>172</v>
      </c>
    </row>
    <row r="709" s="9" customFormat="1" ht="17" customHeight="1" spans="1:8">
      <c r="A709" s="10" t="s">
        <v>172</v>
      </c>
      <c r="B709" s="19" t="s">
        <v>1880</v>
      </c>
      <c r="C709" s="16" t="s">
        <v>1841</v>
      </c>
      <c r="D709" s="23">
        <v>5</v>
      </c>
      <c r="E709" s="24">
        <v>0</v>
      </c>
      <c r="F709" s="10" t="s">
        <v>172</v>
      </c>
      <c r="G709" s="10" t="s">
        <v>172</v>
      </c>
      <c r="H709" s="10" t="s">
        <v>172</v>
      </c>
    </row>
    <row r="710" s="9" customFormat="1" ht="37" customHeight="1" spans="1:8">
      <c r="A710" s="10" t="s">
        <v>172</v>
      </c>
      <c r="B710" s="19" t="s">
        <v>1881</v>
      </c>
      <c r="C710" s="20" t="s">
        <v>182</v>
      </c>
      <c r="D710" s="21">
        <v>280</v>
      </c>
      <c r="E710" s="22">
        <v>86086.914721</v>
      </c>
      <c r="F710" s="10" t="s">
        <v>172</v>
      </c>
      <c r="G710" s="10" t="s">
        <v>172</v>
      </c>
      <c r="H710" s="10" t="s">
        <v>172</v>
      </c>
    </row>
    <row r="711" s="9" customFormat="1" ht="26" customHeight="1" spans="1:8">
      <c r="A711" s="10" t="s">
        <v>172</v>
      </c>
      <c r="B711" s="19" t="s">
        <v>1881</v>
      </c>
      <c r="C711" s="20" t="s">
        <v>804</v>
      </c>
      <c r="D711" s="21">
        <v>71</v>
      </c>
      <c r="E711" s="22">
        <v>0</v>
      </c>
      <c r="F711" s="10" t="s">
        <v>172</v>
      </c>
      <c r="G711" s="10" t="s">
        <v>172</v>
      </c>
      <c r="H711" s="10" t="s">
        <v>172</v>
      </c>
    </row>
    <row r="712" s="9" customFormat="1" ht="17" customHeight="1" spans="1:8">
      <c r="A712" s="10" t="s">
        <v>172</v>
      </c>
      <c r="B712" s="19" t="s">
        <v>1881</v>
      </c>
      <c r="C712" s="16" t="s">
        <v>1841</v>
      </c>
      <c r="D712" s="23">
        <v>351</v>
      </c>
      <c r="E712" s="24">
        <v>86086.914721</v>
      </c>
      <c r="F712" s="10" t="s">
        <v>172</v>
      </c>
      <c r="G712" s="10" t="s">
        <v>172</v>
      </c>
      <c r="H712" s="10" t="s">
        <v>172</v>
      </c>
    </row>
    <row r="713" s="9" customFormat="1" ht="1" customHeight="1" spans="1:8">
      <c r="A713" s="10" t="s">
        <v>172</v>
      </c>
      <c r="B713" s="25"/>
      <c r="C713" s="25"/>
      <c r="D713" s="25"/>
      <c r="E713" s="25"/>
      <c r="F713" s="25"/>
      <c r="G713" s="25"/>
      <c r="H713" s="10" t="s">
        <v>172</v>
      </c>
    </row>
    <row r="714" s="9" customFormat="1" ht="13" customHeight="1" spans="1:8">
      <c r="A714" s="10" t="s">
        <v>172</v>
      </c>
      <c r="B714" s="26"/>
      <c r="C714" s="26"/>
      <c r="D714" s="26"/>
      <c r="E714" s="26"/>
      <c r="F714" s="26"/>
      <c r="G714" s="26"/>
      <c r="H714" s="10" t="s">
        <v>172</v>
      </c>
    </row>
    <row r="715" s="9" customFormat="1" ht="13" customHeight="1" spans="1:8">
      <c r="A715" s="10" t="s">
        <v>172</v>
      </c>
      <c r="B715" s="26"/>
      <c r="C715" s="26"/>
      <c r="D715" s="26"/>
      <c r="E715" s="26"/>
      <c r="F715" s="26"/>
      <c r="G715" s="26"/>
      <c r="H715" s="10" t="s">
        <v>172</v>
      </c>
    </row>
    <row r="716" s="9" customFormat="1" ht="13" customHeight="1" spans="1:8">
      <c r="A716" s="10" t="s">
        <v>172</v>
      </c>
      <c r="B716" s="26"/>
      <c r="C716" s="26"/>
      <c r="D716" s="26"/>
      <c r="E716" s="26"/>
      <c r="F716" s="26"/>
      <c r="G716" s="26"/>
      <c r="H716" s="10" t="s">
        <v>172</v>
      </c>
    </row>
    <row r="717" s="9" customFormat="1" ht="13" customHeight="1" spans="1:8">
      <c r="A717" s="10" t="s">
        <v>172</v>
      </c>
      <c r="B717" s="26"/>
      <c r="C717" s="26"/>
      <c r="D717" s="26"/>
      <c r="E717" s="26"/>
      <c r="F717" s="26"/>
      <c r="G717" s="27" t="s">
        <v>1847</v>
      </c>
      <c r="H717" s="10" t="s">
        <v>172</v>
      </c>
    </row>
    <row r="718" s="9" customFormat="1" ht="17" customHeight="1" spans="1:8">
      <c r="A718" s="10" t="s">
        <v>172</v>
      </c>
      <c r="B718" s="11"/>
      <c r="C718" s="11"/>
      <c r="D718" s="11"/>
      <c r="E718" s="11"/>
      <c r="F718" s="11"/>
      <c r="G718" s="11"/>
      <c r="H718" s="10" t="s">
        <v>172</v>
      </c>
    </row>
    <row r="719" s="9" customFormat="1" ht="23" customHeight="1" spans="1:8">
      <c r="A719" s="10" t="s">
        <v>172</v>
      </c>
      <c r="B719" s="12"/>
      <c r="C719" s="12"/>
      <c r="D719" s="12"/>
      <c r="E719" s="12"/>
      <c r="F719" s="12"/>
      <c r="G719" s="12"/>
      <c r="H719" s="10" t="s">
        <v>172</v>
      </c>
    </row>
    <row r="720" s="9" customFormat="1" ht="16" customHeight="1" spans="1:8">
      <c r="A720" s="10" t="s">
        <v>172</v>
      </c>
      <c r="B720" s="13"/>
      <c r="C720" s="13"/>
      <c r="D720" s="13"/>
      <c r="E720" s="13"/>
      <c r="F720" s="13"/>
      <c r="G720" s="13"/>
      <c r="H720" s="10" t="s">
        <v>172</v>
      </c>
    </row>
    <row r="721" s="9" customFormat="1" ht="12" customHeight="1" spans="1:8">
      <c r="A721" s="10" t="s">
        <v>172</v>
      </c>
      <c r="B721" s="14"/>
      <c r="C721" s="14"/>
      <c r="D721" s="14"/>
      <c r="E721" s="14"/>
      <c r="F721" s="14"/>
      <c r="G721" s="14"/>
      <c r="H721" s="10" t="s">
        <v>172</v>
      </c>
    </row>
    <row r="722" s="9" customFormat="1" ht="17" customHeight="1" spans="1:8">
      <c r="A722" s="10" t="s">
        <v>172</v>
      </c>
      <c r="B722" s="15" t="s">
        <v>1836</v>
      </c>
      <c r="C722" s="16" t="s">
        <v>1837</v>
      </c>
      <c r="D722" s="17" t="s">
        <v>1838</v>
      </c>
      <c r="E722" s="18" t="s">
        <v>1839</v>
      </c>
      <c r="F722" s="10" t="s">
        <v>172</v>
      </c>
      <c r="G722" s="10" t="s">
        <v>172</v>
      </c>
      <c r="H722" s="10" t="s">
        <v>172</v>
      </c>
    </row>
    <row r="723" s="9" customFormat="1" ht="37" customHeight="1" spans="1:8">
      <c r="A723" s="10" t="s">
        <v>172</v>
      </c>
      <c r="B723" s="19" t="s">
        <v>1882</v>
      </c>
      <c r="C723" s="20" t="s">
        <v>182</v>
      </c>
      <c r="D723" s="21">
        <v>1</v>
      </c>
      <c r="E723" s="22">
        <v>425000</v>
      </c>
      <c r="F723" s="10" t="s">
        <v>172</v>
      </c>
      <c r="G723" s="10" t="s">
        <v>172</v>
      </c>
      <c r="H723" s="10" t="s">
        <v>172</v>
      </c>
    </row>
    <row r="724" s="9" customFormat="1" ht="17" customHeight="1" spans="1:8">
      <c r="A724" s="10" t="s">
        <v>172</v>
      </c>
      <c r="B724" s="19" t="s">
        <v>1882</v>
      </c>
      <c r="C724" s="16" t="s">
        <v>1841</v>
      </c>
      <c r="D724" s="23">
        <v>1</v>
      </c>
      <c r="E724" s="24">
        <v>425000</v>
      </c>
      <c r="F724" s="10" t="s">
        <v>172</v>
      </c>
      <c r="G724" s="10" t="s">
        <v>172</v>
      </c>
      <c r="H724" s="10" t="s">
        <v>172</v>
      </c>
    </row>
    <row r="725" s="9" customFormat="1" ht="37" customHeight="1" spans="1:8">
      <c r="A725" s="10" t="s">
        <v>172</v>
      </c>
      <c r="B725" s="19" t="s">
        <v>1883</v>
      </c>
      <c r="C725" s="20" t="s">
        <v>182</v>
      </c>
      <c r="D725" s="21">
        <v>1</v>
      </c>
      <c r="E725" s="22">
        <v>390000</v>
      </c>
      <c r="F725" s="10" t="s">
        <v>172</v>
      </c>
      <c r="G725" s="10" t="s">
        <v>172</v>
      </c>
      <c r="H725" s="10" t="s">
        <v>172</v>
      </c>
    </row>
    <row r="726" s="9" customFormat="1" ht="17" customHeight="1" spans="1:8">
      <c r="A726" s="10" t="s">
        <v>172</v>
      </c>
      <c r="B726" s="19" t="s">
        <v>1883</v>
      </c>
      <c r="C726" s="16" t="s">
        <v>1841</v>
      </c>
      <c r="D726" s="23">
        <v>1</v>
      </c>
      <c r="E726" s="24">
        <v>390000</v>
      </c>
      <c r="F726" s="10" t="s">
        <v>172</v>
      </c>
      <c r="G726" s="10" t="s">
        <v>172</v>
      </c>
      <c r="H726" s="10" t="s">
        <v>172</v>
      </c>
    </row>
    <row r="727" s="9" customFormat="1" ht="37" customHeight="1" spans="1:8">
      <c r="A727" s="10" t="s">
        <v>172</v>
      </c>
      <c r="B727" s="19" t="s">
        <v>424</v>
      </c>
      <c r="C727" s="20" t="s">
        <v>182</v>
      </c>
      <c r="D727" s="21">
        <v>82</v>
      </c>
      <c r="E727" s="22">
        <v>9387540.562528</v>
      </c>
      <c r="F727" s="10" t="s">
        <v>172</v>
      </c>
      <c r="G727" s="10" t="s">
        <v>172</v>
      </c>
      <c r="H727" s="10" t="s">
        <v>172</v>
      </c>
    </row>
    <row r="728" s="9" customFormat="1" ht="17" customHeight="1" spans="1:8">
      <c r="A728" s="10" t="s">
        <v>172</v>
      </c>
      <c r="B728" s="19" t="s">
        <v>424</v>
      </c>
      <c r="C728" s="16" t="s">
        <v>1841</v>
      </c>
      <c r="D728" s="23">
        <v>82</v>
      </c>
      <c r="E728" s="24">
        <v>9387540.562528</v>
      </c>
      <c r="F728" s="10" t="s">
        <v>172</v>
      </c>
      <c r="G728" s="10" t="s">
        <v>172</v>
      </c>
      <c r="H728" s="10" t="s">
        <v>172</v>
      </c>
    </row>
    <row r="729" s="9" customFormat="1" ht="37" customHeight="1" spans="1:8">
      <c r="A729" s="10" t="s">
        <v>172</v>
      </c>
      <c r="B729" s="19" t="s">
        <v>1884</v>
      </c>
      <c r="C729" s="20" t="s">
        <v>182</v>
      </c>
      <c r="D729" s="21">
        <v>1</v>
      </c>
      <c r="E729" s="22">
        <v>82312.714244</v>
      </c>
      <c r="F729" s="10" t="s">
        <v>172</v>
      </c>
      <c r="G729" s="10" t="s">
        <v>172</v>
      </c>
      <c r="H729" s="10" t="s">
        <v>172</v>
      </c>
    </row>
    <row r="730" s="9" customFormat="1" ht="17" customHeight="1" spans="1:8">
      <c r="A730" s="10" t="s">
        <v>172</v>
      </c>
      <c r="B730" s="19" t="s">
        <v>1884</v>
      </c>
      <c r="C730" s="16" t="s">
        <v>1841</v>
      </c>
      <c r="D730" s="23">
        <v>1</v>
      </c>
      <c r="E730" s="24">
        <v>82312.714244</v>
      </c>
      <c r="F730" s="10" t="s">
        <v>172</v>
      </c>
      <c r="G730" s="10" t="s">
        <v>172</v>
      </c>
      <c r="H730" s="10" t="s">
        <v>172</v>
      </c>
    </row>
    <row r="731" s="9" customFormat="1" ht="37" customHeight="1" spans="1:8">
      <c r="A731" s="10" t="s">
        <v>172</v>
      </c>
      <c r="B731" s="19" t="s">
        <v>689</v>
      </c>
      <c r="C731" s="20" t="s">
        <v>182</v>
      </c>
      <c r="D731" s="21">
        <v>3</v>
      </c>
      <c r="E731" s="22">
        <v>302702.702703</v>
      </c>
      <c r="F731" s="10" t="s">
        <v>172</v>
      </c>
      <c r="G731" s="10" t="s">
        <v>172</v>
      </c>
      <c r="H731" s="10" t="s">
        <v>172</v>
      </c>
    </row>
    <row r="732" s="9" customFormat="1" ht="17" customHeight="1" spans="1:8">
      <c r="A732" s="10" t="s">
        <v>172</v>
      </c>
      <c r="B732" s="19" t="s">
        <v>689</v>
      </c>
      <c r="C732" s="16" t="s">
        <v>1841</v>
      </c>
      <c r="D732" s="23">
        <v>3</v>
      </c>
      <c r="E732" s="24">
        <v>302702.702703</v>
      </c>
      <c r="F732" s="10" t="s">
        <v>172</v>
      </c>
      <c r="G732" s="10" t="s">
        <v>172</v>
      </c>
      <c r="H732" s="10" t="s">
        <v>172</v>
      </c>
    </row>
    <row r="733" s="9" customFormat="1" ht="37" customHeight="1" spans="1:8">
      <c r="A733" s="10" t="s">
        <v>172</v>
      </c>
      <c r="B733" s="19" t="s">
        <v>828</v>
      </c>
      <c r="C733" s="20" t="s">
        <v>182</v>
      </c>
      <c r="D733" s="21">
        <v>3</v>
      </c>
      <c r="E733" s="22">
        <v>275675.675676</v>
      </c>
      <c r="F733" s="10" t="s">
        <v>172</v>
      </c>
      <c r="G733" s="10" t="s">
        <v>172</v>
      </c>
      <c r="H733" s="10" t="s">
        <v>172</v>
      </c>
    </row>
    <row r="734" s="9" customFormat="1" ht="26" customHeight="1" spans="1:8">
      <c r="A734" s="10" t="s">
        <v>172</v>
      </c>
      <c r="B734" s="19" t="s">
        <v>828</v>
      </c>
      <c r="C734" s="20" t="s">
        <v>804</v>
      </c>
      <c r="D734" s="21">
        <v>1</v>
      </c>
      <c r="E734" s="22">
        <v>91891.891892</v>
      </c>
      <c r="F734" s="10" t="s">
        <v>172</v>
      </c>
      <c r="G734" s="10" t="s">
        <v>172</v>
      </c>
      <c r="H734" s="10" t="s">
        <v>172</v>
      </c>
    </row>
    <row r="735" s="9" customFormat="1" ht="17" customHeight="1" spans="1:8">
      <c r="A735" s="10" t="s">
        <v>172</v>
      </c>
      <c r="B735" s="19" t="s">
        <v>828</v>
      </c>
      <c r="C735" s="16" t="s">
        <v>1841</v>
      </c>
      <c r="D735" s="23">
        <v>4</v>
      </c>
      <c r="E735" s="24">
        <v>367567.567568</v>
      </c>
      <c r="F735" s="10" t="s">
        <v>172</v>
      </c>
      <c r="G735" s="10" t="s">
        <v>172</v>
      </c>
      <c r="H735" s="10" t="s">
        <v>172</v>
      </c>
    </row>
    <row r="736" s="9" customFormat="1" ht="1" customHeight="1" spans="1:8">
      <c r="A736" s="10" t="s">
        <v>172</v>
      </c>
      <c r="B736" s="25"/>
      <c r="C736" s="25"/>
      <c r="D736" s="25"/>
      <c r="E736" s="25"/>
      <c r="F736" s="25"/>
      <c r="G736" s="25"/>
      <c r="H736" s="10" t="s">
        <v>172</v>
      </c>
    </row>
    <row r="737" s="9" customFormat="1" ht="13" customHeight="1" spans="1:8">
      <c r="A737" s="10" t="s">
        <v>172</v>
      </c>
      <c r="B737" s="26"/>
      <c r="C737" s="26"/>
      <c r="D737" s="26"/>
      <c r="E737" s="26"/>
      <c r="F737" s="26"/>
      <c r="G737" s="26"/>
      <c r="H737" s="10" t="s">
        <v>172</v>
      </c>
    </row>
    <row r="738" s="9" customFormat="1" ht="13" customHeight="1" spans="1:8">
      <c r="A738" s="10" t="s">
        <v>172</v>
      </c>
      <c r="B738" s="26"/>
      <c r="C738" s="26"/>
      <c r="D738" s="26"/>
      <c r="E738" s="26"/>
      <c r="F738" s="26"/>
      <c r="G738" s="26"/>
      <c r="H738" s="10" t="s">
        <v>172</v>
      </c>
    </row>
    <row r="739" s="9" customFormat="1" ht="13" customHeight="1" spans="1:8">
      <c r="A739" s="10" t="s">
        <v>172</v>
      </c>
      <c r="B739" s="26"/>
      <c r="C739" s="26"/>
      <c r="D739" s="26"/>
      <c r="E739" s="26"/>
      <c r="F739" s="26"/>
      <c r="G739" s="26"/>
      <c r="H739" s="10" t="s">
        <v>172</v>
      </c>
    </row>
    <row r="740" s="9" customFormat="1" ht="13" customHeight="1" spans="1:8">
      <c r="A740" s="10" t="s">
        <v>172</v>
      </c>
      <c r="B740" s="26"/>
      <c r="C740" s="26"/>
      <c r="D740" s="26"/>
      <c r="E740" s="26"/>
      <c r="F740" s="26"/>
      <c r="G740" s="27" t="s">
        <v>1847</v>
      </c>
      <c r="H740" s="10" t="s">
        <v>172</v>
      </c>
    </row>
    <row r="741" s="9" customFormat="1" ht="17" customHeight="1" spans="1:8">
      <c r="A741" s="10" t="s">
        <v>172</v>
      </c>
      <c r="B741" s="11"/>
      <c r="C741" s="11"/>
      <c r="D741" s="11"/>
      <c r="E741" s="11"/>
      <c r="F741" s="11"/>
      <c r="G741" s="11"/>
      <c r="H741" s="10" t="s">
        <v>172</v>
      </c>
    </row>
    <row r="742" s="9" customFormat="1" ht="23" customHeight="1" spans="1:8">
      <c r="A742" s="10" t="s">
        <v>172</v>
      </c>
      <c r="B742" s="12"/>
      <c r="C742" s="12"/>
      <c r="D742" s="12"/>
      <c r="E742" s="12"/>
      <c r="F742" s="12"/>
      <c r="G742" s="12"/>
      <c r="H742" s="10" t="s">
        <v>172</v>
      </c>
    </row>
    <row r="743" s="9" customFormat="1" ht="16" customHeight="1" spans="1:8">
      <c r="A743" s="10" t="s">
        <v>172</v>
      </c>
      <c r="B743" s="13"/>
      <c r="C743" s="13"/>
      <c r="D743" s="13"/>
      <c r="E743" s="13"/>
      <c r="F743" s="13"/>
      <c r="G743" s="13"/>
      <c r="H743" s="10" t="s">
        <v>172</v>
      </c>
    </row>
    <row r="744" s="9" customFormat="1" ht="12" customHeight="1" spans="1:8">
      <c r="A744" s="10" t="s">
        <v>172</v>
      </c>
      <c r="B744" s="14"/>
      <c r="C744" s="14"/>
      <c r="D744" s="14"/>
      <c r="E744" s="14"/>
      <c r="F744" s="14"/>
      <c r="G744" s="14"/>
      <c r="H744" s="10" t="s">
        <v>172</v>
      </c>
    </row>
    <row r="745" s="9" customFormat="1" ht="17" customHeight="1" spans="1:8">
      <c r="A745" s="10" t="s">
        <v>172</v>
      </c>
      <c r="B745" s="15" t="s">
        <v>1836</v>
      </c>
      <c r="C745" s="16" t="s">
        <v>1837</v>
      </c>
      <c r="D745" s="17" t="s">
        <v>1838</v>
      </c>
      <c r="E745" s="18" t="s">
        <v>1839</v>
      </c>
      <c r="F745" s="10" t="s">
        <v>172</v>
      </c>
      <c r="G745" s="10" t="s">
        <v>172</v>
      </c>
      <c r="H745" s="10" t="s">
        <v>172</v>
      </c>
    </row>
    <row r="746" s="9" customFormat="1" ht="26" customHeight="1" spans="1:8">
      <c r="A746" s="10" t="s">
        <v>172</v>
      </c>
      <c r="B746" s="19" t="s">
        <v>829</v>
      </c>
      <c r="C746" s="20" t="s">
        <v>804</v>
      </c>
      <c r="D746" s="21">
        <v>2</v>
      </c>
      <c r="E746" s="22">
        <v>165765.765766</v>
      </c>
      <c r="F746" s="10" t="s">
        <v>172</v>
      </c>
      <c r="G746" s="10" t="s">
        <v>172</v>
      </c>
      <c r="H746" s="10" t="s">
        <v>172</v>
      </c>
    </row>
    <row r="747" s="9" customFormat="1" ht="17" customHeight="1" spans="1:8">
      <c r="A747" s="10" t="s">
        <v>172</v>
      </c>
      <c r="B747" s="19" t="s">
        <v>829</v>
      </c>
      <c r="C747" s="16" t="s">
        <v>1841</v>
      </c>
      <c r="D747" s="23">
        <v>2</v>
      </c>
      <c r="E747" s="24">
        <v>165765.765766</v>
      </c>
      <c r="F747" s="10" t="s">
        <v>172</v>
      </c>
      <c r="G747" s="10" t="s">
        <v>172</v>
      </c>
      <c r="H747" s="10" t="s">
        <v>172</v>
      </c>
    </row>
    <row r="748" s="9" customFormat="1" ht="37" customHeight="1" spans="1:8">
      <c r="A748" s="10" t="s">
        <v>172</v>
      </c>
      <c r="B748" s="19" t="s">
        <v>690</v>
      </c>
      <c r="C748" s="20" t="s">
        <v>182</v>
      </c>
      <c r="D748" s="21">
        <v>2</v>
      </c>
      <c r="E748" s="22">
        <v>184684.684684</v>
      </c>
      <c r="F748" s="10" t="s">
        <v>172</v>
      </c>
      <c r="G748" s="10" t="s">
        <v>172</v>
      </c>
      <c r="H748" s="10" t="s">
        <v>172</v>
      </c>
    </row>
    <row r="749" s="9" customFormat="1" ht="26" customHeight="1" spans="1:8">
      <c r="A749" s="10" t="s">
        <v>172</v>
      </c>
      <c r="B749" s="19" t="s">
        <v>690</v>
      </c>
      <c r="C749" s="20" t="s">
        <v>804</v>
      </c>
      <c r="D749" s="21">
        <v>1</v>
      </c>
      <c r="E749" s="22">
        <v>92342.342342</v>
      </c>
      <c r="F749" s="10" t="s">
        <v>172</v>
      </c>
      <c r="G749" s="10" t="s">
        <v>172</v>
      </c>
      <c r="H749" s="10" t="s">
        <v>172</v>
      </c>
    </row>
    <row r="750" s="9" customFormat="1" ht="17" customHeight="1" spans="1:8">
      <c r="A750" s="10" t="s">
        <v>172</v>
      </c>
      <c r="B750" s="19" t="s">
        <v>690</v>
      </c>
      <c r="C750" s="16" t="s">
        <v>1841</v>
      </c>
      <c r="D750" s="23">
        <v>3</v>
      </c>
      <c r="E750" s="24">
        <v>277027.027026</v>
      </c>
      <c r="F750" s="10" t="s">
        <v>172</v>
      </c>
      <c r="G750" s="10" t="s">
        <v>172</v>
      </c>
      <c r="H750" s="10" t="s">
        <v>172</v>
      </c>
    </row>
    <row r="751" s="9" customFormat="1" ht="26" customHeight="1" spans="1:8">
      <c r="A751" s="10" t="s">
        <v>172</v>
      </c>
      <c r="B751" s="19" t="s">
        <v>980</v>
      </c>
      <c r="C751" s="20" t="s">
        <v>804</v>
      </c>
      <c r="D751" s="21">
        <v>2</v>
      </c>
      <c r="E751" s="22">
        <v>217117.117118</v>
      </c>
      <c r="F751" s="10" t="s">
        <v>172</v>
      </c>
      <c r="G751" s="10" t="s">
        <v>172</v>
      </c>
      <c r="H751" s="10" t="s">
        <v>172</v>
      </c>
    </row>
    <row r="752" s="9" customFormat="1" ht="17" customHeight="1" spans="1:8">
      <c r="A752" s="10" t="s">
        <v>172</v>
      </c>
      <c r="B752" s="19" t="s">
        <v>980</v>
      </c>
      <c r="C752" s="16" t="s">
        <v>1841</v>
      </c>
      <c r="D752" s="23">
        <v>2</v>
      </c>
      <c r="E752" s="24">
        <v>217117.117118</v>
      </c>
      <c r="F752" s="10" t="s">
        <v>172</v>
      </c>
      <c r="G752" s="10" t="s">
        <v>172</v>
      </c>
      <c r="H752" s="10" t="s">
        <v>172</v>
      </c>
    </row>
    <row r="753" s="9" customFormat="1" ht="37" customHeight="1" spans="1:8">
      <c r="A753" s="10" t="s">
        <v>172</v>
      </c>
      <c r="B753" s="19" t="s">
        <v>691</v>
      </c>
      <c r="C753" s="20" t="s">
        <v>182</v>
      </c>
      <c r="D753" s="21">
        <v>3</v>
      </c>
      <c r="E753" s="22">
        <v>317117.117117</v>
      </c>
      <c r="F753" s="10" t="s">
        <v>172</v>
      </c>
      <c r="G753" s="10" t="s">
        <v>172</v>
      </c>
      <c r="H753" s="10" t="s">
        <v>172</v>
      </c>
    </row>
    <row r="754" s="9" customFormat="1" ht="26" customHeight="1" spans="1:8">
      <c r="A754" s="10" t="s">
        <v>172</v>
      </c>
      <c r="B754" s="19" t="s">
        <v>691</v>
      </c>
      <c r="C754" s="20" t="s">
        <v>804</v>
      </c>
      <c r="D754" s="21">
        <v>1</v>
      </c>
      <c r="E754" s="22">
        <v>90990.990991</v>
      </c>
      <c r="F754" s="10" t="s">
        <v>172</v>
      </c>
      <c r="G754" s="10" t="s">
        <v>172</v>
      </c>
      <c r="H754" s="10" t="s">
        <v>172</v>
      </c>
    </row>
    <row r="755" s="9" customFormat="1" ht="17" customHeight="1" spans="1:8">
      <c r="A755" s="10" t="s">
        <v>172</v>
      </c>
      <c r="B755" s="19" t="s">
        <v>691</v>
      </c>
      <c r="C755" s="16" t="s">
        <v>1841</v>
      </c>
      <c r="D755" s="23">
        <v>4</v>
      </c>
      <c r="E755" s="24">
        <v>408108.108108</v>
      </c>
      <c r="F755" s="10" t="s">
        <v>172</v>
      </c>
      <c r="G755" s="10" t="s">
        <v>172</v>
      </c>
      <c r="H755" s="10" t="s">
        <v>172</v>
      </c>
    </row>
    <row r="756" s="9" customFormat="1" ht="37" customHeight="1" spans="1:8">
      <c r="A756" s="10" t="s">
        <v>172</v>
      </c>
      <c r="B756" s="19" t="s">
        <v>830</v>
      </c>
      <c r="C756" s="20" t="s">
        <v>182</v>
      </c>
      <c r="D756" s="21">
        <v>1</v>
      </c>
      <c r="E756" s="22">
        <v>74774.774775</v>
      </c>
      <c r="F756" s="10" t="s">
        <v>172</v>
      </c>
      <c r="G756" s="10" t="s">
        <v>172</v>
      </c>
      <c r="H756" s="10" t="s">
        <v>172</v>
      </c>
    </row>
    <row r="757" s="9" customFormat="1" ht="26" customHeight="1" spans="1:8">
      <c r="A757" s="10" t="s">
        <v>172</v>
      </c>
      <c r="B757" s="19" t="s">
        <v>830</v>
      </c>
      <c r="C757" s="20" t="s">
        <v>804</v>
      </c>
      <c r="D757" s="21">
        <v>1</v>
      </c>
      <c r="E757" s="22">
        <v>74774.774775</v>
      </c>
      <c r="F757" s="10" t="s">
        <v>172</v>
      </c>
      <c r="G757" s="10" t="s">
        <v>172</v>
      </c>
      <c r="H757" s="10" t="s">
        <v>172</v>
      </c>
    </row>
    <row r="758" s="9" customFormat="1" ht="17" customHeight="1" spans="1:8">
      <c r="A758" s="10" t="s">
        <v>172</v>
      </c>
      <c r="B758" s="19" t="s">
        <v>830</v>
      </c>
      <c r="C758" s="16" t="s">
        <v>1841</v>
      </c>
      <c r="D758" s="23">
        <v>2</v>
      </c>
      <c r="E758" s="24">
        <v>149549.54955</v>
      </c>
      <c r="F758" s="10" t="s">
        <v>172</v>
      </c>
      <c r="G758" s="10" t="s">
        <v>172</v>
      </c>
      <c r="H758" s="10" t="s">
        <v>172</v>
      </c>
    </row>
    <row r="759" s="9" customFormat="1" ht="37" customHeight="1" spans="1:8">
      <c r="A759" s="10" t="s">
        <v>172</v>
      </c>
      <c r="B759" s="20" t="s">
        <v>831</v>
      </c>
      <c r="C759" s="20" t="s">
        <v>182</v>
      </c>
      <c r="D759" s="21">
        <v>3</v>
      </c>
      <c r="E759" s="22">
        <v>224324.261262</v>
      </c>
      <c r="F759" s="10" t="s">
        <v>172</v>
      </c>
      <c r="G759" s="10" t="s">
        <v>172</v>
      </c>
      <c r="H759" s="10" t="s">
        <v>172</v>
      </c>
    </row>
    <row r="760" s="9" customFormat="1" ht="1" customHeight="1" spans="1:8">
      <c r="A760" s="10" t="s">
        <v>172</v>
      </c>
      <c r="B760" s="25"/>
      <c r="C760" s="25"/>
      <c r="D760" s="25"/>
      <c r="E760" s="25"/>
      <c r="F760" s="25"/>
      <c r="G760" s="25"/>
      <c r="H760" s="10" t="s">
        <v>172</v>
      </c>
    </row>
    <row r="761" s="9" customFormat="1" ht="13" customHeight="1" spans="1:8">
      <c r="A761" s="10" t="s">
        <v>172</v>
      </c>
      <c r="B761" s="26"/>
      <c r="C761" s="26"/>
      <c r="D761" s="26"/>
      <c r="E761" s="26"/>
      <c r="F761" s="26"/>
      <c r="G761" s="26"/>
      <c r="H761" s="10" t="s">
        <v>172</v>
      </c>
    </row>
    <row r="762" s="9" customFormat="1" ht="13" customHeight="1" spans="1:8">
      <c r="A762" s="10" t="s">
        <v>172</v>
      </c>
      <c r="B762" s="26"/>
      <c r="C762" s="26"/>
      <c r="D762" s="26"/>
      <c r="E762" s="26"/>
      <c r="F762" s="26"/>
      <c r="G762" s="26"/>
      <c r="H762" s="10" t="s">
        <v>172</v>
      </c>
    </row>
    <row r="763" s="9" customFormat="1" ht="13" customHeight="1" spans="1:8">
      <c r="A763" s="10" t="s">
        <v>172</v>
      </c>
      <c r="B763" s="26"/>
      <c r="C763" s="26"/>
      <c r="D763" s="26"/>
      <c r="E763" s="26"/>
      <c r="F763" s="26"/>
      <c r="G763" s="26"/>
      <c r="H763" s="10" t="s">
        <v>172</v>
      </c>
    </row>
    <row r="764" s="9" customFormat="1" ht="13" customHeight="1" spans="1:8">
      <c r="A764" s="10" t="s">
        <v>172</v>
      </c>
      <c r="B764" s="26"/>
      <c r="C764" s="26"/>
      <c r="D764" s="26"/>
      <c r="E764" s="26"/>
      <c r="F764" s="26"/>
      <c r="G764" s="27" t="s">
        <v>1847</v>
      </c>
      <c r="H764" s="10" t="s">
        <v>172</v>
      </c>
    </row>
    <row r="765" s="9" customFormat="1" ht="17" customHeight="1" spans="1:8">
      <c r="A765" s="10" t="s">
        <v>172</v>
      </c>
      <c r="B765" s="11"/>
      <c r="C765" s="11"/>
      <c r="D765" s="11"/>
      <c r="E765" s="11"/>
      <c r="F765" s="11"/>
      <c r="G765" s="11"/>
      <c r="H765" s="10" t="s">
        <v>172</v>
      </c>
    </row>
    <row r="766" s="9" customFormat="1" ht="23" customHeight="1" spans="1:8">
      <c r="A766" s="10" t="s">
        <v>172</v>
      </c>
      <c r="B766" s="12"/>
      <c r="C766" s="12"/>
      <c r="D766" s="12"/>
      <c r="E766" s="12"/>
      <c r="F766" s="12"/>
      <c r="G766" s="12"/>
      <c r="H766" s="10" t="s">
        <v>172</v>
      </c>
    </row>
    <row r="767" s="9" customFormat="1" ht="16" customHeight="1" spans="1:8">
      <c r="A767" s="10" t="s">
        <v>172</v>
      </c>
      <c r="B767" s="13"/>
      <c r="C767" s="13"/>
      <c r="D767" s="13"/>
      <c r="E767" s="13"/>
      <c r="F767" s="13"/>
      <c r="G767" s="13"/>
      <c r="H767" s="10" t="s">
        <v>172</v>
      </c>
    </row>
    <row r="768" s="9" customFormat="1" ht="12" customHeight="1" spans="1:8">
      <c r="A768" s="10" t="s">
        <v>172</v>
      </c>
      <c r="B768" s="14"/>
      <c r="C768" s="14"/>
      <c r="D768" s="14"/>
      <c r="E768" s="14"/>
      <c r="F768" s="14"/>
      <c r="G768" s="14"/>
      <c r="H768" s="10" t="s">
        <v>172</v>
      </c>
    </row>
    <row r="769" s="9" customFormat="1" ht="17" customHeight="1" spans="1:8">
      <c r="A769" s="10" t="s">
        <v>172</v>
      </c>
      <c r="B769" s="15" t="s">
        <v>1836</v>
      </c>
      <c r="C769" s="16" t="s">
        <v>1837</v>
      </c>
      <c r="D769" s="17" t="s">
        <v>1838</v>
      </c>
      <c r="E769" s="18" t="s">
        <v>1839</v>
      </c>
      <c r="F769" s="10" t="s">
        <v>172</v>
      </c>
      <c r="G769" s="10" t="s">
        <v>172</v>
      </c>
      <c r="H769" s="10" t="s">
        <v>172</v>
      </c>
    </row>
    <row r="770" s="9" customFormat="1" ht="26" customHeight="1" spans="1:8">
      <c r="A770" s="10" t="s">
        <v>172</v>
      </c>
      <c r="B770" s="19" t="s">
        <v>831</v>
      </c>
      <c r="C770" s="20" t="s">
        <v>804</v>
      </c>
      <c r="D770" s="21">
        <v>3</v>
      </c>
      <c r="E770" s="22">
        <v>224324.54955</v>
      </c>
      <c r="F770" s="10" t="s">
        <v>172</v>
      </c>
      <c r="G770" s="10" t="s">
        <v>172</v>
      </c>
      <c r="H770" s="10" t="s">
        <v>172</v>
      </c>
    </row>
    <row r="771" s="9" customFormat="1" ht="17" customHeight="1" spans="1:8">
      <c r="A771" s="10" t="s">
        <v>172</v>
      </c>
      <c r="B771" s="19" t="s">
        <v>831</v>
      </c>
      <c r="C771" s="16" t="s">
        <v>1841</v>
      </c>
      <c r="D771" s="23">
        <v>6</v>
      </c>
      <c r="E771" s="24">
        <v>448648.810812</v>
      </c>
      <c r="F771" s="10" t="s">
        <v>172</v>
      </c>
      <c r="G771" s="10" t="s">
        <v>172</v>
      </c>
      <c r="H771" s="10" t="s">
        <v>172</v>
      </c>
    </row>
    <row r="772" s="9" customFormat="1" ht="37" customHeight="1" spans="1:8">
      <c r="A772" s="10" t="s">
        <v>172</v>
      </c>
      <c r="B772" s="19" t="s">
        <v>1232</v>
      </c>
      <c r="C772" s="20" t="s">
        <v>182</v>
      </c>
      <c r="D772" s="21">
        <v>1</v>
      </c>
      <c r="E772" s="22">
        <v>184684.684685</v>
      </c>
      <c r="F772" s="10" t="s">
        <v>172</v>
      </c>
      <c r="G772" s="10" t="s">
        <v>172</v>
      </c>
      <c r="H772" s="10" t="s">
        <v>172</v>
      </c>
    </row>
    <row r="773" s="9" customFormat="1" ht="17" customHeight="1" spans="1:8">
      <c r="A773" s="10" t="s">
        <v>172</v>
      </c>
      <c r="B773" s="19" t="s">
        <v>1232</v>
      </c>
      <c r="C773" s="16" t="s">
        <v>1841</v>
      </c>
      <c r="D773" s="23">
        <v>1</v>
      </c>
      <c r="E773" s="24">
        <v>184684.684685</v>
      </c>
      <c r="F773" s="10" t="s">
        <v>172</v>
      </c>
      <c r="G773" s="10" t="s">
        <v>172</v>
      </c>
      <c r="H773" s="10" t="s">
        <v>172</v>
      </c>
    </row>
    <row r="774" s="9" customFormat="1" ht="26" customHeight="1" spans="1:8">
      <c r="A774" s="10" t="s">
        <v>172</v>
      </c>
      <c r="B774" s="19" t="s">
        <v>1698</v>
      </c>
      <c r="C774" s="20" t="s">
        <v>804</v>
      </c>
      <c r="D774" s="21">
        <v>1</v>
      </c>
      <c r="E774" s="22">
        <v>107207.207207</v>
      </c>
      <c r="F774" s="10" t="s">
        <v>172</v>
      </c>
      <c r="G774" s="10" t="s">
        <v>172</v>
      </c>
      <c r="H774" s="10" t="s">
        <v>172</v>
      </c>
    </row>
    <row r="775" s="9" customFormat="1" ht="17" customHeight="1" spans="1:8">
      <c r="A775" s="10" t="s">
        <v>172</v>
      </c>
      <c r="B775" s="19" t="s">
        <v>1698</v>
      </c>
      <c r="C775" s="16" t="s">
        <v>1841</v>
      </c>
      <c r="D775" s="23">
        <v>1</v>
      </c>
      <c r="E775" s="24">
        <v>107207.207207</v>
      </c>
      <c r="F775" s="10" t="s">
        <v>172</v>
      </c>
      <c r="G775" s="10" t="s">
        <v>172</v>
      </c>
      <c r="H775" s="10" t="s">
        <v>172</v>
      </c>
    </row>
    <row r="776" s="9" customFormat="1" ht="37" customHeight="1" spans="1:8">
      <c r="A776" s="10" t="s">
        <v>172</v>
      </c>
      <c r="B776" s="19" t="s">
        <v>1233</v>
      </c>
      <c r="C776" s="20" t="s">
        <v>182</v>
      </c>
      <c r="D776" s="21">
        <v>4</v>
      </c>
      <c r="E776" s="22">
        <v>327927.927928</v>
      </c>
      <c r="F776" s="10" t="s">
        <v>172</v>
      </c>
      <c r="G776" s="10" t="s">
        <v>172</v>
      </c>
      <c r="H776" s="10" t="s">
        <v>172</v>
      </c>
    </row>
    <row r="777" s="9" customFormat="1" ht="26" customHeight="1" spans="1:8">
      <c r="A777" s="10" t="s">
        <v>172</v>
      </c>
      <c r="B777" s="19" t="s">
        <v>1233</v>
      </c>
      <c r="C777" s="20" t="s">
        <v>804</v>
      </c>
      <c r="D777" s="21">
        <v>3</v>
      </c>
      <c r="E777" s="22">
        <v>245945.945946</v>
      </c>
      <c r="F777" s="10" t="s">
        <v>172</v>
      </c>
      <c r="G777" s="10" t="s">
        <v>172</v>
      </c>
      <c r="H777" s="10" t="s">
        <v>172</v>
      </c>
    </row>
    <row r="778" s="9" customFormat="1" ht="17" customHeight="1" spans="1:8">
      <c r="A778" s="10" t="s">
        <v>172</v>
      </c>
      <c r="B778" s="19" t="s">
        <v>1233</v>
      </c>
      <c r="C778" s="16" t="s">
        <v>1841</v>
      </c>
      <c r="D778" s="23">
        <v>7</v>
      </c>
      <c r="E778" s="24">
        <v>573873.873874</v>
      </c>
      <c r="F778" s="10" t="s">
        <v>172</v>
      </c>
      <c r="G778" s="10" t="s">
        <v>172</v>
      </c>
      <c r="H778" s="10" t="s">
        <v>172</v>
      </c>
    </row>
    <row r="779" s="9" customFormat="1" ht="37" customHeight="1" spans="1:8">
      <c r="A779" s="10" t="s">
        <v>172</v>
      </c>
      <c r="B779" s="19" t="s">
        <v>832</v>
      </c>
      <c r="C779" s="20" t="s">
        <v>182</v>
      </c>
      <c r="D779" s="21">
        <v>3</v>
      </c>
      <c r="E779" s="22">
        <v>398648.648649</v>
      </c>
      <c r="F779" s="10" t="s">
        <v>172</v>
      </c>
      <c r="G779" s="10" t="s">
        <v>172</v>
      </c>
      <c r="H779" s="10" t="s">
        <v>172</v>
      </c>
    </row>
    <row r="780" s="9" customFormat="1" ht="26" customHeight="1" spans="1:8">
      <c r="A780" s="10" t="s">
        <v>172</v>
      </c>
      <c r="B780" s="19" t="s">
        <v>832</v>
      </c>
      <c r="C780" s="20" t="s">
        <v>804</v>
      </c>
      <c r="D780" s="21">
        <v>5</v>
      </c>
      <c r="E780" s="22">
        <v>664414.414415</v>
      </c>
      <c r="F780" s="10" t="s">
        <v>172</v>
      </c>
      <c r="G780" s="10" t="s">
        <v>172</v>
      </c>
      <c r="H780" s="10" t="s">
        <v>172</v>
      </c>
    </row>
    <row r="781" s="9" customFormat="1" ht="17" customHeight="1" spans="1:8">
      <c r="A781" s="10" t="s">
        <v>172</v>
      </c>
      <c r="B781" s="19" t="s">
        <v>832</v>
      </c>
      <c r="C781" s="16" t="s">
        <v>1841</v>
      </c>
      <c r="D781" s="23">
        <v>8</v>
      </c>
      <c r="E781" s="24">
        <v>1063063.063064</v>
      </c>
      <c r="F781" s="10" t="s">
        <v>172</v>
      </c>
      <c r="G781" s="10" t="s">
        <v>172</v>
      </c>
      <c r="H781" s="10" t="s">
        <v>172</v>
      </c>
    </row>
    <row r="782" s="9" customFormat="1" ht="26" customHeight="1" spans="1:8">
      <c r="A782" s="10" t="s">
        <v>172</v>
      </c>
      <c r="B782" s="19" t="s">
        <v>833</v>
      </c>
      <c r="C782" s="20" t="s">
        <v>804</v>
      </c>
      <c r="D782" s="21">
        <v>3</v>
      </c>
      <c r="E782" s="22">
        <v>244595.063064</v>
      </c>
      <c r="F782" s="10" t="s">
        <v>172</v>
      </c>
      <c r="G782" s="10" t="s">
        <v>172</v>
      </c>
      <c r="H782" s="10" t="s">
        <v>172</v>
      </c>
    </row>
    <row r="783" s="9" customFormat="1" ht="17" customHeight="1" spans="1:8">
      <c r="A783" s="10" t="s">
        <v>172</v>
      </c>
      <c r="B783" s="19" t="s">
        <v>833</v>
      </c>
      <c r="C783" s="16" t="s">
        <v>1841</v>
      </c>
      <c r="D783" s="23">
        <v>3</v>
      </c>
      <c r="E783" s="24">
        <v>244595.063064</v>
      </c>
      <c r="F783" s="10" t="s">
        <v>172</v>
      </c>
      <c r="G783" s="10" t="s">
        <v>172</v>
      </c>
      <c r="H783" s="10" t="s">
        <v>172</v>
      </c>
    </row>
    <row r="784" s="9" customFormat="1" ht="1" customHeight="1" spans="1:8">
      <c r="A784" s="10" t="s">
        <v>172</v>
      </c>
      <c r="B784" s="25"/>
      <c r="C784" s="25"/>
      <c r="D784" s="25"/>
      <c r="E784" s="25"/>
      <c r="F784" s="25"/>
      <c r="G784" s="25"/>
      <c r="H784" s="10" t="s">
        <v>172</v>
      </c>
    </row>
    <row r="785" s="9" customFormat="1" ht="13" customHeight="1" spans="1:8">
      <c r="A785" s="10" t="s">
        <v>172</v>
      </c>
      <c r="B785" s="26"/>
      <c r="C785" s="26"/>
      <c r="D785" s="26"/>
      <c r="E785" s="26"/>
      <c r="F785" s="26"/>
      <c r="G785" s="26"/>
      <c r="H785" s="10" t="s">
        <v>172</v>
      </c>
    </row>
    <row r="786" s="9" customFormat="1" ht="13" customHeight="1" spans="1:8">
      <c r="A786" s="10" t="s">
        <v>172</v>
      </c>
      <c r="B786" s="26"/>
      <c r="C786" s="26"/>
      <c r="D786" s="26"/>
      <c r="E786" s="26"/>
      <c r="F786" s="26"/>
      <c r="G786" s="26"/>
      <c r="H786" s="10" t="s">
        <v>172</v>
      </c>
    </row>
    <row r="787" s="9" customFormat="1" ht="13" customHeight="1" spans="1:8">
      <c r="A787" s="10" t="s">
        <v>172</v>
      </c>
      <c r="B787" s="26"/>
      <c r="C787" s="26"/>
      <c r="D787" s="26"/>
      <c r="E787" s="26"/>
      <c r="F787" s="26"/>
      <c r="G787" s="26"/>
      <c r="H787" s="10" t="s">
        <v>172</v>
      </c>
    </row>
    <row r="788" s="9" customFormat="1" ht="13" customHeight="1" spans="1:8">
      <c r="A788" s="10" t="s">
        <v>172</v>
      </c>
      <c r="B788" s="26"/>
      <c r="C788" s="26"/>
      <c r="D788" s="26"/>
      <c r="E788" s="26"/>
      <c r="F788" s="26"/>
      <c r="G788" s="27" t="s">
        <v>1847</v>
      </c>
      <c r="H788" s="10" t="s">
        <v>172</v>
      </c>
    </row>
    <row r="789" s="9" customFormat="1" ht="17" customHeight="1" spans="1:8">
      <c r="A789" s="10" t="s">
        <v>172</v>
      </c>
      <c r="B789" s="11"/>
      <c r="C789" s="11"/>
      <c r="D789" s="11"/>
      <c r="E789" s="11"/>
      <c r="F789" s="11"/>
      <c r="G789" s="11"/>
      <c r="H789" s="10" t="s">
        <v>172</v>
      </c>
    </row>
    <row r="790" s="9" customFormat="1" ht="23" customHeight="1" spans="1:8">
      <c r="A790" s="10" t="s">
        <v>172</v>
      </c>
      <c r="B790" s="12"/>
      <c r="C790" s="12"/>
      <c r="D790" s="12"/>
      <c r="E790" s="12"/>
      <c r="F790" s="12"/>
      <c r="G790" s="12"/>
      <c r="H790" s="10" t="s">
        <v>172</v>
      </c>
    </row>
    <row r="791" s="9" customFormat="1" ht="16" customHeight="1" spans="1:8">
      <c r="A791" s="10" t="s">
        <v>172</v>
      </c>
      <c r="B791" s="13"/>
      <c r="C791" s="13"/>
      <c r="D791" s="13"/>
      <c r="E791" s="13"/>
      <c r="F791" s="13"/>
      <c r="G791" s="13"/>
      <c r="H791" s="10" t="s">
        <v>172</v>
      </c>
    </row>
    <row r="792" s="9" customFormat="1" ht="12" customHeight="1" spans="1:8">
      <c r="A792" s="10" t="s">
        <v>172</v>
      </c>
      <c r="B792" s="14"/>
      <c r="C792" s="14"/>
      <c r="D792" s="14"/>
      <c r="E792" s="14"/>
      <c r="F792" s="14"/>
      <c r="G792" s="14"/>
      <c r="H792" s="10" t="s">
        <v>172</v>
      </c>
    </row>
    <row r="793" s="9" customFormat="1" ht="17" customHeight="1" spans="1:8">
      <c r="A793" s="10" t="s">
        <v>172</v>
      </c>
      <c r="B793" s="15" t="s">
        <v>1836</v>
      </c>
      <c r="C793" s="16" t="s">
        <v>1837</v>
      </c>
      <c r="D793" s="17" t="s">
        <v>1838</v>
      </c>
      <c r="E793" s="18" t="s">
        <v>1839</v>
      </c>
      <c r="F793" s="10" t="s">
        <v>172</v>
      </c>
      <c r="G793" s="10" t="s">
        <v>172</v>
      </c>
      <c r="H793" s="10" t="s">
        <v>172</v>
      </c>
    </row>
    <row r="794" s="9" customFormat="1" ht="37" customHeight="1" spans="1:8">
      <c r="A794" s="10" t="s">
        <v>172</v>
      </c>
      <c r="B794" s="19" t="s">
        <v>981</v>
      </c>
      <c r="C794" s="20" t="s">
        <v>182</v>
      </c>
      <c r="D794" s="21">
        <v>5</v>
      </c>
      <c r="E794" s="22">
        <v>475225.225225</v>
      </c>
      <c r="F794" s="10" t="s">
        <v>172</v>
      </c>
      <c r="G794" s="10" t="s">
        <v>172</v>
      </c>
      <c r="H794" s="10" t="s">
        <v>172</v>
      </c>
    </row>
    <row r="795" s="9" customFormat="1" ht="26" customHeight="1" spans="1:8">
      <c r="A795" s="10" t="s">
        <v>172</v>
      </c>
      <c r="B795" s="19" t="s">
        <v>981</v>
      </c>
      <c r="C795" s="20" t="s">
        <v>804</v>
      </c>
      <c r="D795" s="21">
        <v>2</v>
      </c>
      <c r="E795" s="22">
        <v>190090.09009</v>
      </c>
      <c r="F795" s="10" t="s">
        <v>172</v>
      </c>
      <c r="G795" s="10" t="s">
        <v>172</v>
      </c>
      <c r="H795" s="10" t="s">
        <v>172</v>
      </c>
    </row>
    <row r="796" s="9" customFormat="1" ht="17" customHeight="1" spans="1:8">
      <c r="A796" s="10" t="s">
        <v>172</v>
      </c>
      <c r="B796" s="19" t="s">
        <v>981</v>
      </c>
      <c r="C796" s="16" t="s">
        <v>1841</v>
      </c>
      <c r="D796" s="23">
        <v>7</v>
      </c>
      <c r="E796" s="24">
        <v>665315.315315</v>
      </c>
      <c r="F796" s="10" t="s">
        <v>172</v>
      </c>
      <c r="G796" s="10" t="s">
        <v>172</v>
      </c>
      <c r="H796" s="10" t="s">
        <v>172</v>
      </c>
    </row>
    <row r="797" s="9" customFormat="1" ht="26" customHeight="1" spans="1:8">
      <c r="A797" s="10" t="s">
        <v>172</v>
      </c>
      <c r="B797" s="19" t="s">
        <v>1235</v>
      </c>
      <c r="C797" s="20" t="s">
        <v>804</v>
      </c>
      <c r="D797" s="21">
        <v>1</v>
      </c>
      <c r="E797" s="22">
        <v>81081.081081</v>
      </c>
      <c r="F797" s="10" t="s">
        <v>172</v>
      </c>
      <c r="G797" s="10" t="s">
        <v>172</v>
      </c>
      <c r="H797" s="10" t="s">
        <v>172</v>
      </c>
    </row>
    <row r="798" s="9" customFormat="1" ht="17" customHeight="1" spans="1:8">
      <c r="A798" s="10" t="s">
        <v>172</v>
      </c>
      <c r="B798" s="19" t="s">
        <v>1235</v>
      </c>
      <c r="C798" s="16" t="s">
        <v>1841</v>
      </c>
      <c r="D798" s="23">
        <v>1</v>
      </c>
      <c r="E798" s="24">
        <v>81081.081081</v>
      </c>
      <c r="F798" s="10" t="s">
        <v>172</v>
      </c>
      <c r="G798" s="10" t="s">
        <v>172</v>
      </c>
      <c r="H798" s="10" t="s">
        <v>172</v>
      </c>
    </row>
    <row r="799" s="9" customFormat="1" ht="26" customHeight="1" spans="1:8">
      <c r="A799" s="10" t="s">
        <v>172</v>
      </c>
      <c r="B799" s="19" t="s">
        <v>834</v>
      </c>
      <c r="C799" s="20" t="s">
        <v>804</v>
      </c>
      <c r="D799" s="21">
        <v>1</v>
      </c>
      <c r="E799" s="22">
        <v>113513.513514</v>
      </c>
      <c r="F799" s="10" t="s">
        <v>172</v>
      </c>
      <c r="G799" s="10" t="s">
        <v>172</v>
      </c>
      <c r="H799" s="10" t="s">
        <v>172</v>
      </c>
    </row>
    <row r="800" s="9" customFormat="1" ht="17" customHeight="1" spans="1:8">
      <c r="A800" s="10" t="s">
        <v>172</v>
      </c>
      <c r="B800" s="19" t="s">
        <v>834</v>
      </c>
      <c r="C800" s="16" t="s">
        <v>1841</v>
      </c>
      <c r="D800" s="23">
        <v>1</v>
      </c>
      <c r="E800" s="24">
        <v>113513.513514</v>
      </c>
      <c r="F800" s="10" t="s">
        <v>172</v>
      </c>
      <c r="G800" s="10" t="s">
        <v>172</v>
      </c>
      <c r="H800" s="10" t="s">
        <v>172</v>
      </c>
    </row>
    <row r="801" s="9" customFormat="1" ht="37" customHeight="1" spans="1:8">
      <c r="A801" s="10" t="s">
        <v>172</v>
      </c>
      <c r="B801" s="19" t="s">
        <v>835</v>
      </c>
      <c r="C801" s="20" t="s">
        <v>182</v>
      </c>
      <c r="D801" s="21">
        <v>3</v>
      </c>
      <c r="E801" s="22">
        <v>239189.18919</v>
      </c>
      <c r="F801" s="10" t="s">
        <v>172</v>
      </c>
      <c r="G801" s="10" t="s">
        <v>172</v>
      </c>
      <c r="H801" s="10" t="s">
        <v>172</v>
      </c>
    </row>
    <row r="802" s="9" customFormat="1" ht="26" customHeight="1" spans="1:8">
      <c r="A802" s="10" t="s">
        <v>172</v>
      </c>
      <c r="B802" s="19" t="s">
        <v>835</v>
      </c>
      <c r="C802" s="20" t="s">
        <v>804</v>
      </c>
      <c r="D802" s="21">
        <v>7</v>
      </c>
      <c r="E802" s="22">
        <v>558108.10811</v>
      </c>
      <c r="F802" s="10" t="s">
        <v>172</v>
      </c>
      <c r="G802" s="10" t="s">
        <v>172</v>
      </c>
      <c r="H802" s="10" t="s">
        <v>172</v>
      </c>
    </row>
    <row r="803" s="9" customFormat="1" ht="17" customHeight="1" spans="1:8">
      <c r="A803" s="10" t="s">
        <v>172</v>
      </c>
      <c r="B803" s="19" t="s">
        <v>835</v>
      </c>
      <c r="C803" s="16" t="s">
        <v>1841</v>
      </c>
      <c r="D803" s="23">
        <v>10</v>
      </c>
      <c r="E803" s="24">
        <v>797297.2973</v>
      </c>
      <c r="F803" s="10" t="s">
        <v>172</v>
      </c>
      <c r="G803" s="10" t="s">
        <v>172</v>
      </c>
      <c r="H803" s="10" t="s">
        <v>172</v>
      </c>
    </row>
    <row r="804" s="9" customFormat="1" ht="37" customHeight="1" spans="1:8">
      <c r="A804" s="10" t="s">
        <v>172</v>
      </c>
      <c r="B804" s="19" t="s">
        <v>1237</v>
      </c>
      <c r="C804" s="20" t="s">
        <v>182</v>
      </c>
      <c r="D804" s="21">
        <v>1</v>
      </c>
      <c r="E804" s="22">
        <v>108108.108108</v>
      </c>
      <c r="F804" s="10" t="s">
        <v>172</v>
      </c>
      <c r="G804" s="10" t="s">
        <v>172</v>
      </c>
      <c r="H804" s="10" t="s">
        <v>172</v>
      </c>
    </row>
    <row r="805" s="9" customFormat="1" ht="17" customHeight="1" spans="1:8">
      <c r="A805" s="10" t="s">
        <v>172</v>
      </c>
      <c r="B805" s="19" t="s">
        <v>1237</v>
      </c>
      <c r="C805" s="16" t="s">
        <v>1841</v>
      </c>
      <c r="D805" s="23">
        <v>1</v>
      </c>
      <c r="E805" s="24">
        <v>108108.108108</v>
      </c>
      <c r="F805" s="10" t="s">
        <v>172</v>
      </c>
      <c r="G805" s="10" t="s">
        <v>172</v>
      </c>
      <c r="H805" s="10" t="s">
        <v>172</v>
      </c>
    </row>
    <row r="806" s="9" customFormat="1" ht="37" customHeight="1" spans="1:8">
      <c r="A806" s="10" t="s">
        <v>172</v>
      </c>
      <c r="B806" s="20" t="s">
        <v>426</v>
      </c>
      <c r="C806" s="20" t="s">
        <v>182</v>
      </c>
      <c r="D806" s="21">
        <v>17</v>
      </c>
      <c r="E806" s="22">
        <v>250450.837839</v>
      </c>
      <c r="F806" s="10" t="s">
        <v>172</v>
      </c>
      <c r="G806" s="10" t="s">
        <v>172</v>
      </c>
      <c r="H806" s="10" t="s">
        <v>172</v>
      </c>
    </row>
    <row r="807" s="9" customFormat="1" ht="1" customHeight="1" spans="1:8">
      <c r="A807" s="10" t="s">
        <v>172</v>
      </c>
      <c r="B807" s="25"/>
      <c r="C807" s="25"/>
      <c r="D807" s="25"/>
      <c r="E807" s="25"/>
      <c r="F807" s="25"/>
      <c r="G807" s="25"/>
      <c r="H807" s="10" t="s">
        <v>172</v>
      </c>
    </row>
    <row r="808" s="9" customFormat="1" ht="13" customHeight="1" spans="1:8">
      <c r="A808" s="10" t="s">
        <v>172</v>
      </c>
      <c r="B808" s="26"/>
      <c r="C808" s="26"/>
      <c r="D808" s="26"/>
      <c r="E808" s="26"/>
      <c r="F808" s="26"/>
      <c r="G808" s="26"/>
      <c r="H808" s="10" t="s">
        <v>172</v>
      </c>
    </row>
    <row r="809" s="9" customFormat="1" ht="13" customHeight="1" spans="1:8">
      <c r="A809" s="10" t="s">
        <v>172</v>
      </c>
      <c r="B809" s="26"/>
      <c r="C809" s="26"/>
      <c r="D809" s="26"/>
      <c r="E809" s="26"/>
      <c r="F809" s="26"/>
      <c r="G809" s="26"/>
      <c r="H809" s="10" t="s">
        <v>172</v>
      </c>
    </row>
    <row r="810" s="9" customFormat="1" ht="13" customHeight="1" spans="1:8">
      <c r="A810" s="10" t="s">
        <v>172</v>
      </c>
      <c r="B810" s="26"/>
      <c r="C810" s="26"/>
      <c r="D810" s="26"/>
      <c r="E810" s="26"/>
      <c r="F810" s="26"/>
      <c r="G810" s="26"/>
      <c r="H810" s="10" t="s">
        <v>172</v>
      </c>
    </row>
    <row r="811" s="9" customFormat="1" ht="13" customHeight="1" spans="1:8">
      <c r="A811" s="10" t="s">
        <v>172</v>
      </c>
      <c r="B811" s="26"/>
      <c r="C811" s="26"/>
      <c r="D811" s="26"/>
      <c r="E811" s="26"/>
      <c r="F811" s="26"/>
      <c r="G811" s="27" t="s">
        <v>1847</v>
      </c>
      <c r="H811" s="10" t="s">
        <v>172</v>
      </c>
    </row>
    <row r="812" s="9" customFormat="1" ht="17" customHeight="1" spans="1:8">
      <c r="A812" s="10" t="s">
        <v>172</v>
      </c>
      <c r="B812" s="11"/>
      <c r="C812" s="11"/>
      <c r="D812" s="11"/>
      <c r="E812" s="11"/>
      <c r="F812" s="11"/>
      <c r="G812" s="11"/>
      <c r="H812" s="10" t="s">
        <v>172</v>
      </c>
    </row>
    <row r="813" s="9" customFormat="1" ht="23" customHeight="1" spans="1:8">
      <c r="A813" s="10" t="s">
        <v>172</v>
      </c>
      <c r="B813" s="12"/>
      <c r="C813" s="12"/>
      <c r="D813" s="12"/>
      <c r="E813" s="12"/>
      <c r="F813" s="12"/>
      <c r="G813" s="12"/>
      <c r="H813" s="10" t="s">
        <v>172</v>
      </c>
    </row>
    <row r="814" s="9" customFormat="1" ht="16" customHeight="1" spans="1:8">
      <c r="A814" s="10" t="s">
        <v>172</v>
      </c>
      <c r="B814" s="13"/>
      <c r="C814" s="13"/>
      <c r="D814" s="13"/>
      <c r="E814" s="13"/>
      <c r="F814" s="13"/>
      <c r="G814" s="13"/>
      <c r="H814" s="10" t="s">
        <v>172</v>
      </c>
    </row>
    <row r="815" s="9" customFormat="1" ht="12" customHeight="1" spans="1:8">
      <c r="A815" s="10" t="s">
        <v>172</v>
      </c>
      <c r="B815" s="14"/>
      <c r="C815" s="14"/>
      <c r="D815" s="14"/>
      <c r="E815" s="14"/>
      <c r="F815" s="14"/>
      <c r="G815" s="14"/>
      <c r="H815" s="10" t="s">
        <v>172</v>
      </c>
    </row>
    <row r="816" s="9" customFormat="1" ht="17" customHeight="1" spans="1:8">
      <c r="A816" s="10" t="s">
        <v>172</v>
      </c>
      <c r="B816" s="15" t="s">
        <v>1836</v>
      </c>
      <c r="C816" s="16" t="s">
        <v>1837</v>
      </c>
      <c r="D816" s="17" t="s">
        <v>1838</v>
      </c>
      <c r="E816" s="18" t="s">
        <v>1839</v>
      </c>
      <c r="F816" s="10" t="s">
        <v>172</v>
      </c>
      <c r="G816" s="10" t="s">
        <v>172</v>
      </c>
      <c r="H816" s="10" t="s">
        <v>172</v>
      </c>
    </row>
    <row r="817" s="9" customFormat="1" ht="26" customHeight="1" spans="1:8">
      <c r="A817" s="10" t="s">
        <v>172</v>
      </c>
      <c r="B817" s="19" t="s">
        <v>426</v>
      </c>
      <c r="C817" s="20" t="s">
        <v>804</v>
      </c>
      <c r="D817" s="21">
        <v>6</v>
      </c>
      <c r="E817" s="22">
        <v>187837.837839</v>
      </c>
      <c r="F817" s="10" t="s">
        <v>172</v>
      </c>
      <c r="G817" s="10" t="s">
        <v>172</v>
      </c>
      <c r="H817" s="10" t="s">
        <v>172</v>
      </c>
    </row>
    <row r="818" s="9" customFormat="1" ht="17" customHeight="1" spans="1:8">
      <c r="A818" s="10" t="s">
        <v>172</v>
      </c>
      <c r="B818" s="19" t="s">
        <v>426</v>
      </c>
      <c r="C818" s="16" t="s">
        <v>1841</v>
      </c>
      <c r="D818" s="23">
        <v>23</v>
      </c>
      <c r="E818" s="24">
        <v>438288.675678</v>
      </c>
      <c r="F818" s="10" t="s">
        <v>172</v>
      </c>
      <c r="G818" s="10" t="s">
        <v>172</v>
      </c>
      <c r="H818" s="10" t="s">
        <v>172</v>
      </c>
    </row>
    <row r="819" s="9" customFormat="1" ht="37" customHeight="1" spans="1:8">
      <c r="A819" s="10" t="s">
        <v>172</v>
      </c>
      <c r="B819" s="19" t="s">
        <v>498</v>
      </c>
      <c r="C819" s="20" t="s">
        <v>182</v>
      </c>
      <c r="D819" s="21">
        <v>1</v>
      </c>
      <c r="E819" s="22">
        <v>0</v>
      </c>
      <c r="F819" s="10" t="s">
        <v>172</v>
      </c>
      <c r="G819" s="10" t="s">
        <v>172</v>
      </c>
      <c r="H819" s="10" t="s">
        <v>172</v>
      </c>
    </row>
    <row r="820" s="9" customFormat="1" ht="17" customHeight="1" spans="1:8">
      <c r="A820" s="10" t="s">
        <v>172</v>
      </c>
      <c r="B820" s="19" t="s">
        <v>498</v>
      </c>
      <c r="C820" s="16" t="s">
        <v>1841</v>
      </c>
      <c r="D820" s="23">
        <v>1</v>
      </c>
      <c r="E820" s="24">
        <v>0</v>
      </c>
      <c r="F820" s="10" t="s">
        <v>172</v>
      </c>
      <c r="G820" s="10" t="s">
        <v>172</v>
      </c>
      <c r="H820" s="10" t="s">
        <v>172</v>
      </c>
    </row>
    <row r="821" s="9" customFormat="1" ht="37" customHeight="1" spans="1:8">
      <c r="A821" s="10" t="s">
        <v>172</v>
      </c>
      <c r="B821" s="19" t="s">
        <v>427</v>
      </c>
      <c r="C821" s="20" t="s">
        <v>182</v>
      </c>
      <c r="D821" s="21">
        <v>1</v>
      </c>
      <c r="E821" s="22">
        <v>46846.846847</v>
      </c>
      <c r="F821" s="10" t="s">
        <v>172</v>
      </c>
      <c r="G821" s="10" t="s">
        <v>172</v>
      </c>
      <c r="H821" s="10" t="s">
        <v>172</v>
      </c>
    </row>
    <row r="822" s="9" customFormat="1" ht="26" customHeight="1" spans="1:8">
      <c r="A822" s="10" t="s">
        <v>172</v>
      </c>
      <c r="B822" s="19" t="s">
        <v>427</v>
      </c>
      <c r="C822" s="20" t="s">
        <v>804</v>
      </c>
      <c r="D822" s="21">
        <v>3</v>
      </c>
      <c r="E822" s="22">
        <v>0</v>
      </c>
      <c r="F822" s="10" t="s">
        <v>172</v>
      </c>
      <c r="G822" s="10" t="s">
        <v>172</v>
      </c>
      <c r="H822" s="10" t="s">
        <v>172</v>
      </c>
    </row>
    <row r="823" s="9" customFormat="1" ht="17" customHeight="1" spans="1:8">
      <c r="A823" s="10" t="s">
        <v>172</v>
      </c>
      <c r="B823" s="19" t="s">
        <v>427</v>
      </c>
      <c r="C823" s="16" t="s">
        <v>1841</v>
      </c>
      <c r="D823" s="23">
        <v>4</v>
      </c>
      <c r="E823" s="24">
        <v>46846.846847</v>
      </c>
      <c r="F823" s="10" t="s">
        <v>172</v>
      </c>
      <c r="G823" s="10" t="s">
        <v>172</v>
      </c>
      <c r="H823" s="10" t="s">
        <v>172</v>
      </c>
    </row>
    <row r="824" s="9" customFormat="1" ht="37" customHeight="1" spans="1:8">
      <c r="A824" s="10" t="s">
        <v>172</v>
      </c>
      <c r="B824" s="19" t="s">
        <v>428</v>
      </c>
      <c r="C824" s="20" t="s">
        <v>182</v>
      </c>
      <c r="D824" s="21">
        <v>1</v>
      </c>
      <c r="E824" s="22">
        <v>0</v>
      </c>
      <c r="F824" s="10" t="s">
        <v>172</v>
      </c>
      <c r="G824" s="10" t="s">
        <v>172</v>
      </c>
      <c r="H824" s="10" t="s">
        <v>172</v>
      </c>
    </row>
    <row r="825" s="9" customFormat="1" ht="26" customHeight="1" spans="1:8">
      <c r="A825" s="10" t="s">
        <v>172</v>
      </c>
      <c r="B825" s="19" t="s">
        <v>428</v>
      </c>
      <c r="C825" s="20" t="s">
        <v>804</v>
      </c>
      <c r="D825" s="21">
        <v>2</v>
      </c>
      <c r="E825" s="22">
        <v>0</v>
      </c>
      <c r="F825" s="10" t="s">
        <v>172</v>
      </c>
      <c r="G825" s="10" t="s">
        <v>172</v>
      </c>
      <c r="H825" s="10" t="s">
        <v>172</v>
      </c>
    </row>
    <row r="826" s="9" customFormat="1" ht="17" customHeight="1" spans="1:8">
      <c r="A826" s="10" t="s">
        <v>172</v>
      </c>
      <c r="B826" s="19" t="s">
        <v>428</v>
      </c>
      <c r="C826" s="16" t="s">
        <v>1841</v>
      </c>
      <c r="D826" s="23">
        <v>3</v>
      </c>
      <c r="E826" s="24">
        <v>0</v>
      </c>
      <c r="F826" s="10" t="s">
        <v>172</v>
      </c>
      <c r="G826" s="10" t="s">
        <v>172</v>
      </c>
      <c r="H826" s="10" t="s">
        <v>172</v>
      </c>
    </row>
    <row r="827" s="9" customFormat="1" ht="37" customHeight="1" spans="1:8">
      <c r="A827" s="10" t="s">
        <v>172</v>
      </c>
      <c r="B827" s="19" t="s">
        <v>429</v>
      </c>
      <c r="C827" s="20" t="s">
        <v>182</v>
      </c>
      <c r="D827" s="21">
        <v>18</v>
      </c>
      <c r="E827" s="22">
        <v>75225.225225</v>
      </c>
      <c r="F827" s="10" t="s">
        <v>172</v>
      </c>
      <c r="G827" s="10" t="s">
        <v>172</v>
      </c>
      <c r="H827" s="10" t="s">
        <v>172</v>
      </c>
    </row>
    <row r="828" s="9" customFormat="1" ht="26" customHeight="1" spans="1:8">
      <c r="A828" s="10" t="s">
        <v>172</v>
      </c>
      <c r="B828" s="19" t="s">
        <v>429</v>
      </c>
      <c r="C828" s="20" t="s">
        <v>804</v>
      </c>
      <c r="D828" s="21">
        <v>8</v>
      </c>
      <c r="E828" s="22">
        <v>75225.225225</v>
      </c>
      <c r="F828" s="10" t="s">
        <v>172</v>
      </c>
      <c r="G828" s="10" t="s">
        <v>172</v>
      </c>
      <c r="H828" s="10" t="s">
        <v>172</v>
      </c>
    </row>
    <row r="829" s="9" customFormat="1" ht="17" customHeight="1" spans="1:8">
      <c r="A829" s="10" t="s">
        <v>172</v>
      </c>
      <c r="B829" s="19" t="s">
        <v>429</v>
      </c>
      <c r="C829" s="16" t="s">
        <v>1841</v>
      </c>
      <c r="D829" s="23">
        <v>26</v>
      </c>
      <c r="E829" s="24">
        <v>150450.45045</v>
      </c>
      <c r="F829" s="10" t="s">
        <v>172</v>
      </c>
      <c r="G829" s="10" t="s">
        <v>172</v>
      </c>
      <c r="H829" s="10" t="s">
        <v>172</v>
      </c>
    </row>
    <row r="830" s="9" customFormat="1" ht="1" customHeight="1" spans="1:8">
      <c r="A830" s="10" t="s">
        <v>172</v>
      </c>
      <c r="B830" s="25"/>
      <c r="C830" s="25"/>
      <c r="D830" s="25"/>
      <c r="E830" s="25"/>
      <c r="F830" s="25"/>
      <c r="G830" s="25"/>
      <c r="H830" s="10" t="s">
        <v>172</v>
      </c>
    </row>
    <row r="831" s="9" customFormat="1" ht="13" customHeight="1" spans="1:8">
      <c r="A831" s="10" t="s">
        <v>172</v>
      </c>
      <c r="B831" s="26"/>
      <c r="C831" s="26"/>
      <c r="D831" s="26"/>
      <c r="E831" s="26"/>
      <c r="F831" s="26"/>
      <c r="G831" s="26"/>
      <c r="H831" s="10" t="s">
        <v>172</v>
      </c>
    </row>
    <row r="832" s="9" customFormat="1" ht="13" customHeight="1" spans="1:8">
      <c r="A832" s="10" t="s">
        <v>172</v>
      </c>
      <c r="B832" s="26"/>
      <c r="C832" s="26"/>
      <c r="D832" s="26"/>
      <c r="E832" s="26"/>
      <c r="F832" s="26"/>
      <c r="G832" s="26"/>
      <c r="H832" s="10" t="s">
        <v>172</v>
      </c>
    </row>
    <row r="833" s="9" customFormat="1" ht="13" customHeight="1" spans="1:8">
      <c r="A833" s="10" t="s">
        <v>172</v>
      </c>
      <c r="B833" s="26"/>
      <c r="C833" s="26"/>
      <c r="D833" s="26"/>
      <c r="E833" s="26"/>
      <c r="F833" s="26"/>
      <c r="G833" s="26"/>
      <c r="H833" s="10" t="s">
        <v>172</v>
      </c>
    </row>
    <row r="834" s="9" customFormat="1" ht="13" customHeight="1" spans="1:8">
      <c r="A834" s="10" t="s">
        <v>172</v>
      </c>
      <c r="B834" s="26"/>
      <c r="C834" s="26"/>
      <c r="D834" s="26"/>
      <c r="E834" s="26"/>
      <c r="F834" s="26"/>
      <c r="G834" s="27" t="s">
        <v>1847</v>
      </c>
      <c r="H834" s="10" t="s">
        <v>172</v>
      </c>
    </row>
    <row r="835" s="9" customFormat="1" ht="17" customHeight="1" spans="1:8">
      <c r="A835" s="10" t="s">
        <v>172</v>
      </c>
      <c r="B835" s="11"/>
      <c r="C835" s="11"/>
      <c r="D835" s="11"/>
      <c r="E835" s="11"/>
      <c r="F835" s="11"/>
      <c r="G835" s="11"/>
      <c r="H835" s="10" t="s">
        <v>172</v>
      </c>
    </row>
    <row r="836" s="9" customFormat="1" ht="23" customHeight="1" spans="1:8">
      <c r="A836" s="10" t="s">
        <v>172</v>
      </c>
      <c r="B836" s="12"/>
      <c r="C836" s="12"/>
      <c r="D836" s="12"/>
      <c r="E836" s="12"/>
      <c r="F836" s="12"/>
      <c r="G836" s="12"/>
      <c r="H836" s="10" t="s">
        <v>172</v>
      </c>
    </row>
    <row r="837" s="9" customFormat="1" ht="16" customHeight="1" spans="1:8">
      <c r="A837" s="10" t="s">
        <v>172</v>
      </c>
      <c r="B837" s="13"/>
      <c r="C837" s="13"/>
      <c r="D837" s="13"/>
      <c r="E837" s="13"/>
      <c r="F837" s="13"/>
      <c r="G837" s="13"/>
      <c r="H837" s="10" t="s">
        <v>172</v>
      </c>
    </row>
    <row r="838" s="9" customFormat="1" ht="12" customHeight="1" spans="1:8">
      <c r="A838" s="10" t="s">
        <v>172</v>
      </c>
      <c r="B838" s="14"/>
      <c r="C838" s="14"/>
      <c r="D838" s="14"/>
      <c r="E838" s="14"/>
      <c r="F838" s="14"/>
      <c r="G838" s="14"/>
      <c r="H838" s="10" t="s">
        <v>172</v>
      </c>
    </row>
    <row r="839" s="9" customFormat="1" ht="17" customHeight="1" spans="1:8">
      <c r="A839" s="10" t="s">
        <v>172</v>
      </c>
      <c r="B839" s="15" t="s">
        <v>1836</v>
      </c>
      <c r="C839" s="16" t="s">
        <v>1837</v>
      </c>
      <c r="D839" s="17" t="s">
        <v>1838</v>
      </c>
      <c r="E839" s="18" t="s">
        <v>1839</v>
      </c>
      <c r="F839" s="10" t="s">
        <v>172</v>
      </c>
      <c r="G839" s="10" t="s">
        <v>172</v>
      </c>
      <c r="H839" s="10" t="s">
        <v>172</v>
      </c>
    </row>
    <row r="840" s="9" customFormat="1" ht="26" customHeight="1" spans="1:8">
      <c r="A840" s="10" t="s">
        <v>172</v>
      </c>
      <c r="B840" s="19" t="s">
        <v>430</v>
      </c>
      <c r="C840" s="20" t="s">
        <v>804</v>
      </c>
      <c r="D840" s="21">
        <v>1</v>
      </c>
      <c r="E840" s="22">
        <v>79279.279279</v>
      </c>
      <c r="F840" s="10" t="s">
        <v>172</v>
      </c>
      <c r="G840" s="10" t="s">
        <v>172</v>
      </c>
      <c r="H840" s="10" t="s">
        <v>172</v>
      </c>
    </row>
    <row r="841" s="9" customFormat="1" ht="17" customHeight="1" spans="1:8">
      <c r="A841" s="10" t="s">
        <v>172</v>
      </c>
      <c r="B841" s="19" t="s">
        <v>430</v>
      </c>
      <c r="C841" s="16" t="s">
        <v>1841</v>
      </c>
      <c r="D841" s="23">
        <v>1</v>
      </c>
      <c r="E841" s="24">
        <v>79279.279279</v>
      </c>
      <c r="F841" s="10" t="s">
        <v>172</v>
      </c>
      <c r="G841" s="10" t="s">
        <v>172</v>
      </c>
      <c r="H841" s="10" t="s">
        <v>172</v>
      </c>
    </row>
    <row r="842" s="9" customFormat="1" ht="37" customHeight="1" spans="1:8">
      <c r="A842" s="10" t="s">
        <v>172</v>
      </c>
      <c r="B842" s="19" t="s">
        <v>431</v>
      </c>
      <c r="C842" s="20" t="s">
        <v>182</v>
      </c>
      <c r="D842" s="21">
        <v>4</v>
      </c>
      <c r="E842" s="22">
        <v>59009.018018</v>
      </c>
      <c r="F842" s="10" t="s">
        <v>172</v>
      </c>
      <c r="G842" s="10" t="s">
        <v>172</v>
      </c>
      <c r="H842" s="10" t="s">
        <v>172</v>
      </c>
    </row>
    <row r="843" s="9" customFormat="1" ht="17" customHeight="1" spans="1:8">
      <c r="A843" s="10" t="s">
        <v>172</v>
      </c>
      <c r="B843" s="19" t="s">
        <v>431</v>
      </c>
      <c r="C843" s="16" t="s">
        <v>1841</v>
      </c>
      <c r="D843" s="23">
        <v>4</v>
      </c>
      <c r="E843" s="24">
        <v>59009.018018</v>
      </c>
      <c r="F843" s="10" t="s">
        <v>172</v>
      </c>
      <c r="G843" s="10" t="s">
        <v>172</v>
      </c>
      <c r="H843" s="10" t="s">
        <v>172</v>
      </c>
    </row>
    <row r="844" s="9" customFormat="1" ht="37" customHeight="1" spans="1:8">
      <c r="A844" s="10" t="s">
        <v>172</v>
      </c>
      <c r="B844" s="19" t="s">
        <v>433</v>
      </c>
      <c r="C844" s="20" t="s">
        <v>182</v>
      </c>
      <c r="D844" s="21">
        <v>2</v>
      </c>
      <c r="E844" s="22">
        <v>0</v>
      </c>
      <c r="F844" s="10" t="s">
        <v>172</v>
      </c>
      <c r="G844" s="10" t="s">
        <v>172</v>
      </c>
      <c r="H844" s="10" t="s">
        <v>172</v>
      </c>
    </row>
    <row r="845" s="9" customFormat="1" ht="26" customHeight="1" spans="1:8">
      <c r="A845" s="10" t="s">
        <v>172</v>
      </c>
      <c r="B845" s="19" t="s">
        <v>433</v>
      </c>
      <c r="C845" s="20" t="s">
        <v>804</v>
      </c>
      <c r="D845" s="21">
        <v>1</v>
      </c>
      <c r="E845" s="22">
        <v>0</v>
      </c>
      <c r="F845" s="10" t="s">
        <v>172</v>
      </c>
      <c r="G845" s="10" t="s">
        <v>172</v>
      </c>
      <c r="H845" s="10" t="s">
        <v>172</v>
      </c>
    </row>
    <row r="846" s="9" customFormat="1" ht="17" customHeight="1" spans="1:8">
      <c r="A846" s="10" t="s">
        <v>172</v>
      </c>
      <c r="B846" s="19" t="s">
        <v>433</v>
      </c>
      <c r="C846" s="16" t="s">
        <v>1841</v>
      </c>
      <c r="D846" s="23">
        <v>3</v>
      </c>
      <c r="E846" s="24">
        <v>0</v>
      </c>
      <c r="F846" s="10" t="s">
        <v>172</v>
      </c>
      <c r="G846" s="10" t="s">
        <v>172</v>
      </c>
      <c r="H846" s="10" t="s">
        <v>172</v>
      </c>
    </row>
    <row r="847" s="9" customFormat="1" ht="37" customHeight="1" spans="1:8">
      <c r="A847" s="10" t="s">
        <v>172</v>
      </c>
      <c r="B847" s="19" t="s">
        <v>434</v>
      </c>
      <c r="C847" s="20" t="s">
        <v>182</v>
      </c>
      <c r="D847" s="21">
        <v>16</v>
      </c>
      <c r="E847" s="22">
        <v>46846.846847</v>
      </c>
      <c r="F847" s="10" t="s">
        <v>172</v>
      </c>
      <c r="G847" s="10" t="s">
        <v>172</v>
      </c>
      <c r="H847" s="10" t="s">
        <v>172</v>
      </c>
    </row>
    <row r="848" s="9" customFormat="1" ht="26" customHeight="1" spans="1:8">
      <c r="A848" s="10" t="s">
        <v>172</v>
      </c>
      <c r="B848" s="19" t="s">
        <v>434</v>
      </c>
      <c r="C848" s="20" t="s">
        <v>804</v>
      </c>
      <c r="D848" s="21">
        <v>4</v>
      </c>
      <c r="E848" s="22">
        <v>93693.693694</v>
      </c>
      <c r="F848" s="10" t="s">
        <v>172</v>
      </c>
      <c r="G848" s="10" t="s">
        <v>172</v>
      </c>
      <c r="H848" s="10" t="s">
        <v>172</v>
      </c>
    </row>
    <row r="849" s="9" customFormat="1" ht="17" customHeight="1" spans="1:8">
      <c r="A849" s="10" t="s">
        <v>172</v>
      </c>
      <c r="B849" s="19" t="s">
        <v>434</v>
      </c>
      <c r="C849" s="16" t="s">
        <v>1841</v>
      </c>
      <c r="D849" s="23">
        <v>20</v>
      </c>
      <c r="E849" s="24">
        <v>140540.540541</v>
      </c>
      <c r="F849" s="10" t="s">
        <v>172</v>
      </c>
      <c r="G849" s="10" t="s">
        <v>172</v>
      </c>
      <c r="H849" s="10" t="s">
        <v>172</v>
      </c>
    </row>
    <row r="850" s="9" customFormat="1" ht="37" customHeight="1" spans="1:8">
      <c r="A850" s="10" t="s">
        <v>172</v>
      </c>
      <c r="B850" s="19" t="s">
        <v>435</v>
      </c>
      <c r="C850" s="20" t="s">
        <v>182</v>
      </c>
      <c r="D850" s="21">
        <v>7</v>
      </c>
      <c r="E850" s="22">
        <v>259459.45946</v>
      </c>
      <c r="F850" s="10" t="s">
        <v>172</v>
      </c>
      <c r="G850" s="10" t="s">
        <v>172</v>
      </c>
      <c r="H850" s="10" t="s">
        <v>172</v>
      </c>
    </row>
    <row r="851" s="9" customFormat="1" ht="26" customHeight="1" spans="1:8">
      <c r="A851" s="10" t="s">
        <v>172</v>
      </c>
      <c r="B851" s="19" t="s">
        <v>435</v>
      </c>
      <c r="C851" s="20" t="s">
        <v>804</v>
      </c>
      <c r="D851" s="21">
        <v>4</v>
      </c>
      <c r="E851" s="22">
        <v>0</v>
      </c>
      <c r="F851" s="10" t="s">
        <v>172</v>
      </c>
      <c r="G851" s="10" t="s">
        <v>172</v>
      </c>
      <c r="H851" s="10" t="s">
        <v>172</v>
      </c>
    </row>
    <row r="852" s="9" customFormat="1" ht="17" customHeight="1" spans="1:8">
      <c r="A852" s="10" t="s">
        <v>172</v>
      </c>
      <c r="B852" s="19" t="s">
        <v>435</v>
      </c>
      <c r="C852" s="16" t="s">
        <v>1841</v>
      </c>
      <c r="D852" s="23">
        <v>11</v>
      </c>
      <c r="E852" s="24">
        <v>259459.45946</v>
      </c>
      <c r="F852" s="10" t="s">
        <v>172</v>
      </c>
      <c r="G852" s="10" t="s">
        <v>172</v>
      </c>
      <c r="H852" s="10" t="s">
        <v>172</v>
      </c>
    </row>
    <row r="853" s="9" customFormat="1" ht="1" customHeight="1" spans="1:8">
      <c r="A853" s="10" t="s">
        <v>172</v>
      </c>
      <c r="B853" s="25"/>
      <c r="C853" s="25"/>
      <c r="D853" s="25"/>
      <c r="E853" s="25"/>
      <c r="F853" s="25"/>
      <c r="G853" s="25"/>
      <c r="H853" s="10" t="s">
        <v>172</v>
      </c>
    </row>
    <row r="854" s="9" customFormat="1" ht="13" customHeight="1" spans="1:8">
      <c r="A854" s="10" t="s">
        <v>172</v>
      </c>
      <c r="B854" s="26"/>
      <c r="C854" s="26"/>
      <c r="D854" s="26"/>
      <c r="E854" s="26"/>
      <c r="F854" s="26"/>
      <c r="G854" s="26"/>
      <c r="H854" s="10" t="s">
        <v>172</v>
      </c>
    </row>
    <row r="855" s="9" customFormat="1" ht="13" customHeight="1" spans="1:8">
      <c r="A855" s="10" t="s">
        <v>172</v>
      </c>
      <c r="B855" s="26"/>
      <c r="C855" s="26"/>
      <c r="D855" s="26"/>
      <c r="E855" s="26"/>
      <c r="F855" s="26"/>
      <c r="G855" s="26"/>
      <c r="H855" s="10" t="s">
        <v>172</v>
      </c>
    </row>
    <row r="856" s="9" customFormat="1" ht="13" customHeight="1" spans="1:8">
      <c r="A856" s="10" t="s">
        <v>172</v>
      </c>
      <c r="B856" s="26"/>
      <c r="C856" s="26"/>
      <c r="D856" s="26"/>
      <c r="E856" s="26"/>
      <c r="F856" s="26"/>
      <c r="G856" s="26"/>
      <c r="H856" s="10" t="s">
        <v>172</v>
      </c>
    </row>
    <row r="857" s="9" customFormat="1" ht="13" customHeight="1" spans="1:8">
      <c r="A857" s="10" t="s">
        <v>172</v>
      </c>
      <c r="B857" s="26"/>
      <c r="C857" s="26"/>
      <c r="D857" s="26"/>
      <c r="E857" s="26"/>
      <c r="F857" s="26"/>
      <c r="G857" s="27" t="s">
        <v>1847</v>
      </c>
      <c r="H857" s="10" t="s">
        <v>172</v>
      </c>
    </row>
    <row r="858" s="9" customFormat="1" ht="17" customHeight="1" spans="1:8">
      <c r="A858" s="10" t="s">
        <v>172</v>
      </c>
      <c r="B858" s="11"/>
      <c r="C858" s="11"/>
      <c r="D858" s="11"/>
      <c r="E858" s="11"/>
      <c r="F858" s="11"/>
      <c r="G858" s="11"/>
      <c r="H858" s="10" t="s">
        <v>172</v>
      </c>
    </row>
    <row r="859" s="9" customFormat="1" ht="23" customHeight="1" spans="1:8">
      <c r="A859" s="10" t="s">
        <v>172</v>
      </c>
      <c r="B859" s="12"/>
      <c r="C859" s="12"/>
      <c r="D859" s="12"/>
      <c r="E859" s="12"/>
      <c r="F859" s="12"/>
      <c r="G859" s="12"/>
      <c r="H859" s="10" t="s">
        <v>172</v>
      </c>
    </row>
    <row r="860" s="9" customFormat="1" ht="16" customHeight="1" spans="1:8">
      <c r="A860" s="10" t="s">
        <v>172</v>
      </c>
      <c r="B860" s="13"/>
      <c r="C860" s="13"/>
      <c r="D860" s="13"/>
      <c r="E860" s="13"/>
      <c r="F860" s="13"/>
      <c r="G860" s="13"/>
      <c r="H860" s="10" t="s">
        <v>172</v>
      </c>
    </row>
    <row r="861" s="9" customFormat="1" ht="12" customHeight="1" spans="1:8">
      <c r="A861" s="10" t="s">
        <v>172</v>
      </c>
      <c r="B861" s="14"/>
      <c r="C861" s="14"/>
      <c r="D861" s="14"/>
      <c r="E861" s="14"/>
      <c r="F861" s="14"/>
      <c r="G861" s="14"/>
      <c r="H861" s="10" t="s">
        <v>172</v>
      </c>
    </row>
    <row r="862" s="9" customFormat="1" ht="17" customHeight="1" spans="1:8">
      <c r="A862" s="10" t="s">
        <v>172</v>
      </c>
      <c r="B862" s="15" t="s">
        <v>1836</v>
      </c>
      <c r="C862" s="16" t="s">
        <v>1837</v>
      </c>
      <c r="D862" s="17" t="s">
        <v>1838</v>
      </c>
      <c r="E862" s="18" t="s">
        <v>1839</v>
      </c>
      <c r="F862" s="10" t="s">
        <v>172</v>
      </c>
      <c r="G862" s="10" t="s">
        <v>172</v>
      </c>
      <c r="H862" s="10" t="s">
        <v>172</v>
      </c>
    </row>
    <row r="863" s="9" customFormat="1" ht="37" customHeight="1" spans="1:8">
      <c r="A863" s="10" t="s">
        <v>172</v>
      </c>
      <c r="B863" s="19" t="s">
        <v>436</v>
      </c>
      <c r="C863" s="20" t="s">
        <v>182</v>
      </c>
      <c r="D863" s="21">
        <v>6</v>
      </c>
      <c r="E863" s="22">
        <v>225225.225226</v>
      </c>
      <c r="F863" s="10" t="s">
        <v>172</v>
      </c>
      <c r="G863" s="10" t="s">
        <v>172</v>
      </c>
      <c r="H863" s="10" t="s">
        <v>172</v>
      </c>
    </row>
    <row r="864" s="9" customFormat="1" ht="17" customHeight="1" spans="1:8">
      <c r="A864" s="10" t="s">
        <v>172</v>
      </c>
      <c r="B864" s="19" t="s">
        <v>436</v>
      </c>
      <c r="C864" s="16" t="s">
        <v>1841</v>
      </c>
      <c r="D864" s="23">
        <v>6</v>
      </c>
      <c r="E864" s="24">
        <v>225225.225226</v>
      </c>
      <c r="F864" s="10" t="s">
        <v>172</v>
      </c>
      <c r="G864" s="10" t="s">
        <v>172</v>
      </c>
      <c r="H864" s="10" t="s">
        <v>172</v>
      </c>
    </row>
    <row r="865" s="9" customFormat="1" ht="37" customHeight="1" spans="1:8">
      <c r="A865" s="10" t="s">
        <v>172</v>
      </c>
      <c r="B865" s="19" t="s">
        <v>437</v>
      </c>
      <c r="C865" s="20" t="s">
        <v>182</v>
      </c>
      <c r="D865" s="21">
        <v>1</v>
      </c>
      <c r="E865" s="22">
        <v>71171.171171</v>
      </c>
      <c r="F865" s="10" t="s">
        <v>172</v>
      </c>
      <c r="G865" s="10" t="s">
        <v>172</v>
      </c>
      <c r="H865" s="10" t="s">
        <v>172</v>
      </c>
    </row>
    <row r="866" s="9" customFormat="1" ht="26" customHeight="1" spans="1:8">
      <c r="A866" s="10" t="s">
        <v>172</v>
      </c>
      <c r="B866" s="19" t="s">
        <v>437</v>
      </c>
      <c r="C866" s="20" t="s">
        <v>804</v>
      </c>
      <c r="D866" s="21">
        <v>1</v>
      </c>
      <c r="E866" s="22">
        <v>0</v>
      </c>
      <c r="F866" s="10" t="s">
        <v>172</v>
      </c>
      <c r="G866" s="10" t="s">
        <v>172</v>
      </c>
      <c r="H866" s="10" t="s">
        <v>172</v>
      </c>
    </row>
    <row r="867" s="9" customFormat="1" ht="17" customHeight="1" spans="1:8">
      <c r="A867" s="10" t="s">
        <v>172</v>
      </c>
      <c r="B867" s="19" t="s">
        <v>437</v>
      </c>
      <c r="C867" s="16" t="s">
        <v>1841</v>
      </c>
      <c r="D867" s="23">
        <v>2</v>
      </c>
      <c r="E867" s="24">
        <v>71171.171171</v>
      </c>
      <c r="F867" s="10" t="s">
        <v>172</v>
      </c>
      <c r="G867" s="10" t="s">
        <v>172</v>
      </c>
      <c r="H867" s="10" t="s">
        <v>172</v>
      </c>
    </row>
    <row r="868" s="9" customFormat="1" ht="37" customHeight="1" spans="1:8">
      <c r="A868" s="10" t="s">
        <v>172</v>
      </c>
      <c r="B868" s="19" t="s">
        <v>438</v>
      </c>
      <c r="C868" s="20" t="s">
        <v>182</v>
      </c>
      <c r="D868" s="21">
        <v>1</v>
      </c>
      <c r="E868" s="22">
        <v>0</v>
      </c>
      <c r="F868" s="10" t="s">
        <v>172</v>
      </c>
      <c r="G868" s="10" t="s">
        <v>172</v>
      </c>
      <c r="H868" s="10" t="s">
        <v>172</v>
      </c>
    </row>
    <row r="869" s="9" customFormat="1" ht="26" customHeight="1" spans="1:8">
      <c r="A869" s="10" t="s">
        <v>172</v>
      </c>
      <c r="B869" s="19" t="s">
        <v>438</v>
      </c>
      <c r="C869" s="20" t="s">
        <v>804</v>
      </c>
      <c r="D869" s="21">
        <v>1</v>
      </c>
      <c r="E869" s="22">
        <v>71171.171171</v>
      </c>
      <c r="F869" s="10" t="s">
        <v>172</v>
      </c>
      <c r="G869" s="10" t="s">
        <v>172</v>
      </c>
      <c r="H869" s="10" t="s">
        <v>172</v>
      </c>
    </row>
    <row r="870" s="9" customFormat="1" ht="17" customHeight="1" spans="1:8">
      <c r="A870" s="10" t="s">
        <v>172</v>
      </c>
      <c r="B870" s="19" t="s">
        <v>438</v>
      </c>
      <c r="C870" s="16" t="s">
        <v>1841</v>
      </c>
      <c r="D870" s="23">
        <v>2</v>
      </c>
      <c r="E870" s="24">
        <v>71171.171171</v>
      </c>
      <c r="F870" s="10" t="s">
        <v>172</v>
      </c>
      <c r="G870" s="10" t="s">
        <v>172</v>
      </c>
      <c r="H870" s="10" t="s">
        <v>172</v>
      </c>
    </row>
    <row r="871" s="9" customFormat="1" ht="37" customHeight="1" spans="1:8">
      <c r="A871" s="10" t="s">
        <v>172</v>
      </c>
      <c r="B871" s="19" t="s">
        <v>440</v>
      </c>
      <c r="C871" s="20" t="s">
        <v>182</v>
      </c>
      <c r="D871" s="21">
        <v>21</v>
      </c>
      <c r="E871" s="22">
        <v>648317.536527</v>
      </c>
      <c r="F871" s="10" t="s">
        <v>172</v>
      </c>
      <c r="G871" s="10" t="s">
        <v>172</v>
      </c>
      <c r="H871" s="10" t="s">
        <v>172</v>
      </c>
    </row>
    <row r="872" s="9" customFormat="1" ht="26" customHeight="1" spans="1:8">
      <c r="A872" s="10" t="s">
        <v>172</v>
      </c>
      <c r="B872" s="19" t="s">
        <v>440</v>
      </c>
      <c r="C872" s="20" t="s">
        <v>804</v>
      </c>
      <c r="D872" s="21">
        <v>10</v>
      </c>
      <c r="E872" s="22">
        <v>259459.45946</v>
      </c>
      <c r="F872" s="10" t="s">
        <v>172</v>
      </c>
      <c r="G872" s="10" t="s">
        <v>172</v>
      </c>
      <c r="H872" s="10" t="s">
        <v>172</v>
      </c>
    </row>
    <row r="873" s="9" customFormat="1" ht="17" customHeight="1" spans="1:8">
      <c r="A873" s="10" t="s">
        <v>172</v>
      </c>
      <c r="B873" s="19" t="s">
        <v>440</v>
      </c>
      <c r="C873" s="16" t="s">
        <v>1841</v>
      </c>
      <c r="D873" s="23">
        <v>31</v>
      </c>
      <c r="E873" s="24">
        <v>907776.995987</v>
      </c>
      <c r="F873" s="10" t="s">
        <v>172</v>
      </c>
      <c r="G873" s="10" t="s">
        <v>172</v>
      </c>
      <c r="H873" s="10" t="s">
        <v>172</v>
      </c>
    </row>
    <row r="874" s="9" customFormat="1" ht="37" customHeight="1" spans="1:8">
      <c r="A874" s="10" t="s">
        <v>172</v>
      </c>
      <c r="B874" s="20" t="s">
        <v>442</v>
      </c>
      <c r="C874" s="20" t="s">
        <v>182</v>
      </c>
      <c r="D874" s="21">
        <v>1</v>
      </c>
      <c r="E874" s="22">
        <v>0</v>
      </c>
      <c r="F874" s="10" t="s">
        <v>172</v>
      </c>
      <c r="G874" s="10" t="s">
        <v>172</v>
      </c>
      <c r="H874" s="10" t="s">
        <v>172</v>
      </c>
    </row>
    <row r="875" s="9" customFormat="1" ht="1" customHeight="1" spans="1:8">
      <c r="A875" s="10" t="s">
        <v>172</v>
      </c>
      <c r="B875" s="25"/>
      <c r="C875" s="25"/>
      <c r="D875" s="25"/>
      <c r="E875" s="25"/>
      <c r="F875" s="25"/>
      <c r="G875" s="25"/>
      <c r="H875" s="10" t="s">
        <v>172</v>
      </c>
    </row>
    <row r="876" s="9" customFormat="1" ht="13" customHeight="1" spans="1:8">
      <c r="A876" s="10" t="s">
        <v>172</v>
      </c>
      <c r="B876" s="26"/>
      <c r="C876" s="26"/>
      <c r="D876" s="26"/>
      <c r="E876" s="26"/>
      <c r="F876" s="26"/>
      <c r="G876" s="26"/>
      <c r="H876" s="10" t="s">
        <v>172</v>
      </c>
    </row>
    <row r="877" s="9" customFormat="1" ht="13" customHeight="1" spans="1:8">
      <c r="A877" s="10" t="s">
        <v>172</v>
      </c>
      <c r="B877" s="26"/>
      <c r="C877" s="26"/>
      <c r="D877" s="26"/>
      <c r="E877" s="26"/>
      <c r="F877" s="26"/>
      <c r="G877" s="26"/>
      <c r="H877" s="10" t="s">
        <v>172</v>
      </c>
    </row>
    <row r="878" s="9" customFormat="1" ht="13" customHeight="1" spans="1:8">
      <c r="A878" s="10" t="s">
        <v>172</v>
      </c>
      <c r="B878" s="26"/>
      <c r="C878" s="26"/>
      <c r="D878" s="26"/>
      <c r="E878" s="26"/>
      <c r="F878" s="26"/>
      <c r="G878" s="26"/>
      <c r="H878" s="10" t="s">
        <v>172</v>
      </c>
    </row>
    <row r="879" s="9" customFormat="1" ht="13" customHeight="1" spans="1:8">
      <c r="A879" s="10" t="s">
        <v>172</v>
      </c>
      <c r="B879" s="26"/>
      <c r="C879" s="26"/>
      <c r="D879" s="26"/>
      <c r="E879" s="26"/>
      <c r="F879" s="26"/>
      <c r="G879" s="27" t="s">
        <v>1847</v>
      </c>
      <c r="H879" s="10" t="s">
        <v>172</v>
      </c>
    </row>
    <row r="880" s="9" customFormat="1" ht="17" customHeight="1" spans="1:8">
      <c r="A880" s="10" t="s">
        <v>172</v>
      </c>
      <c r="B880" s="11"/>
      <c r="C880" s="11"/>
      <c r="D880" s="11"/>
      <c r="E880" s="11"/>
      <c r="F880" s="11"/>
      <c r="G880" s="11"/>
      <c r="H880" s="10" t="s">
        <v>172</v>
      </c>
    </row>
    <row r="881" s="9" customFormat="1" ht="23" customHeight="1" spans="1:8">
      <c r="A881" s="10" t="s">
        <v>172</v>
      </c>
      <c r="B881" s="12"/>
      <c r="C881" s="12"/>
      <c r="D881" s="12"/>
      <c r="E881" s="12"/>
      <c r="F881" s="12"/>
      <c r="G881" s="12"/>
      <c r="H881" s="10" t="s">
        <v>172</v>
      </c>
    </row>
    <row r="882" s="9" customFormat="1" ht="16" customHeight="1" spans="1:8">
      <c r="A882" s="10" t="s">
        <v>172</v>
      </c>
      <c r="B882" s="13"/>
      <c r="C882" s="13"/>
      <c r="D882" s="13"/>
      <c r="E882" s="13"/>
      <c r="F882" s="13"/>
      <c r="G882" s="13"/>
      <c r="H882" s="10" t="s">
        <v>172</v>
      </c>
    </row>
    <row r="883" s="9" customFormat="1" ht="12" customHeight="1" spans="1:8">
      <c r="A883" s="10" t="s">
        <v>172</v>
      </c>
      <c r="B883" s="14"/>
      <c r="C883" s="14"/>
      <c r="D883" s="14"/>
      <c r="E883" s="14"/>
      <c r="F883" s="14"/>
      <c r="G883" s="14"/>
      <c r="H883" s="10" t="s">
        <v>172</v>
      </c>
    </row>
    <row r="884" s="9" customFormat="1" ht="17" customHeight="1" spans="1:8">
      <c r="A884" s="10" t="s">
        <v>172</v>
      </c>
      <c r="B884" s="15" t="s">
        <v>1836</v>
      </c>
      <c r="C884" s="16" t="s">
        <v>1837</v>
      </c>
      <c r="D884" s="17" t="s">
        <v>1838</v>
      </c>
      <c r="E884" s="18" t="s">
        <v>1839</v>
      </c>
      <c r="F884" s="10" t="s">
        <v>172</v>
      </c>
      <c r="G884" s="10" t="s">
        <v>172</v>
      </c>
      <c r="H884" s="10" t="s">
        <v>172</v>
      </c>
    </row>
    <row r="885" s="9" customFormat="1" ht="26" customHeight="1" spans="1:8">
      <c r="A885" s="10" t="s">
        <v>172</v>
      </c>
      <c r="B885" s="19" t="s">
        <v>442</v>
      </c>
      <c r="C885" s="20" t="s">
        <v>804</v>
      </c>
      <c r="D885" s="21">
        <v>2</v>
      </c>
      <c r="E885" s="22">
        <v>58108.108108</v>
      </c>
      <c r="F885" s="10" t="s">
        <v>172</v>
      </c>
      <c r="G885" s="10" t="s">
        <v>172</v>
      </c>
      <c r="H885" s="10" t="s">
        <v>172</v>
      </c>
    </row>
    <row r="886" s="9" customFormat="1" ht="17" customHeight="1" spans="1:8">
      <c r="A886" s="10" t="s">
        <v>172</v>
      </c>
      <c r="B886" s="19" t="s">
        <v>442</v>
      </c>
      <c r="C886" s="16" t="s">
        <v>1841</v>
      </c>
      <c r="D886" s="23">
        <v>3</v>
      </c>
      <c r="E886" s="24">
        <v>58108.108108</v>
      </c>
      <c r="F886" s="10" t="s">
        <v>172</v>
      </c>
      <c r="G886" s="10" t="s">
        <v>172</v>
      </c>
      <c r="H886" s="10" t="s">
        <v>172</v>
      </c>
    </row>
    <row r="887" s="9" customFormat="1" ht="37" customHeight="1" spans="1:8">
      <c r="A887" s="10" t="s">
        <v>172</v>
      </c>
      <c r="B887" s="19" t="s">
        <v>443</v>
      </c>
      <c r="C887" s="20" t="s">
        <v>182</v>
      </c>
      <c r="D887" s="21">
        <v>1</v>
      </c>
      <c r="E887" s="22">
        <v>0</v>
      </c>
      <c r="F887" s="10" t="s">
        <v>172</v>
      </c>
      <c r="G887" s="10" t="s">
        <v>172</v>
      </c>
      <c r="H887" s="10" t="s">
        <v>172</v>
      </c>
    </row>
    <row r="888" s="9" customFormat="1" ht="17" customHeight="1" spans="1:8">
      <c r="A888" s="10" t="s">
        <v>172</v>
      </c>
      <c r="B888" s="19" t="s">
        <v>443</v>
      </c>
      <c r="C888" s="16" t="s">
        <v>1841</v>
      </c>
      <c r="D888" s="23">
        <v>1</v>
      </c>
      <c r="E888" s="24">
        <v>0</v>
      </c>
      <c r="F888" s="10" t="s">
        <v>172</v>
      </c>
      <c r="G888" s="10" t="s">
        <v>172</v>
      </c>
      <c r="H888" s="10" t="s">
        <v>172</v>
      </c>
    </row>
    <row r="889" s="9" customFormat="1" ht="26" customHeight="1" spans="1:8">
      <c r="A889" s="10" t="s">
        <v>172</v>
      </c>
      <c r="B889" s="19" t="s">
        <v>444</v>
      </c>
      <c r="C889" s="20" t="s">
        <v>804</v>
      </c>
      <c r="D889" s="21">
        <v>1</v>
      </c>
      <c r="E889" s="22">
        <v>70720.720721</v>
      </c>
      <c r="F889" s="10" t="s">
        <v>172</v>
      </c>
      <c r="G889" s="10" t="s">
        <v>172</v>
      </c>
      <c r="H889" s="10" t="s">
        <v>172</v>
      </c>
    </row>
    <row r="890" s="9" customFormat="1" ht="17" customHeight="1" spans="1:8">
      <c r="A890" s="10" t="s">
        <v>172</v>
      </c>
      <c r="B890" s="19" t="s">
        <v>444</v>
      </c>
      <c r="C890" s="16" t="s">
        <v>1841</v>
      </c>
      <c r="D890" s="23">
        <v>1</v>
      </c>
      <c r="E890" s="24">
        <v>70720.720721</v>
      </c>
      <c r="F890" s="10" t="s">
        <v>172</v>
      </c>
      <c r="G890" s="10" t="s">
        <v>172</v>
      </c>
      <c r="H890" s="10" t="s">
        <v>172</v>
      </c>
    </row>
    <row r="891" s="9" customFormat="1" ht="37" customHeight="1" spans="1:8">
      <c r="A891" s="10" t="s">
        <v>172</v>
      </c>
      <c r="B891" s="19" t="s">
        <v>499</v>
      </c>
      <c r="C891" s="20" t="s">
        <v>182</v>
      </c>
      <c r="D891" s="21">
        <v>1</v>
      </c>
      <c r="E891" s="22">
        <v>0</v>
      </c>
      <c r="F891" s="10" t="s">
        <v>172</v>
      </c>
      <c r="G891" s="10" t="s">
        <v>172</v>
      </c>
      <c r="H891" s="10" t="s">
        <v>172</v>
      </c>
    </row>
    <row r="892" s="9" customFormat="1" ht="17" customHeight="1" spans="1:8">
      <c r="A892" s="10" t="s">
        <v>172</v>
      </c>
      <c r="B892" s="19" t="s">
        <v>499</v>
      </c>
      <c r="C892" s="16" t="s">
        <v>1841</v>
      </c>
      <c r="D892" s="23">
        <v>1</v>
      </c>
      <c r="E892" s="24">
        <v>0</v>
      </c>
      <c r="F892" s="10" t="s">
        <v>172</v>
      </c>
      <c r="G892" s="10" t="s">
        <v>172</v>
      </c>
      <c r="H892" s="10" t="s">
        <v>172</v>
      </c>
    </row>
    <row r="893" s="9" customFormat="1" ht="26" customHeight="1" spans="1:8">
      <c r="A893" s="10" t="s">
        <v>172</v>
      </c>
      <c r="B893" s="19" t="s">
        <v>1885</v>
      </c>
      <c r="C893" s="20" t="s">
        <v>804</v>
      </c>
      <c r="D893" s="21">
        <v>1</v>
      </c>
      <c r="E893" s="22">
        <v>63063.063063</v>
      </c>
      <c r="F893" s="10" t="s">
        <v>172</v>
      </c>
      <c r="G893" s="10" t="s">
        <v>172</v>
      </c>
      <c r="H893" s="10" t="s">
        <v>172</v>
      </c>
    </row>
    <row r="894" s="9" customFormat="1" ht="17" customHeight="1" spans="1:8">
      <c r="A894" s="10" t="s">
        <v>172</v>
      </c>
      <c r="B894" s="19" t="s">
        <v>1885</v>
      </c>
      <c r="C894" s="16" t="s">
        <v>1841</v>
      </c>
      <c r="D894" s="23">
        <v>1</v>
      </c>
      <c r="E894" s="24">
        <v>63063.063063</v>
      </c>
      <c r="F894" s="10" t="s">
        <v>172</v>
      </c>
      <c r="G894" s="10" t="s">
        <v>172</v>
      </c>
      <c r="H894" s="10" t="s">
        <v>172</v>
      </c>
    </row>
    <row r="895" s="9" customFormat="1" ht="37" customHeight="1" spans="1:8">
      <c r="A895" s="10" t="s">
        <v>172</v>
      </c>
      <c r="B895" s="19" t="s">
        <v>1701</v>
      </c>
      <c r="C895" s="20" t="s">
        <v>182</v>
      </c>
      <c r="D895" s="21">
        <v>4</v>
      </c>
      <c r="E895" s="22">
        <v>803603.603604</v>
      </c>
      <c r="F895" s="10" t="s">
        <v>172</v>
      </c>
      <c r="G895" s="10" t="s">
        <v>172</v>
      </c>
      <c r="H895" s="10" t="s">
        <v>172</v>
      </c>
    </row>
    <row r="896" s="9" customFormat="1" ht="26" customHeight="1" spans="1:8">
      <c r="A896" s="10" t="s">
        <v>172</v>
      </c>
      <c r="B896" s="19" t="s">
        <v>1701</v>
      </c>
      <c r="C896" s="20" t="s">
        <v>804</v>
      </c>
      <c r="D896" s="21">
        <v>2</v>
      </c>
      <c r="E896" s="22">
        <v>401801.801802</v>
      </c>
      <c r="F896" s="10" t="s">
        <v>172</v>
      </c>
      <c r="G896" s="10" t="s">
        <v>172</v>
      </c>
      <c r="H896" s="10" t="s">
        <v>172</v>
      </c>
    </row>
    <row r="897" s="9" customFormat="1" ht="17" customHeight="1" spans="1:8">
      <c r="A897" s="10" t="s">
        <v>172</v>
      </c>
      <c r="B897" s="19" t="s">
        <v>1701</v>
      </c>
      <c r="C897" s="16" t="s">
        <v>1841</v>
      </c>
      <c r="D897" s="23">
        <v>6</v>
      </c>
      <c r="E897" s="24">
        <v>1205405.405406</v>
      </c>
      <c r="F897" s="10" t="s">
        <v>172</v>
      </c>
      <c r="G897" s="10" t="s">
        <v>172</v>
      </c>
      <c r="H897" s="10" t="s">
        <v>172</v>
      </c>
    </row>
    <row r="898" s="9" customFormat="1" ht="26" customHeight="1" spans="1:8">
      <c r="A898" s="10" t="s">
        <v>172</v>
      </c>
      <c r="B898" s="19" t="s">
        <v>1886</v>
      </c>
      <c r="C898" s="20" t="s">
        <v>804</v>
      </c>
      <c r="D898" s="21">
        <v>1</v>
      </c>
      <c r="E898" s="22">
        <v>851351.351351</v>
      </c>
      <c r="F898" s="10" t="s">
        <v>172</v>
      </c>
      <c r="G898" s="10" t="s">
        <v>172</v>
      </c>
      <c r="H898" s="10" t="s">
        <v>172</v>
      </c>
    </row>
    <row r="899" s="9" customFormat="1" ht="17" customHeight="1" spans="1:8">
      <c r="A899" s="10" t="s">
        <v>172</v>
      </c>
      <c r="B899" s="19" t="s">
        <v>1886</v>
      </c>
      <c r="C899" s="16" t="s">
        <v>1841</v>
      </c>
      <c r="D899" s="23">
        <v>1</v>
      </c>
      <c r="E899" s="24">
        <v>851351.351351</v>
      </c>
      <c r="F899" s="10" t="s">
        <v>172</v>
      </c>
      <c r="G899" s="10" t="s">
        <v>172</v>
      </c>
      <c r="H899" s="10" t="s">
        <v>172</v>
      </c>
    </row>
    <row r="900" s="9" customFormat="1" ht="1" customHeight="1" spans="1:8">
      <c r="A900" s="10" t="s">
        <v>172</v>
      </c>
      <c r="B900" s="25"/>
      <c r="C900" s="25"/>
      <c r="D900" s="25"/>
      <c r="E900" s="25"/>
      <c r="F900" s="25"/>
      <c r="G900" s="25"/>
      <c r="H900" s="10" t="s">
        <v>172</v>
      </c>
    </row>
    <row r="901" s="9" customFormat="1" ht="13" customHeight="1" spans="1:8">
      <c r="A901" s="10" t="s">
        <v>172</v>
      </c>
      <c r="B901" s="26"/>
      <c r="C901" s="26"/>
      <c r="D901" s="26"/>
      <c r="E901" s="26"/>
      <c r="F901" s="26"/>
      <c r="G901" s="26"/>
      <c r="H901" s="10" t="s">
        <v>172</v>
      </c>
    </row>
    <row r="902" s="9" customFormat="1" ht="13" customHeight="1" spans="1:8">
      <c r="A902" s="10" t="s">
        <v>172</v>
      </c>
      <c r="B902" s="26"/>
      <c r="C902" s="26"/>
      <c r="D902" s="26"/>
      <c r="E902" s="26"/>
      <c r="F902" s="26"/>
      <c r="G902" s="26"/>
      <c r="H902" s="10" t="s">
        <v>172</v>
      </c>
    </row>
    <row r="903" s="9" customFormat="1" ht="13" customHeight="1" spans="1:8">
      <c r="A903" s="10" t="s">
        <v>172</v>
      </c>
      <c r="B903" s="26"/>
      <c r="C903" s="26"/>
      <c r="D903" s="26"/>
      <c r="E903" s="26"/>
      <c r="F903" s="26"/>
      <c r="G903" s="26"/>
      <c r="H903" s="10" t="s">
        <v>172</v>
      </c>
    </row>
    <row r="904" s="9" customFormat="1" ht="13" customHeight="1" spans="1:8">
      <c r="A904" s="10" t="s">
        <v>172</v>
      </c>
      <c r="B904" s="26"/>
      <c r="C904" s="26"/>
      <c r="D904" s="26"/>
      <c r="E904" s="26"/>
      <c r="F904" s="26"/>
      <c r="G904" s="27" t="s">
        <v>1847</v>
      </c>
      <c r="H904" s="10" t="s">
        <v>172</v>
      </c>
    </row>
    <row r="905" s="9" customFormat="1" ht="17" customHeight="1" spans="1:8">
      <c r="A905" s="10" t="s">
        <v>172</v>
      </c>
      <c r="B905" s="11"/>
      <c r="C905" s="11"/>
      <c r="D905" s="11"/>
      <c r="E905" s="11"/>
      <c r="F905" s="11"/>
      <c r="G905" s="11"/>
      <c r="H905" s="10" t="s">
        <v>172</v>
      </c>
    </row>
    <row r="906" s="9" customFormat="1" ht="23" customHeight="1" spans="1:8">
      <c r="A906" s="10" t="s">
        <v>172</v>
      </c>
      <c r="B906" s="12"/>
      <c r="C906" s="12"/>
      <c r="D906" s="12"/>
      <c r="E906" s="12"/>
      <c r="F906" s="12"/>
      <c r="G906" s="12"/>
      <c r="H906" s="10" t="s">
        <v>172</v>
      </c>
    </row>
    <row r="907" s="9" customFormat="1" ht="16" customHeight="1" spans="1:8">
      <c r="A907" s="10" t="s">
        <v>172</v>
      </c>
      <c r="B907" s="13"/>
      <c r="C907" s="13"/>
      <c r="D907" s="13"/>
      <c r="E907" s="13"/>
      <c r="F907" s="13"/>
      <c r="G907" s="13"/>
      <c r="H907" s="10" t="s">
        <v>172</v>
      </c>
    </row>
    <row r="908" s="9" customFormat="1" ht="12" customHeight="1" spans="1:8">
      <c r="A908" s="10" t="s">
        <v>172</v>
      </c>
      <c r="B908" s="14"/>
      <c r="C908" s="14"/>
      <c r="D908" s="14"/>
      <c r="E908" s="14"/>
      <c r="F908" s="14"/>
      <c r="G908" s="14"/>
      <c r="H908" s="10" t="s">
        <v>172</v>
      </c>
    </row>
    <row r="909" s="9" customFormat="1" ht="17" customHeight="1" spans="1:8">
      <c r="A909" s="10" t="s">
        <v>172</v>
      </c>
      <c r="B909" s="15" t="s">
        <v>1836</v>
      </c>
      <c r="C909" s="16" t="s">
        <v>1837</v>
      </c>
      <c r="D909" s="17" t="s">
        <v>1838</v>
      </c>
      <c r="E909" s="18" t="s">
        <v>1839</v>
      </c>
      <c r="F909" s="10" t="s">
        <v>172</v>
      </c>
      <c r="G909" s="10" t="s">
        <v>172</v>
      </c>
      <c r="H909" s="10" t="s">
        <v>172</v>
      </c>
    </row>
    <row r="910" s="9" customFormat="1" ht="26" customHeight="1" spans="1:8">
      <c r="A910" s="10" t="s">
        <v>172</v>
      </c>
      <c r="B910" s="19" t="s">
        <v>1887</v>
      </c>
      <c r="C910" s="20" t="s">
        <v>804</v>
      </c>
      <c r="D910" s="21">
        <v>1</v>
      </c>
      <c r="E910" s="22">
        <v>1027027.027027</v>
      </c>
      <c r="F910" s="10" t="s">
        <v>172</v>
      </c>
      <c r="G910" s="10" t="s">
        <v>172</v>
      </c>
      <c r="H910" s="10" t="s">
        <v>172</v>
      </c>
    </row>
    <row r="911" s="9" customFormat="1" ht="17" customHeight="1" spans="1:8">
      <c r="A911" s="10" t="s">
        <v>172</v>
      </c>
      <c r="B911" s="19" t="s">
        <v>1887</v>
      </c>
      <c r="C911" s="16" t="s">
        <v>1841</v>
      </c>
      <c r="D911" s="23">
        <v>1</v>
      </c>
      <c r="E911" s="24">
        <v>1027027.027027</v>
      </c>
      <c r="F911" s="10" t="s">
        <v>172</v>
      </c>
      <c r="G911" s="10" t="s">
        <v>172</v>
      </c>
      <c r="H911" s="10" t="s">
        <v>172</v>
      </c>
    </row>
    <row r="912" s="9" customFormat="1" ht="26" customHeight="1" spans="1:8">
      <c r="A912" s="10" t="s">
        <v>172</v>
      </c>
      <c r="B912" s="19" t="s">
        <v>1888</v>
      </c>
      <c r="C912" s="20" t="s">
        <v>804</v>
      </c>
      <c r="D912" s="21">
        <v>1</v>
      </c>
      <c r="E912" s="22">
        <v>184684.684685</v>
      </c>
      <c r="F912" s="10" t="s">
        <v>172</v>
      </c>
      <c r="G912" s="10" t="s">
        <v>172</v>
      </c>
      <c r="H912" s="10" t="s">
        <v>172</v>
      </c>
    </row>
    <row r="913" s="9" customFormat="1" ht="17" customHeight="1" spans="1:8">
      <c r="A913" s="10" t="s">
        <v>172</v>
      </c>
      <c r="B913" s="19" t="s">
        <v>1888</v>
      </c>
      <c r="C913" s="16" t="s">
        <v>1841</v>
      </c>
      <c r="D913" s="23">
        <v>1</v>
      </c>
      <c r="E913" s="24">
        <v>184684.684685</v>
      </c>
      <c r="F913" s="10" t="s">
        <v>172</v>
      </c>
      <c r="G913" s="10" t="s">
        <v>172</v>
      </c>
      <c r="H913" s="10" t="s">
        <v>172</v>
      </c>
    </row>
    <row r="914" s="9" customFormat="1" ht="26" customHeight="1" spans="1:8">
      <c r="A914" s="10" t="s">
        <v>172</v>
      </c>
      <c r="B914" s="19" t="s">
        <v>1889</v>
      </c>
      <c r="C914" s="20" t="s">
        <v>804</v>
      </c>
      <c r="D914" s="21">
        <v>1</v>
      </c>
      <c r="E914" s="22">
        <v>328828.828829</v>
      </c>
      <c r="F914" s="10" t="s">
        <v>172</v>
      </c>
      <c r="G914" s="10" t="s">
        <v>172</v>
      </c>
      <c r="H914" s="10" t="s">
        <v>172</v>
      </c>
    </row>
    <row r="915" s="9" customFormat="1" ht="17" customHeight="1" spans="1:8">
      <c r="A915" s="10" t="s">
        <v>172</v>
      </c>
      <c r="B915" s="19" t="s">
        <v>1889</v>
      </c>
      <c r="C915" s="16" t="s">
        <v>1841</v>
      </c>
      <c r="D915" s="23">
        <v>1</v>
      </c>
      <c r="E915" s="24">
        <v>328828.828829</v>
      </c>
      <c r="F915" s="10" t="s">
        <v>172</v>
      </c>
      <c r="G915" s="10" t="s">
        <v>172</v>
      </c>
      <c r="H915" s="10" t="s">
        <v>172</v>
      </c>
    </row>
    <row r="916" s="9" customFormat="1" ht="37" customHeight="1" spans="1:8">
      <c r="A916" s="10" t="s">
        <v>172</v>
      </c>
      <c r="B916" s="19" t="s">
        <v>1489</v>
      </c>
      <c r="C916" s="20" t="s">
        <v>182</v>
      </c>
      <c r="D916" s="21">
        <v>1</v>
      </c>
      <c r="E916" s="22">
        <v>0</v>
      </c>
      <c r="F916" s="10" t="s">
        <v>172</v>
      </c>
      <c r="G916" s="10" t="s">
        <v>172</v>
      </c>
      <c r="H916" s="10" t="s">
        <v>172</v>
      </c>
    </row>
    <row r="917" s="9" customFormat="1" ht="17" customHeight="1" spans="1:8">
      <c r="A917" s="10" t="s">
        <v>172</v>
      </c>
      <c r="B917" s="19" t="s">
        <v>1489</v>
      </c>
      <c r="C917" s="16" t="s">
        <v>1841</v>
      </c>
      <c r="D917" s="23">
        <v>1</v>
      </c>
      <c r="E917" s="24">
        <v>0</v>
      </c>
      <c r="F917" s="10" t="s">
        <v>172</v>
      </c>
      <c r="G917" s="10" t="s">
        <v>172</v>
      </c>
      <c r="H917" s="10" t="s">
        <v>172</v>
      </c>
    </row>
    <row r="918" s="9" customFormat="1" ht="37" customHeight="1" spans="1:8">
      <c r="A918" s="10" t="s">
        <v>172</v>
      </c>
      <c r="B918" s="19" t="s">
        <v>1239</v>
      </c>
      <c r="C918" s="20" t="s">
        <v>182</v>
      </c>
      <c r="D918" s="21">
        <v>11</v>
      </c>
      <c r="E918" s="22">
        <v>0</v>
      </c>
      <c r="F918" s="10" t="s">
        <v>172</v>
      </c>
      <c r="G918" s="10" t="s">
        <v>172</v>
      </c>
      <c r="H918" s="10" t="s">
        <v>172</v>
      </c>
    </row>
    <row r="919" s="9" customFormat="1" ht="17" customHeight="1" spans="1:8">
      <c r="A919" s="10" t="s">
        <v>172</v>
      </c>
      <c r="B919" s="19" t="s">
        <v>1239</v>
      </c>
      <c r="C919" s="16" t="s">
        <v>1841</v>
      </c>
      <c r="D919" s="23">
        <v>11</v>
      </c>
      <c r="E919" s="24">
        <v>0</v>
      </c>
      <c r="F919" s="10" t="s">
        <v>172</v>
      </c>
      <c r="G919" s="10" t="s">
        <v>172</v>
      </c>
      <c r="H919" s="10" t="s">
        <v>172</v>
      </c>
    </row>
    <row r="920" s="9" customFormat="1" ht="37" customHeight="1" spans="1:8">
      <c r="A920" s="10" t="s">
        <v>172</v>
      </c>
      <c r="B920" s="19" t="s">
        <v>837</v>
      </c>
      <c r="C920" s="20" t="s">
        <v>182</v>
      </c>
      <c r="D920" s="21">
        <v>4</v>
      </c>
      <c r="E920" s="22">
        <v>0</v>
      </c>
      <c r="F920" s="10" t="s">
        <v>172</v>
      </c>
      <c r="G920" s="10" t="s">
        <v>172</v>
      </c>
      <c r="H920" s="10" t="s">
        <v>172</v>
      </c>
    </row>
    <row r="921" s="9" customFormat="1" ht="17" customHeight="1" spans="1:8">
      <c r="A921" s="10" t="s">
        <v>172</v>
      </c>
      <c r="B921" s="19" t="s">
        <v>837</v>
      </c>
      <c r="C921" s="16" t="s">
        <v>1841</v>
      </c>
      <c r="D921" s="23">
        <v>4</v>
      </c>
      <c r="E921" s="24">
        <v>0</v>
      </c>
      <c r="F921" s="10" t="s">
        <v>172</v>
      </c>
      <c r="G921" s="10" t="s">
        <v>172</v>
      </c>
      <c r="H921" s="10" t="s">
        <v>172</v>
      </c>
    </row>
    <row r="922" s="9" customFormat="1" ht="37" customHeight="1" spans="1:8">
      <c r="A922" s="10" t="s">
        <v>172</v>
      </c>
      <c r="B922" s="19" t="s">
        <v>838</v>
      </c>
      <c r="C922" s="20" t="s">
        <v>182</v>
      </c>
      <c r="D922" s="21">
        <v>2</v>
      </c>
      <c r="E922" s="22">
        <v>0</v>
      </c>
      <c r="F922" s="10" t="s">
        <v>172</v>
      </c>
      <c r="G922" s="10" t="s">
        <v>172</v>
      </c>
      <c r="H922" s="10" t="s">
        <v>172</v>
      </c>
    </row>
    <row r="923" s="9" customFormat="1" ht="26" customHeight="1" spans="1:8">
      <c r="A923" s="10" t="s">
        <v>172</v>
      </c>
      <c r="B923" s="19" t="s">
        <v>838</v>
      </c>
      <c r="C923" s="20" t="s">
        <v>804</v>
      </c>
      <c r="D923" s="21">
        <v>3</v>
      </c>
      <c r="E923" s="22">
        <v>0</v>
      </c>
      <c r="F923" s="10" t="s">
        <v>172</v>
      </c>
      <c r="G923" s="10" t="s">
        <v>172</v>
      </c>
      <c r="H923" s="10" t="s">
        <v>172</v>
      </c>
    </row>
    <row r="924" s="9" customFormat="1" ht="17" customHeight="1" spans="1:8">
      <c r="A924" s="10" t="s">
        <v>172</v>
      </c>
      <c r="B924" s="19" t="s">
        <v>838</v>
      </c>
      <c r="C924" s="16" t="s">
        <v>1841</v>
      </c>
      <c r="D924" s="23">
        <v>5</v>
      </c>
      <c r="E924" s="24">
        <v>0</v>
      </c>
      <c r="F924" s="10" t="s">
        <v>172</v>
      </c>
      <c r="G924" s="10" t="s">
        <v>172</v>
      </c>
      <c r="H924" s="10" t="s">
        <v>172</v>
      </c>
    </row>
    <row r="925" s="9" customFormat="1" ht="1" customHeight="1" spans="1:8">
      <c r="A925" s="10" t="s">
        <v>172</v>
      </c>
      <c r="B925" s="25"/>
      <c r="C925" s="25"/>
      <c r="D925" s="25"/>
      <c r="E925" s="25"/>
      <c r="F925" s="25"/>
      <c r="G925" s="25"/>
      <c r="H925" s="10" t="s">
        <v>172</v>
      </c>
    </row>
    <row r="926" s="9" customFormat="1" ht="13" customHeight="1" spans="1:8">
      <c r="A926" s="10" t="s">
        <v>172</v>
      </c>
      <c r="B926" s="26"/>
      <c r="C926" s="26"/>
      <c r="D926" s="26"/>
      <c r="E926" s="26"/>
      <c r="F926" s="26"/>
      <c r="G926" s="26"/>
      <c r="H926" s="10" t="s">
        <v>172</v>
      </c>
    </row>
    <row r="927" s="9" customFormat="1" ht="13" customHeight="1" spans="1:8">
      <c r="A927" s="10" t="s">
        <v>172</v>
      </c>
      <c r="B927" s="26"/>
      <c r="C927" s="26"/>
      <c r="D927" s="26"/>
      <c r="E927" s="26"/>
      <c r="F927" s="26"/>
      <c r="G927" s="26"/>
      <c r="H927" s="10" t="s">
        <v>172</v>
      </c>
    </row>
    <row r="928" s="9" customFormat="1" ht="13" customHeight="1" spans="1:8">
      <c r="A928" s="10" t="s">
        <v>172</v>
      </c>
      <c r="B928" s="26"/>
      <c r="C928" s="26"/>
      <c r="D928" s="26"/>
      <c r="E928" s="26"/>
      <c r="F928" s="26"/>
      <c r="G928" s="26"/>
      <c r="H928" s="10" t="s">
        <v>172</v>
      </c>
    </row>
    <row r="929" s="9" customFormat="1" ht="13" customHeight="1" spans="1:8">
      <c r="A929" s="10" t="s">
        <v>172</v>
      </c>
      <c r="B929" s="26"/>
      <c r="C929" s="26"/>
      <c r="D929" s="26"/>
      <c r="E929" s="26"/>
      <c r="F929" s="26"/>
      <c r="G929" s="27" t="s">
        <v>1847</v>
      </c>
      <c r="H929" s="10" t="s">
        <v>172</v>
      </c>
    </row>
    <row r="930" s="9" customFormat="1" ht="17" customHeight="1" spans="1:8">
      <c r="A930" s="10" t="s">
        <v>172</v>
      </c>
      <c r="B930" s="11"/>
      <c r="C930" s="11"/>
      <c r="D930" s="11"/>
      <c r="E930" s="11"/>
      <c r="F930" s="11"/>
      <c r="G930" s="11"/>
      <c r="H930" s="10" t="s">
        <v>172</v>
      </c>
    </row>
    <row r="931" s="9" customFormat="1" ht="23" customHeight="1" spans="1:8">
      <c r="A931" s="10" t="s">
        <v>172</v>
      </c>
      <c r="B931" s="12"/>
      <c r="C931" s="12"/>
      <c r="D931" s="12"/>
      <c r="E931" s="12"/>
      <c r="F931" s="12"/>
      <c r="G931" s="12"/>
      <c r="H931" s="10" t="s">
        <v>172</v>
      </c>
    </row>
    <row r="932" s="9" customFormat="1" ht="16" customHeight="1" spans="1:8">
      <c r="A932" s="10" t="s">
        <v>172</v>
      </c>
      <c r="B932" s="13"/>
      <c r="C932" s="13"/>
      <c r="D932" s="13"/>
      <c r="E932" s="13"/>
      <c r="F932" s="13"/>
      <c r="G932" s="13"/>
      <c r="H932" s="10" t="s">
        <v>172</v>
      </c>
    </row>
    <row r="933" s="9" customFormat="1" ht="12" customHeight="1" spans="1:8">
      <c r="A933" s="10" t="s">
        <v>172</v>
      </c>
      <c r="B933" s="14"/>
      <c r="C933" s="14"/>
      <c r="D933" s="14"/>
      <c r="E933" s="14"/>
      <c r="F933" s="14"/>
      <c r="G933" s="14"/>
      <c r="H933" s="10" t="s">
        <v>172</v>
      </c>
    </row>
    <row r="934" s="9" customFormat="1" ht="17" customHeight="1" spans="1:8">
      <c r="A934" s="10" t="s">
        <v>172</v>
      </c>
      <c r="B934" s="15" t="s">
        <v>1836</v>
      </c>
      <c r="C934" s="16" t="s">
        <v>1837</v>
      </c>
      <c r="D934" s="17" t="s">
        <v>1838</v>
      </c>
      <c r="E934" s="18" t="s">
        <v>1839</v>
      </c>
      <c r="F934" s="10" t="s">
        <v>172</v>
      </c>
      <c r="G934" s="10" t="s">
        <v>172</v>
      </c>
      <c r="H934" s="10" t="s">
        <v>172</v>
      </c>
    </row>
    <row r="935" s="9" customFormat="1" ht="26" customHeight="1" spans="1:8">
      <c r="A935" s="10" t="s">
        <v>172</v>
      </c>
      <c r="B935" s="19" t="s">
        <v>588</v>
      </c>
      <c r="C935" s="20" t="s">
        <v>804</v>
      </c>
      <c r="D935" s="21">
        <v>4</v>
      </c>
      <c r="E935" s="22">
        <v>0</v>
      </c>
      <c r="F935" s="10" t="s">
        <v>172</v>
      </c>
      <c r="G935" s="10" t="s">
        <v>172</v>
      </c>
      <c r="H935" s="10" t="s">
        <v>172</v>
      </c>
    </row>
    <row r="936" s="9" customFormat="1" ht="17" customHeight="1" spans="1:8">
      <c r="A936" s="10" t="s">
        <v>172</v>
      </c>
      <c r="B936" s="19" t="s">
        <v>588</v>
      </c>
      <c r="C936" s="16" t="s">
        <v>1841</v>
      </c>
      <c r="D936" s="23">
        <v>4</v>
      </c>
      <c r="E936" s="24">
        <v>0</v>
      </c>
      <c r="F936" s="10" t="s">
        <v>172</v>
      </c>
      <c r="G936" s="10" t="s">
        <v>172</v>
      </c>
      <c r="H936" s="10" t="s">
        <v>172</v>
      </c>
    </row>
    <row r="937" s="9" customFormat="1" ht="26" customHeight="1" spans="1:8">
      <c r="A937" s="10" t="s">
        <v>172</v>
      </c>
      <c r="B937" s="19" t="s">
        <v>445</v>
      </c>
      <c r="C937" s="20" t="s">
        <v>804</v>
      </c>
      <c r="D937" s="21">
        <v>2</v>
      </c>
      <c r="E937" s="22">
        <v>52252</v>
      </c>
      <c r="F937" s="10" t="s">
        <v>172</v>
      </c>
      <c r="G937" s="10" t="s">
        <v>172</v>
      </c>
      <c r="H937" s="10" t="s">
        <v>172</v>
      </c>
    </row>
    <row r="938" s="9" customFormat="1" ht="17" customHeight="1" spans="1:8">
      <c r="A938" s="10" t="s">
        <v>172</v>
      </c>
      <c r="B938" s="19" t="s">
        <v>445</v>
      </c>
      <c r="C938" s="16" t="s">
        <v>1841</v>
      </c>
      <c r="D938" s="23">
        <v>2</v>
      </c>
      <c r="E938" s="24">
        <v>52252</v>
      </c>
      <c r="F938" s="10" t="s">
        <v>172</v>
      </c>
      <c r="G938" s="10" t="s">
        <v>172</v>
      </c>
      <c r="H938" s="10" t="s">
        <v>172</v>
      </c>
    </row>
    <row r="939" s="9" customFormat="1" ht="37" customHeight="1" spans="1:8">
      <c r="A939" s="10" t="s">
        <v>172</v>
      </c>
      <c r="B939" s="19" t="s">
        <v>500</v>
      </c>
      <c r="C939" s="20" t="s">
        <v>182</v>
      </c>
      <c r="D939" s="21">
        <v>3</v>
      </c>
      <c r="E939" s="22">
        <v>0</v>
      </c>
      <c r="F939" s="10" t="s">
        <v>172</v>
      </c>
      <c r="G939" s="10" t="s">
        <v>172</v>
      </c>
      <c r="H939" s="10" t="s">
        <v>172</v>
      </c>
    </row>
    <row r="940" s="9" customFormat="1" ht="26" customHeight="1" spans="1:8">
      <c r="A940" s="10" t="s">
        <v>172</v>
      </c>
      <c r="B940" s="19" t="s">
        <v>500</v>
      </c>
      <c r="C940" s="20" t="s">
        <v>804</v>
      </c>
      <c r="D940" s="21">
        <v>1</v>
      </c>
      <c r="E940" s="22">
        <v>0</v>
      </c>
      <c r="F940" s="10" t="s">
        <v>172</v>
      </c>
      <c r="G940" s="10" t="s">
        <v>172</v>
      </c>
      <c r="H940" s="10" t="s">
        <v>172</v>
      </c>
    </row>
    <row r="941" s="9" customFormat="1" ht="17" customHeight="1" spans="1:8">
      <c r="A941" s="10" t="s">
        <v>172</v>
      </c>
      <c r="B941" s="19" t="s">
        <v>500</v>
      </c>
      <c r="C941" s="16" t="s">
        <v>1841</v>
      </c>
      <c r="D941" s="23">
        <v>4</v>
      </c>
      <c r="E941" s="24">
        <v>0</v>
      </c>
      <c r="F941" s="10" t="s">
        <v>172</v>
      </c>
      <c r="G941" s="10" t="s">
        <v>172</v>
      </c>
      <c r="H941" s="10" t="s">
        <v>172</v>
      </c>
    </row>
    <row r="942" s="9" customFormat="1" ht="37" customHeight="1" spans="1:8">
      <c r="A942" s="10" t="s">
        <v>172</v>
      </c>
      <c r="B942" s="19" t="s">
        <v>697</v>
      </c>
      <c r="C942" s="20" t="s">
        <v>182</v>
      </c>
      <c r="D942" s="21">
        <v>8</v>
      </c>
      <c r="E942" s="22">
        <v>1362162.162162</v>
      </c>
      <c r="F942" s="10" t="s">
        <v>172</v>
      </c>
      <c r="G942" s="10" t="s">
        <v>172</v>
      </c>
      <c r="H942" s="10" t="s">
        <v>172</v>
      </c>
    </row>
    <row r="943" s="9" customFormat="1" ht="17" customHeight="1" spans="1:8">
      <c r="A943" s="10" t="s">
        <v>172</v>
      </c>
      <c r="B943" s="19" t="s">
        <v>697</v>
      </c>
      <c r="C943" s="16" t="s">
        <v>1841</v>
      </c>
      <c r="D943" s="23">
        <v>8</v>
      </c>
      <c r="E943" s="24">
        <v>1362162.162162</v>
      </c>
      <c r="F943" s="10" t="s">
        <v>172</v>
      </c>
      <c r="G943" s="10" t="s">
        <v>172</v>
      </c>
      <c r="H943" s="10" t="s">
        <v>172</v>
      </c>
    </row>
    <row r="944" s="9" customFormat="1" ht="37" customHeight="1" spans="1:8">
      <c r="A944" s="10" t="s">
        <v>172</v>
      </c>
      <c r="B944" s="19" t="s">
        <v>983</v>
      </c>
      <c r="C944" s="20" t="s">
        <v>182</v>
      </c>
      <c r="D944" s="21">
        <v>4</v>
      </c>
      <c r="E944" s="22">
        <v>663063.063063</v>
      </c>
      <c r="F944" s="10" t="s">
        <v>172</v>
      </c>
      <c r="G944" s="10" t="s">
        <v>172</v>
      </c>
      <c r="H944" s="10" t="s">
        <v>172</v>
      </c>
    </row>
    <row r="945" s="9" customFormat="1" ht="17" customHeight="1" spans="1:8">
      <c r="A945" s="10" t="s">
        <v>172</v>
      </c>
      <c r="B945" s="19" t="s">
        <v>983</v>
      </c>
      <c r="C945" s="16" t="s">
        <v>1841</v>
      </c>
      <c r="D945" s="23">
        <v>4</v>
      </c>
      <c r="E945" s="24">
        <v>663063.063063</v>
      </c>
      <c r="F945" s="10" t="s">
        <v>172</v>
      </c>
      <c r="G945" s="10" t="s">
        <v>172</v>
      </c>
      <c r="H945" s="10" t="s">
        <v>172</v>
      </c>
    </row>
    <row r="946" s="9" customFormat="1" ht="37" customHeight="1" spans="1:8">
      <c r="A946" s="10" t="s">
        <v>172</v>
      </c>
      <c r="B946" s="19" t="s">
        <v>1241</v>
      </c>
      <c r="C946" s="20" t="s">
        <v>182</v>
      </c>
      <c r="D946" s="21">
        <v>20</v>
      </c>
      <c r="E946" s="22">
        <v>1971171.17117</v>
      </c>
      <c r="F946" s="10" t="s">
        <v>172</v>
      </c>
      <c r="G946" s="10" t="s">
        <v>172</v>
      </c>
      <c r="H946" s="10" t="s">
        <v>172</v>
      </c>
    </row>
    <row r="947" s="9" customFormat="1" ht="17" customHeight="1" spans="1:8">
      <c r="A947" s="10" t="s">
        <v>172</v>
      </c>
      <c r="B947" s="19" t="s">
        <v>1241</v>
      </c>
      <c r="C947" s="16" t="s">
        <v>1841</v>
      </c>
      <c r="D947" s="23">
        <v>20</v>
      </c>
      <c r="E947" s="24">
        <v>1971171.17117</v>
      </c>
      <c r="F947" s="10" t="s">
        <v>172</v>
      </c>
      <c r="G947" s="10" t="s">
        <v>172</v>
      </c>
      <c r="H947" s="10" t="s">
        <v>172</v>
      </c>
    </row>
    <row r="948" s="9" customFormat="1" ht="26" customHeight="1" spans="1:8">
      <c r="A948" s="10" t="s">
        <v>172</v>
      </c>
      <c r="B948" s="19" t="s">
        <v>698</v>
      </c>
      <c r="C948" s="20" t="s">
        <v>804</v>
      </c>
      <c r="D948" s="21">
        <v>4</v>
      </c>
      <c r="E948" s="22">
        <v>389189.189189</v>
      </c>
      <c r="F948" s="10" t="s">
        <v>172</v>
      </c>
      <c r="G948" s="10" t="s">
        <v>172</v>
      </c>
      <c r="H948" s="10" t="s">
        <v>172</v>
      </c>
    </row>
    <row r="949" s="9" customFormat="1" ht="17" customHeight="1" spans="1:8">
      <c r="A949" s="10" t="s">
        <v>172</v>
      </c>
      <c r="B949" s="19" t="s">
        <v>698</v>
      </c>
      <c r="C949" s="16" t="s">
        <v>1841</v>
      </c>
      <c r="D949" s="23">
        <v>4</v>
      </c>
      <c r="E949" s="24">
        <v>389189.189189</v>
      </c>
      <c r="F949" s="10" t="s">
        <v>172</v>
      </c>
      <c r="G949" s="10" t="s">
        <v>172</v>
      </c>
      <c r="H949" s="10" t="s">
        <v>172</v>
      </c>
    </row>
    <row r="950" s="9" customFormat="1" ht="1" customHeight="1" spans="1:8">
      <c r="A950" s="10" t="s">
        <v>172</v>
      </c>
      <c r="B950" s="25"/>
      <c r="C950" s="25"/>
      <c r="D950" s="25"/>
      <c r="E950" s="25"/>
      <c r="F950" s="25"/>
      <c r="G950" s="25"/>
      <c r="H950" s="10" t="s">
        <v>172</v>
      </c>
    </row>
    <row r="951" s="9" customFormat="1" ht="13" customHeight="1" spans="1:8">
      <c r="A951" s="10" t="s">
        <v>172</v>
      </c>
      <c r="B951" s="26"/>
      <c r="C951" s="26"/>
      <c r="D951" s="26"/>
      <c r="E951" s="26"/>
      <c r="F951" s="26"/>
      <c r="G951" s="26"/>
      <c r="H951" s="10" t="s">
        <v>172</v>
      </c>
    </row>
    <row r="952" s="9" customFormat="1" ht="13" customHeight="1" spans="1:8">
      <c r="A952" s="10" t="s">
        <v>172</v>
      </c>
      <c r="B952" s="26"/>
      <c r="C952" s="26"/>
      <c r="D952" s="26"/>
      <c r="E952" s="26"/>
      <c r="F952" s="26"/>
      <c r="G952" s="26"/>
      <c r="H952" s="10" t="s">
        <v>172</v>
      </c>
    </row>
    <row r="953" s="9" customFormat="1" ht="13" customHeight="1" spans="1:8">
      <c r="A953" s="10" t="s">
        <v>172</v>
      </c>
      <c r="B953" s="26"/>
      <c r="C953" s="26"/>
      <c r="D953" s="26"/>
      <c r="E953" s="26"/>
      <c r="F953" s="26"/>
      <c r="G953" s="26"/>
      <c r="H953" s="10" t="s">
        <v>172</v>
      </c>
    </row>
    <row r="954" s="9" customFormat="1" ht="13" customHeight="1" spans="1:8">
      <c r="A954" s="10" t="s">
        <v>172</v>
      </c>
      <c r="B954" s="26"/>
      <c r="C954" s="26"/>
      <c r="D954" s="26"/>
      <c r="E954" s="26"/>
      <c r="F954" s="26"/>
      <c r="G954" s="27" t="s">
        <v>1847</v>
      </c>
      <c r="H954" s="10" t="s">
        <v>172</v>
      </c>
    </row>
    <row r="955" s="9" customFormat="1" ht="17" customHeight="1" spans="1:8">
      <c r="A955" s="10" t="s">
        <v>172</v>
      </c>
      <c r="B955" s="11"/>
      <c r="C955" s="11"/>
      <c r="D955" s="11"/>
      <c r="E955" s="11"/>
      <c r="F955" s="11"/>
      <c r="G955" s="11"/>
      <c r="H955" s="10" t="s">
        <v>172</v>
      </c>
    </row>
    <row r="956" s="9" customFormat="1" ht="23" customHeight="1" spans="1:8">
      <c r="A956" s="10" t="s">
        <v>172</v>
      </c>
      <c r="B956" s="12"/>
      <c r="C956" s="12"/>
      <c r="D956" s="12"/>
      <c r="E956" s="12"/>
      <c r="F956" s="12"/>
      <c r="G956" s="12"/>
      <c r="H956" s="10" t="s">
        <v>172</v>
      </c>
    </row>
    <row r="957" s="9" customFormat="1" ht="16" customHeight="1" spans="1:8">
      <c r="A957" s="10" t="s">
        <v>172</v>
      </c>
      <c r="B957" s="13"/>
      <c r="C957" s="13"/>
      <c r="D957" s="13"/>
      <c r="E957" s="13"/>
      <c r="F957" s="13"/>
      <c r="G957" s="13"/>
      <c r="H957" s="10" t="s">
        <v>172</v>
      </c>
    </row>
    <row r="958" s="9" customFormat="1" ht="12" customHeight="1" spans="1:8">
      <c r="A958" s="10" t="s">
        <v>172</v>
      </c>
      <c r="B958" s="14"/>
      <c r="C958" s="14"/>
      <c r="D958" s="14"/>
      <c r="E958" s="14"/>
      <c r="F958" s="14"/>
      <c r="G958" s="14"/>
      <c r="H958" s="10" t="s">
        <v>172</v>
      </c>
    </row>
    <row r="959" s="9" customFormat="1" ht="17" customHeight="1" spans="1:8">
      <c r="A959" s="10" t="s">
        <v>172</v>
      </c>
      <c r="B959" s="15" t="s">
        <v>1836</v>
      </c>
      <c r="C959" s="16" t="s">
        <v>1837</v>
      </c>
      <c r="D959" s="17" t="s">
        <v>1838</v>
      </c>
      <c r="E959" s="18" t="s">
        <v>1839</v>
      </c>
      <c r="F959" s="10" t="s">
        <v>172</v>
      </c>
      <c r="G959" s="10" t="s">
        <v>172</v>
      </c>
      <c r="H959" s="10" t="s">
        <v>172</v>
      </c>
    </row>
    <row r="960" s="9" customFormat="1" ht="37" customHeight="1" spans="1:8">
      <c r="A960" s="10" t="s">
        <v>172</v>
      </c>
      <c r="B960" s="19" t="s">
        <v>699</v>
      </c>
      <c r="C960" s="20" t="s">
        <v>182</v>
      </c>
      <c r="D960" s="21">
        <v>4</v>
      </c>
      <c r="E960" s="22">
        <v>72072</v>
      </c>
      <c r="F960" s="10" t="s">
        <v>172</v>
      </c>
      <c r="G960" s="10" t="s">
        <v>172</v>
      </c>
      <c r="H960" s="10" t="s">
        <v>172</v>
      </c>
    </row>
    <row r="961" s="9" customFormat="1" ht="17" customHeight="1" spans="1:8">
      <c r="A961" s="10" t="s">
        <v>172</v>
      </c>
      <c r="B961" s="19" t="s">
        <v>699</v>
      </c>
      <c r="C961" s="16" t="s">
        <v>1841</v>
      </c>
      <c r="D961" s="23">
        <v>4</v>
      </c>
      <c r="E961" s="24">
        <v>72072</v>
      </c>
      <c r="F961" s="10" t="s">
        <v>172</v>
      </c>
      <c r="G961" s="10" t="s">
        <v>172</v>
      </c>
      <c r="H961" s="10" t="s">
        <v>172</v>
      </c>
    </row>
    <row r="962" s="9" customFormat="1" ht="37" customHeight="1" spans="1:8">
      <c r="A962" s="10" t="s">
        <v>172</v>
      </c>
      <c r="B962" s="19" t="s">
        <v>502</v>
      </c>
      <c r="C962" s="20" t="s">
        <v>182</v>
      </c>
      <c r="D962" s="21">
        <v>62</v>
      </c>
      <c r="E962" s="22">
        <v>5829585.707755</v>
      </c>
      <c r="F962" s="10" t="s">
        <v>172</v>
      </c>
      <c r="G962" s="10" t="s">
        <v>172</v>
      </c>
      <c r="H962" s="10" t="s">
        <v>172</v>
      </c>
    </row>
    <row r="963" s="9" customFormat="1" ht="26" customHeight="1" spans="1:8">
      <c r="A963" s="10" t="s">
        <v>172</v>
      </c>
      <c r="B963" s="19" t="s">
        <v>502</v>
      </c>
      <c r="C963" s="20" t="s">
        <v>804</v>
      </c>
      <c r="D963" s="21">
        <v>14</v>
      </c>
      <c r="E963" s="22">
        <v>1344144.144144</v>
      </c>
      <c r="F963" s="10" t="s">
        <v>172</v>
      </c>
      <c r="G963" s="10" t="s">
        <v>172</v>
      </c>
      <c r="H963" s="10" t="s">
        <v>172</v>
      </c>
    </row>
    <row r="964" s="9" customFormat="1" ht="17" customHeight="1" spans="1:8">
      <c r="A964" s="10" t="s">
        <v>172</v>
      </c>
      <c r="B964" s="19" t="s">
        <v>502</v>
      </c>
      <c r="C964" s="16" t="s">
        <v>1841</v>
      </c>
      <c r="D964" s="23">
        <v>76</v>
      </c>
      <c r="E964" s="24">
        <v>7173729.851899</v>
      </c>
      <c r="F964" s="10" t="s">
        <v>172</v>
      </c>
      <c r="G964" s="10" t="s">
        <v>172</v>
      </c>
      <c r="H964" s="10" t="s">
        <v>172</v>
      </c>
    </row>
    <row r="965" s="9" customFormat="1" ht="37" customHeight="1" spans="1:8">
      <c r="A965" s="10" t="s">
        <v>172</v>
      </c>
      <c r="B965" s="19" t="s">
        <v>1490</v>
      </c>
      <c r="C965" s="20" t="s">
        <v>182</v>
      </c>
      <c r="D965" s="21">
        <v>4</v>
      </c>
      <c r="E965" s="22">
        <v>64864.864865</v>
      </c>
      <c r="F965" s="10" t="s">
        <v>172</v>
      </c>
      <c r="G965" s="10" t="s">
        <v>172</v>
      </c>
      <c r="H965" s="10" t="s">
        <v>172</v>
      </c>
    </row>
    <row r="966" s="9" customFormat="1" ht="17" customHeight="1" spans="1:8">
      <c r="A966" s="10" t="s">
        <v>172</v>
      </c>
      <c r="B966" s="19" t="s">
        <v>1490</v>
      </c>
      <c r="C966" s="16" t="s">
        <v>1841</v>
      </c>
      <c r="D966" s="23">
        <v>4</v>
      </c>
      <c r="E966" s="24">
        <v>64864.864865</v>
      </c>
      <c r="F966" s="10" t="s">
        <v>172</v>
      </c>
      <c r="G966" s="10" t="s">
        <v>172</v>
      </c>
      <c r="H966" s="10" t="s">
        <v>172</v>
      </c>
    </row>
    <row r="967" s="9" customFormat="1" ht="37" customHeight="1" spans="1:8">
      <c r="A967" s="10" t="s">
        <v>172</v>
      </c>
      <c r="B967" s="19" t="s">
        <v>1491</v>
      </c>
      <c r="C967" s="20" t="s">
        <v>182</v>
      </c>
      <c r="D967" s="21">
        <v>20</v>
      </c>
      <c r="E967" s="22">
        <v>320720.720722</v>
      </c>
      <c r="F967" s="10" t="s">
        <v>172</v>
      </c>
      <c r="G967" s="10" t="s">
        <v>172</v>
      </c>
      <c r="H967" s="10" t="s">
        <v>172</v>
      </c>
    </row>
    <row r="968" s="9" customFormat="1" ht="17" customHeight="1" spans="1:8">
      <c r="A968" s="10" t="s">
        <v>172</v>
      </c>
      <c r="B968" s="19" t="s">
        <v>1491</v>
      </c>
      <c r="C968" s="16" t="s">
        <v>1841</v>
      </c>
      <c r="D968" s="23">
        <v>20</v>
      </c>
      <c r="E968" s="24">
        <v>320720.720722</v>
      </c>
      <c r="F968" s="10" t="s">
        <v>172</v>
      </c>
      <c r="G968" s="10" t="s">
        <v>172</v>
      </c>
      <c r="H968" s="10" t="s">
        <v>172</v>
      </c>
    </row>
    <row r="969" s="9" customFormat="1" ht="26" customHeight="1" spans="1:8">
      <c r="A969" s="10" t="s">
        <v>172</v>
      </c>
      <c r="B969" s="19" t="s">
        <v>290</v>
      </c>
      <c r="C969" s="20" t="s">
        <v>804</v>
      </c>
      <c r="D969" s="21">
        <v>4</v>
      </c>
      <c r="E969" s="22">
        <v>5135135.504505</v>
      </c>
      <c r="F969" s="10" t="s">
        <v>172</v>
      </c>
      <c r="G969" s="10" t="s">
        <v>172</v>
      </c>
      <c r="H969" s="10" t="s">
        <v>172</v>
      </c>
    </row>
    <row r="970" s="9" customFormat="1" ht="17" customHeight="1" spans="1:8">
      <c r="A970" s="10" t="s">
        <v>172</v>
      </c>
      <c r="B970" s="19" t="s">
        <v>290</v>
      </c>
      <c r="C970" s="16" t="s">
        <v>1841</v>
      </c>
      <c r="D970" s="23">
        <v>4</v>
      </c>
      <c r="E970" s="24">
        <v>5135135.504505</v>
      </c>
      <c r="F970" s="10" t="s">
        <v>172</v>
      </c>
      <c r="G970" s="10" t="s">
        <v>172</v>
      </c>
      <c r="H970" s="10" t="s">
        <v>172</v>
      </c>
    </row>
    <row r="971" s="9" customFormat="1" ht="37" customHeight="1" spans="1:8">
      <c r="A971" s="10" t="s">
        <v>172</v>
      </c>
      <c r="B971" s="19" t="s">
        <v>292</v>
      </c>
      <c r="C971" s="20" t="s">
        <v>182</v>
      </c>
      <c r="D971" s="21">
        <v>2</v>
      </c>
      <c r="E971" s="22">
        <v>1725405.405405</v>
      </c>
      <c r="F971" s="10" t="s">
        <v>172</v>
      </c>
      <c r="G971" s="10" t="s">
        <v>172</v>
      </c>
      <c r="H971" s="10" t="s">
        <v>172</v>
      </c>
    </row>
    <row r="972" s="9" customFormat="1" ht="17" customHeight="1" spans="1:8">
      <c r="A972" s="10" t="s">
        <v>172</v>
      </c>
      <c r="B972" s="19" t="s">
        <v>292</v>
      </c>
      <c r="C972" s="16" t="s">
        <v>1841</v>
      </c>
      <c r="D972" s="23">
        <v>2</v>
      </c>
      <c r="E972" s="24">
        <v>1725405.405405</v>
      </c>
      <c r="F972" s="10" t="s">
        <v>172</v>
      </c>
      <c r="G972" s="10" t="s">
        <v>172</v>
      </c>
      <c r="H972" s="10" t="s">
        <v>172</v>
      </c>
    </row>
    <row r="973" s="9" customFormat="1" ht="1" customHeight="1" spans="1:8">
      <c r="A973" s="10" t="s">
        <v>172</v>
      </c>
      <c r="B973" s="25"/>
      <c r="C973" s="25"/>
      <c r="D973" s="25"/>
      <c r="E973" s="25"/>
      <c r="F973" s="25"/>
      <c r="G973" s="25"/>
      <c r="H973" s="10" t="s">
        <v>172</v>
      </c>
    </row>
    <row r="974" s="9" customFormat="1" ht="13" customHeight="1" spans="1:8">
      <c r="A974" s="10" t="s">
        <v>172</v>
      </c>
      <c r="B974" s="26"/>
      <c r="C974" s="26"/>
      <c r="D974" s="26"/>
      <c r="E974" s="26"/>
      <c r="F974" s="26"/>
      <c r="G974" s="26"/>
      <c r="H974" s="10" t="s">
        <v>172</v>
      </c>
    </row>
    <row r="975" s="9" customFormat="1" ht="13" customHeight="1" spans="1:8">
      <c r="A975" s="10" t="s">
        <v>172</v>
      </c>
      <c r="B975" s="26"/>
      <c r="C975" s="26"/>
      <c r="D975" s="26"/>
      <c r="E975" s="26"/>
      <c r="F975" s="26"/>
      <c r="G975" s="26"/>
      <c r="H975" s="10" t="s">
        <v>172</v>
      </c>
    </row>
    <row r="976" s="9" customFormat="1" ht="13" customHeight="1" spans="1:8">
      <c r="A976" s="10" t="s">
        <v>172</v>
      </c>
      <c r="B976" s="26"/>
      <c r="C976" s="26"/>
      <c r="D976" s="26"/>
      <c r="E976" s="26"/>
      <c r="F976" s="26"/>
      <c r="G976" s="26"/>
      <c r="H976" s="10" t="s">
        <v>172</v>
      </c>
    </row>
    <row r="977" s="9" customFormat="1" ht="13" customHeight="1" spans="1:8">
      <c r="A977" s="10" t="s">
        <v>172</v>
      </c>
      <c r="B977" s="26"/>
      <c r="C977" s="26"/>
      <c r="D977" s="26"/>
      <c r="E977" s="26"/>
      <c r="F977" s="26"/>
      <c r="G977" s="27" t="s">
        <v>1847</v>
      </c>
      <c r="H977" s="10" t="s">
        <v>172</v>
      </c>
    </row>
    <row r="978" s="9" customFormat="1" ht="17" customHeight="1" spans="1:8">
      <c r="A978" s="10" t="s">
        <v>172</v>
      </c>
      <c r="B978" s="11"/>
      <c r="C978" s="11"/>
      <c r="D978" s="11"/>
      <c r="E978" s="11"/>
      <c r="F978" s="11"/>
      <c r="G978" s="11"/>
      <c r="H978" s="10" t="s">
        <v>172</v>
      </c>
    </row>
    <row r="979" s="9" customFormat="1" ht="23" customHeight="1" spans="1:8">
      <c r="A979" s="10" t="s">
        <v>172</v>
      </c>
      <c r="B979" s="12"/>
      <c r="C979" s="12"/>
      <c r="D979" s="12"/>
      <c r="E979" s="12"/>
      <c r="F979" s="12"/>
      <c r="G979" s="12"/>
      <c r="H979" s="10" t="s">
        <v>172</v>
      </c>
    </row>
    <row r="980" s="9" customFormat="1" ht="16" customHeight="1" spans="1:8">
      <c r="A980" s="10" t="s">
        <v>172</v>
      </c>
      <c r="B980" s="13"/>
      <c r="C980" s="13"/>
      <c r="D980" s="13"/>
      <c r="E980" s="13"/>
      <c r="F980" s="13"/>
      <c r="G980" s="13"/>
      <c r="H980" s="10" t="s">
        <v>172</v>
      </c>
    </row>
    <row r="981" s="9" customFormat="1" ht="12" customHeight="1" spans="1:8">
      <c r="A981" s="10" t="s">
        <v>172</v>
      </c>
      <c r="B981" s="14"/>
      <c r="C981" s="14"/>
      <c r="D981" s="14"/>
      <c r="E981" s="14"/>
      <c r="F981" s="14"/>
      <c r="G981" s="14"/>
      <c r="H981" s="10" t="s">
        <v>172</v>
      </c>
    </row>
    <row r="982" s="9" customFormat="1" ht="17" customHeight="1" spans="1:8">
      <c r="A982" s="10" t="s">
        <v>172</v>
      </c>
      <c r="B982" s="15" t="s">
        <v>1836</v>
      </c>
      <c r="C982" s="16" t="s">
        <v>1837</v>
      </c>
      <c r="D982" s="17" t="s">
        <v>1838</v>
      </c>
      <c r="E982" s="18" t="s">
        <v>1839</v>
      </c>
      <c r="F982" s="10" t="s">
        <v>172</v>
      </c>
      <c r="G982" s="10" t="s">
        <v>172</v>
      </c>
      <c r="H982" s="10" t="s">
        <v>172</v>
      </c>
    </row>
    <row r="983" s="9" customFormat="1" ht="26" customHeight="1" spans="1:8">
      <c r="A983" s="10" t="s">
        <v>172</v>
      </c>
      <c r="B983" s="19" t="s">
        <v>1890</v>
      </c>
      <c r="C983" s="20" t="s">
        <v>804</v>
      </c>
      <c r="D983" s="21">
        <v>1</v>
      </c>
      <c r="E983" s="22">
        <v>750000</v>
      </c>
      <c r="F983" s="10" t="s">
        <v>172</v>
      </c>
      <c r="G983" s="10" t="s">
        <v>172</v>
      </c>
      <c r="H983" s="10" t="s">
        <v>172</v>
      </c>
    </row>
    <row r="984" s="9" customFormat="1" ht="17" customHeight="1" spans="1:8">
      <c r="A984" s="10" t="s">
        <v>172</v>
      </c>
      <c r="B984" s="19" t="s">
        <v>1890</v>
      </c>
      <c r="C984" s="16" t="s">
        <v>1841</v>
      </c>
      <c r="D984" s="23">
        <v>1</v>
      </c>
      <c r="E984" s="24">
        <v>750000</v>
      </c>
      <c r="F984" s="10" t="s">
        <v>172</v>
      </c>
      <c r="G984" s="10" t="s">
        <v>172</v>
      </c>
      <c r="H984" s="10" t="s">
        <v>172</v>
      </c>
    </row>
    <row r="985" s="9" customFormat="1" ht="26" customHeight="1" spans="1:8">
      <c r="A985" s="10" t="s">
        <v>172</v>
      </c>
      <c r="B985" s="19" t="s">
        <v>1891</v>
      </c>
      <c r="C985" s="20" t="s">
        <v>804</v>
      </c>
      <c r="D985" s="21">
        <v>1</v>
      </c>
      <c r="E985" s="22">
        <v>1087500</v>
      </c>
      <c r="F985" s="10" t="s">
        <v>172</v>
      </c>
      <c r="G985" s="10" t="s">
        <v>172</v>
      </c>
      <c r="H985" s="10" t="s">
        <v>172</v>
      </c>
    </row>
    <row r="986" s="9" customFormat="1" ht="17" customHeight="1" spans="1:8">
      <c r="A986" s="10" t="s">
        <v>172</v>
      </c>
      <c r="B986" s="19" t="s">
        <v>1891</v>
      </c>
      <c r="C986" s="16" t="s">
        <v>1841</v>
      </c>
      <c r="D986" s="23">
        <v>1</v>
      </c>
      <c r="E986" s="24">
        <v>1087500</v>
      </c>
      <c r="F986" s="10" t="s">
        <v>172</v>
      </c>
      <c r="G986" s="10" t="s">
        <v>172</v>
      </c>
      <c r="H986" s="10" t="s">
        <v>172</v>
      </c>
    </row>
    <row r="987" s="9" customFormat="1" ht="26" customHeight="1" spans="1:8">
      <c r="A987" s="10" t="s">
        <v>172</v>
      </c>
      <c r="B987" s="19" t="s">
        <v>1892</v>
      </c>
      <c r="C987" s="20" t="s">
        <v>804</v>
      </c>
      <c r="D987" s="21">
        <v>1</v>
      </c>
      <c r="E987" s="22">
        <v>797500</v>
      </c>
      <c r="F987" s="10" t="s">
        <v>172</v>
      </c>
      <c r="G987" s="10" t="s">
        <v>172</v>
      </c>
      <c r="H987" s="10" t="s">
        <v>172</v>
      </c>
    </row>
    <row r="988" s="9" customFormat="1" ht="17" customHeight="1" spans="1:8">
      <c r="A988" s="10" t="s">
        <v>172</v>
      </c>
      <c r="B988" s="19" t="s">
        <v>1892</v>
      </c>
      <c r="C988" s="16" t="s">
        <v>1841</v>
      </c>
      <c r="D988" s="23">
        <v>1</v>
      </c>
      <c r="E988" s="24">
        <v>797500</v>
      </c>
      <c r="F988" s="10" t="s">
        <v>172</v>
      </c>
      <c r="G988" s="10" t="s">
        <v>172</v>
      </c>
      <c r="H988" s="10" t="s">
        <v>172</v>
      </c>
    </row>
    <row r="989" s="9" customFormat="1" ht="26" customHeight="1" spans="1:8">
      <c r="A989" s="10" t="s">
        <v>172</v>
      </c>
      <c r="B989" s="19" t="s">
        <v>985</v>
      </c>
      <c r="C989" s="20" t="s">
        <v>804</v>
      </c>
      <c r="D989" s="21">
        <v>4</v>
      </c>
      <c r="E989" s="22">
        <v>598198.198198</v>
      </c>
      <c r="F989" s="10" t="s">
        <v>172</v>
      </c>
      <c r="G989" s="10" t="s">
        <v>172</v>
      </c>
      <c r="H989" s="10" t="s">
        <v>172</v>
      </c>
    </row>
    <row r="990" s="9" customFormat="1" ht="17" customHeight="1" spans="1:8">
      <c r="A990" s="10" t="s">
        <v>172</v>
      </c>
      <c r="B990" s="19" t="s">
        <v>985</v>
      </c>
      <c r="C990" s="16" t="s">
        <v>1841</v>
      </c>
      <c r="D990" s="23">
        <v>4</v>
      </c>
      <c r="E990" s="24">
        <v>598198.198198</v>
      </c>
      <c r="F990" s="10" t="s">
        <v>172</v>
      </c>
      <c r="G990" s="10" t="s">
        <v>172</v>
      </c>
      <c r="H990" s="10" t="s">
        <v>172</v>
      </c>
    </row>
    <row r="991" s="9" customFormat="1" ht="37" customHeight="1" spans="1:8">
      <c r="A991" s="10" t="s">
        <v>172</v>
      </c>
      <c r="B991" s="19" t="s">
        <v>1249</v>
      </c>
      <c r="C991" s="20" t="s">
        <v>182</v>
      </c>
      <c r="D991" s="21">
        <v>2</v>
      </c>
      <c r="E991" s="22">
        <v>282882.882883</v>
      </c>
      <c r="F991" s="10" t="s">
        <v>172</v>
      </c>
      <c r="G991" s="10" t="s">
        <v>172</v>
      </c>
      <c r="H991" s="10" t="s">
        <v>172</v>
      </c>
    </row>
    <row r="992" s="9" customFormat="1" ht="26" customHeight="1" spans="1:8">
      <c r="A992" s="10" t="s">
        <v>172</v>
      </c>
      <c r="B992" s="19" t="s">
        <v>1249</v>
      </c>
      <c r="C992" s="20" t="s">
        <v>804</v>
      </c>
      <c r="D992" s="21">
        <v>2</v>
      </c>
      <c r="E992" s="22">
        <v>282882.882883</v>
      </c>
      <c r="F992" s="10" t="s">
        <v>172</v>
      </c>
      <c r="G992" s="10" t="s">
        <v>172</v>
      </c>
      <c r="H992" s="10" t="s">
        <v>172</v>
      </c>
    </row>
    <row r="993" s="9" customFormat="1" ht="17" customHeight="1" spans="1:8">
      <c r="A993" s="10" t="s">
        <v>172</v>
      </c>
      <c r="B993" s="19" t="s">
        <v>1249</v>
      </c>
      <c r="C993" s="16" t="s">
        <v>1841</v>
      </c>
      <c r="D993" s="23">
        <v>4</v>
      </c>
      <c r="E993" s="24">
        <v>565765.765766</v>
      </c>
      <c r="F993" s="10" t="s">
        <v>172</v>
      </c>
      <c r="G993" s="10" t="s">
        <v>172</v>
      </c>
      <c r="H993" s="10" t="s">
        <v>172</v>
      </c>
    </row>
    <row r="994" s="9" customFormat="1" ht="26" customHeight="1" spans="1:8">
      <c r="A994" s="10" t="s">
        <v>172</v>
      </c>
      <c r="B994" s="19" t="s">
        <v>700</v>
      </c>
      <c r="C994" s="20" t="s">
        <v>804</v>
      </c>
      <c r="D994" s="21">
        <v>2</v>
      </c>
      <c r="E994" s="22">
        <v>468468.468468</v>
      </c>
      <c r="F994" s="10" t="s">
        <v>172</v>
      </c>
      <c r="G994" s="10" t="s">
        <v>172</v>
      </c>
      <c r="H994" s="10" t="s">
        <v>172</v>
      </c>
    </row>
    <row r="995" s="9" customFormat="1" ht="17" customHeight="1" spans="1:8">
      <c r="A995" s="10" t="s">
        <v>172</v>
      </c>
      <c r="B995" s="19" t="s">
        <v>700</v>
      </c>
      <c r="C995" s="16" t="s">
        <v>1841</v>
      </c>
      <c r="D995" s="23">
        <v>2</v>
      </c>
      <c r="E995" s="24">
        <v>468468.468468</v>
      </c>
      <c r="F995" s="10" t="s">
        <v>172</v>
      </c>
      <c r="G995" s="10" t="s">
        <v>172</v>
      </c>
      <c r="H995" s="10" t="s">
        <v>172</v>
      </c>
    </row>
    <row r="996" s="9" customFormat="1" ht="37" customHeight="1" spans="1:8">
      <c r="A996" s="10" t="s">
        <v>172</v>
      </c>
      <c r="B996" s="19" t="s">
        <v>1893</v>
      </c>
      <c r="C996" s="20" t="s">
        <v>182</v>
      </c>
      <c r="D996" s="21">
        <v>1</v>
      </c>
      <c r="E996" s="22">
        <v>528779.069767</v>
      </c>
      <c r="F996" s="10" t="s">
        <v>172</v>
      </c>
      <c r="G996" s="10" t="s">
        <v>172</v>
      </c>
      <c r="H996" s="10" t="s">
        <v>172</v>
      </c>
    </row>
    <row r="997" s="9" customFormat="1" ht="17" customHeight="1" spans="1:8">
      <c r="A997" s="10" t="s">
        <v>172</v>
      </c>
      <c r="B997" s="19" t="s">
        <v>1893</v>
      </c>
      <c r="C997" s="16" t="s">
        <v>1841</v>
      </c>
      <c r="D997" s="23">
        <v>1</v>
      </c>
      <c r="E997" s="24">
        <v>528779.069767</v>
      </c>
      <c r="F997" s="10" t="s">
        <v>172</v>
      </c>
      <c r="G997" s="10" t="s">
        <v>172</v>
      </c>
      <c r="H997" s="10" t="s">
        <v>172</v>
      </c>
    </row>
    <row r="998" s="9" customFormat="1" ht="1" customHeight="1" spans="1:8">
      <c r="A998" s="10" t="s">
        <v>172</v>
      </c>
      <c r="B998" s="25"/>
      <c r="C998" s="25"/>
      <c r="D998" s="25"/>
      <c r="E998" s="25"/>
      <c r="F998" s="25"/>
      <c r="G998" s="25"/>
      <c r="H998" s="10" t="s">
        <v>172</v>
      </c>
    </row>
    <row r="999" s="9" customFormat="1" ht="13" customHeight="1" spans="1:8">
      <c r="A999" s="10" t="s">
        <v>172</v>
      </c>
      <c r="B999" s="26"/>
      <c r="C999" s="26"/>
      <c r="D999" s="26"/>
      <c r="E999" s="26"/>
      <c r="F999" s="26"/>
      <c r="G999" s="26"/>
      <c r="H999" s="10" t="s">
        <v>172</v>
      </c>
    </row>
    <row r="1000" s="9" customFormat="1" ht="13" customHeight="1" spans="1:8">
      <c r="A1000" s="10" t="s">
        <v>172</v>
      </c>
      <c r="B1000" s="26"/>
      <c r="C1000" s="26"/>
      <c r="D1000" s="26"/>
      <c r="E1000" s="26"/>
      <c r="F1000" s="26"/>
      <c r="G1000" s="26"/>
      <c r="H1000" s="10" t="s">
        <v>172</v>
      </c>
    </row>
    <row r="1001" s="9" customFormat="1" ht="13" customHeight="1" spans="1:8">
      <c r="A1001" s="10" t="s">
        <v>172</v>
      </c>
      <c r="B1001" s="26"/>
      <c r="C1001" s="26"/>
      <c r="D1001" s="26"/>
      <c r="E1001" s="26"/>
      <c r="F1001" s="26"/>
      <c r="G1001" s="26"/>
      <c r="H1001" s="10" t="s">
        <v>172</v>
      </c>
    </row>
    <row r="1002" s="9" customFormat="1" ht="13" customHeight="1" spans="1:8">
      <c r="A1002" s="10" t="s">
        <v>172</v>
      </c>
      <c r="B1002" s="26"/>
      <c r="C1002" s="26"/>
      <c r="D1002" s="26"/>
      <c r="E1002" s="26"/>
      <c r="F1002" s="26"/>
      <c r="G1002" s="27" t="s">
        <v>1847</v>
      </c>
      <c r="H1002" s="10" t="s">
        <v>172</v>
      </c>
    </row>
    <row r="1003" s="9" customFormat="1" ht="17" customHeight="1" spans="1:8">
      <c r="A1003" s="10" t="s">
        <v>172</v>
      </c>
      <c r="B1003" s="11"/>
      <c r="C1003" s="11"/>
      <c r="D1003" s="11"/>
      <c r="E1003" s="11"/>
      <c r="F1003" s="11"/>
      <c r="G1003" s="11"/>
      <c r="H1003" s="10" t="s">
        <v>172</v>
      </c>
    </row>
    <row r="1004" s="9" customFormat="1" ht="23" customHeight="1" spans="1:8">
      <c r="A1004" s="10" t="s">
        <v>172</v>
      </c>
      <c r="B1004" s="12"/>
      <c r="C1004" s="12"/>
      <c r="D1004" s="12"/>
      <c r="E1004" s="12"/>
      <c r="F1004" s="12"/>
      <c r="G1004" s="12"/>
      <c r="H1004" s="10" t="s">
        <v>172</v>
      </c>
    </row>
    <row r="1005" s="9" customFormat="1" ht="16" customHeight="1" spans="1:8">
      <c r="A1005" s="10" t="s">
        <v>172</v>
      </c>
      <c r="B1005" s="13"/>
      <c r="C1005" s="13"/>
      <c r="D1005" s="13"/>
      <c r="E1005" s="13"/>
      <c r="F1005" s="13"/>
      <c r="G1005" s="13"/>
      <c r="H1005" s="10" t="s">
        <v>172</v>
      </c>
    </row>
    <row r="1006" s="9" customFormat="1" ht="12" customHeight="1" spans="1:8">
      <c r="A1006" s="10" t="s">
        <v>172</v>
      </c>
      <c r="B1006" s="14"/>
      <c r="C1006" s="14"/>
      <c r="D1006" s="14"/>
      <c r="E1006" s="14"/>
      <c r="F1006" s="14"/>
      <c r="G1006" s="14"/>
      <c r="H1006" s="10" t="s">
        <v>172</v>
      </c>
    </row>
    <row r="1007" s="9" customFormat="1" ht="17" customHeight="1" spans="1:8">
      <c r="A1007" s="10" t="s">
        <v>172</v>
      </c>
      <c r="B1007" s="15" t="s">
        <v>1836</v>
      </c>
      <c r="C1007" s="16" t="s">
        <v>1837</v>
      </c>
      <c r="D1007" s="17" t="s">
        <v>1838</v>
      </c>
      <c r="E1007" s="18" t="s">
        <v>1839</v>
      </c>
      <c r="F1007" s="10" t="s">
        <v>172</v>
      </c>
      <c r="G1007" s="10" t="s">
        <v>172</v>
      </c>
      <c r="H1007" s="10" t="s">
        <v>172</v>
      </c>
    </row>
    <row r="1008" s="9" customFormat="1" ht="37" customHeight="1" spans="1:8">
      <c r="A1008" s="10" t="s">
        <v>172</v>
      </c>
      <c r="B1008" s="19" t="s">
        <v>299</v>
      </c>
      <c r="C1008" s="20" t="s">
        <v>182</v>
      </c>
      <c r="D1008" s="21">
        <v>53</v>
      </c>
      <c r="E1008" s="22">
        <v>75675.837838</v>
      </c>
      <c r="F1008" s="10" t="s">
        <v>172</v>
      </c>
      <c r="G1008" s="10" t="s">
        <v>172</v>
      </c>
      <c r="H1008" s="10" t="s">
        <v>172</v>
      </c>
    </row>
    <row r="1009" s="9" customFormat="1" ht="26" customHeight="1" spans="1:8">
      <c r="A1009" s="10" t="s">
        <v>172</v>
      </c>
      <c r="B1009" s="19" t="s">
        <v>299</v>
      </c>
      <c r="C1009" s="20" t="s">
        <v>804</v>
      </c>
      <c r="D1009" s="21">
        <v>58</v>
      </c>
      <c r="E1009" s="22">
        <v>75675.675676</v>
      </c>
      <c r="F1009" s="10" t="s">
        <v>172</v>
      </c>
      <c r="G1009" s="10" t="s">
        <v>172</v>
      </c>
      <c r="H1009" s="10" t="s">
        <v>172</v>
      </c>
    </row>
    <row r="1010" s="9" customFormat="1" ht="17" customHeight="1" spans="1:8">
      <c r="A1010" s="10" t="s">
        <v>172</v>
      </c>
      <c r="B1010" s="19" t="s">
        <v>299</v>
      </c>
      <c r="C1010" s="16" t="s">
        <v>1841</v>
      </c>
      <c r="D1010" s="23">
        <v>111</v>
      </c>
      <c r="E1010" s="24">
        <v>151351.513514</v>
      </c>
      <c r="F1010" s="10" t="s">
        <v>172</v>
      </c>
      <c r="G1010" s="10" t="s">
        <v>172</v>
      </c>
      <c r="H1010" s="10" t="s">
        <v>172</v>
      </c>
    </row>
    <row r="1011" s="9" customFormat="1" ht="37" customHeight="1" spans="1:8">
      <c r="A1011" s="10" t="s">
        <v>172</v>
      </c>
      <c r="B1011" s="19" t="s">
        <v>371</v>
      </c>
      <c r="C1011" s="20" t="s">
        <v>182</v>
      </c>
      <c r="D1011" s="21">
        <v>50</v>
      </c>
      <c r="E1011" s="22">
        <v>0</v>
      </c>
      <c r="F1011" s="10" t="s">
        <v>172</v>
      </c>
      <c r="G1011" s="10" t="s">
        <v>172</v>
      </c>
      <c r="H1011" s="10" t="s">
        <v>172</v>
      </c>
    </row>
    <row r="1012" s="9" customFormat="1" ht="26" customHeight="1" spans="1:8">
      <c r="A1012" s="10" t="s">
        <v>172</v>
      </c>
      <c r="B1012" s="19" t="s">
        <v>371</v>
      </c>
      <c r="C1012" s="20" t="s">
        <v>804</v>
      </c>
      <c r="D1012" s="21">
        <v>56</v>
      </c>
      <c r="E1012" s="22">
        <v>0</v>
      </c>
      <c r="F1012" s="10" t="s">
        <v>172</v>
      </c>
      <c r="G1012" s="10" t="s">
        <v>172</v>
      </c>
      <c r="H1012" s="10" t="s">
        <v>172</v>
      </c>
    </row>
    <row r="1013" s="9" customFormat="1" ht="17" customHeight="1" spans="1:8">
      <c r="A1013" s="10" t="s">
        <v>172</v>
      </c>
      <c r="B1013" s="19" t="s">
        <v>371</v>
      </c>
      <c r="C1013" s="16" t="s">
        <v>1841</v>
      </c>
      <c r="D1013" s="23">
        <v>106</v>
      </c>
      <c r="E1013" s="24">
        <v>0</v>
      </c>
      <c r="F1013" s="10" t="s">
        <v>172</v>
      </c>
      <c r="G1013" s="10" t="s">
        <v>172</v>
      </c>
      <c r="H1013" s="10" t="s">
        <v>172</v>
      </c>
    </row>
    <row r="1014" s="9" customFormat="1" ht="37" customHeight="1" spans="1:8">
      <c r="A1014" s="10" t="s">
        <v>172</v>
      </c>
      <c r="B1014" s="19" t="s">
        <v>373</v>
      </c>
      <c r="C1014" s="20" t="s">
        <v>182</v>
      </c>
      <c r="D1014" s="21">
        <v>87</v>
      </c>
      <c r="E1014" s="22">
        <v>107207.207207</v>
      </c>
      <c r="F1014" s="10" t="s">
        <v>172</v>
      </c>
      <c r="G1014" s="10" t="s">
        <v>172</v>
      </c>
      <c r="H1014" s="10" t="s">
        <v>172</v>
      </c>
    </row>
    <row r="1015" s="9" customFormat="1" ht="26" customHeight="1" spans="1:8">
      <c r="A1015" s="10" t="s">
        <v>172</v>
      </c>
      <c r="B1015" s="19" t="s">
        <v>373</v>
      </c>
      <c r="C1015" s="20" t="s">
        <v>804</v>
      </c>
      <c r="D1015" s="21">
        <v>1</v>
      </c>
      <c r="E1015" s="22">
        <v>0</v>
      </c>
      <c r="F1015" s="10" t="s">
        <v>172</v>
      </c>
      <c r="G1015" s="10" t="s">
        <v>172</v>
      </c>
      <c r="H1015" s="10" t="s">
        <v>172</v>
      </c>
    </row>
    <row r="1016" s="9" customFormat="1" ht="17" customHeight="1" spans="1:8">
      <c r="A1016" s="10" t="s">
        <v>172</v>
      </c>
      <c r="B1016" s="19" t="s">
        <v>373</v>
      </c>
      <c r="C1016" s="16" t="s">
        <v>1841</v>
      </c>
      <c r="D1016" s="23">
        <v>88</v>
      </c>
      <c r="E1016" s="24">
        <v>107207.207207</v>
      </c>
      <c r="F1016" s="10" t="s">
        <v>172</v>
      </c>
      <c r="G1016" s="10" t="s">
        <v>172</v>
      </c>
      <c r="H1016" s="10" t="s">
        <v>172</v>
      </c>
    </row>
    <row r="1017" s="9" customFormat="1" ht="37" customHeight="1" spans="1:8">
      <c r="A1017" s="10" t="s">
        <v>172</v>
      </c>
      <c r="B1017" s="19" t="s">
        <v>374</v>
      </c>
      <c r="C1017" s="20" t="s">
        <v>182</v>
      </c>
      <c r="D1017" s="21">
        <v>5</v>
      </c>
      <c r="E1017" s="22">
        <v>0</v>
      </c>
      <c r="F1017" s="10" t="s">
        <v>172</v>
      </c>
      <c r="G1017" s="10" t="s">
        <v>172</v>
      </c>
      <c r="H1017" s="10" t="s">
        <v>172</v>
      </c>
    </row>
    <row r="1018" s="9" customFormat="1" ht="26" customHeight="1" spans="1:8">
      <c r="A1018" s="10" t="s">
        <v>172</v>
      </c>
      <c r="B1018" s="19" t="s">
        <v>374</v>
      </c>
      <c r="C1018" s="20" t="s">
        <v>804</v>
      </c>
      <c r="D1018" s="21">
        <v>7</v>
      </c>
      <c r="E1018" s="22">
        <v>0</v>
      </c>
      <c r="F1018" s="10" t="s">
        <v>172</v>
      </c>
      <c r="G1018" s="10" t="s">
        <v>172</v>
      </c>
      <c r="H1018" s="10" t="s">
        <v>172</v>
      </c>
    </row>
    <row r="1019" s="9" customFormat="1" ht="17" customHeight="1" spans="1:8">
      <c r="A1019" s="10" t="s">
        <v>172</v>
      </c>
      <c r="B1019" s="19" t="s">
        <v>374</v>
      </c>
      <c r="C1019" s="16" t="s">
        <v>1841</v>
      </c>
      <c r="D1019" s="23">
        <v>12</v>
      </c>
      <c r="E1019" s="24">
        <v>0</v>
      </c>
      <c r="F1019" s="10" t="s">
        <v>172</v>
      </c>
      <c r="G1019" s="10" t="s">
        <v>172</v>
      </c>
      <c r="H1019" s="10" t="s">
        <v>172</v>
      </c>
    </row>
    <row r="1020" s="9" customFormat="1" ht="37" customHeight="1" spans="1:8">
      <c r="A1020" s="10" t="s">
        <v>172</v>
      </c>
      <c r="B1020" s="20" t="s">
        <v>300</v>
      </c>
      <c r="C1020" s="20" t="s">
        <v>182</v>
      </c>
      <c r="D1020" s="21">
        <v>5</v>
      </c>
      <c r="E1020" s="22">
        <v>0</v>
      </c>
      <c r="F1020" s="10" t="s">
        <v>172</v>
      </c>
      <c r="G1020" s="10" t="s">
        <v>172</v>
      </c>
      <c r="H1020" s="10" t="s">
        <v>172</v>
      </c>
    </row>
    <row r="1021" s="9" customFormat="1" ht="1" customHeight="1" spans="1:8">
      <c r="A1021" s="10" t="s">
        <v>172</v>
      </c>
      <c r="B1021" s="25"/>
      <c r="C1021" s="25"/>
      <c r="D1021" s="25"/>
      <c r="E1021" s="25"/>
      <c r="F1021" s="25"/>
      <c r="G1021" s="25"/>
      <c r="H1021" s="10" t="s">
        <v>172</v>
      </c>
    </row>
    <row r="1022" s="9" customFormat="1" ht="13" customHeight="1" spans="1:8">
      <c r="A1022" s="10" t="s">
        <v>172</v>
      </c>
      <c r="B1022" s="26"/>
      <c r="C1022" s="26"/>
      <c r="D1022" s="26"/>
      <c r="E1022" s="26"/>
      <c r="F1022" s="26"/>
      <c r="G1022" s="26"/>
      <c r="H1022" s="10" t="s">
        <v>172</v>
      </c>
    </row>
    <row r="1023" s="9" customFormat="1" ht="13" customHeight="1" spans="1:8">
      <c r="A1023" s="10" t="s">
        <v>172</v>
      </c>
      <c r="B1023" s="26"/>
      <c r="C1023" s="26"/>
      <c r="D1023" s="26"/>
      <c r="E1023" s="26"/>
      <c r="F1023" s="26"/>
      <c r="G1023" s="26"/>
      <c r="H1023" s="10" t="s">
        <v>172</v>
      </c>
    </row>
    <row r="1024" s="9" customFormat="1" ht="13" customHeight="1" spans="1:8">
      <c r="A1024" s="10" t="s">
        <v>172</v>
      </c>
      <c r="B1024" s="26"/>
      <c r="C1024" s="26"/>
      <c r="D1024" s="26"/>
      <c r="E1024" s="26"/>
      <c r="F1024" s="26"/>
      <c r="G1024" s="26"/>
      <c r="H1024" s="10" t="s">
        <v>172</v>
      </c>
    </row>
    <row r="1025" s="9" customFormat="1" ht="13" customHeight="1" spans="1:8">
      <c r="A1025" s="10" t="s">
        <v>172</v>
      </c>
      <c r="B1025" s="26"/>
      <c r="C1025" s="26"/>
      <c r="D1025" s="26"/>
      <c r="E1025" s="26"/>
      <c r="F1025" s="26"/>
      <c r="G1025" s="27" t="s">
        <v>1847</v>
      </c>
      <c r="H1025" s="10" t="s">
        <v>172</v>
      </c>
    </row>
    <row r="1026" s="9" customFormat="1" ht="17" customHeight="1" spans="1:8">
      <c r="A1026" s="10" t="s">
        <v>172</v>
      </c>
      <c r="B1026" s="11"/>
      <c r="C1026" s="11"/>
      <c r="D1026" s="11"/>
      <c r="E1026" s="11"/>
      <c r="F1026" s="11"/>
      <c r="G1026" s="11"/>
      <c r="H1026" s="10" t="s">
        <v>172</v>
      </c>
    </row>
    <row r="1027" s="9" customFormat="1" ht="23" customHeight="1" spans="1:8">
      <c r="A1027" s="10" t="s">
        <v>172</v>
      </c>
      <c r="B1027" s="12"/>
      <c r="C1027" s="12"/>
      <c r="D1027" s="12"/>
      <c r="E1027" s="12"/>
      <c r="F1027" s="12"/>
      <c r="G1027" s="12"/>
      <c r="H1027" s="10" t="s">
        <v>172</v>
      </c>
    </row>
    <row r="1028" s="9" customFormat="1" ht="16" customHeight="1" spans="1:8">
      <c r="A1028" s="10" t="s">
        <v>172</v>
      </c>
      <c r="B1028" s="13"/>
      <c r="C1028" s="13"/>
      <c r="D1028" s="13"/>
      <c r="E1028" s="13"/>
      <c r="F1028" s="13"/>
      <c r="G1028" s="13"/>
      <c r="H1028" s="10" t="s">
        <v>172</v>
      </c>
    </row>
    <row r="1029" s="9" customFormat="1" ht="12" customHeight="1" spans="1:8">
      <c r="A1029" s="10" t="s">
        <v>172</v>
      </c>
      <c r="B1029" s="14"/>
      <c r="C1029" s="14"/>
      <c r="D1029" s="14"/>
      <c r="E1029" s="14"/>
      <c r="F1029" s="14"/>
      <c r="G1029" s="14"/>
      <c r="H1029" s="10" t="s">
        <v>172</v>
      </c>
    </row>
    <row r="1030" s="9" customFormat="1" ht="17" customHeight="1" spans="1:8">
      <c r="A1030" s="10" t="s">
        <v>172</v>
      </c>
      <c r="B1030" s="15" t="s">
        <v>1836</v>
      </c>
      <c r="C1030" s="16" t="s">
        <v>1837</v>
      </c>
      <c r="D1030" s="17" t="s">
        <v>1838</v>
      </c>
      <c r="E1030" s="18" t="s">
        <v>1839</v>
      </c>
      <c r="F1030" s="10" t="s">
        <v>172</v>
      </c>
      <c r="G1030" s="10" t="s">
        <v>172</v>
      </c>
      <c r="H1030" s="10" t="s">
        <v>172</v>
      </c>
    </row>
    <row r="1031" s="9" customFormat="1" ht="26" customHeight="1" spans="1:8">
      <c r="A1031" s="10" t="s">
        <v>172</v>
      </c>
      <c r="B1031" s="19" t="s">
        <v>300</v>
      </c>
      <c r="C1031" s="20" t="s">
        <v>804</v>
      </c>
      <c r="D1031" s="21">
        <v>7</v>
      </c>
      <c r="E1031" s="22">
        <v>0</v>
      </c>
      <c r="F1031" s="10" t="s">
        <v>172</v>
      </c>
      <c r="G1031" s="10" t="s">
        <v>172</v>
      </c>
      <c r="H1031" s="10" t="s">
        <v>172</v>
      </c>
    </row>
    <row r="1032" s="9" customFormat="1" ht="17" customHeight="1" spans="1:8">
      <c r="A1032" s="10" t="s">
        <v>172</v>
      </c>
      <c r="B1032" s="19" t="s">
        <v>300</v>
      </c>
      <c r="C1032" s="16" t="s">
        <v>1841</v>
      </c>
      <c r="D1032" s="23">
        <v>12</v>
      </c>
      <c r="E1032" s="24">
        <v>0</v>
      </c>
      <c r="F1032" s="10" t="s">
        <v>172</v>
      </c>
      <c r="G1032" s="10" t="s">
        <v>172</v>
      </c>
      <c r="H1032" s="10" t="s">
        <v>172</v>
      </c>
    </row>
    <row r="1033" s="9" customFormat="1" ht="37" customHeight="1" spans="1:8">
      <c r="A1033" s="10" t="s">
        <v>172</v>
      </c>
      <c r="B1033" s="19" t="s">
        <v>302</v>
      </c>
      <c r="C1033" s="20" t="s">
        <v>182</v>
      </c>
      <c r="D1033" s="21">
        <v>71</v>
      </c>
      <c r="E1033" s="22">
        <v>0</v>
      </c>
      <c r="F1033" s="10" t="s">
        <v>172</v>
      </c>
      <c r="G1033" s="10" t="s">
        <v>172</v>
      </c>
      <c r="H1033" s="10" t="s">
        <v>172</v>
      </c>
    </row>
    <row r="1034" s="9" customFormat="1" ht="26" customHeight="1" spans="1:8">
      <c r="A1034" s="10" t="s">
        <v>172</v>
      </c>
      <c r="B1034" s="19" t="s">
        <v>302</v>
      </c>
      <c r="C1034" s="20" t="s">
        <v>804</v>
      </c>
      <c r="D1034" s="21">
        <v>34</v>
      </c>
      <c r="E1034" s="22">
        <v>97297.297296</v>
      </c>
      <c r="F1034" s="10" t="s">
        <v>172</v>
      </c>
      <c r="G1034" s="10" t="s">
        <v>172</v>
      </c>
      <c r="H1034" s="10" t="s">
        <v>172</v>
      </c>
    </row>
    <row r="1035" s="9" customFormat="1" ht="17" customHeight="1" spans="1:8">
      <c r="A1035" s="10" t="s">
        <v>172</v>
      </c>
      <c r="B1035" s="19" t="s">
        <v>302</v>
      </c>
      <c r="C1035" s="16" t="s">
        <v>1841</v>
      </c>
      <c r="D1035" s="23">
        <v>105</v>
      </c>
      <c r="E1035" s="24">
        <v>97297.297296</v>
      </c>
      <c r="F1035" s="10" t="s">
        <v>172</v>
      </c>
      <c r="G1035" s="10" t="s">
        <v>172</v>
      </c>
      <c r="H1035" s="10" t="s">
        <v>172</v>
      </c>
    </row>
    <row r="1036" s="9" customFormat="1" ht="26" customHeight="1" spans="1:8">
      <c r="A1036" s="10" t="s">
        <v>172</v>
      </c>
      <c r="B1036" s="19" t="s">
        <v>1500</v>
      </c>
      <c r="C1036" s="20" t="s">
        <v>1191</v>
      </c>
      <c r="D1036" s="21">
        <v>-1</v>
      </c>
      <c r="E1036" s="22">
        <v>0</v>
      </c>
      <c r="F1036" s="10" t="s">
        <v>172</v>
      </c>
      <c r="G1036" s="10" t="s">
        <v>172</v>
      </c>
      <c r="H1036" s="10" t="s">
        <v>172</v>
      </c>
    </row>
    <row r="1037" s="9" customFormat="1" ht="17" customHeight="1" spans="1:8">
      <c r="A1037" s="10" t="s">
        <v>172</v>
      </c>
      <c r="B1037" s="19" t="s">
        <v>1500</v>
      </c>
      <c r="C1037" s="16" t="s">
        <v>1841</v>
      </c>
      <c r="D1037" s="23">
        <v>-1</v>
      </c>
      <c r="E1037" s="24">
        <v>0</v>
      </c>
      <c r="F1037" s="10" t="s">
        <v>172</v>
      </c>
      <c r="G1037" s="10" t="s">
        <v>172</v>
      </c>
      <c r="H1037" s="10" t="s">
        <v>172</v>
      </c>
    </row>
    <row r="1038" s="9" customFormat="1" ht="37" customHeight="1" spans="1:8">
      <c r="A1038" s="10" t="s">
        <v>172</v>
      </c>
      <c r="B1038" s="19" t="s">
        <v>1894</v>
      </c>
      <c r="C1038" s="20" t="s">
        <v>182</v>
      </c>
      <c r="D1038" s="21">
        <v>1</v>
      </c>
      <c r="E1038" s="22">
        <v>450000</v>
      </c>
      <c r="F1038" s="10" t="s">
        <v>172</v>
      </c>
      <c r="G1038" s="10" t="s">
        <v>172</v>
      </c>
      <c r="H1038" s="10" t="s">
        <v>172</v>
      </c>
    </row>
    <row r="1039" s="9" customFormat="1" ht="17" customHeight="1" spans="1:8">
      <c r="A1039" s="10" t="s">
        <v>172</v>
      </c>
      <c r="B1039" s="19" t="s">
        <v>1894</v>
      </c>
      <c r="C1039" s="16" t="s">
        <v>1841</v>
      </c>
      <c r="D1039" s="23">
        <v>1</v>
      </c>
      <c r="E1039" s="24">
        <v>450000</v>
      </c>
      <c r="F1039" s="10" t="s">
        <v>172</v>
      </c>
      <c r="G1039" s="10" t="s">
        <v>172</v>
      </c>
      <c r="H1039" s="10" t="s">
        <v>172</v>
      </c>
    </row>
    <row r="1040" s="9" customFormat="1" ht="37" customHeight="1" spans="1:8">
      <c r="A1040" s="10" t="s">
        <v>172</v>
      </c>
      <c r="B1040" s="19" t="s">
        <v>991</v>
      </c>
      <c r="C1040" s="20" t="s">
        <v>182</v>
      </c>
      <c r="D1040" s="21">
        <v>2</v>
      </c>
      <c r="E1040" s="22">
        <v>95495.747748</v>
      </c>
      <c r="F1040" s="10" t="s">
        <v>172</v>
      </c>
      <c r="G1040" s="10" t="s">
        <v>172</v>
      </c>
      <c r="H1040" s="10" t="s">
        <v>172</v>
      </c>
    </row>
    <row r="1041" s="9" customFormat="1" ht="26" customHeight="1" spans="1:8">
      <c r="A1041" s="10" t="s">
        <v>172</v>
      </c>
      <c r="B1041" s="19" t="s">
        <v>991</v>
      </c>
      <c r="C1041" s="20" t="s">
        <v>804</v>
      </c>
      <c r="D1041" s="21">
        <v>1</v>
      </c>
      <c r="E1041" s="22">
        <v>47747.747748</v>
      </c>
      <c r="F1041" s="10" t="s">
        <v>172</v>
      </c>
      <c r="G1041" s="10" t="s">
        <v>172</v>
      </c>
      <c r="H1041" s="10" t="s">
        <v>172</v>
      </c>
    </row>
    <row r="1042" s="9" customFormat="1" ht="17" customHeight="1" spans="1:8">
      <c r="A1042" s="10" t="s">
        <v>172</v>
      </c>
      <c r="B1042" s="19" t="s">
        <v>991</v>
      </c>
      <c r="C1042" s="16" t="s">
        <v>1841</v>
      </c>
      <c r="D1042" s="23">
        <v>3</v>
      </c>
      <c r="E1042" s="24">
        <v>143243.495496</v>
      </c>
      <c r="F1042" s="10" t="s">
        <v>172</v>
      </c>
      <c r="G1042" s="10" t="s">
        <v>172</v>
      </c>
      <c r="H1042" s="10" t="s">
        <v>172</v>
      </c>
    </row>
    <row r="1043" s="9" customFormat="1" ht="37" customHeight="1" spans="1:8">
      <c r="A1043" s="10" t="s">
        <v>172</v>
      </c>
      <c r="B1043" s="19" t="s">
        <v>1501</v>
      </c>
      <c r="C1043" s="20" t="s">
        <v>182</v>
      </c>
      <c r="D1043" s="21">
        <v>1</v>
      </c>
      <c r="E1043" s="22">
        <v>40540.540541</v>
      </c>
      <c r="F1043" s="10" t="s">
        <v>172</v>
      </c>
      <c r="G1043" s="10" t="s">
        <v>172</v>
      </c>
      <c r="H1043" s="10" t="s">
        <v>172</v>
      </c>
    </row>
    <row r="1044" s="9" customFormat="1" ht="17" customHeight="1" spans="1:8">
      <c r="A1044" s="10" t="s">
        <v>172</v>
      </c>
      <c r="B1044" s="19" t="s">
        <v>1501</v>
      </c>
      <c r="C1044" s="16" t="s">
        <v>1841</v>
      </c>
      <c r="D1044" s="23">
        <v>1</v>
      </c>
      <c r="E1044" s="24">
        <v>40540.540541</v>
      </c>
      <c r="F1044" s="10" t="s">
        <v>172</v>
      </c>
      <c r="G1044" s="10" t="s">
        <v>172</v>
      </c>
      <c r="H1044" s="10" t="s">
        <v>172</v>
      </c>
    </row>
    <row r="1045" s="9" customFormat="1" ht="1" customHeight="1" spans="1:8">
      <c r="A1045" s="10" t="s">
        <v>172</v>
      </c>
      <c r="B1045" s="25"/>
      <c r="C1045" s="25"/>
      <c r="D1045" s="25"/>
      <c r="E1045" s="25"/>
      <c r="F1045" s="25"/>
      <c r="G1045" s="25"/>
      <c r="H1045" s="10" t="s">
        <v>172</v>
      </c>
    </row>
    <row r="1046" s="9" customFormat="1" ht="13" customHeight="1" spans="1:8">
      <c r="A1046" s="10" t="s">
        <v>172</v>
      </c>
      <c r="B1046" s="26"/>
      <c r="C1046" s="26"/>
      <c r="D1046" s="26"/>
      <c r="E1046" s="26"/>
      <c r="F1046" s="26"/>
      <c r="G1046" s="26"/>
      <c r="H1046" s="10" t="s">
        <v>172</v>
      </c>
    </row>
    <row r="1047" s="9" customFormat="1" ht="13" customHeight="1" spans="1:8">
      <c r="A1047" s="10" t="s">
        <v>172</v>
      </c>
      <c r="B1047" s="26"/>
      <c r="C1047" s="26"/>
      <c r="D1047" s="26"/>
      <c r="E1047" s="26"/>
      <c r="F1047" s="26"/>
      <c r="G1047" s="26"/>
      <c r="H1047" s="10" t="s">
        <v>172</v>
      </c>
    </row>
    <row r="1048" s="9" customFormat="1" ht="13" customHeight="1" spans="1:8">
      <c r="A1048" s="10" t="s">
        <v>172</v>
      </c>
      <c r="B1048" s="26"/>
      <c r="C1048" s="26"/>
      <c r="D1048" s="26"/>
      <c r="E1048" s="26"/>
      <c r="F1048" s="26"/>
      <c r="G1048" s="26"/>
      <c r="H1048" s="10" t="s">
        <v>172</v>
      </c>
    </row>
    <row r="1049" s="9" customFormat="1" ht="13" customHeight="1" spans="1:8">
      <c r="A1049" s="10" t="s">
        <v>172</v>
      </c>
      <c r="B1049" s="26"/>
      <c r="C1049" s="26"/>
      <c r="D1049" s="26"/>
      <c r="E1049" s="26"/>
      <c r="F1049" s="26"/>
      <c r="G1049" s="27" t="s">
        <v>1847</v>
      </c>
      <c r="H1049" s="10" t="s">
        <v>172</v>
      </c>
    </row>
    <row r="1050" s="9" customFormat="1" ht="17" customHeight="1" spans="1:8">
      <c r="A1050" s="10" t="s">
        <v>172</v>
      </c>
      <c r="B1050" s="11"/>
      <c r="C1050" s="11"/>
      <c r="D1050" s="11"/>
      <c r="E1050" s="11"/>
      <c r="F1050" s="11"/>
      <c r="G1050" s="11"/>
      <c r="H1050" s="10" t="s">
        <v>172</v>
      </c>
    </row>
    <row r="1051" s="9" customFormat="1" ht="23" customHeight="1" spans="1:8">
      <c r="A1051" s="10" t="s">
        <v>172</v>
      </c>
      <c r="B1051" s="12"/>
      <c r="C1051" s="12"/>
      <c r="D1051" s="12"/>
      <c r="E1051" s="12"/>
      <c r="F1051" s="12"/>
      <c r="G1051" s="12"/>
      <c r="H1051" s="10" t="s">
        <v>172</v>
      </c>
    </row>
    <row r="1052" s="9" customFormat="1" ht="16" customHeight="1" spans="1:8">
      <c r="A1052" s="10" t="s">
        <v>172</v>
      </c>
      <c r="B1052" s="13"/>
      <c r="C1052" s="13"/>
      <c r="D1052" s="13"/>
      <c r="E1052" s="13"/>
      <c r="F1052" s="13"/>
      <c r="G1052" s="13"/>
      <c r="H1052" s="10" t="s">
        <v>172</v>
      </c>
    </row>
    <row r="1053" s="9" customFormat="1" ht="12" customHeight="1" spans="1:8">
      <c r="A1053" s="10" t="s">
        <v>172</v>
      </c>
      <c r="B1053" s="14"/>
      <c r="C1053" s="14"/>
      <c r="D1053" s="14"/>
      <c r="E1053" s="14"/>
      <c r="F1053" s="14"/>
      <c r="G1053" s="14"/>
      <c r="H1053" s="10" t="s">
        <v>172</v>
      </c>
    </row>
    <row r="1054" s="9" customFormat="1" ht="17" customHeight="1" spans="1:8">
      <c r="A1054" s="10" t="s">
        <v>172</v>
      </c>
      <c r="B1054" s="15" t="s">
        <v>1836</v>
      </c>
      <c r="C1054" s="16" t="s">
        <v>1837</v>
      </c>
      <c r="D1054" s="17" t="s">
        <v>1838</v>
      </c>
      <c r="E1054" s="18" t="s">
        <v>1839</v>
      </c>
      <c r="F1054" s="10" t="s">
        <v>172</v>
      </c>
      <c r="G1054" s="10" t="s">
        <v>172</v>
      </c>
      <c r="H1054" s="10" t="s">
        <v>172</v>
      </c>
    </row>
    <row r="1055" s="9" customFormat="1" ht="37" customHeight="1" spans="1:8">
      <c r="A1055" s="10" t="s">
        <v>172</v>
      </c>
      <c r="B1055" s="19" t="s">
        <v>1502</v>
      </c>
      <c r="C1055" s="20" t="s">
        <v>182</v>
      </c>
      <c r="D1055" s="21">
        <v>2</v>
      </c>
      <c r="E1055" s="22">
        <v>117117.117118</v>
      </c>
      <c r="F1055" s="10" t="s">
        <v>172</v>
      </c>
      <c r="G1055" s="10" t="s">
        <v>172</v>
      </c>
      <c r="H1055" s="10" t="s">
        <v>172</v>
      </c>
    </row>
    <row r="1056" s="9" customFormat="1" ht="17" customHeight="1" spans="1:8">
      <c r="A1056" s="10" t="s">
        <v>172</v>
      </c>
      <c r="B1056" s="19" t="s">
        <v>1502</v>
      </c>
      <c r="C1056" s="16" t="s">
        <v>1841</v>
      </c>
      <c r="D1056" s="23">
        <v>2</v>
      </c>
      <c r="E1056" s="24">
        <v>117117.117118</v>
      </c>
      <c r="F1056" s="10" t="s">
        <v>172</v>
      </c>
      <c r="G1056" s="10" t="s">
        <v>172</v>
      </c>
      <c r="H1056" s="10" t="s">
        <v>172</v>
      </c>
    </row>
    <row r="1057" s="9" customFormat="1" ht="26" customHeight="1" spans="1:8">
      <c r="A1057" s="10" t="s">
        <v>172</v>
      </c>
      <c r="B1057" s="19" t="s">
        <v>1260</v>
      </c>
      <c r="C1057" s="20" t="s">
        <v>804</v>
      </c>
      <c r="D1057" s="21">
        <v>1</v>
      </c>
      <c r="E1057" s="22">
        <v>31531.531532</v>
      </c>
      <c r="F1057" s="10" t="s">
        <v>172</v>
      </c>
      <c r="G1057" s="10" t="s">
        <v>172</v>
      </c>
      <c r="H1057" s="10" t="s">
        <v>172</v>
      </c>
    </row>
    <row r="1058" s="9" customFormat="1" ht="17" customHeight="1" spans="1:8">
      <c r="A1058" s="10" t="s">
        <v>172</v>
      </c>
      <c r="B1058" s="19" t="s">
        <v>1260</v>
      </c>
      <c r="C1058" s="16" t="s">
        <v>1841</v>
      </c>
      <c r="D1058" s="23">
        <v>1</v>
      </c>
      <c r="E1058" s="24">
        <v>31531.531532</v>
      </c>
      <c r="F1058" s="10" t="s">
        <v>172</v>
      </c>
      <c r="G1058" s="10" t="s">
        <v>172</v>
      </c>
      <c r="H1058" s="10" t="s">
        <v>172</v>
      </c>
    </row>
    <row r="1059" s="9" customFormat="1" ht="37" customHeight="1" spans="1:8">
      <c r="A1059" s="10" t="s">
        <v>172</v>
      </c>
      <c r="B1059" s="19" t="s">
        <v>848</v>
      </c>
      <c r="C1059" s="20" t="s">
        <v>182</v>
      </c>
      <c r="D1059" s="21">
        <v>2</v>
      </c>
      <c r="E1059" s="22">
        <v>0</v>
      </c>
      <c r="F1059" s="10" t="s">
        <v>172</v>
      </c>
      <c r="G1059" s="10" t="s">
        <v>172</v>
      </c>
      <c r="H1059" s="10" t="s">
        <v>172</v>
      </c>
    </row>
    <row r="1060" s="9" customFormat="1" ht="17" customHeight="1" spans="1:8">
      <c r="A1060" s="10" t="s">
        <v>172</v>
      </c>
      <c r="B1060" s="19" t="s">
        <v>848</v>
      </c>
      <c r="C1060" s="16" t="s">
        <v>1841</v>
      </c>
      <c r="D1060" s="23">
        <v>2</v>
      </c>
      <c r="E1060" s="24">
        <v>0</v>
      </c>
      <c r="F1060" s="10" t="s">
        <v>172</v>
      </c>
      <c r="G1060" s="10" t="s">
        <v>172</v>
      </c>
      <c r="H1060" s="10" t="s">
        <v>172</v>
      </c>
    </row>
    <row r="1061" s="9" customFormat="1" ht="37" customHeight="1" spans="1:8">
      <c r="A1061" s="10" t="s">
        <v>172</v>
      </c>
      <c r="B1061" s="19" t="s">
        <v>1263</v>
      </c>
      <c r="C1061" s="20" t="s">
        <v>182</v>
      </c>
      <c r="D1061" s="21">
        <v>1</v>
      </c>
      <c r="E1061" s="22">
        <v>0</v>
      </c>
      <c r="F1061" s="10" t="s">
        <v>172</v>
      </c>
      <c r="G1061" s="10" t="s">
        <v>172</v>
      </c>
      <c r="H1061" s="10" t="s">
        <v>172</v>
      </c>
    </row>
    <row r="1062" s="9" customFormat="1" ht="26" customHeight="1" spans="1:8">
      <c r="A1062" s="10" t="s">
        <v>172</v>
      </c>
      <c r="B1062" s="19" t="s">
        <v>1263</v>
      </c>
      <c r="C1062" s="20" t="s">
        <v>804</v>
      </c>
      <c r="D1062" s="21">
        <v>1</v>
      </c>
      <c r="E1062" s="22">
        <v>50450.45045</v>
      </c>
      <c r="F1062" s="10" t="s">
        <v>172</v>
      </c>
      <c r="G1062" s="10" t="s">
        <v>172</v>
      </c>
      <c r="H1062" s="10" t="s">
        <v>172</v>
      </c>
    </row>
    <row r="1063" s="9" customFormat="1" ht="17" customHeight="1" spans="1:8">
      <c r="A1063" s="10" t="s">
        <v>172</v>
      </c>
      <c r="B1063" s="19" t="s">
        <v>1263</v>
      </c>
      <c r="C1063" s="16" t="s">
        <v>1841</v>
      </c>
      <c r="D1063" s="23">
        <v>2</v>
      </c>
      <c r="E1063" s="24">
        <v>50450.45045</v>
      </c>
      <c r="F1063" s="10" t="s">
        <v>172</v>
      </c>
      <c r="G1063" s="10" t="s">
        <v>172</v>
      </c>
      <c r="H1063" s="10" t="s">
        <v>172</v>
      </c>
    </row>
    <row r="1064" s="9" customFormat="1" ht="26" customHeight="1" spans="1:8">
      <c r="A1064" s="10" t="s">
        <v>172</v>
      </c>
      <c r="B1064" s="19" t="s">
        <v>854</v>
      </c>
      <c r="C1064" s="20" t="s">
        <v>804</v>
      </c>
      <c r="D1064" s="21">
        <v>1</v>
      </c>
      <c r="E1064" s="22">
        <v>51351.351351</v>
      </c>
      <c r="F1064" s="10" t="s">
        <v>172</v>
      </c>
      <c r="G1064" s="10" t="s">
        <v>172</v>
      </c>
      <c r="H1064" s="10" t="s">
        <v>172</v>
      </c>
    </row>
    <row r="1065" s="9" customFormat="1" ht="17" customHeight="1" spans="1:8">
      <c r="A1065" s="10" t="s">
        <v>172</v>
      </c>
      <c r="B1065" s="19" t="s">
        <v>854</v>
      </c>
      <c r="C1065" s="16" t="s">
        <v>1841</v>
      </c>
      <c r="D1065" s="23">
        <v>1</v>
      </c>
      <c r="E1065" s="24">
        <v>51351.351351</v>
      </c>
      <c r="F1065" s="10" t="s">
        <v>172</v>
      </c>
      <c r="G1065" s="10" t="s">
        <v>172</v>
      </c>
      <c r="H1065" s="10" t="s">
        <v>172</v>
      </c>
    </row>
    <row r="1066" s="9" customFormat="1" ht="26" customHeight="1" spans="1:8">
      <c r="A1066" s="10" t="s">
        <v>172</v>
      </c>
      <c r="B1066" s="19" t="s">
        <v>1506</v>
      </c>
      <c r="C1066" s="20" t="s">
        <v>804</v>
      </c>
      <c r="D1066" s="21">
        <v>4</v>
      </c>
      <c r="E1066" s="22">
        <v>2070269.810811</v>
      </c>
      <c r="F1066" s="10" t="s">
        <v>172</v>
      </c>
      <c r="G1066" s="10" t="s">
        <v>172</v>
      </c>
      <c r="H1066" s="10" t="s">
        <v>172</v>
      </c>
    </row>
    <row r="1067" s="9" customFormat="1" ht="17" customHeight="1" spans="1:8">
      <c r="A1067" s="10" t="s">
        <v>172</v>
      </c>
      <c r="B1067" s="19" t="s">
        <v>1506</v>
      </c>
      <c r="C1067" s="16" t="s">
        <v>1841</v>
      </c>
      <c r="D1067" s="23">
        <v>4</v>
      </c>
      <c r="E1067" s="24">
        <v>2070269.810811</v>
      </c>
      <c r="F1067" s="10" t="s">
        <v>172</v>
      </c>
      <c r="G1067" s="10" t="s">
        <v>172</v>
      </c>
      <c r="H1067" s="10" t="s">
        <v>172</v>
      </c>
    </row>
    <row r="1068" s="9" customFormat="1" ht="37" customHeight="1" spans="1:8">
      <c r="A1068" s="10" t="s">
        <v>172</v>
      </c>
      <c r="B1068" s="19" t="s">
        <v>1895</v>
      </c>
      <c r="C1068" s="20" t="s">
        <v>182</v>
      </c>
      <c r="D1068" s="21">
        <v>2</v>
      </c>
      <c r="E1068" s="22">
        <v>1419729.72973</v>
      </c>
      <c r="F1068" s="10" t="s">
        <v>172</v>
      </c>
      <c r="G1068" s="10" t="s">
        <v>172</v>
      </c>
      <c r="H1068" s="10" t="s">
        <v>172</v>
      </c>
    </row>
    <row r="1069" s="9" customFormat="1" ht="17" customHeight="1" spans="1:8">
      <c r="A1069" s="10" t="s">
        <v>172</v>
      </c>
      <c r="B1069" s="19" t="s">
        <v>1895</v>
      </c>
      <c r="C1069" s="16" t="s">
        <v>1841</v>
      </c>
      <c r="D1069" s="23">
        <v>2</v>
      </c>
      <c r="E1069" s="24">
        <v>1419729.72973</v>
      </c>
      <c r="F1069" s="10" t="s">
        <v>172</v>
      </c>
      <c r="G1069" s="10" t="s">
        <v>172</v>
      </c>
      <c r="H1069" s="10" t="s">
        <v>172</v>
      </c>
    </row>
    <row r="1070" s="9" customFormat="1" ht="1" customHeight="1" spans="1:8">
      <c r="A1070" s="10" t="s">
        <v>172</v>
      </c>
      <c r="B1070" s="25"/>
      <c r="C1070" s="25"/>
      <c r="D1070" s="25"/>
      <c r="E1070" s="25"/>
      <c r="F1070" s="25"/>
      <c r="G1070" s="25"/>
      <c r="H1070" s="10" t="s">
        <v>172</v>
      </c>
    </row>
    <row r="1071" s="9" customFormat="1" ht="13" customHeight="1" spans="1:8">
      <c r="A1071" s="10" t="s">
        <v>172</v>
      </c>
      <c r="B1071" s="26"/>
      <c r="C1071" s="26"/>
      <c r="D1071" s="26"/>
      <c r="E1071" s="26"/>
      <c r="F1071" s="26"/>
      <c r="G1071" s="26"/>
      <c r="H1071" s="10" t="s">
        <v>172</v>
      </c>
    </row>
    <row r="1072" s="9" customFormat="1" ht="13" customHeight="1" spans="1:8">
      <c r="A1072" s="10" t="s">
        <v>172</v>
      </c>
      <c r="B1072" s="26"/>
      <c r="C1072" s="26"/>
      <c r="D1072" s="26"/>
      <c r="E1072" s="26"/>
      <c r="F1072" s="26"/>
      <c r="G1072" s="26"/>
      <c r="H1072" s="10" t="s">
        <v>172</v>
      </c>
    </row>
    <row r="1073" s="9" customFormat="1" ht="13" customHeight="1" spans="1:8">
      <c r="A1073" s="10" t="s">
        <v>172</v>
      </c>
      <c r="B1073" s="26"/>
      <c r="C1073" s="26"/>
      <c r="D1073" s="26"/>
      <c r="E1073" s="26"/>
      <c r="F1073" s="26"/>
      <c r="G1073" s="26"/>
      <c r="H1073" s="10" t="s">
        <v>172</v>
      </c>
    </row>
    <row r="1074" s="9" customFormat="1" ht="13" customHeight="1" spans="1:8">
      <c r="A1074" s="10" t="s">
        <v>172</v>
      </c>
      <c r="B1074" s="26"/>
      <c r="C1074" s="26"/>
      <c r="D1074" s="26"/>
      <c r="E1074" s="26"/>
      <c r="F1074" s="26"/>
      <c r="G1074" s="27" t="s">
        <v>1847</v>
      </c>
      <c r="H1074" s="10" t="s">
        <v>172</v>
      </c>
    </row>
    <row r="1075" s="9" customFormat="1" ht="17" customHeight="1" spans="1:8">
      <c r="A1075" s="10" t="s">
        <v>172</v>
      </c>
      <c r="B1075" s="11"/>
      <c r="C1075" s="11"/>
      <c r="D1075" s="11"/>
      <c r="E1075" s="11"/>
      <c r="F1075" s="11"/>
      <c r="G1075" s="11"/>
      <c r="H1075" s="10" t="s">
        <v>172</v>
      </c>
    </row>
    <row r="1076" s="9" customFormat="1" ht="23" customHeight="1" spans="1:8">
      <c r="A1076" s="10" t="s">
        <v>172</v>
      </c>
      <c r="B1076" s="12"/>
      <c r="C1076" s="12"/>
      <c r="D1076" s="12"/>
      <c r="E1076" s="12"/>
      <c r="F1076" s="12"/>
      <c r="G1076" s="12"/>
      <c r="H1076" s="10" t="s">
        <v>172</v>
      </c>
    </row>
    <row r="1077" s="9" customFormat="1" ht="16" customHeight="1" spans="1:8">
      <c r="A1077" s="10" t="s">
        <v>172</v>
      </c>
      <c r="B1077" s="13"/>
      <c r="C1077" s="13"/>
      <c r="D1077" s="13"/>
      <c r="E1077" s="13"/>
      <c r="F1077" s="13"/>
      <c r="G1077" s="13"/>
      <c r="H1077" s="10" t="s">
        <v>172</v>
      </c>
    </row>
    <row r="1078" s="9" customFormat="1" ht="12" customHeight="1" spans="1:8">
      <c r="A1078" s="10" t="s">
        <v>172</v>
      </c>
      <c r="B1078" s="14"/>
      <c r="C1078" s="14"/>
      <c r="D1078" s="14"/>
      <c r="E1078" s="14"/>
      <c r="F1078" s="14"/>
      <c r="G1078" s="14"/>
      <c r="H1078" s="10" t="s">
        <v>172</v>
      </c>
    </row>
    <row r="1079" s="9" customFormat="1" ht="17" customHeight="1" spans="1:8">
      <c r="A1079" s="10" t="s">
        <v>172</v>
      </c>
      <c r="B1079" s="15" t="s">
        <v>1836</v>
      </c>
      <c r="C1079" s="16" t="s">
        <v>1837</v>
      </c>
      <c r="D1079" s="17" t="s">
        <v>1838</v>
      </c>
      <c r="E1079" s="18" t="s">
        <v>1839</v>
      </c>
      <c r="F1079" s="10" t="s">
        <v>172</v>
      </c>
      <c r="G1079" s="10" t="s">
        <v>172</v>
      </c>
      <c r="H1079" s="10" t="s">
        <v>172</v>
      </c>
    </row>
    <row r="1080" s="9" customFormat="1" ht="37" customHeight="1" spans="1:8">
      <c r="A1080" s="10" t="s">
        <v>172</v>
      </c>
      <c r="B1080" s="19" t="s">
        <v>1266</v>
      </c>
      <c r="C1080" s="20" t="s">
        <v>182</v>
      </c>
      <c r="D1080" s="21">
        <v>4</v>
      </c>
      <c r="E1080" s="22">
        <v>2424324.279279</v>
      </c>
      <c r="F1080" s="10" t="s">
        <v>172</v>
      </c>
      <c r="G1080" s="10" t="s">
        <v>172</v>
      </c>
      <c r="H1080" s="10" t="s">
        <v>172</v>
      </c>
    </row>
    <row r="1081" s="9" customFormat="1" ht="17" customHeight="1" spans="1:8">
      <c r="A1081" s="10" t="s">
        <v>172</v>
      </c>
      <c r="B1081" s="19" t="s">
        <v>1266</v>
      </c>
      <c r="C1081" s="16" t="s">
        <v>1841</v>
      </c>
      <c r="D1081" s="23">
        <v>4</v>
      </c>
      <c r="E1081" s="24">
        <v>2424324.279279</v>
      </c>
      <c r="F1081" s="10" t="s">
        <v>172</v>
      </c>
      <c r="G1081" s="10" t="s">
        <v>172</v>
      </c>
      <c r="H1081" s="10" t="s">
        <v>172</v>
      </c>
    </row>
    <row r="1082" s="9" customFormat="1" ht="26" customHeight="1" spans="1:8">
      <c r="A1082" s="10" t="s">
        <v>172</v>
      </c>
      <c r="B1082" s="19" t="s">
        <v>1896</v>
      </c>
      <c r="C1082" s="20" t="s">
        <v>804</v>
      </c>
      <c r="D1082" s="21">
        <v>1</v>
      </c>
      <c r="E1082" s="22">
        <v>946847.117117</v>
      </c>
      <c r="F1082" s="10" t="s">
        <v>172</v>
      </c>
      <c r="G1082" s="10" t="s">
        <v>172</v>
      </c>
      <c r="H1082" s="10" t="s">
        <v>172</v>
      </c>
    </row>
    <row r="1083" s="9" customFormat="1" ht="17" customHeight="1" spans="1:8">
      <c r="A1083" s="10" t="s">
        <v>172</v>
      </c>
      <c r="B1083" s="19" t="s">
        <v>1896</v>
      </c>
      <c r="C1083" s="16" t="s">
        <v>1841</v>
      </c>
      <c r="D1083" s="23">
        <v>1</v>
      </c>
      <c r="E1083" s="24">
        <v>946847.117117</v>
      </c>
      <c r="F1083" s="10" t="s">
        <v>172</v>
      </c>
      <c r="G1083" s="10" t="s">
        <v>172</v>
      </c>
      <c r="H1083" s="10" t="s">
        <v>172</v>
      </c>
    </row>
    <row r="1084" s="9" customFormat="1" ht="26" customHeight="1" spans="1:8">
      <c r="A1084" s="10" t="s">
        <v>172</v>
      </c>
      <c r="B1084" s="19" t="s">
        <v>1897</v>
      </c>
      <c r="C1084" s="20" t="s">
        <v>804</v>
      </c>
      <c r="D1084" s="21">
        <v>2</v>
      </c>
      <c r="E1084" s="22">
        <v>1597387.387387</v>
      </c>
      <c r="F1084" s="10" t="s">
        <v>172</v>
      </c>
      <c r="G1084" s="10" t="s">
        <v>172</v>
      </c>
      <c r="H1084" s="10" t="s">
        <v>172</v>
      </c>
    </row>
    <row r="1085" s="9" customFormat="1" ht="17" customHeight="1" spans="1:8">
      <c r="A1085" s="10" t="s">
        <v>172</v>
      </c>
      <c r="B1085" s="19" t="s">
        <v>1897</v>
      </c>
      <c r="C1085" s="16" t="s">
        <v>1841</v>
      </c>
      <c r="D1085" s="23">
        <v>2</v>
      </c>
      <c r="E1085" s="24">
        <v>1597387.387387</v>
      </c>
      <c r="F1085" s="10" t="s">
        <v>172</v>
      </c>
      <c r="G1085" s="10" t="s">
        <v>172</v>
      </c>
      <c r="H1085" s="10" t="s">
        <v>172</v>
      </c>
    </row>
    <row r="1086" s="9" customFormat="1" ht="37" customHeight="1" spans="1:8">
      <c r="A1086" s="10" t="s">
        <v>172</v>
      </c>
      <c r="B1086" s="19" t="s">
        <v>1898</v>
      </c>
      <c r="C1086" s="20" t="s">
        <v>182</v>
      </c>
      <c r="D1086" s="21">
        <v>4</v>
      </c>
      <c r="E1086" s="22">
        <v>3152252</v>
      </c>
      <c r="F1086" s="10" t="s">
        <v>172</v>
      </c>
      <c r="G1086" s="10" t="s">
        <v>172</v>
      </c>
      <c r="H1086" s="10" t="s">
        <v>172</v>
      </c>
    </row>
    <row r="1087" s="9" customFormat="1" ht="17" customHeight="1" spans="1:8">
      <c r="A1087" s="10" t="s">
        <v>172</v>
      </c>
      <c r="B1087" s="19" t="s">
        <v>1898</v>
      </c>
      <c r="C1087" s="16" t="s">
        <v>1841</v>
      </c>
      <c r="D1087" s="23">
        <v>4</v>
      </c>
      <c r="E1087" s="24">
        <v>3152252</v>
      </c>
      <c r="F1087" s="10" t="s">
        <v>172</v>
      </c>
      <c r="G1087" s="10" t="s">
        <v>172</v>
      </c>
      <c r="H1087" s="10" t="s">
        <v>172</v>
      </c>
    </row>
    <row r="1088" s="9" customFormat="1" ht="37" customHeight="1" spans="1:8">
      <c r="A1088" s="10" t="s">
        <v>172</v>
      </c>
      <c r="B1088" s="19" t="s">
        <v>1509</v>
      </c>
      <c r="C1088" s="20" t="s">
        <v>182</v>
      </c>
      <c r="D1088" s="21">
        <v>4</v>
      </c>
      <c r="E1088" s="22">
        <v>3072973</v>
      </c>
      <c r="F1088" s="10" t="s">
        <v>172</v>
      </c>
      <c r="G1088" s="10" t="s">
        <v>172</v>
      </c>
      <c r="H1088" s="10" t="s">
        <v>172</v>
      </c>
    </row>
    <row r="1089" s="9" customFormat="1" ht="17" customHeight="1" spans="1:8">
      <c r="A1089" s="10" t="s">
        <v>172</v>
      </c>
      <c r="B1089" s="19" t="s">
        <v>1509</v>
      </c>
      <c r="C1089" s="16" t="s">
        <v>1841</v>
      </c>
      <c r="D1089" s="23">
        <v>4</v>
      </c>
      <c r="E1089" s="24">
        <v>3072973</v>
      </c>
      <c r="F1089" s="10" t="s">
        <v>172</v>
      </c>
      <c r="G1089" s="10" t="s">
        <v>172</v>
      </c>
      <c r="H1089" s="10" t="s">
        <v>172</v>
      </c>
    </row>
    <row r="1090" s="9" customFormat="1" ht="37" customHeight="1" spans="1:8">
      <c r="A1090" s="10" t="s">
        <v>172</v>
      </c>
      <c r="B1090" s="19" t="s">
        <v>1899</v>
      </c>
      <c r="C1090" s="20" t="s">
        <v>182</v>
      </c>
      <c r="D1090" s="21">
        <v>1</v>
      </c>
      <c r="E1090" s="22">
        <v>150000</v>
      </c>
      <c r="F1090" s="10" t="s">
        <v>172</v>
      </c>
      <c r="G1090" s="10" t="s">
        <v>172</v>
      </c>
      <c r="H1090" s="10" t="s">
        <v>172</v>
      </c>
    </row>
    <row r="1091" s="9" customFormat="1" ht="17" customHeight="1" spans="1:8">
      <c r="A1091" s="10" t="s">
        <v>172</v>
      </c>
      <c r="B1091" s="19" t="s">
        <v>1899</v>
      </c>
      <c r="C1091" s="16" t="s">
        <v>1841</v>
      </c>
      <c r="D1091" s="23">
        <v>1</v>
      </c>
      <c r="E1091" s="24">
        <v>150000</v>
      </c>
      <c r="F1091" s="10" t="s">
        <v>172</v>
      </c>
      <c r="G1091" s="10" t="s">
        <v>172</v>
      </c>
      <c r="H1091" s="10" t="s">
        <v>172</v>
      </c>
    </row>
    <row r="1092" s="9" customFormat="1" ht="37" customHeight="1" spans="1:8">
      <c r="A1092" s="10" t="s">
        <v>172</v>
      </c>
      <c r="B1092" s="19" t="s">
        <v>1900</v>
      </c>
      <c r="C1092" s="20" t="s">
        <v>182</v>
      </c>
      <c r="D1092" s="21">
        <v>1</v>
      </c>
      <c r="E1092" s="22">
        <v>185000</v>
      </c>
      <c r="F1092" s="10" t="s">
        <v>172</v>
      </c>
      <c r="G1092" s="10" t="s">
        <v>172</v>
      </c>
      <c r="H1092" s="10" t="s">
        <v>172</v>
      </c>
    </row>
    <row r="1093" s="9" customFormat="1" ht="17" customHeight="1" spans="1:8">
      <c r="A1093" s="10" t="s">
        <v>172</v>
      </c>
      <c r="B1093" s="19" t="s">
        <v>1900</v>
      </c>
      <c r="C1093" s="16" t="s">
        <v>1841</v>
      </c>
      <c r="D1093" s="23">
        <v>1</v>
      </c>
      <c r="E1093" s="24">
        <v>185000</v>
      </c>
      <c r="F1093" s="10" t="s">
        <v>172</v>
      </c>
      <c r="G1093" s="10" t="s">
        <v>172</v>
      </c>
      <c r="H1093" s="10" t="s">
        <v>172</v>
      </c>
    </row>
    <row r="1094" s="9" customFormat="1" ht="1" customHeight="1" spans="1:8">
      <c r="A1094" s="10" t="s">
        <v>172</v>
      </c>
      <c r="B1094" s="25"/>
      <c r="C1094" s="25"/>
      <c r="D1094" s="25"/>
      <c r="E1094" s="25"/>
      <c r="F1094" s="25"/>
      <c r="G1094" s="25"/>
      <c r="H1094" s="10" t="s">
        <v>172</v>
      </c>
    </row>
    <row r="1095" s="9" customFormat="1" ht="13" customHeight="1" spans="1:8">
      <c r="A1095" s="10" t="s">
        <v>172</v>
      </c>
      <c r="B1095" s="26"/>
      <c r="C1095" s="26"/>
      <c r="D1095" s="26"/>
      <c r="E1095" s="26"/>
      <c r="F1095" s="26"/>
      <c r="G1095" s="26"/>
      <c r="H1095" s="10" t="s">
        <v>172</v>
      </c>
    </row>
    <row r="1096" s="9" customFormat="1" ht="13" customHeight="1" spans="1:8">
      <c r="A1096" s="10" t="s">
        <v>172</v>
      </c>
      <c r="B1096" s="26"/>
      <c r="C1096" s="26"/>
      <c r="D1096" s="26"/>
      <c r="E1096" s="26"/>
      <c r="F1096" s="26"/>
      <c r="G1096" s="26"/>
      <c r="H1096" s="10" t="s">
        <v>172</v>
      </c>
    </row>
    <row r="1097" s="9" customFormat="1" ht="13" customHeight="1" spans="1:8">
      <c r="A1097" s="10" t="s">
        <v>172</v>
      </c>
      <c r="B1097" s="26"/>
      <c r="C1097" s="26"/>
      <c r="D1097" s="26"/>
      <c r="E1097" s="26"/>
      <c r="F1097" s="26"/>
      <c r="G1097" s="26"/>
      <c r="H1097" s="10" t="s">
        <v>172</v>
      </c>
    </row>
    <row r="1098" s="9" customFormat="1" ht="13" customHeight="1" spans="1:8">
      <c r="A1098" s="10" t="s">
        <v>172</v>
      </c>
      <c r="B1098" s="26"/>
      <c r="C1098" s="26"/>
      <c r="D1098" s="26"/>
      <c r="E1098" s="26"/>
      <c r="F1098" s="26"/>
      <c r="G1098" s="27" t="s">
        <v>1847</v>
      </c>
      <c r="H1098" s="10" t="s">
        <v>172</v>
      </c>
    </row>
    <row r="1099" s="9" customFormat="1" ht="17" customHeight="1" spans="1:8">
      <c r="A1099" s="10" t="s">
        <v>172</v>
      </c>
      <c r="B1099" s="11"/>
      <c r="C1099" s="11"/>
      <c r="D1099" s="11"/>
      <c r="E1099" s="11"/>
      <c r="F1099" s="11"/>
      <c r="G1099" s="11"/>
      <c r="H1099" s="10" t="s">
        <v>172</v>
      </c>
    </row>
    <row r="1100" s="9" customFormat="1" ht="23" customHeight="1" spans="1:8">
      <c r="A1100" s="10" t="s">
        <v>172</v>
      </c>
      <c r="B1100" s="12"/>
      <c r="C1100" s="12"/>
      <c r="D1100" s="12"/>
      <c r="E1100" s="12"/>
      <c r="F1100" s="12"/>
      <c r="G1100" s="12"/>
      <c r="H1100" s="10" t="s">
        <v>172</v>
      </c>
    </row>
    <row r="1101" s="9" customFormat="1" ht="16" customHeight="1" spans="1:8">
      <c r="A1101" s="10" t="s">
        <v>172</v>
      </c>
      <c r="B1101" s="13"/>
      <c r="C1101" s="13"/>
      <c r="D1101" s="13"/>
      <c r="E1101" s="13"/>
      <c r="F1101" s="13"/>
      <c r="G1101" s="13"/>
      <c r="H1101" s="10" t="s">
        <v>172</v>
      </c>
    </row>
    <row r="1102" s="9" customFormat="1" ht="12" customHeight="1" spans="1:8">
      <c r="A1102" s="10" t="s">
        <v>172</v>
      </c>
      <c r="B1102" s="14"/>
      <c r="C1102" s="14"/>
      <c r="D1102" s="14"/>
      <c r="E1102" s="14"/>
      <c r="F1102" s="14"/>
      <c r="G1102" s="14"/>
      <c r="H1102" s="10" t="s">
        <v>172</v>
      </c>
    </row>
    <row r="1103" s="9" customFormat="1" ht="17" customHeight="1" spans="1:8">
      <c r="A1103" s="10" t="s">
        <v>172</v>
      </c>
      <c r="B1103" s="15" t="s">
        <v>1836</v>
      </c>
      <c r="C1103" s="16" t="s">
        <v>1837</v>
      </c>
      <c r="D1103" s="17" t="s">
        <v>1838</v>
      </c>
      <c r="E1103" s="18" t="s">
        <v>1839</v>
      </c>
      <c r="F1103" s="10" t="s">
        <v>172</v>
      </c>
      <c r="G1103" s="10" t="s">
        <v>172</v>
      </c>
      <c r="H1103" s="10" t="s">
        <v>172</v>
      </c>
    </row>
    <row r="1104" s="9" customFormat="1" ht="37" customHeight="1" spans="1:8">
      <c r="A1104" s="10" t="s">
        <v>172</v>
      </c>
      <c r="B1104" s="19" t="s">
        <v>1901</v>
      </c>
      <c r="C1104" s="20" t="s">
        <v>182</v>
      </c>
      <c r="D1104" s="21">
        <v>1</v>
      </c>
      <c r="E1104" s="22">
        <v>900000</v>
      </c>
      <c r="F1104" s="10" t="s">
        <v>172</v>
      </c>
      <c r="G1104" s="10" t="s">
        <v>172</v>
      </c>
      <c r="H1104" s="10" t="s">
        <v>172</v>
      </c>
    </row>
    <row r="1105" s="9" customFormat="1" ht="17" customHeight="1" spans="1:8">
      <c r="A1105" s="10" t="s">
        <v>172</v>
      </c>
      <c r="B1105" s="19" t="s">
        <v>1901</v>
      </c>
      <c r="C1105" s="16" t="s">
        <v>1841</v>
      </c>
      <c r="D1105" s="23">
        <v>1</v>
      </c>
      <c r="E1105" s="24">
        <v>900000</v>
      </c>
      <c r="F1105" s="10" t="s">
        <v>172</v>
      </c>
      <c r="G1105" s="10" t="s">
        <v>172</v>
      </c>
      <c r="H1105" s="10" t="s">
        <v>172</v>
      </c>
    </row>
    <row r="1106" s="9" customFormat="1" ht="37" customHeight="1" spans="1:8">
      <c r="A1106" s="10" t="s">
        <v>172</v>
      </c>
      <c r="B1106" s="19" t="s">
        <v>1902</v>
      </c>
      <c r="C1106" s="20" t="s">
        <v>182</v>
      </c>
      <c r="D1106" s="21">
        <v>2</v>
      </c>
      <c r="E1106" s="22">
        <v>350000</v>
      </c>
      <c r="F1106" s="10" t="s">
        <v>172</v>
      </c>
      <c r="G1106" s="10" t="s">
        <v>172</v>
      </c>
      <c r="H1106" s="10" t="s">
        <v>172</v>
      </c>
    </row>
    <row r="1107" s="9" customFormat="1" ht="17" customHeight="1" spans="1:8">
      <c r="A1107" s="10" t="s">
        <v>172</v>
      </c>
      <c r="B1107" s="19" t="s">
        <v>1902</v>
      </c>
      <c r="C1107" s="16" t="s">
        <v>1841</v>
      </c>
      <c r="D1107" s="23">
        <v>2</v>
      </c>
      <c r="E1107" s="24">
        <v>350000</v>
      </c>
      <c r="F1107" s="10" t="s">
        <v>172</v>
      </c>
      <c r="G1107" s="10" t="s">
        <v>172</v>
      </c>
      <c r="H1107" s="10" t="s">
        <v>172</v>
      </c>
    </row>
    <row r="1108" s="9" customFormat="1" ht="37" customHeight="1" spans="1:8">
      <c r="A1108" s="10" t="s">
        <v>172</v>
      </c>
      <c r="B1108" s="19" t="s">
        <v>1903</v>
      </c>
      <c r="C1108" s="20" t="s">
        <v>182</v>
      </c>
      <c r="D1108" s="21">
        <v>2</v>
      </c>
      <c r="E1108" s="22">
        <v>2500000</v>
      </c>
      <c r="F1108" s="10" t="s">
        <v>172</v>
      </c>
      <c r="G1108" s="10" t="s">
        <v>172</v>
      </c>
      <c r="H1108" s="10" t="s">
        <v>172</v>
      </c>
    </row>
    <row r="1109" s="9" customFormat="1" ht="17" customHeight="1" spans="1:8">
      <c r="A1109" s="10" t="s">
        <v>172</v>
      </c>
      <c r="B1109" s="19" t="s">
        <v>1903</v>
      </c>
      <c r="C1109" s="16" t="s">
        <v>1841</v>
      </c>
      <c r="D1109" s="23">
        <v>2</v>
      </c>
      <c r="E1109" s="24">
        <v>2500000</v>
      </c>
      <c r="F1109" s="10" t="s">
        <v>172</v>
      </c>
      <c r="G1109" s="10" t="s">
        <v>172</v>
      </c>
      <c r="H1109" s="10" t="s">
        <v>172</v>
      </c>
    </row>
    <row r="1110" s="9" customFormat="1" ht="37" customHeight="1" spans="1:8">
      <c r="A1110" s="10" t="s">
        <v>172</v>
      </c>
      <c r="B1110" s="19" t="s">
        <v>1904</v>
      </c>
      <c r="C1110" s="20" t="s">
        <v>182</v>
      </c>
      <c r="D1110" s="21">
        <v>2</v>
      </c>
      <c r="E1110" s="22">
        <v>448000</v>
      </c>
      <c r="F1110" s="10" t="s">
        <v>172</v>
      </c>
      <c r="G1110" s="10" t="s">
        <v>172</v>
      </c>
      <c r="H1110" s="10" t="s">
        <v>172</v>
      </c>
    </row>
    <row r="1111" s="9" customFormat="1" ht="17" customHeight="1" spans="1:8">
      <c r="A1111" s="10" t="s">
        <v>172</v>
      </c>
      <c r="B1111" s="19" t="s">
        <v>1904</v>
      </c>
      <c r="C1111" s="16" t="s">
        <v>1841</v>
      </c>
      <c r="D1111" s="23">
        <v>2</v>
      </c>
      <c r="E1111" s="24">
        <v>448000</v>
      </c>
      <c r="F1111" s="10" t="s">
        <v>172</v>
      </c>
      <c r="G1111" s="10" t="s">
        <v>172</v>
      </c>
      <c r="H1111" s="10" t="s">
        <v>172</v>
      </c>
    </row>
    <row r="1112" s="9" customFormat="1" ht="37" customHeight="1" spans="1:8">
      <c r="A1112" s="10" t="s">
        <v>172</v>
      </c>
      <c r="B1112" s="19" t="s">
        <v>1905</v>
      </c>
      <c r="C1112" s="20" t="s">
        <v>182</v>
      </c>
      <c r="D1112" s="21">
        <v>2</v>
      </c>
      <c r="E1112" s="22">
        <v>700000</v>
      </c>
      <c r="F1112" s="10" t="s">
        <v>172</v>
      </c>
      <c r="G1112" s="10" t="s">
        <v>172</v>
      </c>
      <c r="H1112" s="10" t="s">
        <v>172</v>
      </c>
    </row>
    <row r="1113" s="9" customFormat="1" ht="17" customHeight="1" spans="1:8">
      <c r="A1113" s="10" t="s">
        <v>172</v>
      </c>
      <c r="B1113" s="19" t="s">
        <v>1905</v>
      </c>
      <c r="C1113" s="16" t="s">
        <v>1841</v>
      </c>
      <c r="D1113" s="23">
        <v>2</v>
      </c>
      <c r="E1113" s="24">
        <v>700000</v>
      </c>
      <c r="F1113" s="10" t="s">
        <v>172</v>
      </c>
      <c r="G1113" s="10" t="s">
        <v>172</v>
      </c>
      <c r="H1113" s="10" t="s">
        <v>172</v>
      </c>
    </row>
    <row r="1114" s="9" customFormat="1" ht="37" customHeight="1" spans="1:8">
      <c r="A1114" s="10" t="s">
        <v>172</v>
      </c>
      <c r="B1114" s="19" t="s">
        <v>1906</v>
      </c>
      <c r="C1114" s="20" t="s">
        <v>182</v>
      </c>
      <c r="D1114" s="21">
        <v>1</v>
      </c>
      <c r="E1114" s="22">
        <v>1330000</v>
      </c>
      <c r="F1114" s="10" t="s">
        <v>172</v>
      </c>
      <c r="G1114" s="10" t="s">
        <v>172</v>
      </c>
      <c r="H1114" s="10" t="s">
        <v>172</v>
      </c>
    </row>
    <row r="1115" s="9" customFormat="1" ht="17" customHeight="1" spans="1:8">
      <c r="A1115" s="10" t="s">
        <v>172</v>
      </c>
      <c r="B1115" s="19" t="s">
        <v>1906</v>
      </c>
      <c r="C1115" s="16" t="s">
        <v>1841</v>
      </c>
      <c r="D1115" s="23">
        <v>1</v>
      </c>
      <c r="E1115" s="24">
        <v>1330000</v>
      </c>
      <c r="F1115" s="10" t="s">
        <v>172</v>
      </c>
      <c r="G1115" s="10" t="s">
        <v>172</v>
      </c>
      <c r="H1115" s="10" t="s">
        <v>172</v>
      </c>
    </row>
    <row r="1116" s="9" customFormat="1" ht="1" customHeight="1" spans="1:8">
      <c r="A1116" s="10" t="s">
        <v>172</v>
      </c>
      <c r="B1116" s="25"/>
      <c r="C1116" s="25"/>
      <c r="D1116" s="25"/>
      <c r="E1116" s="25"/>
      <c r="F1116" s="25"/>
      <c r="G1116" s="25"/>
      <c r="H1116" s="10" t="s">
        <v>172</v>
      </c>
    </row>
    <row r="1117" s="9" customFormat="1" ht="13" customHeight="1" spans="1:8">
      <c r="A1117" s="10" t="s">
        <v>172</v>
      </c>
      <c r="B1117" s="26"/>
      <c r="C1117" s="26"/>
      <c r="D1117" s="26"/>
      <c r="E1117" s="26"/>
      <c r="F1117" s="26"/>
      <c r="G1117" s="26"/>
      <c r="H1117" s="10" t="s">
        <v>172</v>
      </c>
    </row>
    <row r="1118" s="9" customFormat="1" ht="13" customHeight="1" spans="1:8">
      <c r="A1118" s="10" t="s">
        <v>172</v>
      </c>
      <c r="B1118" s="26"/>
      <c r="C1118" s="26"/>
      <c r="D1118" s="26"/>
      <c r="E1118" s="26"/>
      <c r="F1118" s="26"/>
      <c r="G1118" s="26"/>
      <c r="H1118" s="10" t="s">
        <v>172</v>
      </c>
    </row>
    <row r="1119" s="9" customFormat="1" ht="13" customHeight="1" spans="1:8">
      <c r="A1119" s="10" t="s">
        <v>172</v>
      </c>
      <c r="B1119" s="26"/>
      <c r="C1119" s="26"/>
      <c r="D1119" s="26"/>
      <c r="E1119" s="26"/>
      <c r="F1119" s="26"/>
      <c r="G1119" s="26"/>
      <c r="H1119" s="10" t="s">
        <v>172</v>
      </c>
    </row>
    <row r="1120" s="9" customFormat="1" ht="13" customHeight="1" spans="1:8">
      <c r="A1120" s="10" t="s">
        <v>172</v>
      </c>
      <c r="B1120" s="26"/>
      <c r="C1120" s="26"/>
      <c r="D1120" s="26"/>
      <c r="E1120" s="26"/>
      <c r="F1120" s="26"/>
      <c r="G1120" s="27" t="s">
        <v>1847</v>
      </c>
      <c r="H1120" s="10" t="s">
        <v>172</v>
      </c>
    </row>
    <row r="1121" s="9" customFormat="1" ht="17" customHeight="1" spans="1:8">
      <c r="A1121" s="10" t="s">
        <v>172</v>
      </c>
      <c r="B1121" s="11"/>
      <c r="C1121" s="11"/>
      <c r="D1121" s="11"/>
      <c r="E1121" s="11"/>
      <c r="F1121" s="11"/>
      <c r="G1121" s="11"/>
      <c r="H1121" s="10" t="s">
        <v>172</v>
      </c>
    </row>
    <row r="1122" s="9" customFormat="1" ht="23" customHeight="1" spans="1:8">
      <c r="A1122" s="10" t="s">
        <v>172</v>
      </c>
      <c r="B1122" s="12"/>
      <c r="C1122" s="12"/>
      <c r="D1122" s="12"/>
      <c r="E1122" s="12"/>
      <c r="F1122" s="12"/>
      <c r="G1122" s="12"/>
      <c r="H1122" s="10" t="s">
        <v>172</v>
      </c>
    </row>
    <row r="1123" s="9" customFormat="1" ht="16" customHeight="1" spans="1:8">
      <c r="A1123" s="10" t="s">
        <v>172</v>
      </c>
      <c r="B1123" s="13"/>
      <c r="C1123" s="13"/>
      <c r="D1123" s="13"/>
      <c r="E1123" s="13"/>
      <c r="F1123" s="13"/>
      <c r="G1123" s="13"/>
      <c r="H1123" s="10" t="s">
        <v>172</v>
      </c>
    </row>
    <row r="1124" s="9" customFormat="1" ht="12" customHeight="1" spans="1:8">
      <c r="A1124" s="10" t="s">
        <v>172</v>
      </c>
      <c r="B1124" s="14"/>
      <c r="C1124" s="14"/>
      <c r="D1124" s="14"/>
      <c r="E1124" s="14"/>
      <c r="F1124" s="14"/>
      <c r="G1124" s="14"/>
      <c r="H1124" s="10" t="s">
        <v>172</v>
      </c>
    </row>
    <row r="1125" s="9" customFormat="1" ht="17" customHeight="1" spans="1:8">
      <c r="A1125" s="10" t="s">
        <v>172</v>
      </c>
      <c r="B1125" s="15" t="s">
        <v>1836</v>
      </c>
      <c r="C1125" s="16" t="s">
        <v>1837</v>
      </c>
      <c r="D1125" s="17" t="s">
        <v>1838</v>
      </c>
      <c r="E1125" s="18" t="s">
        <v>1839</v>
      </c>
      <c r="F1125" s="10" t="s">
        <v>172</v>
      </c>
      <c r="G1125" s="10" t="s">
        <v>172</v>
      </c>
      <c r="H1125" s="10" t="s">
        <v>172</v>
      </c>
    </row>
    <row r="1126" s="9" customFormat="1" ht="37" customHeight="1" spans="1:8">
      <c r="A1126" s="10" t="s">
        <v>172</v>
      </c>
      <c r="B1126" s="19" t="s">
        <v>1907</v>
      </c>
      <c r="C1126" s="20" t="s">
        <v>182</v>
      </c>
      <c r="D1126" s="21">
        <v>2</v>
      </c>
      <c r="E1126" s="22">
        <v>260000</v>
      </c>
      <c r="F1126" s="10" t="s">
        <v>172</v>
      </c>
      <c r="G1126" s="10" t="s">
        <v>172</v>
      </c>
      <c r="H1126" s="10" t="s">
        <v>172</v>
      </c>
    </row>
    <row r="1127" s="9" customFormat="1" ht="17" customHeight="1" spans="1:8">
      <c r="A1127" s="10" t="s">
        <v>172</v>
      </c>
      <c r="B1127" s="19" t="s">
        <v>1907</v>
      </c>
      <c r="C1127" s="16" t="s">
        <v>1841</v>
      </c>
      <c r="D1127" s="23">
        <v>2</v>
      </c>
      <c r="E1127" s="24">
        <v>260000</v>
      </c>
      <c r="F1127" s="10" t="s">
        <v>172</v>
      </c>
      <c r="G1127" s="10" t="s">
        <v>172</v>
      </c>
      <c r="H1127" s="10" t="s">
        <v>172</v>
      </c>
    </row>
    <row r="1128" s="9" customFormat="1" ht="37" customHeight="1" spans="1:8">
      <c r="A1128" s="10" t="s">
        <v>172</v>
      </c>
      <c r="B1128" s="19" t="s">
        <v>1908</v>
      </c>
      <c r="C1128" s="20" t="s">
        <v>182</v>
      </c>
      <c r="D1128" s="21">
        <v>2</v>
      </c>
      <c r="E1128" s="22">
        <v>300000</v>
      </c>
      <c r="F1128" s="10" t="s">
        <v>172</v>
      </c>
      <c r="G1128" s="10" t="s">
        <v>172</v>
      </c>
      <c r="H1128" s="10" t="s">
        <v>172</v>
      </c>
    </row>
    <row r="1129" s="9" customFormat="1" ht="17" customHeight="1" spans="1:8">
      <c r="A1129" s="10" t="s">
        <v>172</v>
      </c>
      <c r="B1129" s="19" t="s">
        <v>1908</v>
      </c>
      <c r="C1129" s="16" t="s">
        <v>1841</v>
      </c>
      <c r="D1129" s="23">
        <v>2</v>
      </c>
      <c r="E1129" s="24">
        <v>300000</v>
      </c>
      <c r="F1129" s="10" t="s">
        <v>172</v>
      </c>
      <c r="G1129" s="10" t="s">
        <v>172</v>
      </c>
      <c r="H1129" s="10" t="s">
        <v>172</v>
      </c>
    </row>
    <row r="1130" s="9" customFormat="1" ht="26" customHeight="1" spans="1:8">
      <c r="A1130" s="10" t="s">
        <v>172</v>
      </c>
      <c r="B1130" s="19" t="s">
        <v>1909</v>
      </c>
      <c r="C1130" s="20" t="s">
        <v>1664</v>
      </c>
      <c r="D1130" s="21">
        <v>2</v>
      </c>
      <c r="E1130" s="22">
        <v>860000</v>
      </c>
      <c r="F1130" s="10" t="s">
        <v>172</v>
      </c>
      <c r="G1130" s="10" t="s">
        <v>172</v>
      </c>
      <c r="H1130" s="10" t="s">
        <v>172</v>
      </c>
    </row>
    <row r="1131" s="9" customFormat="1" ht="17" customHeight="1" spans="1:8">
      <c r="A1131" s="10" t="s">
        <v>172</v>
      </c>
      <c r="B1131" s="19" t="s">
        <v>1909</v>
      </c>
      <c r="C1131" s="16" t="s">
        <v>1841</v>
      </c>
      <c r="D1131" s="23">
        <v>2</v>
      </c>
      <c r="E1131" s="24">
        <v>860000</v>
      </c>
      <c r="F1131" s="10" t="s">
        <v>172</v>
      </c>
      <c r="G1131" s="10" t="s">
        <v>172</v>
      </c>
      <c r="H1131" s="10" t="s">
        <v>172</v>
      </c>
    </row>
    <row r="1132" s="9" customFormat="1" ht="37" customHeight="1" spans="1:8">
      <c r="A1132" s="10" t="s">
        <v>172</v>
      </c>
      <c r="B1132" s="19" t="s">
        <v>1910</v>
      </c>
      <c r="C1132" s="20" t="s">
        <v>182</v>
      </c>
      <c r="D1132" s="21">
        <v>2</v>
      </c>
      <c r="E1132" s="22">
        <v>600000</v>
      </c>
      <c r="F1132" s="10" t="s">
        <v>172</v>
      </c>
      <c r="G1132" s="10" t="s">
        <v>172</v>
      </c>
      <c r="H1132" s="10" t="s">
        <v>172</v>
      </c>
    </row>
    <row r="1133" s="9" customFormat="1" ht="17" customHeight="1" spans="1:8">
      <c r="A1133" s="10" t="s">
        <v>172</v>
      </c>
      <c r="B1133" s="19" t="s">
        <v>1910</v>
      </c>
      <c r="C1133" s="16" t="s">
        <v>1841</v>
      </c>
      <c r="D1133" s="23">
        <v>2</v>
      </c>
      <c r="E1133" s="24">
        <v>600000</v>
      </c>
      <c r="F1133" s="10" t="s">
        <v>172</v>
      </c>
      <c r="G1133" s="10" t="s">
        <v>172</v>
      </c>
      <c r="H1133" s="10" t="s">
        <v>172</v>
      </c>
    </row>
    <row r="1134" s="9" customFormat="1" ht="37" customHeight="1" spans="1:8">
      <c r="A1134" s="10" t="s">
        <v>172</v>
      </c>
      <c r="B1134" s="19" t="s">
        <v>1911</v>
      </c>
      <c r="C1134" s="20" t="s">
        <v>182</v>
      </c>
      <c r="D1134" s="21">
        <v>2</v>
      </c>
      <c r="E1134" s="22">
        <v>700000</v>
      </c>
      <c r="F1134" s="10" t="s">
        <v>172</v>
      </c>
      <c r="G1134" s="10" t="s">
        <v>172</v>
      </c>
      <c r="H1134" s="10" t="s">
        <v>172</v>
      </c>
    </row>
    <row r="1135" s="9" customFormat="1" ht="17" customHeight="1" spans="1:8">
      <c r="A1135" s="10" t="s">
        <v>172</v>
      </c>
      <c r="B1135" s="19" t="s">
        <v>1911</v>
      </c>
      <c r="C1135" s="16" t="s">
        <v>1841</v>
      </c>
      <c r="D1135" s="23">
        <v>2</v>
      </c>
      <c r="E1135" s="24">
        <v>700000</v>
      </c>
      <c r="F1135" s="10" t="s">
        <v>172</v>
      </c>
      <c r="G1135" s="10" t="s">
        <v>172</v>
      </c>
      <c r="H1135" s="10" t="s">
        <v>172</v>
      </c>
    </row>
    <row r="1136" s="9" customFormat="1" ht="37" customHeight="1" spans="1:8">
      <c r="A1136" s="10" t="s">
        <v>172</v>
      </c>
      <c r="B1136" s="19" t="s">
        <v>1912</v>
      </c>
      <c r="C1136" s="20" t="s">
        <v>182</v>
      </c>
      <c r="D1136" s="21">
        <v>1</v>
      </c>
      <c r="E1136" s="22">
        <v>740000</v>
      </c>
      <c r="F1136" s="10" t="s">
        <v>172</v>
      </c>
      <c r="G1136" s="10" t="s">
        <v>172</v>
      </c>
      <c r="H1136" s="10" t="s">
        <v>172</v>
      </c>
    </row>
    <row r="1137" s="9" customFormat="1" ht="17" customHeight="1" spans="1:8">
      <c r="A1137" s="10" t="s">
        <v>172</v>
      </c>
      <c r="B1137" s="19" t="s">
        <v>1912</v>
      </c>
      <c r="C1137" s="16" t="s">
        <v>1841</v>
      </c>
      <c r="D1137" s="23">
        <v>1</v>
      </c>
      <c r="E1137" s="24">
        <v>740000</v>
      </c>
      <c r="F1137" s="10" t="s">
        <v>172</v>
      </c>
      <c r="G1137" s="10" t="s">
        <v>172</v>
      </c>
      <c r="H1137" s="10" t="s">
        <v>172</v>
      </c>
    </row>
    <row r="1138" s="9" customFormat="1" ht="37" customHeight="1" spans="1:8">
      <c r="A1138" s="10" t="s">
        <v>172</v>
      </c>
      <c r="B1138" s="19" t="s">
        <v>1913</v>
      </c>
      <c r="C1138" s="20" t="s">
        <v>182</v>
      </c>
      <c r="D1138" s="21">
        <v>1</v>
      </c>
      <c r="E1138" s="22">
        <v>400000</v>
      </c>
      <c r="F1138" s="10" t="s">
        <v>172</v>
      </c>
      <c r="G1138" s="10" t="s">
        <v>172</v>
      </c>
      <c r="H1138" s="10" t="s">
        <v>172</v>
      </c>
    </row>
    <row r="1139" s="9" customFormat="1" ht="17" customHeight="1" spans="1:8">
      <c r="A1139" s="10" t="s">
        <v>172</v>
      </c>
      <c r="B1139" s="19" t="s">
        <v>1913</v>
      </c>
      <c r="C1139" s="16" t="s">
        <v>1841</v>
      </c>
      <c r="D1139" s="23">
        <v>1</v>
      </c>
      <c r="E1139" s="24">
        <v>400000</v>
      </c>
      <c r="F1139" s="10" t="s">
        <v>172</v>
      </c>
      <c r="G1139" s="10" t="s">
        <v>172</v>
      </c>
      <c r="H1139" s="10" t="s">
        <v>172</v>
      </c>
    </row>
    <row r="1140" s="9" customFormat="1" ht="1" customHeight="1" spans="1:8">
      <c r="A1140" s="10" t="s">
        <v>172</v>
      </c>
      <c r="B1140" s="25"/>
      <c r="C1140" s="25"/>
      <c r="D1140" s="25"/>
      <c r="E1140" s="25"/>
      <c r="F1140" s="25"/>
      <c r="G1140" s="25"/>
      <c r="H1140" s="10" t="s">
        <v>172</v>
      </c>
    </row>
    <row r="1141" s="9" customFormat="1" ht="13" customHeight="1" spans="1:8">
      <c r="A1141" s="10" t="s">
        <v>172</v>
      </c>
      <c r="B1141" s="26"/>
      <c r="C1141" s="26"/>
      <c r="D1141" s="26"/>
      <c r="E1141" s="26"/>
      <c r="F1141" s="26"/>
      <c r="G1141" s="26"/>
      <c r="H1141" s="10" t="s">
        <v>172</v>
      </c>
    </row>
    <row r="1142" s="9" customFormat="1" ht="13" customHeight="1" spans="1:8">
      <c r="A1142" s="10" t="s">
        <v>172</v>
      </c>
      <c r="B1142" s="26"/>
      <c r="C1142" s="26"/>
      <c r="D1142" s="26"/>
      <c r="E1142" s="26"/>
      <c r="F1142" s="26"/>
      <c r="G1142" s="26"/>
      <c r="H1142" s="10" t="s">
        <v>172</v>
      </c>
    </row>
    <row r="1143" s="9" customFormat="1" ht="13" customHeight="1" spans="1:8">
      <c r="A1143" s="10" t="s">
        <v>172</v>
      </c>
      <c r="B1143" s="26"/>
      <c r="C1143" s="26"/>
      <c r="D1143" s="26"/>
      <c r="E1143" s="26"/>
      <c r="F1143" s="26"/>
      <c r="G1143" s="26"/>
      <c r="H1143" s="10" t="s">
        <v>172</v>
      </c>
    </row>
    <row r="1144" s="9" customFormat="1" ht="13" customHeight="1" spans="1:8">
      <c r="A1144" s="10" t="s">
        <v>172</v>
      </c>
      <c r="B1144" s="26"/>
      <c r="C1144" s="26"/>
      <c r="D1144" s="26"/>
      <c r="E1144" s="26"/>
      <c r="F1144" s="26"/>
      <c r="G1144" s="27" t="s">
        <v>1847</v>
      </c>
      <c r="H1144" s="10" t="s">
        <v>172</v>
      </c>
    </row>
    <row r="1145" s="9" customFormat="1" ht="17" customHeight="1" spans="1:8">
      <c r="A1145" s="10" t="s">
        <v>172</v>
      </c>
      <c r="B1145" s="11"/>
      <c r="C1145" s="11"/>
      <c r="D1145" s="11"/>
      <c r="E1145" s="11"/>
      <c r="F1145" s="11"/>
      <c r="G1145" s="11"/>
      <c r="H1145" s="10" t="s">
        <v>172</v>
      </c>
    </row>
    <row r="1146" s="9" customFormat="1" ht="23" customHeight="1" spans="1:8">
      <c r="A1146" s="10" t="s">
        <v>172</v>
      </c>
      <c r="B1146" s="12"/>
      <c r="C1146" s="12"/>
      <c r="D1146" s="12"/>
      <c r="E1146" s="12"/>
      <c r="F1146" s="12"/>
      <c r="G1146" s="12"/>
      <c r="H1146" s="10" t="s">
        <v>172</v>
      </c>
    </row>
    <row r="1147" s="9" customFormat="1" ht="16" customHeight="1" spans="1:8">
      <c r="A1147" s="10" t="s">
        <v>172</v>
      </c>
      <c r="B1147" s="13"/>
      <c r="C1147" s="13"/>
      <c r="D1147" s="13"/>
      <c r="E1147" s="13"/>
      <c r="F1147" s="13"/>
      <c r="G1147" s="13"/>
      <c r="H1147" s="10" t="s">
        <v>172</v>
      </c>
    </row>
    <row r="1148" s="9" customFormat="1" ht="12" customHeight="1" spans="1:8">
      <c r="A1148" s="10" t="s">
        <v>172</v>
      </c>
      <c r="B1148" s="14"/>
      <c r="C1148" s="14"/>
      <c r="D1148" s="14"/>
      <c r="E1148" s="14"/>
      <c r="F1148" s="14"/>
      <c r="G1148" s="14"/>
      <c r="H1148" s="10" t="s">
        <v>172</v>
      </c>
    </row>
    <row r="1149" s="9" customFormat="1" ht="17" customHeight="1" spans="1:8">
      <c r="A1149" s="10" t="s">
        <v>172</v>
      </c>
      <c r="B1149" s="15" t="s">
        <v>1836</v>
      </c>
      <c r="C1149" s="16" t="s">
        <v>1837</v>
      </c>
      <c r="D1149" s="17" t="s">
        <v>1838</v>
      </c>
      <c r="E1149" s="18" t="s">
        <v>1839</v>
      </c>
      <c r="F1149" s="10" t="s">
        <v>172</v>
      </c>
      <c r="G1149" s="10" t="s">
        <v>172</v>
      </c>
      <c r="H1149" s="10" t="s">
        <v>172</v>
      </c>
    </row>
    <row r="1150" s="9" customFormat="1" ht="37" customHeight="1" spans="1:8">
      <c r="A1150" s="10" t="s">
        <v>172</v>
      </c>
      <c r="B1150" s="19" t="s">
        <v>1914</v>
      </c>
      <c r="C1150" s="20" t="s">
        <v>182</v>
      </c>
      <c r="D1150" s="21">
        <v>1</v>
      </c>
      <c r="E1150" s="22">
        <v>450000</v>
      </c>
      <c r="F1150" s="10" t="s">
        <v>172</v>
      </c>
      <c r="G1150" s="10" t="s">
        <v>172</v>
      </c>
      <c r="H1150" s="10" t="s">
        <v>172</v>
      </c>
    </row>
    <row r="1151" s="9" customFormat="1" ht="17" customHeight="1" spans="1:8">
      <c r="A1151" s="10" t="s">
        <v>172</v>
      </c>
      <c r="B1151" s="19" t="s">
        <v>1914</v>
      </c>
      <c r="C1151" s="16" t="s">
        <v>1841</v>
      </c>
      <c r="D1151" s="23">
        <v>1</v>
      </c>
      <c r="E1151" s="24">
        <v>450000</v>
      </c>
      <c r="F1151" s="10" t="s">
        <v>172</v>
      </c>
      <c r="G1151" s="10" t="s">
        <v>172</v>
      </c>
      <c r="H1151" s="10" t="s">
        <v>172</v>
      </c>
    </row>
    <row r="1152" s="9" customFormat="1" ht="26" customHeight="1" spans="1:8">
      <c r="A1152" s="10" t="s">
        <v>172</v>
      </c>
      <c r="B1152" s="19" t="s">
        <v>1519</v>
      </c>
      <c r="C1152" s="20" t="s">
        <v>1191</v>
      </c>
      <c r="D1152" s="21">
        <v>-20</v>
      </c>
      <c r="E1152" s="22">
        <v>0</v>
      </c>
      <c r="F1152" s="10" t="s">
        <v>172</v>
      </c>
      <c r="G1152" s="10" t="s">
        <v>172</v>
      </c>
      <c r="H1152" s="10" t="s">
        <v>172</v>
      </c>
    </row>
    <row r="1153" s="9" customFormat="1" ht="17" customHeight="1" spans="1:8">
      <c r="A1153" s="10" t="s">
        <v>172</v>
      </c>
      <c r="B1153" s="19" t="s">
        <v>1519</v>
      </c>
      <c r="C1153" s="16" t="s">
        <v>1841</v>
      </c>
      <c r="D1153" s="23">
        <v>-20</v>
      </c>
      <c r="E1153" s="24">
        <v>0</v>
      </c>
      <c r="F1153" s="10" t="s">
        <v>172</v>
      </c>
      <c r="G1153" s="10" t="s">
        <v>172</v>
      </c>
      <c r="H1153" s="10" t="s">
        <v>172</v>
      </c>
    </row>
    <row r="1154" s="9" customFormat="1" ht="26" customHeight="1" spans="1:8">
      <c r="A1154" s="10" t="s">
        <v>172</v>
      </c>
      <c r="B1154" s="19" t="s">
        <v>1520</v>
      </c>
      <c r="C1154" s="20" t="s">
        <v>1664</v>
      </c>
      <c r="D1154" s="21">
        <v>4</v>
      </c>
      <c r="E1154" s="22">
        <v>0</v>
      </c>
      <c r="F1154" s="10" t="s">
        <v>172</v>
      </c>
      <c r="G1154" s="10" t="s">
        <v>172</v>
      </c>
      <c r="H1154" s="10" t="s">
        <v>172</v>
      </c>
    </row>
    <row r="1155" s="9" customFormat="1" ht="26" customHeight="1" spans="1:8">
      <c r="A1155" s="10" t="s">
        <v>172</v>
      </c>
      <c r="B1155" s="19" t="s">
        <v>1520</v>
      </c>
      <c r="C1155" s="20" t="s">
        <v>1191</v>
      </c>
      <c r="D1155" s="21">
        <v>-20</v>
      </c>
      <c r="E1155" s="22">
        <v>0</v>
      </c>
      <c r="F1155" s="10" t="s">
        <v>172</v>
      </c>
      <c r="G1155" s="10" t="s">
        <v>172</v>
      </c>
      <c r="H1155" s="10" t="s">
        <v>172</v>
      </c>
    </row>
    <row r="1156" s="9" customFormat="1" ht="37" customHeight="1" spans="1:8">
      <c r="A1156" s="10" t="s">
        <v>172</v>
      </c>
      <c r="B1156" s="19" t="s">
        <v>1520</v>
      </c>
      <c r="C1156" s="20" t="s">
        <v>182</v>
      </c>
      <c r="D1156" s="21">
        <v>17</v>
      </c>
      <c r="E1156" s="22">
        <v>0</v>
      </c>
      <c r="F1156" s="10" t="s">
        <v>172</v>
      </c>
      <c r="G1156" s="10" t="s">
        <v>172</v>
      </c>
      <c r="H1156" s="10" t="s">
        <v>172</v>
      </c>
    </row>
    <row r="1157" s="9" customFormat="1" ht="26" customHeight="1" spans="1:8">
      <c r="A1157" s="10" t="s">
        <v>172</v>
      </c>
      <c r="B1157" s="19" t="s">
        <v>1520</v>
      </c>
      <c r="C1157" s="20" t="s">
        <v>804</v>
      </c>
      <c r="D1157" s="21">
        <v>9</v>
      </c>
      <c r="E1157" s="22">
        <v>0</v>
      </c>
      <c r="F1157" s="10" t="s">
        <v>172</v>
      </c>
      <c r="G1157" s="10" t="s">
        <v>172</v>
      </c>
      <c r="H1157" s="10" t="s">
        <v>172</v>
      </c>
    </row>
    <row r="1158" s="9" customFormat="1" ht="17" customHeight="1" spans="1:8">
      <c r="A1158" s="10" t="s">
        <v>172</v>
      </c>
      <c r="B1158" s="19" t="s">
        <v>1520</v>
      </c>
      <c r="C1158" s="16" t="s">
        <v>1841</v>
      </c>
      <c r="D1158" s="23">
        <v>10</v>
      </c>
      <c r="E1158" s="24">
        <v>0</v>
      </c>
      <c r="F1158" s="10" t="s">
        <v>172</v>
      </c>
      <c r="G1158" s="10" t="s">
        <v>172</v>
      </c>
      <c r="H1158" s="10" t="s">
        <v>172</v>
      </c>
    </row>
    <row r="1159" s="9" customFormat="1" ht="26" customHeight="1" spans="1:8">
      <c r="A1159" s="10" t="s">
        <v>172</v>
      </c>
      <c r="B1159" s="19" t="s">
        <v>1521</v>
      </c>
      <c r="C1159" s="20" t="s">
        <v>1191</v>
      </c>
      <c r="D1159" s="21">
        <v>-20</v>
      </c>
      <c r="E1159" s="22">
        <v>0</v>
      </c>
      <c r="F1159" s="10" t="s">
        <v>172</v>
      </c>
      <c r="G1159" s="10" t="s">
        <v>172</v>
      </c>
      <c r="H1159" s="10" t="s">
        <v>172</v>
      </c>
    </row>
    <row r="1160" s="9" customFormat="1" ht="17" customHeight="1" spans="1:8">
      <c r="A1160" s="10" t="s">
        <v>172</v>
      </c>
      <c r="B1160" s="19" t="s">
        <v>1521</v>
      </c>
      <c r="C1160" s="16" t="s">
        <v>1841</v>
      </c>
      <c r="D1160" s="23">
        <v>-20</v>
      </c>
      <c r="E1160" s="24">
        <v>0</v>
      </c>
      <c r="F1160" s="10" t="s">
        <v>172</v>
      </c>
      <c r="G1160" s="10" t="s">
        <v>172</v>
      </c>
      <c r="H1160" s="10" t="s">
        <v>172</v>
      </c>
    </row>
    <row r="1161" s="9" customFormat="1" ht="26" customHeight="1" spans="1:8">
      <c r="A1161" s="10" t="s">
        <v>172</v>
      </c>
      <c r="B1161" s="19" t="s">
        <v>513</v>
      </c>
      <c r="C1161" s="20" t="s">
        <v>804</v>
      </c>
      <c r="D1161" s="21">
        <v>1</v>
      </c>
      <c r="E1161" s="22">
        <v>0</v>
      </c>
      <c r="F1161" s="10" t="s">
        <v>172</v>
      </c>
      <c r="G1161" s="10" t="s">
        <v>172</v>
      </c>
      <c r="H1161" s="10" t="s">
        <v>172</v>
      </c>
    </row>
    <row r="1162" s="9" customFormat="1" ht="17" customHeight="1" spans="1:8">
      <c r="A1162" s="10" t="s">
        <v>172</v>
      </c>
      <c r="B1162" s="19" t="s">
        <v>513</v>
      </c>
      <c r="C1162" s="16" t="s">
        <v>1841</v>
      </c>
      <c r="D1162" s="23">
        <v>1</v>
      </c>
      <c r="E1162" s="24">
        <v>0</v>
      </c>
      <c r="F1162" s="10" t="s">
        <v>172</v>
      </c>
      <c r="G1162" s="10" t="s">
        <v>172</v>
      </c>
      <c r="H1162" s="10" t="s">
        <v>172</v>
      </c>
    </row>
    <row r="1163" s="9" customFormat="1" ht="37" customHeight="1" spans="1:8">
      <c r="A1163" s="10" t="s">
        <v>172</v>
      </c>
      <c r="B1163" s="20" t="s">
        <v>514</v>
      </c>
      <c r="C1163" s="20" t="s">
        <v>182</v>
      </c>
      <c r="D1163" s="21">
        <v>76</v>
      </c>
      <c r="E1163" s="22">
        <v>3218017.873851</v>
      </c>
      <c r="F1163" s="10" t="s">
        <v>172</v>
      </c>
      <c r="G1163" s="10" t="s">
        <v>172</v>
      </c>
      <c r="H1163" s="10" t="s">
        <v>172</v>
      </c>
    </row>
    <row r="1164" s="9" customFormat="1" ht="1" customHeight="1" spans="1:8">
      <c r="A1164" s="10" t="s">
        <v>172</v>
      </c>
      <c r="B1164" s="25"/>
      <c r="C1164" s="25"/>
      <c r="D1164" s="25"/>
      <c r="E1164" s="25"/>
      <c r="F1164" s="25"/>
      <c r="G1164" s="25"/>
      <c r="H1164" s="10" t="s">
        <v>172</v>
      </c>
    </row>
    <row r="1165" s="9" customFormat="1" ht="13" customHeight="1" spans="1:8">
      <c r="A1165" s="10" t="s">
        <v>172</v>
      </c>
      <c r="B1165" s="26"/>
      <c r="C1165" s="26"/>
      <c r="D1165" s="26"/>
      <c r="E1165" s="26"/>
      <c r="F1165" s="26"/>
      <c r="G1165" s="26"/>
      <c r="H1165" s="10" t="s">
        <v>172</v>
      </c>
    </row>
    <row r="1166" s="9" customFormat="1" ht="13" customHeight="1" spans="1:8">
      <c r="A1166" s="10" t="s">
        <v>172</v>
      </c>
      <c r="B1166" s="26"/>
      <c r="C1166" s="26"/>
      <c r="D1166" s="26"/>
      <c r="E1166" s="26"/>
      <c r="F1166" s="26"/>
      <c r="G1166" s="26"/>
      <c r="H1166" s="10" t="s">
        <v>172</v>
      </c>
    </row>
    <row r="1167" s="9" customFormat="1" ht="13" customHeight="1" spans="1:8">
      <c r="A1167" s="10" t="s">
        <v>172</v>
      </c>
      <c r="B1167" s="26"/>
      <c r="C1167" s="26"/>
      <c r="D1167" s="26"/>
      <c r="E1167" s="26"/>
      <c r="F1167" s="26"/>
      <c r="G1167" s="26"/>
      <c r="H1167" s="10" t="s">
        <v>172</v>
      </c>
    </row>
    <row r="1168" s="9" customFormat="1" ht="13" customHeight="1" spans="1:8">
      <c r="A1168" s="10" t="s">
        <v>172</v>
      </c>
      <c r="B1168" s="26"/>
      <c r="C1168" s="26"/>
      <c r="D1168" s="26"/>
      <c r="E1168" s="26"/>
      <c r="F1168" s="26"/>
      <c r="G1168" s="27" t="s">
        <v>1847</v>
      </c>
      <c r="H1168" s="10" t="s">
        <v>172</v>
      </c>
    </row>
    <row r="1169" s="9" customFormat="1" ht="17" customHeight="1" spans="1:8">
      <c r="A1169" s="10" t="s">
        <v>172</v>
      </c>
      <c r="B1169" s="11"/>
      <c r="C1169" s="11"/>
      <c r="D1169" s="11"/>
      <c r="E1169" s="11"/>
      <c r="F1169" s="11"/>
      <c r="G1169" s="11"/>
      <c r="H1169" s="10" t="s">
        <v>172</v>
      </c>
    </row>
    <row r="1170" s="9" customFormat="1" ht="23" customHeight="1" spans="1:8">
      <c r="A1170" s="10" t="s">
        <v>172</v>
      </c>
      <c r="B1170" s="12"/>
      <c r="C1170" s="12"/>
      <c r="D1170" s="12"/>
      <c r="E1170" s="12"/>
      <c r="F1170" s="12"/>
      <c r="G1170" s="12"/>
      <c r="H1170" s="10" t="s">
        <v>172</v>
      </c>
    </row>
    <row r="1171" s="9" customFormat="1" ht="16" customHeight="1" spans="1:8">
      <c r="A1171" s="10" t="s">
        <v>172</v>
      </c>
      <c r="B1171" s="13"/>
      <c r="C1171" s="13"/>
      <c r="D1171" s="13"/>
      <c r="E1171" s="13"/>
      <c r="F1171" s="13"/>
      <c r="G1171" s="13"/>
      <c r="H1171" s="10" t="s">
        <v>172</v>
      </c>
    </row>
    <row r="1172" s="9" customFormat="1" ht="12" customHeight="1" spans="1:8">
      <c r="A1172" s="10" t="s">
        <v>172</v>
      </c>
      <c r="B1172" s="14"/>
      <c r="C1172" s="14"/>
      <c r="D1172" s="14"/>
      <c r="E1172" s="14"/>
      <c r="F1172" s="14"/>
      <c r="G1172" s="14"/>
      <c r="H1172" s="10" t="s">
        <v>172</v>
      </c>
    </row>
    <row r="1173" s="9" customFormat="1" ht="17" customHeight="1" spans="1:8">
      <c r="A1173" s="10" t="s">
        <v>172</v>
      </c>
      <c r="B1173" s="15" t="s">
        <v>1836</v>
      </c>
      <c r="C1173" s="16" t="s">
        <v>1837</v>
      </c>
      <c r="D1173" s="17" t="s">
        <v>1838</v>
      </c>
      <c r="E1173" s="18" t="s">
        <v>1839</v>
      </c>
      <c r="F1173" s="10" t="s">
        <v>172</v>
      </c>
      <c r="G1173" s="10" t="s">
        <v>172</v>
      </c>
      <c r="H1173" s="10" t="s">
        <v>172</v>
      </c>
    </row>
    <row r="1174" s="9" customFormat="1" ht="26" customHeight="1" spans="1:8">
      <c r="A1174" s="10" t="s">
        <v>172</v>
      </c>
      <c r="B1174" s="19" t="s">
        <v>514</v>
      </c>
      <c r="C1174" s="20" t="s">
        <v>804</v>
      </c>
      <c r="D1174" s="21">
        <v>98</v>
      </c>
      <c r="E1174" s="22">
        <v>4149549.89186</v>
      </c>
      <c r="F1174" s="10" t="s">
        <v>172</v>
      </c>
      <c r="G1174" s="10" t="s">
        <v>172</v>
      </c>
      <c r="H1174" s="10" t="s">
        <v>172</v>
      </c>
    </row>
    <row r="1175" s="9" customFormat="1" ht="17" customHeight="1" spans="1:8">
      <c r="A1175" s="10" t="s">
        <v>172</v>
      </c>
      <c r="B1175" s="19" t="s">
        <v>514</v>
      </c>
      <c r="C1175" s="16" t="s">
        <v>1841</v>
      </c>
      <c r="D1175" s="23">
        <v>174</v>
      </c>
      <c r="E1175" s="24">
        <v>7367567.765711</v>
      </c>
      <c r="F1175" s="10" t="s">
        <v>172</v>
      </c>
      <c r="G1175" s="10" t="s">
        <v>172</v>
      </c>
      <c r="H1175" s="10" t="s">
        <v>172</v>
      </c>
    </row>
    <row r="1176" s="9" customFormat="1" ht="37" customHeight="1" spans="1:8">
      <c r="A1176" s="10" t="s">
        <v>172</v>
      </c>
      <c r="B1176" s="19" t="s">
        <v>1915</v>
      </c>
      <c r="C1176" s="20" t="s">
        <v>182</v>
      </c>
      <c r="D1176" s="21">
        <v>2</v>
      </c>
      <c r="E1176" s="22">
        <v>390000</v>
      </c>
      <c r="F1176" s="10" t="s">
        <v>172</v>
      </c>
      <c r="G1176" s="10" t="s">
        <v>172</v>
      </c>
      <c r="H1176" s="10" t="s">
        <v>172</v>
      </c>
    </row>
    <row r="1177" s="9" customFormat="1" ht="17" customHeight="1" spans="1:8">
      <c r="A1177" s="10" t="s">
        <v>172</v>
      </c>
      <c r="B1177" s="19" t="s">
        <v>1915</v>
      </c>
      <c r="C1177" s="16" t="s">
        <v>1841</v>
      </c>
      <c r="D1177" s="23">
        <v>2</v>
      </c>
      <c r="E1177" s="24">
        <v>390000</v>
      </c>
      <c r="F1177" s="10" t="s">
        <v>172</v>
      </c>
      <c r="G1177" s="10" t="s">
        <v>172</v>
      </c>
      <c r="H1177" s="10" t="s">
        <v>172</v>
      </c>
    </row>
    <row r="1178" s="9" customFormat="1" ht="26" customHeight="1" spans="1:8">
      <c r="A1178" s="10" t="s">
        <v>172</v>
      </c>
      <c r="B1178" s="19" t="s">
        <v>1525</v>
      </c>
      <c r="C1178" s="20" t="s">
        <v>1191</v>
      </c>
      <c r="D1178" s="21">
        <v>-1</v>
      </c>
      <c r="E1178" s="22">
        <v>0</v>
      </c>
      <c r="F1178" s="10" t="s">
        <v>172</v>
      </c>
      <c r="G1178" s="10" t="s">
        <v>172</v>
      </c>
      <c r="H1178" s="10" t="s">
        <v>172</v>
      </c>
    </row>
    <row r="1179" s="9" customFormat="1" ht="17" customHeight="1" spans="1:8">
      <c r="A1179" s="10" t="s">
        <v>172</v>
      </c>
      <c r="B1179" s="19" t="s">
        <v>1525</v>
      </c>
      <c r="C1179" s="16" t="s">
        <v>1841</v>
      </c>
      <c r="D1179" s="23">
        <v>-1</v>
      </c>
      <c r="E1179" s="24">
        <v>0</v>
      </c>
      <c r="F1179" s="10" t="s">
        <v>172</v>
      </c>
      <c r="G1179" s="10" t="s">
        <v>172</v>
      </c>
      <c r="H1179" s="10" t="s">
        <v>172</v>
      </c>
    </row>
    <row r="1180" s="9" customFormat="1" ht="37" customHeight="1" spans="1:8">
      <c r="A1180" s="10" t="s">
        <v>172</v>
      </c>
      <c r="B1180" s="19" t="s">
        <v>1916</v>
      </c>
      <c r="C1180" s="20" t="s">
        <v>182</v>
      </c>
      <c r="D1180" s="21">
        <v>2</v>
      </c>
      <c r="E1180" s="22">
        <v>1130000</v>
      </c>
      <c r="F1180" s="10" t="s">
        <v>172</v>
      </c>
      <c r="G1180" s="10" t="s">
        <v>172</v>
      </c>
      <c r="H1180" s="10" t="s">
        <v>172</v>
      </c>
    </row>
    <row r="1181" s="9" customFormat="1" ht="17" customHeight="1" spans="1:8">
      <c r="A1181" s="10" t="s">
        <v>172</v>
      </c>
      <c r="B1181" s="19" t="s">
        <v>1916</v>
      </c>
      <c r="C1181" s="16" t="s">
        <v>1841</v>
      </c>
      <c r="D1181" s="23">
        <v>2</v>
      </c>
      <c r="E1181" s="24">
        <v>1130000</v>
      </c>
      <c r="F1181" s="10" t="s">
        <v>172</v>
      </c>
      <c r="G1181" s="10" t="s">
        <v>172</v>
      </c>
      <c r="H1181" s="10" t="s">
        <v>172</v>
      </c>
    </row>
    <row r="1182" s="9" customFormat="1" ht="26" customHeight="1" spans="1:8">
      <c r="A1182" s="10" t="s">
        <v>172</v>
      </c>
      <c r="B1182" s="19" t="s">
        <v>1917</v>
      </c>
      <c r="C1182" s="20" t="s">
        <v>804</v>
      </c>
      <c r="D1182" s="21">
        <v>1</v>
      </c>
      <c r="E1182" s="22">
        <v>100000</v>
      </c>
      <c r="F1182" s="10" t="s">
        <v>172</v>
      </c>
      <c r="G1182" s="10" t="s">
        <v>172</v>
      </c>
      <c r="H1182" s="10" t="s">
        <v>172</v>
      </c>
    </row>
    <row r="1183" s="9" customFormat="1" ht="17" customHeight="1" spans="1:8">
      <c r="A1183" s="10" t="s">
        <v>172</v>
      </c>
      <c r="B1183" s="19" t="s">
        <v>1917</v>
      </c>
      <c r="C1183" s="16" t="s">
        <v>1841</v>
      </c>
      <c r="D1183" s="23">
        <v>1</v>
      </c>
      <c r="E1183" s="24">
        <v>100000</v>
      </c>
      <c r="F1183" s="10" t="s">
        <v>172</v>
      </c>
      <c r="G1183" s="10" t="s">
        <v>172</v>
      </c>
      <c r="H1183" s="10" t="s">
        <v>172</v>
      </c>
    </row>
    <row r="1184" s="9" customFormat="1" ht="37" customHeight="1" spans="1:8">
      <c r="A1184" s="10" t="s">
        <v>172</v>
      </c>
      <c r="B1184" s="19" t="s">
        <v>882</v>
      </c>
      <c r="C1184" s="20" t="s">
        <v>182</v>
      </c>
      <c r="D1184" s="21">
        <v>9</v>
      </c>
      <c r="E1184" s="22">
        <v>0</v>
      </c>
      <c r="F1184" s="10" t="s">
        <v>172</v>
      </c>
      <c r="G1184" s="10" t="s">
        <v>172</v>
      </c>
      <c r="H1184" s="10" t="s">
        <v>172</v>
      </c>
    </row>
    <row r="1185" s="9" customFormat="1" ht="17" customHeight="1" spans="1:8">
      <c r="A1185" s="10" t="s">
        <v>172</v>
      </c>
      <c r="B1185" s="19" t="s">
        <v>882</v>
      </c>
      <c r="C1185" s="16" t="s">
        <v>1841</v>
      </c>
      <c r="D1185" s="23">
        <v>9</v>
      </c>
      <c r="E1185" s="24">
        <v>0</v>
      </c>
      <c r="F1185" s="10" t="s">
        <v>172</v>
      </c>
      <c r="G1185" s="10" t="s">
        <v>172</v>
      </c>
      <c r="H1185" s="10" t="s">
        <v>172</v>
      </c>
    </row>
    <row r="1186" s="9" customFormat="1" ht="26" customHeight="1" spans="1:8">
      <c r="A1186" s="10" t="s">
        <v>172</v>
      </c>
      <c r="B1186" s="19" t="s">
        <v>1918</v>
      </c>
      <c r="C1186" s="20" t="s">
        <v>804</v>
      </c>
      <c r="D1186" s="21">
        <v>2</v>
      </c>
      <c r="E1186" s="22">
        <v>340000</v>
      </c>
      <c r="F1186" s="10" t="s">
        <v>172</v>
      </c>
      <c r="G1186" s="10" t="s">
        <v>172</v>
      </c>
      <c r="H1186" s="10" t="s">
        <v>172</v>
      </c>
    </row>
    <row r="1187" s="9" customFormat="1" ht="17" customHeight="1" spans="1:8">
      <c r="A1187" s="10" t="s">
        <v>172</v>
      </c>
      <c r="B1187" s="19" t="s">
        <v>1918</v>
      </c>
      <c r="C1187" s="16" t="s">
        <v>1841</v>
      </c>
      <c r="D1187" s="23">
        <v>2</v>
      </c>
      <c r="E1187" s="24">
        <v>340000</v>
      </c>
      <c r="F1187" s="10" t="s">
        <v>172</v>
      </c>
      <c r="G1187" s="10" t="s">
        <v>172</v>
      </c>
      <c r="H1187" s="10" t="s">
        <v>172</v>
      </c>
    </row>
    <row r="1188" s="9" customFormat="1" ht="1" customHeight="1" spans="1:8">
      <c r="A1188" s="10" t="s">
        <v>172</v>
      </c>
      <c r="B1188" s="25"/>
      <c r="C1188" s="25"/>
      <c r="D1188" s="25"/>
      <c r="E1188" s="25"/>
      <c r="F1188" s="25"/>
      <c r="G1188" s="25"/>
      <c r="H1188" s="10" t="s">
        <v>172</v>
      </c>
    </row>
    <row r="1189" s="9" customFormat="1" ht="13" customHeight="1" spans="1:8">
      <c r="A1189" s="10" t="s">
        <v>172</v>
      </c>
      <c r="B1189" s="26"/>
      <c r="C1189" s="26"/>
      <c r="D1189" s="26"/>
      <c r="E1189" s="26"/>
      <c r="F1189" s="26"/>
      <c r="G1189" s="26"/>
      <c r="H1189" s="10" t="s">
        <v>172</v>
      </c>
    </row>
    <row r="1190" s="9" customFormat="1" ht="13" customHeight="1" spans="1:8">
      <c r="A1190" s="10" t="s">
        <v>172</v>
      </c>
      <c r="B1190" s="26"/>
      <c r="C1190" s="26"/>
      <c r="D1190" s="26"/>
      <c r="E1190" s="26"/>
      <c r="F1190" s="26"/>
      <c r="G1190" s="26"/>
      <c r="H1190" s="10" t="s">
        <v>172</v>
      </c>
    </row>
    <row r="1191" s="9" customFormat="1" ht="13" customHeight="1" spans="1:8">
      <c r="A1191" s="10" t="s">
        <v>172</v>
      </c>
      <c r="B1191" s="26"/>
      <c r="C1191" s="26"/>
      <c r="D1191" s="26"/>
      <c r="E1191" s="26"/>
      <c r="F1191" s="26"/>
      <c r="G1191" s="26"/>
      <c r="H1191" s="10" t="s">
        <v>172</v>
      </c>
    </row>
    <row r="1192" s="9" customFormat="1" ht="13" customHeight="1" spans="1:8">
      <c r="A1192" s="10" t="s">
        <v>172</v>
      </c>
      <c r="B1192" s="26"/>
      <c r="C1192" s="26"/>
      <c r="D1192" s="26"/>
      <c r="E1192" s="26"/>
      <c r="F1192" s="26"/>
      <c r="G1192" s="27" t="s">
        <v>1847</v>
      </c>
      <c r="H1192" s="10" t="s">
        <v>172</v>
      </c>
    </row>
    <row r="1193" s="9" customFormat="1" ht="17" customHeight="1" spans="1:8">
      <c r="A1193" s="10" t="s">
        <v>172</v>
      </c>
      <c r="B1193" s="11"/>
      <c r="C1193" s="11"/>
      <c r="D1193" s="11"/>
      <c r="E1193" s="11"/>
      <c r="F1193" s="11"/>
      <c r="G1193" s="11"/>
      <c r="H1193" s="10" t="s">
        <v>172</v>
      </c>
    </row>
    <row r="1194" s="9" customFormat="1" ht="23" customHeight="1" spans="1:8">
      <c r="A1194" s="10" t="s">
        <v>172</v>
      </c>
      <c r="B1194" s="12"/>
      <c r="C1194" s="12"/>
      <c r="D1194" s="12"/>
      <c r="E1194" s="12"/>
      <c r="F1194" s="12"/>
      <c r="G1194" s="12"/>
      <c r="H1194" s="10" t="s">
        <v>172</v>
      </c>
    </row>
    <row r="1195" s="9" customFormat="1" ht="16" customHeight="1" spans="1:8">
      <c r="A1195" s="10" t="s">
        <v>172</v>
      </c>
      <c r="B1195" s="13"/>
      <c r="C1195" s="13"/>
      <c r="D1195" s="13"/>
      <c r="E1195" s="13"/>
      <c r="F1195" s="13"/>
      <c r="G1195" s="13"/>
      <c r="H1195" s="10" t="s">
        <v>172</v>
      </c>
    </row>
    <row r="1196" s="9" customFormat="1" ht="12" customHeight="1" spans="1:8">
      <c r="A1196" s="10" t="s">
        <v>172</v>
      </c>
      <c r="B1196" s="14"/>
      <c r="C1196" s="14"/>
      <c r="D1196" s="14"/>
      <c r="E1196" s="14"/>
      <c r="F1196" s="14"/>
      <c r="G1196" s="14"/>
      <c r="H1196" s="10" t="s">
        <v>172</v>
      </c>
    </row>
    <row r="1197" s="9" customFormat="1" ht="17" customHeight="1" spans="1:8">
      <c r="A1197" s="10" t="s">
        <v>172</v>
      </c>
      <c r="B1197" s="15" t="s">
        <v>1836</v>
      </c>
      <c r="C1197" s="16" t="s">
        <v>1837</v>
      </c>
      <c r="D1197" s="17" t="s">
        <v>1838</v>
      </c>
      <c r="E1197" s="18" t="s">
        <v>1839</v>
      </c>
      <c r="F1197" s="10" t="s">
        <v>172</v>
      </c>
      <c r="G1197" s="10" t="s">
        <v>172</v>
      </c>
      <c r="H1197" s="10" t="s">
        <v>172</v>
      </c>
    </row>
    <row r="1198" s="9" customFormat="1" ht="26" customHeight="1" spans="1:8">
      <c r="A1198" s="10" t="s">
        <v>172</v>
      </c>
      <c r="B1198" s="19" t="s">
        <v>1919</v>
      </c>
      <c r="C1198" s="20" t="s">
        <v>804</v>
      </c>
      <c r="D1198" s="21">
        <v>2</v>
      </c>
      <c r="E1198" s="22">
        <v>435000</v>
      </c>
      <c r="F1198" s="10" t="s">
        <v>172</v>
      </c>
      <c r="G1198" s="10" t="s">
        <v>172</v>
      </c>
      <c r="H1198" s="10" t="s">
        <v>172</v>
      </c>
    </row>
    <row r="1199" s="9" customFormat="1" ht="17" customHeight="1" spans="1:8">
      <c r="A1199" s="10" t="s">
        <v>172</v>
      </c>
      <c r="B1199" s="19" t="s">
        <v>1919</v>
      </c>
      <c r="C1199" s="16" t="s">
        <v>1841</v>
      </c>
      <c r="D1199" s="23">
        <v>2</v>
      </c>
      <c r="E1199" s="24">
        <v>435000</v>
      </c>
      <c r="F1199" s="10" t="s">
        <v>172</v>
      </c>
      <c r="G1199" s="10" t="s">
        <v>172</v>
      </c>
      <c r="H1199" s="10" t="s">
        <v>172</v>
      </c>
    </row>
    <row r="1200" s="9" customFormat="1" ht="37" customHeight="1" spans="1:8">
      <c r="A1200" s="10" t="s">
        <v>172</v>
      </c>
      <c r="B1200" s="19" t="s">
        <v>1294</v>
      </c>
      <c r="C1200" s="20" t="s">
        <v>182</v>
      </c>
      <c r="D1200" s="21">
        <v>1</v>
      </c>
      <c r="E1200" s="22">
        <v>0</v>
      </c>
      <c r="F1200" s="10" t="s">
        <v>172</v>
      </c>
      <c r="G1200" s="10" t="s">
        <v>172</v>
      </c>
      <c r="H1200" s="10" t="s">
        <v>172</v>
      </c>
    </row>
    <row r="1201" s="9" customFormat="1" ht="17" customHeight="1" spans="1:8">
      <c r="A1201" s="10" t="s">
        <v>172</v>
      </c>
      <c r="B1201" s="19" t="s">
        <v>1294</v>
      </c>
      <c r="C1201" s="16" t="s">
        <v>1841</v>
      </c>
      <c r="D1201" s="23">
        <v>1</v>
      </c>
      <c r="E1201" s="24">
        <v>0</v>
      </c>
      <c r="F1201" s="10" t="s">
        <v>172</v>
      </c>
      <c r="G1201" s="10" t="s">
        <v>172</v>
      </c>
      <c r="H1201" s="10" t="s">
        <v>172</v>
      </c>
    </row>
    <row r="1202" s="9" customFormat="1" ht="37" customHeight="1" spans="1:8">
      <c r="A1202" s="10" t="s">
        <v>172</v>
      </c>
      <c r="B1202" s="19" t="s">
        <v>1920</v>
      </c>
      <c r="C1202" s="20" t="s">
        <v>182</v>
      </c>
      <c r="D1202" s="21">
        <v>1</v>
      </c>
      <c r="E1202" s="22">
        <v>190000</v>
      </c>
      <c r="F1202" s="10" t="s">
        <v>172</v>
      </c>
      <c r="G1202" s="10" t="s">
        <v>172</v>
      </c>
      <c r="H1202" s="10" t="s">
        <v>172</v>
      </c>
    </row>
    <row r="1203" s="9" customFormat="1" ht="17" customHeight="1" spans="1:8">
      <c r="A1203" s="10" t="s">
        <v>172</v>
      </c>
      <c r="B1203" s="19" t="s">
        <v>1920</v>
      </c>
      <c r="C1203" s="16" t="s">
        <v>1841</v>
      </c>
      <c r="D1203" s="23">
        <v>1</v>
      </c>
      <c r="E1203" s="24">
        <v>190000</v>
      </c>
      <c r="F1203" s="10" t="s">
        <v>172</v>
      </c>
      <c r="G1203" s="10" t="s">
        <v>172</v>
      </c>
      <c r="H1203" s="10" t="s">
        <v>172</v>
      </c>
    </row>
    <row r="1204" s="9" customFormat="1" ht="37" customHeight="1" spans="1:8">
      <c r="A1204" s="10" t="s">
        <v>172</v>
      </c>
      <c r="B1204" s="19" t="s">
        <v>1921</v>
      </c>
      <c r="C1204" s="20" t="s">
        <v>182</v>
      </c>
      <c r="D1204" s="21">
        <v>1</v>
      </c>
      <c r="E1204" s="22">
        <v>365000</v>
      </c>
      <c r="F1204" s="10" t="s">
        <v>172</v>
      </c>
      <c r="G1204" s="10" t="s">
        <v>172</v>
      </c>
      <c r="H1204" s="10" t="s">
        <v>172</v>
      </c>
    </row>
    <row r="1205" s="9" customFormat="1" ht="17" customHeight="1" spans="1:8">
      <c r="A1205" s="10" t="s">
        <v>172</v>
      </c>
      <c r="B1205" s="19" t="s">
        <v>1921</v>
      </c>
      <c r="C1205" s="16" t="s">
        <v>1841</v>
      </c>
      <c r="D1205" s="23">
        <v>1</v>
      </c>
      <c r="E1205" s="24">
        <v>365000</v>
      </c>
      <c r="F1205" s="10" t="s">
        <v>172</v>
      </c>
      <c r="G1205" s="10" t="s">
        <v>172</v>
      </c>
      <c r="H1205" s="10" t="s">
        <v>172</v>
      </c>
    </row>
    <row r="1206" s="9" customFormat="1" ht="37" customHeight="1" spans="1:8">
      <c r="A1206" s="10" t="s">
        <v>172</v>
      </c>
      <c r="B1206" s="19" t="s">
        <v>728</v>
      </c>
      <c r="C1206" s="20" t="s">
        <v>182</v>
      </c>
      <c r="D1206" s="21">
        <v>3</v>
      </c>
      <c r="E1206" s="22">
        <v>302702.702703</v>
      </c>
      <c r="F1206" s="10" t="s">
        <v>172</v>
      </c>
      <c r="G1206" s="10" t="s">
        <v>172</v>
      </c>
      <c r="H1206" s="10" t="s">
        <v>172</v>
      </c>
    </row>
    <row r="1207" s="9" customFormat="1" ht="17" customHeight="1" spans="1:8">
      <c r="A1207" s="10" t="s">
        <v>172</v>
      </c>
      <c r="B1207" s="19" t="s">
        <v>728</v>
      </c>
      <c r="C1207" s="16" t="s">
        <v>1841</v>
      </c>
      <c r="D1207" s="23">
        <v>3</v>
      </c>
      <c r="E1207" s="24">
        <v>302702.702703</v>
      </c>
      <c r="F1207" s="10" t="s">
        <v>172</v>
      </c>
      <c r="G1207" s="10" t="s">
        <v>172</v>
      </c>
      <c r="H1207" s="10" t="s">
        <v>172</v>
      </c>
    </row>
    <row r="1208" s="9" customFormat="1" ht="37" customHeight="1" spans="1:8">
      <c r="A1208" s="10" t="s">
        <v>172</v>
      </c>
      <c r="B1208" s="19" t="s">
        <v>382</v>
      </c>
      <c r="C1208" s="20" t="s">
        <v>182</v>
      </c>
      <c r="D1208" s="21">
        <v>1</v>
      </c>
      <c r="E1208" s="22">
        <v>100900.900901</v>
      </c>
      <c r="F1208" s="10" t="s">
        <v>172</v>
      </c>
      <c r="G1208" s="10" t="s">
        <v>172</v>
      </c>
      <c r="H1208" s="10" t="s">
        <v>172</v>
      </c>
    </row>
    <row r="1209" s="9" customFormat="1" ht="17" customHeight="1" spans="1:8">
      <c r="A1209" s="10" t="s">
        <v>172</v>
      </c>
      <c r="B1209" s="19" t="s">
        <v>382</v>
      </c>
      <c r="C1209" s="16" t="s">
        <v>1841</v>
      </c>
      <c r="D1209" s="23">
        <v>1</v>
      </c>
      <c r="E1209" s="24">
        <v>100900.900901</v>
      </c>
      <c r="F1209" s="10" t="s">
        <v>172</v>
      </c>
      <c r="G1209" s="10" t="s">
        <v>172</v>
      </c>
      <c r="H1209" s="10" t="s">
        <v>172</v>
      </c>
    </row>
    <row r="1210" s="9" customFormat="1" ht="37" customHeight="1" spans="1:8">
      <c r="A1210" s="10" t="s">
        <v>172</v>
      </c>
      <c r="B1210" s="20" t="s">
        <v>316</v>
      </c>
      <c r="C1210" s="20" t="s">
        <v>182</v>
      </c>
      <c r="D1210" s="21">
        <v>3</v>
      </c>
      <c r="E1210" s="22">
        <v>244515.457461</v>
      </c>
      <c r="F1210" s="10" t="s">
        <v>172</v>
      </c>
      <c r="G1210" s="10" t="s">
        <v>172</v>
      </c>
      <c r="H1210" s="10" t="s">
        <v>172</v>
      </c>
    </row>
    <row r="1211" s="9" customFormat="1" ht="1" customHeight="1" spans="1:8">
      <c r="A1211" s="10" t="s">
        <v>172</v>
      </c>
      <c r="B1211" s="25"/>
      <c r="C1211" s="25"/>
      <c r="D1211" s="25"/>
      <c r="E1211" s="25"/>
      <c r="F1211" s="25"/>
      <c r="G1211" s="25"/>
      <c r="H1211" s="10" t="s">
        <v>172</v>
      </c>
    </row>
    <row r="1212" s="9" customFormat="1" ht="13" customHeight="1" spans="1:8">
      <c r="A1212" s="10" t="s">
        <v>172</v>
      </c>
      <c r="B1212" s="26"/>
      <c r="C1212" s="26"/>
      <c r="D1212" s="26"/>
      <c r="E1212" s="26"/>
      <c r="F1212" s="26"/>
      <c r="G1212" s="26"/>
      <c r="H1212" s="10" t="s">
        <v>172</v>
      </c>
    </row>
    <row r="1213" s="9" customFormat="1" ht="13" customHeight="1" spans="1:8">
      <c r="A1213" s="10" t="s">
        <v>172</v>
      </c>
      <c r="B1213" s="26"/>
      <c r="C1213" s="26"/>
      <c r="D1213" s="26"/>
      <c r="E1213" s="26"/>
      <c r="F1213" s="26"/>
      <c r="G1213" s="26"/>
      <c r="H1213" s="10" t="s">
        <v>172</v>
      </c>
    </row>
    <row r="1214" s="9" customFormat="1" ht="13" customHeight="1" spans="1:8">
      <c r="A1214" s="10" t="s">
        <v>172</v>
      </c>
      <c r="B1214" s="26"/>
      <c r="C1214" s="26"/>
      <c r="D1214" s="26"/>
      <c r="E1214" s="26"/>
      <c r="F1214" s="26"/>
      <c r="G1214" s="26"/>
      <c r="H1214" s="10" t="s">
        <v>172</v>
      </c>
    </row>
    <row r="1215" s="9" customFormat="1" ht="13" customHeight="1" spans="1:8">
      <c r="A1215" s="10" t="s">
        <v>172</v>
      </c>
      <c r="B1215" s="26"/>
      <c r="C1215" s="26"/>
      <c r="D1215" s="26"/>
      <c r="E1215" s="26"/>
      <c r="F1215" s="26"/>
      <c r="G1215" s="27" t="s">
        <v>1847</v>
      </c>
      <c r="H1215" s="10" t="s">
        <v>172</v>
      </c>
    </row>
    <row r="1216" s="9" customFormat="1" ht="17" customHeight="1" spans="1:8">
      <c r="A1216" s="10" t="s">
        <v>172</v>
      </c>
      <c r="B1216" s="11"/>
      <c r="C1216" s="11"/>
      <c r="D1216" s="11"/>
      <c r="E1216" s="11"/>
      <c r="F1216" s="11"/>
      <c r="G1216" s="11"/>
      <c r="H1216" s="10" t="s">
        <v>172</v>
      </c>
    </row>
    <row r="1217" s="9" customFormat="1" ht="23" customHeight="1" spans="1:8">
      <c r="A1217" s="10" t="s">
        <v>172</v>
      </c>
      <c r="B1217" s="12"/>
      <c r="C1217" s="12"/>
      <c r="D1217" s="12"/>
      <c r="E1217" s="12"/>
      <c r="F1217" s="12"/>
      <c r="G1217" s="12"/>
      <c r="H1217" s="10" t="s">
        <v>172</v>
      </c>
    </row>
    <row r="1218" s="9" customFormat="1" ht="16" customHeight="1" spans="1:8">
      <c r="A1218" s="10" t="s">
        <v>172</v>
      </c>
      <c r="B1218" s="13"/>
      <c r="C1218" s="13"/>
      <c r="D1218" s="13"/>
      <c r="E1218" s="13"/>
      <c r="F1218" s="13"/>
      <c r="G1218" s="13"/>
      <c r="H1218" s="10" t="s">
        <v>172</v>
      </c>
    </row>
    <row r="1219" s="9" customFormat="1" ht="12" customHeight="1" spans="1:8">
      <c r="A1219" s="10" t="s">
        <v>172</v>
      </c>
      <c r="B1219" s="14"/>
      <c r="C1219" s="14"/>
      <c r="D1219" s="14"/>
      <c r="E1219" s="14"/>
      <c r="F1219" s="14"/>
      <c r="G1219" s="14"/>
      <c r="H1219" s="10" t="s">
        <v>172</v>
      </c>
    </row>
    <row r="1220" s="9" customFormat="1" ht="17" customHeight="1" spans="1:8">
      <c r="A1220" s="10" t="s">
        <v>172</v>
      </c>
      <c r="B1220" s="15" t="s">
        <v>1836</v>
      </c>
      <c r="C1220" s="16" t="s">
        <v>1837</v>
      </c>
      <c r="D1220" s="17" t="s">
        <v>1838</v>
      </c>
      <c r="E1220" s="18" t="s">
        <v>1839</v>
      </c>
      <c r="F1220" s="10" t="s">
        <v>172</v>
      </c>
      <c r="G1220" s="10" t="s">
        <v>172</v>
      </c>
      <c r="H1220" s="10" t="s">
        <v>172</v>
      </c>
    </row>
    <row r="1221" s="9" customFormat="1" ht="26" customHeight="1" spans="1:8">
      <c r="A1221" s="10" t="s">
        <v>172</v>
      </c>
      <c r="B1221" s="19" t="s">
        <v>316</v>
      </c>
      <c r="C1221" s="20" t="s">
        <v>804</v>
      </c>
      <c r="D1221" s="21">
        <v>11</v>
      </c>
      <c r="E1221" s="22">
        <v>911711.945947</v>
      </c>
      <c r="F1221" s="10" t="s">
        <v>172</v>
      </c>
      <c r="G1221" s="10" t="s">
        <v>172</v>
      </c>
      <c r="H1221" s="10" t="s">
        <v>172</v>
      </c>
    </row>
    <row r="1222" s="9" customFormat="1" ht="17" customHeight="1" spans="1:8">
      <c r="A1222" s="10" t="s">
        <v>172</v>
      </c>
      <c r="B1222" s="19" t="s">
        <v>316</v>
      </c>
      <c r="C1222" s="16" t="s">
        <v>1841</v>
      </c>
      <c r="D1222" s="23">
        <v>14</v>
      </c>
      <c r="E1222" s="24">
        <v>1156227.403408</v>
      </c>
      <c r="F1222" s="10" t="s">
        <v>172</v>
      </c>
      <c r="G1222" s="10" t="s">
        <v>172</v>
      </c>
      <c r="H1222" s="10" t="s">
        <v>172</v>
      </c>
    </row>
    <row r="1223" s="9" customFormat="1" ht="37" customHeight="1" spans="1:8">
      <c r="A1223" s="10" t="s">
        <v>172</v>
      </c>
      <c r="B1223" s="19" t="s">
        <v>383</v>
      </c>
      <c r="C1223" s="20" t="s">
        <v>182</v>
      </c>
      <c r="D1223" s="21">
        <v>11</v>
      </c>
      <c r="E1223" s="22">
        <v>315315.31532</v>
      </c>
      <c r="F1223" s="10" t="s">
        <v>172</v>
      </c>
      <c r="G1223" s="10" t="s">
        <v>172</v>
      </c>
      <c r="H1223" s="10" t="s">
        <v>172</v>
      </c>
    </row>
    <row r="1224" s="9" customFormat="1" ht="26" customHeight="1" spans="1:8">
      <c r="A1224" s="10" t="s">
        <v>172</v>
      </c>
      <c r="B1224" s="19" t="s">
        <v>383</v>
      </c>
      <c r="C1224" s="20" t="s">
        <v>804</v>
      </c>
      <c r="D1224" s="21">
        <v>18</v>
      </c>
      <c r="E1224" s="22">
        <v>536036.036043</v>
      </c>
      <c r="F1224" s="10" t="s">
        <v>172</v>
      </c>
      <c r="G1224" s="10" t="s">
        <v>172</v>
      </c>
      <c r="H1224" s="10" t="s">
        <v>172</v>
      </c>
    </row>
    <row r="1225" s="9" customFormat="1" ht="17" customHeight="1" spans="1:8">
      <c r="A1225" s="10" t="s">
        <v>172</v>
      </c>
      <c r="B1225" s="19" t="s">
        <v>383</v>
      </c>
      <c r="C1225" s="16" t="s">
        <v>1841</v>
      </c>
      <c r="D1225" s="23">
        <v>29</v>
      </c>
      <c r="E1225" s="24">
        <v>851351.351363</v>
      </c>
      <c r="F1225" s="10" t="s">
        <v>172</v>
      </c>
      <c r="G1225" s="10" t="s">
        <v>172</v>
      </c>
      <c r="H1225" s="10" t="s">
        <v>172</v>
      </c>
    </row>
    <row r="1226" s="9" customFormat="1" ht="37" customHeight="1" spans="1:8">
      <c r="A1226" s="10" t="s">
        <v>172</v>
      </c>
      <c r="B1226" s="19" t="s">
        <v>384</v>
      </c>
      <c r="C1226" s="20" t="s">
        <v>182</v>
      </c>
      <c r="D1226" s="21">
        <v>1</v>
      </c>
      <c r="E1226" s="22">
        <v>82882.882883</v>
      </c>
      <c r="F1226" s="10" t="s">
        <v>172</v>
      </c>
      <c r="G1226" s="10" t="s">
        <v>172</v>
      </c>
      <c r="H1226" s="10" t="s">
        <v>172</v>
      </c>
    </row>
    <row r="1227" s="9" customFormat="1" ht="26" customHeight="1" spans="1:8">
      <c r="A1227" s="10" t="s">
        <v>172</v>
      </c>
      <c r="B1227" s="19" t="s">
        <v>384</v>
      </c>
      <c r="C1227" s="20" t="s">
        <v>804</v>
      </c>
      <c r="D1227" s="21">
        <v>5</v>
      </c>
      <c r="E1227" s="22">
        <v>414414.414415</v>
      </c>
      <c r="F1227" s="10" t="s">
        <v>172</v>
      </c>
      <c r="G1227" s="10" t="s">
        <v>172</v>
      </c>
      <c r="H1227" s="10" t="s">
        <v>172</v>
      </c>
    </row>
    <row r="1228" s="9" customFormat="1" ht="17" customHeight="1" spans="1:8">
      <c r="A1228" s="10" t="s">
        <v>172</v>
      </c>
      <c r="B1228" s="19" t="s">
        <v>384</v>
      </c>
      <c r="C1228" s="16" t="s">
        <v>1841</v>
      </c>
      <c r="D1228" s="23">
        <v>6</v>
      </c>
      <c r="E1228" s="24">
        <v>497297.297298</v>
      </c>
      <c r="F1228" s="10" t="s">
        <v>172</v>
      </c>
      <c r="G1228" s="10" t="s">
        <v>172</v>
      </c>
      <c r="H1228" s="10" t="s">
        <v>172</v>
      </c>
    </row>
    <row r="1229" s="9" customFormat="1" ht="37" customHeight="1" spans="1:8">
      <c r="A1229" s="10" t="s">
        <v>172</v>
      </c>
      <c r="B1229" s="19" t="s">
        <v>518</v>
      </c>
      <c r="C1229" s="20" t="s">
        <v>182</v>
      </c>
      <c r="D1229" s="21">
        <v>9</v>
      </c>
      <c r="E1229" s="22">
        <v>283783.720724</v>
      </c>
      <c r="F1229" s="10" t="s">
        <v>172</v>
      </c>
      <c r="G1229" s="10" t="s">
        <v>172</v>
      </c>
      <c r="H1229" s="10" t="s">
        <v>172</v>
      </c>
    </row>
    <row r="1230" s="9" customFormat="1" ht="26" customHeight="1" spans="1:8">
      <c r="A1230" s="10" t="s">
        <v>172</v>
      </c>
      <c r="B1230" s="19" t="s">
        <v>518</v>
      </c>
      <c r="C1230" s="20" t="s">
        <v>804</v>
      </c>
      <c r="D1230" s="21">
        <v>8</v>
      </c>
      <c r="E1230" s="22">
        <v>252252.252255</v>
      </c>
      <c r="F1230" s="10" t="s">
        <v>172</v>
      </c>
      <c r="G1230" s="10" t="s">
        <v>172</v>
      </c>
      <c r="H1230" s="10" t="s">
        <v>172</v>
      </c>
    </row>
    <row r="1231" s="9" customFormat="1" ht="17" customHeight="1" spans="1:8">
      <c r="A1231" s="10" t="s">
        <v>172</v>
      </c>
      <c r="B1231" s="19" t="s">
        <v>518</v>
      </c>
      <c r="C1231" s="16" t="s">
        <v>1841</v>
      </c>
      <c r="D1231" s="23">
        <v>17</v>
      </c>
      <c r="E1231" s="24">
        <v>536035.972979</v>
      </c>
      <c r="F1231" s="10" t="s">
        <v>172</v>
      </c>
      <c r="G1231" s="10" t="s">
        <v>172</v>
      </c>
      <c r="H1231" s="10" t="s">
        <v>172</v>
      </c>
    </row>
    <row r="1232" s="9" customFormat="1" ht="37" customHeight="1" spans="1:8">
      <c r="A1232" s="10" t="s">
        <v>172</v>
      </c>
      <c r="B1232" s="19" t="s">
        <v>1922</v>
      </c>
      <c r="C1232" s="20" t="s">
        <v>182</v>
      </c>
      <c r="D1232" s="21">
        <v>1</v>
      </c>
      <c r="E1232" s="22">
        <v>0</v>
      </c>
      <c r="F1232" s="10" t="s">
        <v>172</v>
      </c>
      <c r="G1232" s="10" t="s">
        <v>172</v>
      </c>
      <c r="H1232" s="10" t="s">
        <v>172</v>
      </c>
    </row>
    <row r="1233" s="9" customFormat="1" ht="17" customHeight="1" spans="1:8">
      <c r="A1233" s="10" t="s">
        <v>172</v>
      </c>
      <c r="B1233" s="19" t="s">
        <v>1922</v>
      </c>
      <c r="C1233" s="16" t="s">
        <v>1841</v>
      </c>
      <c r="D1233" s="23">
        <v>1</v>
      </c>
      <c r="E1233" s="24">
        <v>0</v>
      </c>
      <c r="F1233" s="10" t="s">
        <v>172</v>
      </c>
      <c r="G1233" s="10" t="s">
        <v>172</v>
      </c>
      <c r="H1233" s="10" t="s">
        <v>172</v>
      </c>
    </row>
    <row r="1234" s="9" customFormat="1" ht="1" customHeight="1" spans="1:8">
      <c r="A1234" s="10" t="s">
        <v>172</v>
      </c>
      <c r="B1234" s="25"/>
      <c r="C1234" s="25"/>
      <c r="D1234" s="25"/>
      <c r="E1234" s="25"/>
      <c r="F1234" s="25"/>
      <c r="G1234" s="25"/>
      <c r="H1234" s="10" t="s">
        <v>172</v>
      </c>
    </row>
    <row r="1235" s="9" customFormat="1" ht="13" customHeight="1" spans="1:8">
      <c r="A1235" s="10" t="s">
        <v>172</v>
      </c>
      <c r="B1235" s="26"/>
      <c r="C1235" s="26"/>
      <c r="D1235" s="26"/>
      <c r="E1235" s="26"/>
      <c r="F1235" s="26"/>
      <c r="G1235" s="26"/>
      <c r="H1235" s="10" t="s">
        <v>172</v>
      </c>
    </row>
    <row r="1236" s="9" customFormat="1" ht="13" customHeight="1" spans="1:8">
      <c r="A1236" s="10" t="s">
        <v>172</v>
      </c>
      <c r="B1236" s="26"/>
      <c r="C1236" s="26"/>
      <c r="D1236" s="26"/>
      <c r="E1236" s="26"/>
      <c r="F1236" s="26"/>
      <c r="G1236" s="26"/>
      <c r="H1236" s="10" t="s">
        <v>172</v>
      </c>
    </row>
    <row r="1237" s="9" customFormat="1" ht="13" customHeight="1" spans="1:8">
      <c r="A1237" s="10" t="s">
        <v>172</v>
      </c>
      <c r="B1237" s="26"/>
      <c r="C1237" s="26"/>
      <c r="D1237" s="26"/>
      <c r="E1237" s="26"/>
      <c r="F1237" s="26"/>
      <c r="G1237" s="26"/>
      <c r="H1237" s="10" t="s">
        <v>172</v>
      </c>
    </row>
    <row r="1238" s="9" customFormat="1" ht="13" customHeight="1" spans="1:8">
      <c r="A1238" s="10" t="s">
        <v>172</v>
      </c>
      <c r="B1238" s="26"/>
      <c r="C1238" s="26"/>
      <c r="D1238" s="26"/>
      <c r="E1238" s="26"/>
      <c r="F1238" s="26"/>
      <c r="G1238" s="27" t="s">
        <v>1847</v>
      </c>
      <c r="H1238" s="10" t="s">
        <v>172</v>
      </c>
    </row>
    <row r="1239" s="9" customFormat="1" ht="17" customHeight="1" spans="1:8">
      <c r="A1239" s="10" t="s">
        <v>172</v>
      </c>
      <c r="B1239" s="11"/>
      <c r="C1239" s="11"/>
      <c r="D1239" s="11"/>
      <c r="E1239" s="11"/>
      <c r="F1239" s="11"/>
      <c r="G1239" s="11"/>
      <c r="H1239" s="10" t="s">
        <v>172</v>
      </c>
    </row>
    <row r="1240" s="9" customFormat="1" ht="23" customHeight="1" spans="1:8">
      <c r="A1240" s="10" t="s">
        <v>172</v>
      </c>
      <c r="B1240" s="12"/>
      <c r="C1240" s="12"/>
      <c r="D1240" s="12"/>
      <c r="E1240" s="12"/>
      <c r="F1240" s="12"/>
      <c r="G1240" s="12"/>
      <c r="H1240" s="10" t="s">
        <v>172</v>
      </c>
    </row>
    <row r="1241" s="9" customFormat="1" ht="16" customHeight="1" spans="1:8">
      <c r="A1241" s="10" t="s">
        <v>172</v>
      </c>
      <c r="B1241" s="13"/>
      <c r="C1241" s="13"/>
      <c r="D1241" s="13"/>
      <c r="E1241" s="13"/>
      <c r="F1241" s="13"/>
      <c r="G1241" s="13"/>
      <c r="H1241" s="10" t="s">
        <v>172</v>
      </c>
    </row>
    <row r="1242" s="9" customFormat="1" ht="12" customHeight="1" spans="1:8">
      <c r="A1242" s="10" t="s">
        <v>172</v>
      </c>
      <c r="B1242" s="14"/>
      <c r="C1242" s="14"/>
      <c r="D1242" s="14"/>
      <c r="E1242" s="14"/>
      <c r="F1242" s="14"/>
      <c r="G1242" s="14"/>
      <c r="H1242" s="10" t="s">
        <v>172</v>
      </c>
    </row>
    <row r="1243" s="9" customFormat="1" ht="17" customHeight="1" spans="1:8">
      <c r="A1243" s="10" t="s">
        <v>172</v>
      </c>
      <c r="B1243" s="15" t="s">
        <v>1836</v>
      </c>
      <c r="C1243" s="16" t="s">
        <v>1837</v>
      </c>
      <c r="D1243" s="17" t="s">
        <v>1838</v>
      </c>
      <c r="E1243" s="18" t="s">
        <v>1839</v>
      </c>
      <c r="F1243" s="10" t="s">
        <v>172</v>
      </c>
      <c r="G1243" s="10" t="s">
        <v>172</v>
      </c>
      <c r="H1243" s="10" t="s">
        <v>172</v>
      </c>
    </row>
    <row r="1244" s="9" customFormat="1" ht="37" customHeight="1" spans="1:8">
      <c r="A1244" s="10" t="s">
        <v>172</v>
      </c>
      <c r="B1244" s="19" t="s">
        <v>1923</v>
      </c>
      <c r="C1244" s="20" t="s">
        <v>182</v>
      </c>
      <c r="D1244" s="21">
        <v>2</v>
      </c>
      <c r="E1244" s="22">
        <v>0</v>
      </c>
      <c r="F1244" s="10" t="s">
        <v>172</v>
      </c>
      <c r="G1244" s="10" t="s">
        <v>172</v>
      </c>
      <c r="H1244" s="10" t="s">
        <v>172</v>
      </c>
    </row>
    <row r="1245" s="9" customFormat="1" ht="17" customHeight="1" spans="1:8">
      <c r="A1245" s="10" t="s">
        <v>172</v>
      </c>
      <c r="B1245" s="19" t="s">
        <v>1923</v>
      </c>
      <c r="C1245" s="16" t="s">
        <v>1841</v>
      </c>
      <c r="D1245" s="23">
        <v>2</v>
      </c>
      <c r="E1245" s="24">
        <v>0</v>
      </c>
      <c r="F1245" s="10" t="s">
        <v>172</v>
      </c>
      <c r="G1245" s="10" t="s">
        <v>172</v>
      </c>
      <c r="H1245" s="10" t="s">
        <v>172</v>
      </c>
    </row>
    <row r="1246" s="9" customFormat="1" ht="37" customHeight="1" spans="1:8">
      <c r="A1246" s="10" t="s">
        <v>172</v>
      </c>
      <c r="B1246" s="19" t="s">
        <v>1924</v>
      </c>
      <c r="C1246" s="20" t="s">
        <v>182</v>
      </c>
      <c r="D1246" s="21">
        <v>1</v>
      </c>
      <c r="E1246" s="22">
        <v>328000</v>
      </c>
      <c r="F1246" s="10" t="s">
        <v>172</v>
      </c>
      <c r="G1246" s="10" t="s">
        <v>172</v>
      </c>
      <c r="H1246" s="10" t="s">
        <v>172</v>
      </c>
    </row>
    <row r="1247" s="9" customFormat="1" ht="17" customHeight="1" spans="1:8">
      <c r="A1247" s="10" t="s">
        <v>172</v>
      </c>
      <c r="B1247" s="19" t="s">
        <v>1924</v>
      </c>
      <c r="C1247" s="16" t="s">
        <v>1841</v>
      </c>
      <c r="D1247" s="23">
        <v>1</v>
      </c>
      <c r="E1247" s="24">
        <v>328000</v>
      </c>
      <c r="F1247" s="10" t="s">
        <v>172</v>
      </c>
      <c r="G1247" s="10" t="s">
        <v>172</v>
      </c>
      <c r="H1247" s="10" t="s">
        <v>172</v>
      </c>
    </row>
    <row r="1248" s="9" customFormat="1" ht="37" customHeight="1" spans="1:8">
      <c r="A1248" s="10" t="s">
        <v>172</v>
      </c>
      <c r="B1248" s="19" t="s">
        <v>1925</v>
      </c>
      <c r="C1248" s="20" t="s">
        <v>182</v>
      </c>
      <c r="D1248" s="21">
        <v>2</v>
      </c>
      <c r="E1248" s="22">
        <v>912000</v>
      </c>
      <c r="F1248" s="10" t="s">
        <v>172</v>
      </c>
      <c r="G1248" s="10" t="s">
        <v>172</v>
      </c>
      <c r="H1248" s="10" t="s">
        <v>172</v>
      </c>
    </row>
    <row r="1249" s="9" customFormat="1" ht="17" customHeight="1" spans="1:8">
      <c r="A1249" s="10" t="s">
        <v>172</v>
      </c>
      <c r="B1249" s="19" t="s">
        <v>1925</v>
      </c>
      <c r="C1249" s="16" t="s">
        <v>1841</v>
      </c>
      <c r="D1249" s="23">
        <v>2</v>
      </c>
      <c r="E1249" s="24">
        <v>912000</v>
      </c>
      <c r="F1249" s="10" t="s">
        <v>172</v>
      </c>
      <c r="G1249" s="10" t="s">
        <v>172</v>
      </c>
      <c r="H1249" s="10" t="s">
        <v>172</v>
      </c>
    </row>
    <row r="1250" s="9" customFormat="1" ht="37" customHeight="1" spans="1:8">
      <c r="A1250" s="10" t="s">
        <v>172</v>
      </c>
      <c r="B1250" s="19" t="s">
        <v>1926</v>
      </c>
      <c r="C1250" s="20" t="s">
        <v>182</v>
      </c>
      <c r="D1250" s="21">
        <v>2</v>
      </c>
      <c r="E1250" s="22">
        <v>1730000</v>
      </c>
      <c r="F1250" s="10" t="s">
        <v>172</v>
      </c>
      <c r="G1250" s="10" t="s">
        <v>172</v>
      </c>
      <c r="H1250" s="10" t="s">
        <v>172</v>
      </c>
    </row>
    <row r="1251" s="9" customFormat="1" ht="17" customHeight="1" spans="1:8">
      <c r="A1251" s="10" t="s">
        <v>172</v>
      </c>
      <c r="B1251" s="19" t="s">
        <v>1926</v>
      </c>
      <c r="C1251" s="16" t="s">
        <v>1841</v>
      </c>
      <c r="D1251" s="23">
        <v>2</v>
      </c>
      <c r="E1251" s="24">
        <v>1730000</v>
      </c>
      <c r="F1251" s="10" t="s">
        <v>172</v>
      </c>
      <c r="G1251" s="10" t="s">
        <v>172</v>
      </c>
      <c r="H1251" s="10" t="s">
        <v>172</v>
      </c>
    </row>
    <row r="1252" s="9" customFormat="1" ht="26" customHeight="1" spans="1:8">
      <c r="A1252" s="10" t="s">
        <v>172</v>
      </c>
      <c r="B1252" s="19" t="s">
        <v>733</v>
      </c>
      <c r="C1252" s="20" t="s">
        <v>804</v>
      </c>
      <c r="D1252" s="21">
        <v>2</v>
      </c>
      <c r="E1252" s="22">
        <v>145946</v>
      </c>
      <c r="F1252" s="10" t="s">
        <v>172</v>
      </c>
      <c r="G1252" s="10" t="s">
        <v>172</v>
      </c>
      <c r="H1252" s="10" t="s">
        <v>172</v>
      </c>
    </row>
    <row r="1253" s="9" customFormat="1" ht="17" customHeight="1" spans="1:8">
      <c r="A1253" s="10" t="s">
        <v>172</v>
      </c>
      <c r="B1253" s="19" t="s">
        <v>733</v>
      </c>
      <c r="C1253" s="16" t="s">
        <v>1841</v>
      </c>
      <c r="D1253" s="23">
        <v>2</v>
      </c>
      <c r="E1253" s="24">
        <v>145946</v>
      </c>
      <c r="F1253" s="10" t="s">
        <v>172</v>
      </c>
      <c r="G1253" s="10" t="s">
        <v>172</v>
      </c>
      <c r="H1253" s="10" t="s">
        <v>172</v>
      </c>
    </row>
    <row r="1254" s="9" customFormat="1" ht="26" customHeight="1" spans="1:8">
      <c r="A1254" s="10" t="s">
        <v>172</v>
      </c>
      <c r="B1254" s="19" t="s">
        <v>318</v>
      </c>
      <c r="C1254" s="20" t="s">
        <v>804</v>
      </c>
      <c r="D1254" s="21">
        <v>1</v>
      </c>
      <c r="E1254" s="22">
        <v>0</v>
      </c>
      <c r="F1254" s="10" t="s">
        <v>172</v>
      </c>
      <c r="G1254" s="10" t="s">
        <v>172</v>
      </c>
      <c r="H1254" s="10" t="s">
        <v>172</v>
      </c>
    </row>
    <row r="1255" s="9" customFormat="1" ht="17" customHeight="1" spans="1:8">
      <c r="A1255" s="10" t="s">
        <v>172</v>
      </c>
      <c r="B1255" s="19" t="s">
        <v>318</v>
      </c>
      <c r="C1255" s="16" t="s">
        <v>1841</v>
      </c>
      <c r="D1255" s="23">
        <v>1</v>
      </c>
      <c r="E1255" s="24">
        <v>0</v>
      </c>
      <c r="F1255" s="10" t="s">
        <v>172</v>
      </c>
      <c r="G1255" s="10" t="s">
        <v>172</v>
      </c>
      <c r="H1255" s="10" t="s">
        <v>172</v>
      </c>
    </row>
    <row r="1256" s="9" customFormat="1" ht="37" customHeight="1" spans="1:8">
      <c r="A1256" s="10" t="s">
        <v>172</v>
      </c>
      <c r="B1256" s="19" t="s">
        <v>457</v>
      </c>
      <c r="C1256" s="20" t="s">
        <v>182</v>
      </c>
      <c r="D1256" s="21">
        <v>4</v>
      </c>
      <c r="E1256" s="22">
        <v>962162.162162</v>
      </c>
      <c r="F1256" s="10" t="s">
        <v>172</v>
      </c>
      <c r="G1256" s="10" t="s">
        <v>172</v>
      </c>
      <c r="H1256" s="10" t="s">
        <v>172</v>
      </c>
    </row>
    <row r="1257" s="9" customFormat="1" ht="17" customHeight="1" spans="1:8">
      <c r="A1257" s="10" t="s">
        <v>172</v>
      </c>
      <c r="B1257" s="19" t="s">
        <v>457</v>
      </c>
      <c r="C1257" s="16" t="s">
        <v>1841</v>
      </c>
      <c r="D1257" s="23">
        <v>4</v>
      </c>
      <c r="E1257" s="24">
        <v>962162.162162</v>
      </c>
      <c r="F1257" s="10" t="s">
        <v>172</v>
      </c>
      <c r="G1257" s="10" t="s">
        <v>172</v>
      </c>
      <c r="H1257" s="10" t="s">
        <v>172</v>
      </c>
    </row>
    <row r="1258" s="9" customFormat="1" ht="1" customHeight="1" spans="1:8">
      <c r="A1258" s="10" t="s">
        <v>172</v>
      </c>
      <c r="B1258" s="25"/>
      <c r="C1258" s="25"/>
      <c r="D1258" s="25"/>
      <c r="E1258" s="25"/>
      <c r="F1258" s="25"/>
      <c r="G1258" s="25"/>
      <c r="H1258" s="10" t="s">
        <v>172</v>
      </c>
    </row>
    <row r="1259" s="9" customFormat="1" ht="13" customHeight="1" spans="1:8">
      <c r="A1259" s="10" t="s">
        <v>172</v>
      </c>
      <c r="B1259" s="26"/>
      <c r="C1259" s="26"/>
      <c r="D1259" s="26"/>
      <c r="E1259" s="26"/>
      <c r="F1259" s="26"/>
      <c r="G1259" s="26"/>
      <c r="H1259" s="10" t="s">
        <v>172</v>
      </c>
    </row>
    <row r="1260" s="9" customFormat="1" ht="13" customHeight="1" spans="1:8">
      <c r="A1260" s="10" t="s">
        <v>172</v>
      </c>
      <c r="B1260" s="26"/>
      <c r="C1260" s="26"/>
      <c r="D1260" s="26"/>
      <c r="E1260" s="26"/>
      <c r="F1260" s="26"/>
      <c r="G1260" s="26"/>
      <c r="H1260" s="10" t="s">
        <v>172</v>
      </c>
    </row>
    <row r="1261" s="9" customFormat="1" ht="13" customHeight="1" spans="1:8">
      <c r="A1261" s="10" t="s">
        <v>172</v>
      </c>
      <c r="B1261" s="26"/>
      <c r="C1261" s="26"/>
      <c r="D1261" s="26"/>
      <c r="E1261" s="26"/>
      <c r="F1261" s="26"/>
      <c r="G1261" s="26"/>
      <c r="H1261" s="10" t="s">
        <v>172</v>
      </c>
    </row>
    <row r="1262" s="9" customFormat="1" ht="13" customHeight="1" spans="1:8">
      <c r="A1262" s="10" t="s">
        <v>172</v>
      </c>
      <c r="B1262" s="26"/>
      <c r="C1262" s="26"/>
      <c r="D1262" s="26"/>
      <c r="E1262" s="26"/>
      <c r="F1262" s="26"/>
      <c r="G1262" s="27" t="s">
        <v>1847</v>
      </c>
      <c r="H1262" s="10" t="s">
        <v>172</v>
      </c>
    </row>
    <row r="1263" s="9" customFormat="1" ht="17" customHeight="1" spans="1:8">
      <c r="A1263" s="10" t="s">
        <v>172</v>
      </c>
      <c r="B1263" s="11"/>
      <c r="C1263" s="11"/>
      <c r="D1263" s="11"/>
      <c r="E1263" s="11"/>
      <c r="F1263" s="11"/>
      <c r="G1263" s="11"/>
      <c r="H1263" s="10" t="s">
        <v>172</v>
      </c>
    </row>
    <row r="1264" s="9" customFormat="1" ht="23" customHeight="1" spans="1:8">
      <c r="A1264" s="10" t="s">
        <v>172</v>
      </c>
      <c r="B1264" s="12"/>
      <c r="C1264" s="12"/>
      <c r="D1264" s="12"/>
      <c r="E1264" s="12"/>
      <c r="F1264" s="12"/>
      <c r="G1264" s="12"/>
      <c r="H1264" s="10" t="s">
        <v>172</v>
      </c>
    </row>
    <row r="1265" s="9" customFormat="1" ht="16" customHeight="1" spans="1:8">
      <c r="A1265" s="10" t="s">
        <v>172</v>
      </c>
      <c r="B1265" s="13"/>
      <c r="C1265" s="13"/>
      <c r="D1265" s="13"/>
      <c r="E1265" s="13"/>
      <c r="F1265" s="13"/>
      <c r="G1265" s="13"/>
      <c r="H1265" s="10" t="s">
        <v>172</v>
      </c>
    </row>
    <row r="1266" s="9" customFormat="1" ht="12" customHeight="1" spans="1:8">
      <c r="A1266" s="10" t="s">
        <v>172</v>
      </c>
      <c r="B1266" s="14"/>
      <c r="C1266" s="14"/>
      <c r="D1266" s="14"/>
      <c r="E1266" s="14"/>
      <c r="F1266" s="14"/>
      <c r="G1266" s="14"/>
      <c r="H1266" s="10" t="s">
        <v>172</v>
      </c>
    </row>
    <row r="1267" s="9" customFormat="1" ht="17" customHeight="1" spans="1:8">
      <c r="A1267" s="10" t="s">
        <v>172</v>
      </c>
      <c r="B1267" s="15" t="s">
        <v>1836</v>
      </c>
      <c r="C1267" s="16" t="s">
        <v>1837</v>
      </c>
      <c r="D1267" s="17" t="s">
        <v>1838</v>
      </c>
      <c r="E1267" s="18" t="s">
        <v>1839</v>
      </c>
      <c r="F1267" s="10" t="s">
        <v>172</v>
      </c>
      <c r="G1267" s="10" t="s">
        <v>172</v>
      </c>
      <c r="H1267" s="10" t="s">
        <v>172</v>
      </c>
    </row>
    <row r="1268" s="9" customFormat="1" ht="37" customHeight="1" spans="1:8">
      <c r="A1268" s="10" t="s">
        <v>172</v>
      </c>
      <c r="B1268" s="19" t="s">
        <v>458</v>
      </c>
      <c r="C1268" s="20" t="s">
        <v>182</v>
      </c>
      <c r="D1268" s="21">
        <v>1</v>
      </c>
      <c r="E1268" s="22">
        <v>919819.837838</v>
      </c>
      <c r="F1268" s="10" t="s">
        <v>172</v>
      </c>
      <c r="G1268" s="10" t="s">
        <v>172</v>
      </c>
      <c r="H1268" s="10" t="s">
        <v>172</v>
      </c>
    </row>
    <row r="1269" s="9" customFormat="1" ht="26" customHeight="1" spans="1:8">
      <c r="A1269" s="10" t="s">
        <v>172</v>
      </c>
      <c r="B1269" s="19" t="s">
        <v>458</v>
      </c>
      <c r="C1269" s="20" t="s">
        <v>804</v>
      </c>
      <c r="D1269" s="21">
        <v>1</v>
      </c>
      <c r="E1269" s="22">
        <v>0</v>
      </c>
      <c r="F1269" s="10" t="s">
        <v>172</v>
      </c>
      <c r="G1269" s="10" t="s">
        <v>172</v>
      </c>
      <c r="H1269" s="10" t="s">
        <v>172</v>
      </c>
    </row>
    <row r="1270" s="9" customFormat="1" ht="17" customHeight="1" spans="1:8">
      <c r="A1270" s="10" t="s">
        <v>172</v>
      </c>
      <c r="B1270" s="19" t="s">
        <v>458</v>
      </c>
      <c r="C1270" s="16" t="s">
        <v>1841</v>
      </c>
      <c r="D1270" s="23">
        <v>2</v>
      </c>
      <c r="E1270" s="24">
        <v>919819.837838</v>
      </c>
      <c r="F1270" s="10" t="s">
        <v>172</v>
      </c>
      <c r="G1270" s="10" t="s">
        <v>172</v>
      </c>
      <c r="H1270" s="10" t="s">
        <v>172</v>
      </c>
    </row>
    <row r="1271" s="9" customFormat="1" ht="37" customHeight="1" spans="1:8">
      <c r="A1271" s="10" t="s">
        <v>172</v>
      </c>
      <c r="B1271" s="19" t="s">
        <v>1927</v>
      </c>
      <c r="C1271" s="20" t="s">
        <v>182</v>
      </c>
      <c r="D1271" s="21">
        <v>12</v>
      </c>
      <c r="E1271" s="22">
        <v>3083207</v>
      </c>
      <c r="F1271" s="10" t="s">
        <v>172</v>
      </c>
      <c r="G1271" s="10" t="s">
        <v>172</v>
      </c>
      <c r="H1271" s="10" t="s">
        <v>172</v>
      </c>
    </row>
    <row r="1272" s="9" customFormat="1" ht="17" customHeight="1" spans="1:8">
      <c r="A1272" s="10" t="s">
        <v>172</v>
      </c>
      <c r="B1272" s="19" t="s">
        <v>1927</v>
      </c>
      <c r="C1272" s="16" t="s">
        <v>1841</v>
      </c>
      <c r="D1272" s="23">
        <v>12</v>
      </c>
      <c r="E1272" s="24">
        <v>3083207</v>
      </c>
      <c r="F1272" s="10" t="s">
        <v>172</v>
      </c>
      <c r="G1272" s="10" t="s">
        <v>172</v>
      </c>
      <c r="H1272" s="10" t="s">
        <v>172</v>
      </c>
    </row>
    <row r="1273" s="9" customFormat="1" ht="37" customHeight="1" spans="1:8">
      <c r="A1273" s="10" t="s">
        <v>172</v>
      </c>
      <c r="B1273" s="19" t="s">
        <v>459</v>
      </c>
      <c r="C1273" s="20" t="s">
        <v>182</v>
      </c>
      <c r="D1273" s="21">
        <v>4</v>
      </c>
      <c r="E1273" s="22">
        <v>600000</v>
      </c>
      <c r="F1273" s="10" t="s">
        <v>172</v>
      </c>
      <c r="G1273" s="10" t="s">
        <v>172</v>
      </c>
      <c r="H1273" s="10" t="s">
        <v>172</v>
      </c>
    </row>
    <row r="1274" s="9" customFormat="1" ht="26" customHeight="1" spans="1:8">
      <c r="A1274" s="10" t="s">
        <v>172</v>
      </c>
      <c r="B1274" s="19" t="s">
        <v>459</v>
      </c>
      <c r="C1274" s="20" t="s">
        <v>804</v>
      </c>
      <c r="D1274" s="21">
        <v>6</v>
      </c>
      <c r="E1274" s="22">
        <v>400000</v>
      </c>
      <c r="F1274" s="10" t="s">
        <v>172</v>
      </c>
      <c r="G1274" s="10" t="s">
        <v>172</v>
      </c>
      <c r="H1274" s="10" t="s">
        <v>172</v>
      </c>
    </row>
    <row r="1275" s="9" customFormat="1" ht="17" customHeight="1" spans="1:8">
      <c r="A1275" s="10" t="s">
        <v>172</v>
      </c>
      <c r="B1275" s="19" t="s">
        <v>459</v>
      </c>
      <c r="C1275" s="16" t="s">
        <v>1841</v>
      </c>
      <c r="D1275" s="23">
        <v>10</v>
      </c>
      <c r="E1275" s="24">
        <v>1000000</v>
      </c>
      <c r="F1275" s="10" t="s">
        <v>172</v>
      </c>
      <c r="G1275" s="10" t="s">
        <v>172</v>
      </c>
      <c r="H1275" s="10" t="s">
        <v>172</v>
      </c>
    </row>
    <row r="1276" s="9" customFormat="1" ht="37" customHeight="1" spans="1:8">
      <c r="A1276" s="10" t="s">
        <v>172</v>
      </c>
      <c r="B1276" s="19" t="s">
        <v>319</v>
      </c>
      <c r="C1276" s="20" t="s">
        <v>182</v>
      </c>
      <c r="D1276" s="21">
        <v>7</v>
      </c>
      <c r="E1276" s="22">
        <v>0</v>
      </c>
      <c r="F1276" s="10" t="s">
        <v>172</v>
      </c>
      <c r="G1276" s="10" t="s">
        <v>172</v>
      </c>
      <c r="H1276" s="10" t="s">
        <v>172</v>
      </c>
    </row>
    <row r="1277" s="9" customFormat="1" ht="26" customHeight="1" spans="1:8">
      <c r="A1277" s="10" t="s">
        <v>172</v>
      </c>
      <c r="B1277" s="19" t="s">
        <v>319</v>
      </c>
      <c r="C1277" s="20" t="s">
        <v>804</v>
      </c>
      <c r="D1277" s="21">
        <v>3</v>
      </c>
      <c r="E1277" s="22">
        <v>0</v>
      </c>
      <c r="F1277" s="10" t="s">
        <v>172</v>
      </c>
      <c r="G1277" s="10" t="s">
        <v>172</v>
      </c>
      <c r="H1277" s="10" t="s">
        <v>172</v>
      </c>
    </row>
    <row r="1278" s="9" customFormat="1" ht="17" customHeight="1" spans="1:8">
      <c r="A1278" s="10" t="s">
        <v>172</v>
      </c>
      <c r="B1278" s="19" t="s">
        <v>319</v>
      </c>
      <c r="C1278" s="16" t="s">
        <v>1841</v>
      </c>
      <c r="D1278" s="23">
        <v>10</v>
      </c>
      <c r="E1278" s="24">
        <v>0</v>
      </c>
      <c r="F1278" s="10" t="s">
        <v>172</v>
      </c>
      <c r="G1278" s="10" t="s">
        <v>172</v>
      </c>
      <c r="H1278" s="10" t="s">
        <v>172</v>
      </c>
    </row>
    <row r="1279" s="9" customFormat="1" ht="37" customHeight="1" spans="1:8">
      <c r="A1279" s="10" t="s">
        <v>172</v>
      </c>
      <c r="B1279" s="20" t="s">
        <v>320</v>
      </c>
      <c r="C1279" s="20" t="s">
        <v>182</v>
      </c>
      <c r="D1279" s="21">
        <v>64</v>
      </c>
      <c r="E1279" s="22">
        <v>0</v>
      </c>
      <c r="F1279" s="10" t="s">
        <v>172</v>
      </c>
      <c r="G1279" s="10" t="s">
        <v>172</v>
      </c>
      <c r="H1279" s="10" t="s">
        <v>172</v>
      </c>
    </row>
    <row r="1280" s="9" customFormat="1" ht="1" customHeight="1" spans="1:8">
      <c r="A1280" s="10" t="s">
        <v>172</v>
      </c>
      <c r="B1280" s="25"/>
      <c r="C1280" s="25"/>
      <c r="D1280" s="25"/>
      <c r="E1280" s="25"/>
      <c r="F1280" s="25"/>
      <c r="G1280" s="25"/>
      <c r="H1280" s="10" t="s">
        <v>172</v>
      </c>
    </row>
    <row r="1281" s="9" customFormat="1" ht="13" customHeight="1" spans="1:8">
      <c r="A1281" s="10" t="s">
        <v>172</v>
      </c>
      <c r="B1281" s="26"/>
      <c r="C1281" s="26"/>
      <c r="D1281" s="26"/>
      <c r="E1281" s="26"/>
      <c r="F1281" s="26"/>
      <c r="G1281" s="26"/>
      <c r="H1281" s="10" t="s">
        <v>172</v>
      </c>
    </row>
    <row r="1282" s="9" customFormat="1" ht="13" customHeight="1" spans="1:8">
      <c r="A1282" s="10" t="s">
        <v>172</v>
      </c>
      <c r="B1282" s="26"/>
      <c r="C1282" s="26"/>
      <c r="D1282" s="26"/>
      <c r="E1282" s="26"/>
      <c r="F1282" s="26"/>
      <c r="G1282" s="26"/>
      <c r="H1282" s="10" t="s">
        <v>172</v>
      </c>
    </row>
    <row r="1283" s="9" customFormat="1" ht="13" customHeight="1" spans="1:8">
      <c r="A1283" s="10" t="s">
        <v>172</v>
      </c>
      <c r="B1283" s="26"/>
      <c r="C1283" s="26"/>
      <c r="D1283" s="26"/>
      <c r="E1283" s="26"/>
      <c r="F1283" s="26"/>
      <c r="G1283" s="26"/>
      <c r="H1283" s="10" t="s">
        <v>172</v>
      </c>
    </row>
    <row r="1284" s="9" customFormat="1" ht="13" customHeight="1" spans="1:8">
      <c r="A1284" s="10" t="s">
        <v>172</v>
      </c>
      <c r="B1284" s="26"/>
      <c r="C1284" s="26"/>
      <c r="D1284" s="26"/>
      <c r="E1284" s="26"/>
      <c r="F1284" s="26"/>
      <c r="G1284" s="27" t="s">
        <v>1847</v>
      </c>
      <c r="H1284" s="10" t="s">
        <v>172</v>
      </c>
    </row>
    <row r="1285" s="9" customFormat="1" ht="17" customHeight="1" spans="1:8">
      <c r="A1285" s="10" t="s">
        <v>172</v>
      </c>
      <c r="B1285" s="11"/>
      <c r="C1285" s="11"/>
      <c r="D1285" s="11"/>
      <c r="E1285" s="11"/>
      <c r="F1285" s="11"/>
      <c r="G1285" s="11"/>
      <c r="H1285" s="10" t="s">
        <v>172</v>
      </c>
    </row>
    <row r="1286" s="9" customFormat="1" ht="23" customHeight="1" spans="1:8">
      <c r="A1286" s="10" t="s">
        <v>172</v>
      </c>
      <c r="B1286" s="12"/>
      <c r="C1286" s="12"/>
      <c r="D1286" s="12"/>
      <c r="E1286" s="12"/>
      <c r="F1286" s="12"/>
      <c r="G1286" s="12"/>
      <c r="H1286" s="10" t="s">
        <v>172</v>
      </c>
    </row>
    <row r="1287" s="9" customFormat="1" ht="16" customHeight="1" spans="1:8">
      <c r="A1287" s="10" t="s">
        <v>172</v>
      </c>
      <c r="B1287" s="13"/>
      <c r="C1287" s="13"/>
      <c r="D1287" s="13"/>
      <c r="E1287" s="13"/>
      <c r="F1287" s="13"/>
      <c r="G1287" s="13"/>
      <c r="H1287" s="10" t="s">
        <v>172</v>
      </c>
    </row>
    <row r="1288" s="9" customFormat="1" ht="12" customHeight="1" spans="1:8">
      <c r="A1288" s="10" t="s">
        <v>172</v>
      </c>
      <c r="B1288" s="14"/>
      <c r="C1288" s="14"/>
      <c r="D1288" s="14"/>
      <c r="E1288" s="14"/>
      <c r="F1288" s="14"/>
      <c r="G1288" s="14"/>
      <c r="H1288" s="10" t="s">
        <v>172</v>
      </c>
    </row>
    <row r="1289" s="9" customFormat="1" ht="17" customHeight="1" spans="1:8">
      <c r="A1289" s="10" t="s">
        <v>172</v>
      </c>
      <c r="B1289" s="15" t="s">
        <v>1836</v>
      </c>
      <c r="C1289" s="16" t="s">
        <v>1837</v>
      </c>
      <c r="D1289" s="17" t="s">
        <v>1838</v>
      </c>
      <c r="E1289" s="18" t="s">
        <v>1839</v>
      </c>
      <c r="F1289" s="10" t="s">
        <v>172</v>
      </c>
      <c r="G1289" s="10" t="s">
        <v>172</v>
      </c>
      <c r="H1289" s="10" t="s">
        <v>172</v>
      </c>
    </row>
    <row r="1290" s="9" customFormat="1" ht="26" customHeight="1" spans="1:8">
      <c r="A1290" s="10" t="s">
        <v>172</v>
      </c>
      <c r="B1290" s="19" t="s">
        <v>320</v>
      </c>
      <c r="C1290" s="20" t="s">
        <v>804</v>
      </c>
      <c r="D1290" s="21">
        <v>32</v>
      </c>
      <c r="E1290" s="22">
        <v>0</v>
      </c>
      <c r="F1290" s="10" t="s">
        <v>172</v>
      </c>
      <c r="G1290" s="10" t="s">
        <v>172</v>
      </c>
      <c r="H1290" s="10" t="s">
        <v>172</v>
      </c>
    </row>
    <row r="1291" s="9" customFormat="1" ht="17" customHeight="1" spans="1:8">
      <c r="A1291" s="10" t="s">
        <v>172</v>
      </c>
      <c r="B1291" s="19" t="s">
        <v>320</v>
      </c>
      <c r="C1291" s="16" t="s">
        <v>1841</v>
      </c>
      <c r="D1291" s="23">
        <v>96</v>
      </c>
      <c r="E1291" s="24">
        <v>0</v>
      </c>
      <c r="F1291" s="10" t="s">
        <v>172</v>
      </c>
      <c r="G1291" s="10" t="s">
        <v>172</v>
      </c>
      <c r="H1291" s="10" t="s">
        <v>172</v>
      </c>
    </row>
    <row r="1292" s="9" customFormat="1" ht="37" customHeight="1" spans="1:8">
      <c r="A1292" s="10" t="s">
        <v>172</v>
      </c>
      <c r="B1292" s="19" t="s">
        <v>894</v>
      </c>
      <c r="C1292" s="20" t="s">
        <v>182</v>
      </c>
      <c r="D1292" s="21">
        <v>25</v>
      </c>
      <c r="E1292" s="22">
        <v>78378.378378</v>
      </c>
      <c r="F1292" s="10" t="s">
        <v>172</v>
      </c>
      <c r="G1292" s="10" t="s">
        <v>172</v>
      </c>
      <c r="H1292" s="10" t="s">
        <v>172</v>
      </c>
    </row>
    <row r="1293" s="9" customFormat="1" ht="26" customHeight="1" spans="1:8">
      <c r="A1293" s="10" t="s">
        <v>172</v>
      </c>
      <c r="B1293" s="19" t="s">
        <v>894</v>
      </c>
      <c r="C1293" s="20" t="s">
        <v>804</v>
      </c>
      <c r="D1293" s="21">
        <v>11</v>
      </c>
      <c r="E1293" s="22">
        <v>862162.16216</v>
      </c>
      <c r="F1293" s="10" t="s">
        <v>172</v>
      </c>
      <c r="G1293" s="10" t="s">
        <v>172</v>
      </c>
      <c r="H1293" s="10" t="s">
        <v>172</v>
      </c>
    </row>
    <row r="1294" s="9" customFormat="1" ht="17" customHeight="1" spans="1:8">
      <c r="A1294" s="10" t="s">
        <v>172</v>
      </c>
      <c r="B1294" s="19" t="s">
        <v>894</v>
      </c>
      <c r="C1294" s="16" t="s">
        <v>1841</v>
      </c>
      <c r="D1294" s="23">
        <v>36</v>
      </c>
      <c r="E1294" s="24">
        <v>940540.540538</v>
      </c>
      <c r="F1294" s="10" t="s">
        <v>172</v>
      </c>
      <c r="G1294" s="10" t="s">
        <v>172</v>
      </c>
      <c r="H1294" s="10" t="s">
        <v>172</v>
      </c>
    </row>
    <row r="1295" s="9" customFormat="1" ht="37" customHeight="1" spans="1:8">
      <c r="A1295" s="10" t="s">
        <v>172</v>
      </c>
      <c r="B1295" s="19" t="s">
        <v>321</v>
      </c>
      <c r="C1295" s="20" t="s">
        <v>182</v>
      </c>
      <c r="D1295" s="21">
        <v>18</v>
      </c>
      <c r="E1295" s="22">
        <v>0</v>
      </c>
      <c r="F1295" s="10" t="s">
        <v>172</v>
      </c>
      <c r="G1295" s="10" t="s">
        <v>172</v>
      </c>
      <c r="H1295" s="10" t="s">
        <v>172</v>
      </c>
    </row>
    <row r="1296" s="9" customFormat="1" ht="26" customHeight="1" spans="1:8">
      <c r="A1296" s="10" t="s">
        <v>172</v>
      </c>
      <c r="B1296" s="19" t="s">
        <v>321</v>
      </c>
      <c r="C1296" s="20" t="s">
        <v>804</v>
      </c>
      <c r="D1296" s="21">
        <v>20</v>
      </c>
      <c r="E1296" s="22">
        <v>0</v>
      </c>
      <c r="F1296" s="10" t="s">
        <v>172</v>
      </c>
      <c r="G1296" s="10" t="s">
        <v>172</v>
      </c>
      <c r="H1296" s="10" t="s">
        <v>172</v>
      </c>
    </row>
    <row r="1297" s="9" customFormat="1" ht="17" customHeight="1" spans="1:8">
      <c r="A1297" s="10" t="s">
        <v>172</v>
      </c>
      <c r="B1297" s="19" t="s">
        <v>321</v>
      </c>
      <c r="C1297" s="16" t="s">
        <v>1841</v>
      </c>
      <c r="D1297" s="23">
        <v>38</v>
      </c>
      <c r="E1297" s="24">
        <v>0</v>
      </c>
      <c r="F1297" s="10" t="s">
        <v>172</v>
      </c>
      <c r="G1297" s="10" t="s">
        <v>172</v>
      </c>
      <c r="H1297" s="10" t="s">
        <v>172</v>
      </c>
    </row>
    <row r="1298" s="9" customFormat="1" ht="37" customHeight="1" spans="1:8">
      <c r="A1298" s="10" t="s">
        <v>172</v>
      </c>
      <c r="B1298" s="19" t="s">
        <v>322</v>
      </c>
      <c r="C1298" s="20" t="s">
        <v>182</v>
      </c>
      <c r="D1298" s="21">
        <v>108</v>
      </c>
      <c r="E1298" s="22">
        <v>785585.585584</v>
      </c>
      <c r="F1298" s="10" t="s">
        <v>172</v>
      </c>
      <c r="G1298" s="10" t="s">
        <v>172</v>
      </c>
      <c r="H1298" s="10" t="s">
        <v>172</v>
      </c>
    </row>
    <row r="1299" s="9" customFormat="1" ht="26" customHeight="1" spans="1:8">
      <c r="A1299" s="10" t="s">
        <v>172</v>
      </c>
      <c r="B1299" s="19" t="s">
        <v>322</v>
      </c>
      <c r="C1299" s="20" t="s">
        <v>804</v>
      </c>
      <c r="D1299" s="21">
        <v>26</v>
      </c>
      <c r="E1299" s="22">
        <v>981981.981981</v>
      </c>
      <c r="F1299" s="10" t="s">
        <v>172</v>
      </c>
      <c r="G1299" s="10" t="s">
        <v>172</v>
      </c>
      <c r="H1299" s="10" t="s">
        <v>172</v>
      </c>
    </row>
    <row r="1300" s="9" customFormat="1" ht="17" customHeight="1" spans="1:8">
      <c r="A1300" s="10" t="s">
        <v>172</v>
      </c>
      <c r="B1300" s="19" t="s">
        <v>322</v>
      </c>
      <c r="C1300" s="16" t="s">
        <v>1841</v>
      </c>
      <c r="D1300" s="23">
        <v>134</v>
      </c>
      <c r="E1300" s="24">
        <v>1767567.567565</v>
      </c>
      <c r="F1300" s="10" t="s">
        <v>172</v>
      </c>
      <c r="G1300" s="10" t="s">
        <v>172</v>
      </c>
      <c r="H1300" s="10" t="s">
        <v>172</v>
      </c>
    </row>
    <row r="1301" s="9" customFormat="1" ht="37" customHeight="1" spans="1:8">
      <c r="A1301" s="10" t="s">
        <v>172</v>
      </c>
      <c r="B1301" s="19" t="s">
        <v>323</v>
      </c>
      <c r="C1301" s="20" t="s">
        <v>182</v>
      </c>
      <c r="D1301" s="21">
        <v>61</v>
      </c>
      <c r="E1301" s="22">
        <v>0</v>
      </c>
      <c r="F1301" s="10" t="s">
        <v>172</v>
      </c>
      <c r="G1301" s="10" t="s">
        <v>172</v>
      </c>
      <c r="H1301" s="10" t="s">
        <v>172</v>
      </c>
    </row>
    <row r="1302" s="9" customFormat="1" ht="26" customHeight="1" spans="1:8">
      <c r="A1302" s="10" t="s">
        <v>172</v>
      </c>
      <c r="B1302" s="19" t="s">
        <v>323</v>
      </c>
      <c r="C1302" s="20" t="s">
        <v>804</v>
      </c>
      <c r="D1302" s="21">
        <v>35</v>
      </c>
      <c r="E1302" s="22">
        <v>0</v>
      </c>
      <c r="F1302" s="10" t="s">
        <v>172</v>
      </c>
      <c r="G1302" s="10" t="s">
        <v>172</v>
      </c>
      <c r="H1302" s="10" t="s">
        <v>172</v>
      </c>
    </row>
    <row r="1303" s="9" customFormat="1" ht="17" customHeight="1" spans="1:8">
      <c r="A1303" s="10" t="s">
        <v>172</v>
      </c>
      <c r="B1303" s="19" t="s">
        <v>323</v>
      </c>
      <c r="C1303" s="16" t="s">
        <v>1841</v>
      </c>
      <c r="D1303" s="23">
        <v>96</v>
      </c>
      <c r="E1303" s="24">
        <v>0</v>
      </c>
      <c r="F1303" s="10" t="s">
        <v>172</v>
      </c>
      <c r="G1303" s="10" t="s">
        <v>172</v>
      </c>
      <c r="H1303" s="10" t="s">
        <v>172</v>
      </c>
    </row>
    <row r="1304" s="9" customFormat="1" ht="1" customHeight="1" spans="1:8">
      <c r="A1304" s="10" t="s">
        <v>172</v>
      </c>
      <c r="B1304" s="25"/>
      <c r="C1304" s="25"/>
      <c r="D1304" s="25"/>
      <c r="E1304" s="25"/>
      <c r="F1304" s="25"/>
      <c r="G1304" s="25"/>
      <c r="H1304" s="10" t="s">
        <v>172</v>
      </c>
    </row>
    <row r="1305" s="9" customFormat="1" ht="13" customHeight="1" spans="1:8">
      <c r="A1305" s="10" t="s">
        <v>172</v>
      </c>
      <c r="B1305" s="26"/>
      <c r="C1305" s="26"/>
      <c r="D1305" s="26"/>
      <c r="E1305" s="26"/>
      <c r="F1305" s="26"/>
      <c r="G1305" s="26"/>
      <c r="H1305" s="10" t="s">
        <v>172</v>
      </c>
    </row>
    <row r="1306" s="9" customFormat="1" ht="13" customHeight="1" spans="1:8">
      <c r="A1306" s="10" t="s">
        <v>172</v>
      </c>
      <c r="B1306" s="26"/>
      <c r="C1306" s="26"/>
      <c r="D1306" s="26"/>
      <c r="E1306" s="26"/>
      <c r="F1306" s="26"/>
      <c r="G1306" s="26"/>
      <c r="H1306" s="10" t="s">
        <v>172</v>
      </c>
    </row>
    <row r="1307" s="9" customFormat="1" ht="13" customHeight="1" spans="1:8">
      <c r="A1307" s="10" t="s">
        <v>172</v>
      </c>
      <c r="B1307" s="26"/>
      <c r="C1307" s="26"/>
      <c r="D1307" s="26"/>
      <c r="E1307" s="26"/>
      <c r="F1307" s="26"/>
      <c r="G1307" s="26"/>
      <c r="H1307" s="10" t="s">
        <v>172</v>
      </c>
    </row>
    <row r="1308" s="9" customFormat="1" ht="13" customHeight="1" spans="1:8">
      <c r="A1308" s="10" t="s">
        <v>172</v>
      </c>
      <c r="B1308" s="26"/>
      <c r="C1308" s="26"/>
      <c r="D1308" s="26"/>
      <c r="E1308" s="26"/>
      <c r="F1308" s="26"/>
      <c r="G1308" s="27" t="s">
        <v>1847</v>
      </c>
      <c r="H1308" s="10" t="s">
        <v>172</v>
      </c>
    </row>
    <row r="1309" s="9" customFormat="1" ht="17" customHeight="1" spans="1:8">
      <c r="A1309" s="10" t="s">
        <v>172</v>
      </c>
      <c r="B1309" s="11"/>
      <c r="C1309" s="11"/>
      <c r="D1309" s="11"/>
      <c r="E1309" s="11"/>
      <c r="F1309" s="11"/>
      <c r="G1309" s="11"/>
      <c r="H1309" s="10" t="s">
        <v>172</v>
      </c>
    </row>
    <row r="1310" s="9" customFormat="1" ht="23" customHeight="1" spans="1:8">
      <c r="A1310" s="10" t="s">
        <v>172</v>
      </c>
      <c r="B1310" s="12"/>
      <c r="C1310" s="12"/>
      <c r="D1310" s="12"/>
      <c r="E1310" s="12"/>
      <c r="F1310" s="12"/>
      <c r="G1310" s="12"/>
      <c r="H1310" s="10" t="s">
        <v>172</v>
      </c>
    </row>
    <row r="1311" s="9" customFormat="1" ht="16" customHeight="1" spans="1:8">
      <c r="A1311" s="10" t="s">
        <v>172</v>
      </c>
      <c r="B1311" s="13"/>
      <c r="C1311" s="13"/>
      <c r="D1311" s="13"/>
      <c r="E1311" s="13"/>
      <c r="F1311" s="13"/>
      <c r="G1311" s="13"/>
      <c r="H1311" s="10" t="s">
        <v>172</v>
      </c>
    </row>
    <row r="1312" s="9" customFormat="1" ht="12" customHeight="1" spans="1:8">
      <c r="A1312" s="10" t="s">
        <v>172</v>
      </c>
      <c r="B1312" s="14"/>
      <c r="C1312" s="14"/>
      <c r="D1312" s="14"/>
      <c r="E1312" s="14"/>
      <c r="F1312" s="14"/>
      <c r="G1312" s="14"/>
      <c r="H1312" s="10" t="s">
        <v>172</v>
      </c>
    </row>
    <row r="1313" s="9" customFormat="1" ht="17" customHeight="1" spans="1:8">
      <c r="A1313" s="10" t="s">
        <v>172</v>
      </c>
      <c r="B1313" s="15" t="s">
        <v>1836</v>
      </c>
      <c r="C1313" s="16" t="s">
        <v>1837</v>
      </c>
      <c r="D1313" s="17" t="s">
        <v>1838</v>
      </c>
      <c r="E1313" s="18" t="s">
        <v>1839</v>
      </c>
      <c r="F1313" s="10" t="s">
        <v>172</v>
      </c>
      <c r="G1313" s="10" t="s">
        <v>172</v>
      </c>
      <c r="H1313" s="10" t="s">
        <v>172</v>
      </c>
    </row>
    <row r="1314" s="9" customFormat="1" ht="37" customHeight="1" spans="1:8">
      <c r="A1314" s="10" t="s">
        <v>172</v>
      </c>
      <c r="B1314" s="19" t="s">
        <v>325</v>
      </c>
      <c r="C1314" s="20" t="s">
        <v>182</v>
      </c>
      <c r="D1314" s="21">
        <v>11</v>
      </c>
      <c r="E1314" s="22">
        <v>618018.018018</v>
      </c>
      <c r="F1314" s="10" t="s">
        <v>172</v>
      </c>
      <c r="G1314" s="10" t="s">
        <v>172</v>
      </c>
      <c r="H1314" s="10" t="s">
        <v>172</v>
      </c>
    </row>
    <row r="1315" s="9" customFormat="1" ht="26" customHeight="1" spans="1:8">
      <c r="A1315" s="10" t="s">
        <v>172</v>
      </c>
      <c r="B1315" s="19" t="s">
        <v>325</v>
      </c>
      <c r="C1315" s="20" t="s">
        <v>804</v>
      </c>
      <c r="D1315" s="21">
        <v>11</v>
      </c>
      <c r="E1315" s="22">
        <v>620472.905875</v>
      </c>
      <c r="F1315" s="10" t="s">
        <v>172</v>
      </c>
      <c r="G1315" s="10" t="s">
        <v>172</v>
      </c>
      <c r="H1315" s="10" t="s">
        <v>172</v>
      </c>
    </row>
    <row r="1316" s="9" customFormat="1" ht="17" customHeight="1" spans="1:8">
      <c r="A1316" s="10" t="s">
        <v>172</v>
      </c>
      <c r="B1316" s="19" t="s">
        <v>325</v>
      </c>
      <c r="C1316" s="16" t="s">
        <v>1841</v>
      </c>
      <c r="D1316" s="23">
        <v>22</v>
      </c>
      <c r="E1316" s="24">
        <v>1238490.923893</v>
      </c>
      <c r="F1316" s="10" t="s">
        <v>172</v>
      </c>
      <c r="G1316" s="10" t="s">
        <v>172</v>
      </c>
      <c r="H1316" s="10" t="s">
        <v>172</v>
      </c>
    </row>
    <row r="1317" s="9" customFormat="1" ht="37" customHeight="1" spans="1:8">
      <c r="A1317" s="10" t="s">
        <v>172</v>
      </c>
      <c r="B1317" s="19" t="s">
        <v>895</v>
      </c>
      <c r="C1317" s="20" t="s">
        <v>182</v>
      </c>
      <c r="D1317" s="21">
        <v>47</v>
      </c>
      <c r="E1317" s="22">
        <v>3657657.65766</v>
      </c>
      <c r="F1317" s="10" t="s">
        <v>172</v>
      </c>
      <c r="G1317" s="10" t="s">
        <v>172</v>
      </c>
      <c r="H1317" s="10" t="s">
        <v>172</v>
      </c>
    </row>
    <row r="1318" s="9" customFormat="1" ht="26" customHeight="1" spans="1:8">
      <c r="A1318" s="10" t="s">
        <v>172</v>
      </c>
      <c r="B1318" s="19" t="s">
        <v>895</v>
      </c>
      <c r="C1318" s="20" t="s">
        <v>804</v>
      </c>
      <c r="D1318" s="21">
        <v>39</v>
      </c>
      <c r="E1318" s="22">
        <v>2427928.405406</v>
      </c>
      <c r="F1318" s="10" t="s">
        <v>172</v>
      </c>
      <c r="G1318" s="10" t="s">
        <v>172</v>
      </c>
      <c r="H1318" s="10" t="s">
        <v>172</v>
      </c>
    </row>
    <row r="1319" s="9" customFormat="1" ht="17" customHeight="1" spans="1:8">
      <c r="A1319" s="10" t="s">
        <v>172</v>
      </c>
      <c r="B1319" s="19" t="s">
        <v>895</v>
      </c>
      <c r="C1319" s="16" t="s">
        <v>1841</v>
      </c>
      <c r="D1319" s="23">
        <v>86</v>
      </c>
      <c r="E1319" s="24">
        <v>6085586.063066</v>
      </c>
      <c r="F1319" s="10" t="s">
        <v>172</v>
      </c>
      <c r="G1319" s="10" t="s">
        <v>172</v>
      </c>
      <c r="H1319" s="10" t="s">
        <v>172</v>
      </c>
    </row>
    <row r="1320" s="9" customFormat="1" ht="37" customHeight="1" spans="1:8">
      <c r="A1320" s="10" t="s">
        <v>172</v>
      </c>
      <c r="B1320" s="19" t="s">
        <v>326</v>
      </c>
      <c r="C1320" s="20" t="s">
        <v>182</v>
      </c>
      <c r="D1320" s="21">
        <v>44</v>
      </c>
      <c r="E1320" s="22">
        <v>2180180.18018</v>
      </c>
      <c r="F1320" s="10" t="s">
        <v>172</v>
      </c>
      <c r="G1320" s="10" t="s">
        <v>172</v>
      </c>
      <c r="H1320" s="10" t="s">
        <v>172</v>
      </c>
    </row>
    <row r="1321" s="9" customFormat="1" ht="26" customHeight="1" spans="1:8">
      <c r="A1321" s="10" t="s">
        <v>172</v>
      </c>
      <c r="B1321" s="19" t="s">
        <v>326</v>
      </c>
      <c r="C1321" s="20" t="s">
        <v>804</v>
      </c>
      <c r="D1321" s="21">
        <v>62</v>
      </c>
      <c r="E1321" s="22">
        <v>2398198.072072</v>
      </c>
      <c r="F1321" s="10" t="s">
        <v>172</v>
      </c>
      <c r="G1321" s="10" t="s">
        <v>172</v>
      </c>
      <c r="H1321" s="10" t="s">
        <v>172</v>
      </c>
    </row>
    <row r="1322" s="9" customFormat="1" ht="17" customHeight="1" spans="1:8">
      <c r="A1322" s="10" t="s">
        <v>172</v>
      </c>
      <c r="B1322" s="19" t="s">
        <v>326</v>
      </c>
      <c r="C1322" s="16" t="s">
        <v>1841</v>
      </c>
      <c r="D1322" s="23">
        <v>106</v>
      </c>
      <c r="E1322" s="24">
        <v>4578378.252252</v>
      </c>
      <c r="F1322" s="10" t="s">
        <v>172</v>
      </c>
      <c r="G1322" s="10" t="s">
        <v>172</v>
      </c>
      <c r="H1322" s="10" t="s">
        <v>172</v>
      </c>
    </row>
    <row r="1323" s="9" customFormat="1" ht="37" customHeight="1" spans="1:8">
      <c r="A1323" s="10" t="s">
        <v>172</v>
      </c>
      <c r="B1323" s="19" t="s">
        <v>734</v>
      </c>
      <c r="C1323" s="20" t="s">
        <v>182</v>
      </c>
      <c r="D1323" s="21">
        <v>6</v>
      </c>
      <c r="E1323" s="22">
        <v>2277837.558558</v>
      </c>
      <c r="F1323" s="10" t="s">
        <v>172</v>
      </c>
      <c r="G1323" s="10" t="s">
        <v>172</v>
      </c>
      <c r="H1323" s="10" t="s">
        <v>172</v>
      </c>
    </row>
    <row r="1324" s="9" customFormat="1" ht="17" customHeight="1" spans="1:8">
      <c r="A1324" s="10" t="s">
        <v>172</v>
      </c>
      <c r="B1324" s="19" t="s">
        <v>734</v>
      </c>
      <c r="C1324" s="16" t="s">
        <v>1841</v>
      </c>
      <c r="D1324" s="23">
        <v>6</v>
      </c>
      <c r="E1324" s="24">
        <v>2277837.558558</v>
      </c>
      <c r="F1324" s="10" t="s">
        <v>172</v>
      </c>
      <c r="G1324" s="10" t="s">
        <v>172</v>
      </c>
      <c r="H1324" s="10" t="s">
        <v>172</v>
      </c>
    </row>
    <row r="1325" s="9" customFormat="1" ht="37" customHeight="1" spans="1:8">
      <c r="A1325" s="10" t="s">
        <v>172</v>
      </c>
      <c r="B1325" s="19" t="s">
        <v>1539</v>
      </c>
      <c r="C1325" s="20" t="s">
        <v>182</v>
      </c>
      <c r="D1325" s="21">
        <v>2</v>
      </c>
      <c r="E1325" s="22">
        <v>964864.783784</v>
      </c>
      <c r="F1325" s="10" t="s">
        <v>172</v>
      </c>
      <c r="G1325" s="10" t="s">
        <v>172</v>
      </c>
      <c r="H1325" s="10" t="s">
        <v>172</v>
      </c>
    </row>
    <row r="1326" s="9" customFormat="1" ht="17" customHeight="1" spans="1:8">
      <c r="A1326" s="10" t="s">
        <v>172</v>
      </c>
      <c r="B1326" s="19" t="s">
        <v>1539</v>
      </c>
      <c r="C1326" s="16" t="s">
        <v>1841</v>
      </c>
      <c r="D1326" s="23">
        <v>2</v>
      </c>
      <c r="E1326" s="24">
        <v>964864.783784</v>
      </c>
      <c r="F1326" s="10" t="s">
        <v>172</v>
      </c>
      <c r="G1326" s="10" t="s">
        <v>172</v>
      </c>
      <c r="H1326" s="10" t="s">
        <v>172</v>
      </c>
    </row>
    <row r="1327" s="9" customFormat="1" ht="1" customHeight="1" spans="1:8">
      <c r="A1327" s="10" t="s">
        <v>172</v>
      </c>
      <c r="B1327" s="25"/>
      <c r="C1327" s="25"/>
      <c r="D1327" s="25"/>
      <c r="E1327" s="25"/>
      <c r="F1327" s="25"/>
      <c r="G1327" s="25"/>
      <c r="H1327" s="10" t="s">
        <v>172</v>
      </c>
    </row>
    <row r="1328" s="9" customFormat="1" ht="13" customHeight="1" spans="1:8">
      <c r="A1328" s="10" t="s">
        <v>172</v>
      </c>
      <c r="B1328" s="26"/>
      <c r="C1328" s="26"/>
      <c r="D1328" s="26"/>
      <c r="E1328" s="26"/>
      <c r="F1328" s="26"/>
      <c r="G1328" s="26"/>
      <c r="H1328" s="10" t="s">
        <v>172</v>
      </c>
    </row>
    <row r="1329" s="9" customFormat="1" ht="13" customHeight="1" spans="1:8">
      <c r="A1329" s="10" t="s">
        <v>172</v>
      </c>
      <c r="B1329" s="26"/>
      <c r="C1329" s="26"/>
      <c r="D1329" s="26"/>
      <c r="E1329" s="26"/>
      <c r="F1329" s="26"/>
      <c r="G1329" s="26"/>
      <c r="H1329" s="10" t="s">
        <v>172</v>
      </c>
    </row>
    <row r="1330" s="9" customFormat="1" ht="13" customHeight="1" spans="1:8">
      <c r="A1330" s="10" t="s">
        <v>172</v>
      </c>
      <c r="B1330" s="26"/>
      <c r="C1330" s="26"/>
      <c r="D1330" s="26"/>
      <c r="E1330" s="26"/>
      <c r="F1330" s="26"/>
      <c r="G1330" s="26"/>
      <c r="H1330" s="10" t="s">
        <v>172</v>
      </c>
    </row>
    <row r="1331" s="9" customFormat="1" ht="13" customHeight="1" spans="1:8">
      <c r="A1331" s="10" t="s">
        <v>172</v>
      </c>
      <c r="B1331" s="26"/>
      <c r="C1331" s="26"/>
      <c r="D1331" s="26"/>
      <c r="E1331" s="26"/>
      <c r="F1331" s="26"/>
      <c r="G1331" s="27" t="s">
        <v>1847</v>
      </c>
      <c r="H1331" s="10" t="s">
        <v>172</v>
      </c>
    </row>
    <row r="1332" s="9" customFormat="1" ht="17" customHeight="1" spans="1:8">
      <c r="A1332" s="10" t="s">
        <v>172</v>
      </c>
      <c r="B1332" s="11"/>
      <c r="C1332" s="11"/>
      <c r="D1332" s="11"/>
      <c r="E1332" s="11"/>
      <c r="F1332" s="11"/>
      <c r="G1332" s="11"/>
      <c r="H1332" s="10" t="s">
        <v>172</v>
      </c>
    </row>
    <row r="1333" s="9" customFormat="1" ht="23" customHeight="1" spans="1:8">
      <c r="A1333" s="10" t="s">
        <v>172</v>
      </c>
      <c r="B1333" s="12"/>
      <c r="C1333" s="12"/>
      <c r="D1333" s="12"/>
      <c r="E1333" s="12"/>
      <c r="F1333" s="12"/>
      <c r="G1333" s="12"/>
      <c r="H1333" s="10" t="s">
        <v>172</v>
      </c>
    </row>
    <row r="1334" s="9" customFormat="1" ht="16" customHeight="1" spans="1:8">
      <c r="A1334" s="10" t="s">
        <v>172</v>
      </c>
      <c r="B1334" s="13"/>
      <c r="C1334" s="13"/>
      <c r="D1334" s="13"/>
      <c r="E1334" s="13"/>
      <c r="F1334" s="13"/>
      <c r="G1334" s="13"/>
      <c r="H1334" s="10" t="s">
        <v>172</v>
      </c>
    </row>
    <row r="1335" s="9" customFormat="1" ht="12" customHeight="1" spans="1:8">
      <c r="A1335" s="10" t="s">
        <v>172</v>
      </c>
      <c r="B1335" s="14"/>
      <c r="C1335" s="14"/>
      <c r="D1335" s="14"/>
      <c r="E1335" s="14"/>
      <c r="F1335" s="14"/>
      <c r="G1335" s="14"/>
      <c r="H1335" s="10" t="s">
        <v>172</v>
      </c>
    </row>
    <row r="1336" s="9" customFormat="1" ht="17" customHeight="1" spans="1:8">
      <c r="A1336" s="10" t="s">
        <v>172</v>
      </c>
      <c r="B1336" s="15" t="s">
        <v>1836</v>
      </c>
      <c r="C1336" s="16" t="s">
        <v>1837</v>
      </c>
      <c r="D1336" s="17" t="s">
        <v>1838</v>
      </c>
      <c r="E1336" s="18" t="s">
        <v>1839</v>
      </c>
      <c r="F1336" s="10" t="s">
        <v>172</v>
      </c>
      <c r="G1336" s="10" t="s">
        <v>172</v>
      </c>
      <c r="H1336" s="10" t="s">
        <v>172</v>
      </c>
    </row>
    <row r="1337" s="9" customFormat="1" ht="37" customHeight="1" spans="1:8">
      <c r="A1337" s="10" t="s">
        <v>172</v>
      </c>
      <c r="B1337" s="19" t="s">
        <v>460</v>
      </c>
      <c r="C1337" s="20" t="s">
        <v>182</v>
      </c>
      <c r="D1337" s="21">
        <v>2</v>
      </c>
      <c r="E1337" s="22">
        <v>739099.495496</v>
      </c>
      <c r="F1337" s="10" t="s">
        <v>172</v>
      </c>
      <c r="G1337" s="10" t="s">
        <v>172</v>
      </c>
      <c r="H1337" s="10" t="s">
        <v>172</v>
      </c>
    </row>
    <row r="1338" s="9" customFormat="1" ht="17" customHeight="1" spans="1:8">
      <c r="A1338" s="10" t="s">
        <v>172</v>
      </c>
      <c r="B1338" s="19" t="s">
        <v>460</v>
      </c>
      <c r="C1338" s="16" t="s">
        <v>1841</v>
      </c>
      <c r="D1338" s="23">
        <v>2</v>
      </c>
      <c r="E1338" s="24">
        <v>739099.495496</v>
      </c>
      <c r="F1338" s="10" t="s">
        <v>172</v>
      </c>
      <c r="G1338" s="10" t="s">
        <v>172</v>
      </c>
      <c r="H1338" s="10" t="s">
        <v>172</v>
      </c>
    </row>
    <row r="1339" s="9" customFormat="1" ht="37" customHeight="1" spans="1:8">
      <c r="A1339" s="10" t="s">
        <v>172</v>
      </c>
      <c r="B1339" s="19" t="s">
        <v>1541</v>
      </c>
      <c r="C1339" s="20" t="s">
        <v>182</v>
      </c>
      <c r="D1339" s="21">
        <v>2</v>
      </c>
      <c r="E1339" s="22">
        <v>993874.243243</v>
      </c>
      <c r="F1339" s="10" t="s">
        <v>172</v>
      </c>
      <c r="G1339" s="10" t="s">
        <v>172</v>
      </c>
      <c r="H1339" s="10" t="s">
        <v>172</v>
      </c>
    </row>
    <row r="1340" s="9" customFormat="1" ht="17" customHeight="1" spans="1:8">
      <c r="A1340" s="10" t="s">
        <v>172</v>
      </c>
      <c r="B1340" s="19" t="s">
        <v>1541</v>
      </c>
      <c r="C1340" s="16" t="s">
        <v>1841</v>
      </c>
      <c r="D1340" s="23">
        <v>2</v>
      </c>
      <c r="E1340" s="24">
        <v>993874.243243</v>
      </c>
      <c r="F1340" s="10" t="s">
        <v>172</v>
      </c>
      <c r="G1340" s="10" t="s">
        <v>172</v>
      </c>
      <c r="H1340" s="10" t="s">
        <v>172</v>
      </c>
    </row>
    <row r="1341" s="9" customFormat="1" ht="37" customHeight="1" spans="1:8">
      <c r="A1341" s="10" t="s">
        <v>172</v>
      </c>
      <c r="B1341" s="19" t="s">
        <v>735</v>
      </c>
      <c r="C1341" s="20" t="s">
        <v>182</v>
      </c>
      <c r="D1341" s="21">
        <v>2</v>
      </c>
      <c r="E1341" s="22">
        <v>940901</v>
      </c>
      <c r="F1341" s="10" t="s">
        <v>172</v>
      </c>
      <c r="G1341" s="10" t="s">
        <v>172</v>
      </c>
      <c r="H1341" s="10" t="s">
        <v>172</v>
      </c>
    </row>
    <row r="1342" s="9" customFormat="1" ht="26" customHeight="1" spans="1:8">
      <c r="A1342" s="10" t="s">
        <v>172</v>
      </c>
      <c r="B1342" s="19" t="s">
        <v>735</v>
      </c>
      <c r="C1342" s="20" t="s">
        <v>804</v>
      </c>
      <c r="D1342" s="21">
        <v>2</v>
      </c>
      <c r="E1342" s="22">
        <v>940901</v>
      </c>
      <c r="F1342" s="10" t="s">
        <v>172</v>
      </c>
      <c r="G1342" s="10" t="s">
        <v>172</v>
      </c>
      <c r="H1342" s="10" t="s">
        <v>172</v>
      </c>
    </row>
    <row r="1343" s="9" customFormat="1" ht="17" customHeight="1" spans="1:8">
      <c r="A1343" s="10" t="s">
        <v>172</v>
      </c>
      <c r="B1343" s="19" t="s">
        <v>735</v>
      </c>
      <c r="C1343" s="16" t="s">
        <v>1841</v>
      </c>
      <c r="D1343" s="23">
        <v>4</v>
      </c>
      <c r="E1343" s="24">
        <v>1881802</v>
      </c>
      <c r="F1343" s="10" t="s">
        <v>172</v>
      </c>
      <c r="G1343" s="10" t="s">
        <v>172</v>
      </c>
      <c r="H1343" s="10" t="s">
        <v>172</v>
      </c>
    </row>
    <row r="1344" s="9" customFormat="1" ht="26" customHeight="1" spans="1:8">
      <c r="A1344" s="10" t="s">
        <v>172</v>
      </c>
      <c r="B1344" s="19" t="s">
        <v>1543</v>
      </c>
      <c r="C1344" s="20" t="s">
        <v>804</v>
      </c>
      <c r="D1344" s="21">
        <v>2</v>
      </c>
      <c r="E1344" s="22">
        <v>1012792.792793</v>
      </c>
      <c r="F1344" s="10" t="s">
        <v>172</v>
      </c>
      <c r="G1344" s="10" t="s">
        <v>172</v>
      </c>
      <c r="H1344" s="10" t="s">
        <v>172</v>
      </c>
    </row>
    <row r="1345" s="9" customFormat="1" ht="17" customHeight="1" spans="1:8">
      <c r="A1345" s="10" t="s">
        <v>172</v>
      </c>
      <c r="B1345" s="19" t="s">
        <v>1543</v>
      </c>
      <c r="C1345" s="16" t="s">
        <v>1841</v>
      </c>
      <c r="D1345" s="23">
        <v>2</v>
      </c>
      <c r="E1345" s="24">
        <v>1012792.792793</v>
      </c>
      <c r="F1345" s="10" t="s">
        <v>172</v>
      </c>
      <c r="G1345" s="10" t="s">
        <v>172</v>
      </c>
      <c r="H1345" s="10" t="s">
        <v>172</v>
      </c>
    </row>
    <row r="1346" s="9" customFormat="1" ht="26" customHeight="1" spans="1:8">
      <c r="A1346" s="10" t="s">
        <v>172</v>
      </c>
      <c r="B1346" s="19" t="s">
        <v>1051</v>
      </c>
      <c r="C1346" s="20" t="s">
        <v>804</v>
      </c>
      <c r="D1346" s="21">
        <v>2</v>
      </c>
      <c r="E1346" s="22">
        <v>940900.900901</v>
      </c>
      <c r="F1346" s="10" t="s">
        <v>172</v>
      </c>
      <c r="G1346" s="10" t="s">
        <v>172</v>
      </c>
      <c r="H1346" s="10" t="s">
        <v>172</v>
      </c>
    </row>
    <row r="1347" s="9" customFormat="1" ht="17" customHeight="1" spans="1:8">
      <c r="A1347" s="10" t="s">
        <v>172</v>
      </c>
      <c r="B1347" s="19" t="s">
        <v>1051</v>
      </c>
      <c r="C1347" s="16" t="s">
        <v>1841</v>
      </c>
      <c r="D1347" s="23">
        <v>2</v>
      </c>
      <c r="E1347" s="24">
        <v>940900.900901</v>
      </c>
      <c r="F1347" s="10" t="s">
        <v>172</v>
      </c>
      <c r="G1347" s="10" t="s">
        <v>172</v>
      </c>
      <c r="H1347" s="10" t="s">
        <v>172</v>
      </c>
    </row>
    <row r="1348" s="9" customFormat="1" ht="26" customHeight="1" spans="1:8">
      <c r="A1348" s="10" t="s">
        <v>172</v>
      </c>
      <c r="B1348" s="19" t="s">
        <v>1544</v>
      </c>
      <c r="C1348" s="20" t="s">
        <v>804</v>
      </c>
      <c r="D1348" s="21">
        <v>2</v>
      </c>
      <c r="E1348" s="22">
        <v>759279.297297</v>
      </c>
      <c r="F1348" s="10" t="s">
        <v>172</v>
      </c>
      <c r="G1348" s="10" t="s">
        <v>172</v>
      </c>
      <c r="H1348" s="10" t="s">
        <v>172</v>
      </c>
    </row>
    <row r="1349" s="9" customFormat="1" ht="17" customHeight="1" spans="1:8">
      <c r="A1349" s="10" t="s">
        <v>172</v>
      </c>
      <c r="B1349" s="19" t="s">
        <v>1544</v>
      </c>
      <c r="C1349" s="16" t="s">
        <v>1841</v>
      </c>
      <c r="D1349" s="23">
        <v>2</v>
      </c>
      <c r="E1349" s="24">
        <v>759279.297297</v>
      </c>
      <c r="F1349" s="10" t="s">
        <v>172</v>
      </c>
      <c r="G1349" s="10" t="s">
        <v>172</v>
      </c>
      <c r="H1349" s="10" t="s">
        <v>172</v>
      </c>
    </row>
    <row r="1350" s="9" customFormat="1" ht="26" customHeight="1" spans="1:8">
      <c r="A1350" s="10" t="s">
        <v>172</v>
      </c>
      <c r="B1350" s="19" t="s">
        <v>1928</v>
      </c>
      <c r="C1350" s="20" t="s">
        <v>804</v>
      </c>
      <c r="D1350" s="21">
        <v>2</v>
      </c>
      <c r="E1350" s="22">
        <v>1088468.468468</v>
      </c>
      <c r="F1350" s="10" t="s">
        <v>172</v>
      </c>
      <c r="G1350" s="10" t="s">
        <v>172</v>
      </c>
      <c r="H1350" s="10" t="s">
        <v>172</v>
      </c>
    </row>
    <row r="1351" s="9" customFormat="1" ht="17" customHeight="1" spans="1:8">
      <c r="A1351" s="10" t="s">
        <v>172</v>
      </c>
      <c r="B1351" s="19" t="s">
        <v>1928</v>
      </c>
      <c r="C1351" s="16" t="s">
        <v>1841</v>
      </c>
      <c r="D1351" s="23">
        <v>2</v>
      </c>
      <c r="E1351" s="24">
        <v>1088468.468468</v>
      </c>
      <c r="F1351" s="10" t="s">
        <v>172</v>
      </c>
      <c r="G1351" s="10" t="s">
        <v>172</v>
      </c>
      <c r="H1351" s="10" t="s">
        <v>172</v>
      </c>
    </row>
    <row r="1352" s="9" customFormat="1" ht="1" customHeight="1" spans="1:8">
      <c r="A1352" s="10" t="s">
        <v>172</v>
      </c>
      <c r="B1352" s="25"/>
      <c r="C1352" s="25"/>
      <c r="D1352" s="25"/>
      <c r="E1352" s="25"/>
      <c r="F1352" s="25"/>
      <c r="G1352" s="25"/>
      <c r="H1352" s="10" t="s">
        <v>172</v>
      </c>
    </row>
    <row r="1353" s="9" customFormat="1" ht="13" customHeight="1" spans="1:8">
      <c r="A1353" s="10" t="s">
        <v>172</v>
      </c>
      <c r="B1353" s="26"/>
      <c r="C1353" s="26"/>
      <c r="D1353" s="26"/>
      <c r="E1353" s="26"/>
      <c r="F1353" s="26"/>
      <c r="G1353" s="26"/>
      <c r="H1353" s="10" t="s">
        <v>172</v>
      </c>
    </row>
    <row r="1354" s="9" customFormat="1" ht="13" customHeight="1" spans="1:8">
      <c r="A1354" s="10" t="s">
        <v>172</v>
      </c>
      <c r="B1354" s="26"/>
      <c r="C1354" s="26"/>
      <c r="D1354" s="26"/>
      <c r="E1354" s="26"/>
      <c r="F1354" s="26"/>
      <c r="G1354" s="26"/>
      <c r="H1354" s="10" t="s">
        <v>172</v>
      </c>
    </row>
    <row r="1355" s="9" customFormat="1" ht="13" customHeight="1" spans="1:8">
      <c r="A1355" s="10" t="s">
        <v>172</v>
      </c>
      <c r="B1355" s="26"/>
      <c r="C1355" s="26"/>
      <c r="D1355" s="26"/>
      <c r="E1355" s="26"/>
      <c r="F1355" s="26"/>
      <c r="G1355" s="26"/>
      <c r="H1355" s="10" t="s">
        <v>172</v>
      </c>
    </row>
    <row r="1356" s="9" customFormat="1" ht="13" customHeight="1" spans="1:8">
      <c r="A1356" s="10" t="s">
        <v>172</v>
      </c>
      <c r="B1356" s="26"/>
      <c r="C1356" s="26"/>
      <c r="D1356" s="26"/>
      <c r="E1356" s="26"/>
      <c r="F1356" s="26"/>
      <c r="G1356" s="27" t="s">
        <v>1847</v>
      </c>
      <c r="H1356" s="10" t="s">
        <v>172</v>
      </c>
    </row>
    <row r="1357" s="9" customFormat="1" ht="17" customHeight="1" spans="1:8">
      <c r="A1357" s="10" t="s">
        <v>172</v>
      </c>
      <c r="B1357" s="11"/>
      <c r="C1357" s="11"/>
      <c r="D1357" s="11"/>
      <c r="E1357" s="11"/>
      <c r="F1357" s="11"/>
      <c r="G1357" s="11"/>
      <c r="H1357" s="10" t="s">
        <v>172</v>
      </c>
    </row>
    <row r="1358" s="9" customFormat="1" ht="23" customHeight="1" spans="1:8">
      <c r="A1358" s="10" t="s">
        <v>172</v>
      </c>
      <c r="B1358" s="12"/>
      <c r="C1358" s="12"/>
      <c r="D1358" s="12"/>
      <c r="E1358" s="12"/>
      <c r="F1358" s="12"/>
      <c r="G1358" s="12"/>
      <c r="H1358" s="10" t="s">
        <v>172</v>
      </c>
    </row>
    <row r="1359" s="9" customFormat="1" ht="16" customHeight="1" spans="1:8">
      <c r="A1359" s="10" t="s">
        <v>172</v>
      </c>
      <c r="B1359" s="13"/>
      <c r="C1359" s="13"/>
      <c r="D1359" s="13"/>
      <c r="E1359" s="13"/>
      <c r="F1359" s="13"/>
      <c r="G1359" s="13"/>
      <c r="H1359" s="10" t="s">
        <v>172</v>
      </c>
    </row>
    <row r="1360" s="9" customFormat="1" ht="12" customHeight="1" spans="1:8">
      <c r="A1360" s="10" t="s">
        <v>172</v>
      </c>
      <c r="B1360" s="14"/>
      <c r="C1360" s="14"/>
      <c r="D1360" s="14"/>
      <c r="E1360" s="14"/>
      <c r="F1360" s="14"/>
      <c r="G1360" s="14"/>
      <c r="H1360" s="10" t="s">
        <v>172</v>
      </c>
    </row>
    <row r="1361" s="9" customFormat="1" ht="17" customHeight="1" spans="1:8">
      <c r="A1361" s="10" t="s">
        <v>172</v>
      </c>
      <c r="B1361" s="15" t="s">
        <v>1836</v>
      </c>
      <c r="C1361" s="16" t="s">
        <v>1837</v>
      </c>
      <c r="D1361" s="17" t="s">
        <v>1838</v>
      </c>
      <c r="E1361" s="18" t="s">
        <v>1839</v>
      </c>
      <c r="F1361" s="10" t="s">
        <v>172</v>
      </c>
      <c r="G1361" s="10" t="s">
        <v>172</v>
      </c>
      <c r="H1361" s="10" t="s">
        <v>172</v>
      </c>
    </row>
    <row r="1362" s="9" customFormat="1" ht="26" customHeight="1" spans="1:8">
      <c r="A1362" s="10" t="s">
        <v>172</v>
      </c>
      <c r="B1362" s="19" t="s">
        <v>1314</v>
      </c>
      <c r="C1362" s="20" t="s">
        <v>804</v>
      </c>
      <c r="D1362" s="21">
        <v>2</v>
      </c>
      <c r="E1362" s="22">
        <v>945946</v>
      </c>
      <c r="F1362" s="10" t="s">
        <v>172</v>
      </c>
      <c r="G1362" s="10" t="s">
        <v>172</v>
      </c>
      <c r="H1362" s="10" t="s">
        <v>172</v>
      </c>
    </row>
    <row r="1363" s="9" customFormat="1" ht="17" customHeight="1" spans="1:8">
      <c r="A1363" s="10" t="s">
        <v>172</v>
      </c>
      <c r="B1363" s="19" t="s">
        <v>1314</v>
      </c>
      <c r="C1363" s="16" t="s">
        <v>1841</v>
      </c>
      <c r="D1363" s="23">
        <v>2</v>
      </c>
      <c r="E1363" s="24">
        <v>945946</v>
      </c>
      <c r="F1363" s="10" t="s">
        <v>172</v>
      </c>
      <c r="G1363" s="10" t="s">
        <v>172</v>
      </c>
      <c r="H1363" s="10" t="s">
        <v>172</v>
      </c>
    </row>
    <row r="1364" s="9" customFormat="1" ht="37" customHeight="1" spans="1:8">
      <c r="A1364" s="10" t="s">
        <v>172</v>
      </c>
      <c r="B1364" s="19" t="s">
        <v>1053</v>
      </c>
      <c r="C1364" s="20" t="s">
        <v>182</v>
      </c>
      <c r="D1364" s="21">
        <v>2</v>
      </c>
      <c r="E1364" s="22">
        <v>826126.513514</v>
      </c>
      <c r="F1364" s="10" t="s">
        <v>172</v>
      </c>
      <c r="G1364" s="10" t="s">
        <v>172</v>
      </c>
      <c r="H1364" s="10" t="s">
        <v>172</v>
      </c>
    </row>
    <row r="1365" s="9" customFormat="1" ht="17" customHeight="1" spans="1:8">
      <c r="A1365" s="10" t="s">
        <v>172</v>
      </c>
      <c r="B1365" s="19" t="s">
        <v>1053</v>
      </c>
      <c r="C1365" s="16" t="s">
        <v>1841</v>
      </c>
      <c r="D1365" s="23">
        <v>2</v>
      </c>
      <c r="E1365" s="24">
        <v>826126.513514</v>
      </c>
      <c r="F1365" s="10" t="s">
        <v>172</v>
      </c>
      <c r="G1365" s="10" t="s">
        <v>172</v>
      </c>
      <c r="H1365" s="10" t="s">
        <v>172</v>
      </c>
    </row>
    <row r="1366" s="9" customFormat="1" ht="37" customHeight="1" spans="1:8">
      <c r="A1366" s="10" t="s">
        <v>172</v>
      </c>
      <c r="B1366" s="19" t="s">
        <v>1054</v>
      </c>
      <c r="C1366" s="20" t="s">
        <v>182</v>
      </c>
      <c r="D1366" s="21">
        <v>4</v>
      </c>
      <c r="E1366" s="22">
        <v>1987748.234234</v>
      </c>
      <c r="F1366" s="10" t="s">
        <v>172</v>
      </c>
      <c r="G1366" s="10" t="s">
        <v>172</v>
      </c>
      <c r="H1366" s="10" t="s">
        <v>172</v>
      </c>
    </row>
    <row r="1367" s="9" customFormat="1" ht="26" customHeight="1" spans="1:8">
      <c r="A1367" s="10" t="s">
        <v>172</v>
      </c>
      <c r="B1367" s="19" t="s">
        <v>1054</v>
      </c>
      <c r="C1367" s="20" t="s">
        <v>804</v>
      </c>
      <c r="D1367" s="21">
        <v>2</v>
      </c>
      <c r="E1367" s="22">
        <v>993874</v>
      </c>
      <c r="F1367" s="10" t="s">
        <v>172</v>
      </c>
      <c r="G1367" s="10" t="s">
        <v>172</v>
      </c>
      <c r="H1367" s="10" t="s">
        <v>172</v>
      </c>
    </row>
    <row r="1368" s="9" customFormat="1" ht="17" customHeight="1" spans="1:8">
      <c r="A1368" s="10" t="s">
        <v>172</v>
      </c>
      <c r="B1368" s="19" t="s">
        <v>1054</v>
      </c>
      <c r="C1368" s="16" t="s">
        <v>1841</v>
      </c>
      <c r="D1368" s="23">
        <v>6</v>
      </c>
      <c r="E1368" s="24">
        <v>2981622.234234</v>
      </c>
      <c r="F1368" s="10" t="s">
        <v>172</v>
      </c>
      <c r="G1368" s="10" t="s">
        <v>172</v>
      </c>
      <c r="H1368" s="10" t="s">
        <v>172</v>
      </c>
    </row>
    <row r="1369" s="9" customFormat="1" ht="37" customHeight="1" spans="1:8">
      <c r="A1369" s="10" t="s">
        <v>172</v>
      </c>
      <c r="B1369" s="19" t="s">
        <v>1315</v>
      </c>
      <c r="C1369" s="20" t="s">
        <v>182</v>
      </c>
      <c r="D1369" s="21">
        <v>2</v>
      </c>
      <c r="E1369" s="22">
        <v>930810.810811</v>
      </c>
      <c r="F1369" s="10" t="s">
        <v>172</v>
      </c>
      <c r="G1369" s="10" t="s">
        <v>172</v>
      </c>
      <c r="H1369" s="10" t="s">
        <v>172</v>
      </c>
    </row>
    <row r="1370" s="9" customFormat="1" ht="17" customHeight="1" spans="1:8">
      <c r="A1370" s="10" t="s">
        <v>172</v>
      </c>
      <c r="B1370" s="19" t="s">
        <v>1315</v>
      </c>
      <c r="C1370" s="16" t="s">
        <v>1841</v>
      </c>
      <c r="D1370" s="23">
        <v>2</v>
      </c>
      <c r="E1370" s="24">
        <v>930810.810811</v>
      </c>
      <c r="F1370" s="10" t="s">
        <v>172</v>
      </c>
      <c r="G1370" s="10" t="s">
        <v>172</v>
      </c>
      <c r="H1370" s="10" t="s">
        <v>172</v>
      </c>
    </row>
    <row r="1371" s="9" customFormat="1" ht="37" customHeight="1" spans="1:8">
      <c r="A1371" s="10" t="s">
        <v>172</v>
      </c>
      <c r="B1371" s="19" t="s">
        <v>1055</v>
      </c>
      <c r="C1371" s="20" t="s">
        <v>182</v>
      </c>
      <c r="D1371" s="21">
        <v>1</v>
      </c>
      <c r="E1371" s="22">
        <v>711900</v>
      </c>
      <c r="F1371" s="10" t="s">
        <v>172</v>
      </c>
      <c r="G1371" s="10" t="s">
        <v>172</v>
      </c>
      <c r="H1371" s="10" t="s">
        <v>172</v>
      </c>
    </row>
    <row r="1372" s="9" customFormat="1" ht="17" customHeight="1" spans="1:8">
      <c r="A1372" s="10" t="s">
        <v>172</v>
      </c>
      <c r="B1372" s="19" t="s">
        <v>1055</v>
      </c>
      <c r="C1372" s="16" t="s">
        <v>1841</v>
      </c>
      <c r="D1372" s="23">
        <v>1</v>
      </c>
      <c r="E1372" s="24">
        <v>711900</v>
      </c>
      <c r="F1372" s="10" t="s">
        <v>172</v>
      </c>
      <c r="G1372" s="10" t="s">
        <v>172</v>
      </c>
      <c r="H1372" s="10" t="s">
        <v>172</v>
      </c>
    </row>
    <row r="1373" s="9" customFormat="1" ht="37" customHeight="1" spans="1:8">
      <c r="A1373" s="10" t="s">
        <v>172</v>
      </c>
      <c r="B1373" s="19" t="s">
        <v>1056</v>
      </c>
      <c r="C1373" s="20" t="s">
        <v>182</v>
      </c>
      <c r="D1373" s="21">
        <v>1</v>
      </c>
      <c r="E1373" s="22">
        <v>711900</v>
      </c>
      <c r="F1373" s="10" t="s">
        <v>172</v>
      </c>
      <c r="G1373" s="10" t="s">
        <v>172</v>
      </c>
      <c r="H1373" s="10" t="s">
        <v>172</v>
      </c>
    </row>
    <row r="1374" s="9" customFormat="1" ht="17" customHeight="1" spans="1:8">
      <c r="A1374" s="10" t="s">
        <v>172</v>
      </c>
      <c r="B1374" s="19" t="s">
        <v>1056</v>
      </c>
      <c r="C1374" s="16" t="s">
        <v>1841</v>
      </c>
      <c r="D1374" s="23">
        <v>1</v>
      </c>
      <c r="E1374" s="24">
        <v>711900</v>
      </c>
      <c r="F1374" s="10" t="s">
        <v>172</v>
      </c>
      <c r="G1374" s="10" t="s">
        <v>172</v>
      </c>
      <c r="H1374" s="10" t="s">
        <v>172</v>
      </c>
    </row>
    <row r="1375" s="9" customFormat="1" ht="1" customHeight="1" spans="1:8">
      <c r="A1375" s="10" t="s">
        <v>172</v>
      </c>
      <c r="B1375" s="25"/>
      <c r="C1375" s="25"/>
      <c r="D1375" s="25"/>
      <c r="E1375" s="25"/>
      <c r="F1375" s="25"/>
      <c r="G1375" s="25"/>
      <c r="H1375" s="10" t="s">
        <v>172</v>
      </c>
    </row>
    <row r="1376" s="9" customFormat="1" ht="13" customHeight="1" spans="1:8">
      <c r="A1376" s="10" t="s">
        <v>172</v>
      </c>
      <c r="B1376" s="26"/>
      <c r="C1376" s="26"/>
      <c r="D1376" s="26"/>
      <c r="E1376" s="26"/>
      <c r="F1376" s="26"/>
      <c r="G1376" s="26"/>
      <c r="H1376" s="10" t="s">
        <v>172</v>
      </c>
    </row>
    <row r="1377" s="9" customFormat="1" ht="13" customHeight="1" spans="1:8">
      <c r="A1377" s="10" t="s">
        <v>172</v>
      </c>
      <c r="B1377" s="26"/>
      <c r="C1377" s="26"/>
      <c r="D1377" s="26"/>
      <c r="E1377" s="26"/>
      <c r="F1377" s="26"/>
      <c r="G1377" s="26"/>
      <c r="H1377" s="10" t="s">
        <v>172</v>
      </c>
    </row>
    <row r="1378" s="9" customFormat="1" ht="13" customHeight="1" spans="1:8">
      <c r="A1378" s="10" t="s">
        <v>172</v>
      </c>
      <c r="B1378" s="26"/>
      <c r="C1378" s="26"/>
      <c r="D1378" s="26"/>
      <c r="E1378" s="26"/>
      <c r="F1378" s="26"/>
      <c r="G1378" s="26"/>
      <c r="H1378" s="10" t="s">
        <v>172</v>
      </c>
    </row>
    <row r="1379" s="9" customFormat="1" ht="13" customHeight="1" spans="1:8">
      <c r="A1379" s="10" t="s">
        <v>172</v>
      </c>
      <c r="B1379" s="26"/>
      <c r="C1379" s="26"/>
      <c r="D1379" s="26"/>
      <c r="E1379" s="26"/>
      <c r="F1379" s="26"/>
      <c r="G1379" s="27" t="s">
        <v>1847</v>
      </c>
      <c r="H1379" s="10" t="s">
        <v>172</v>
      </c>
    </row>
    <row r="1380" s="9" customFormat="1" ht="17" customHeight="1" spans="1:8">
      <c r="A1380" s="10" t="s">
        <v>172</v>
      </c>
      <c r="B1380" s="11"/>
      <c r="C1380" s="11"/>
      <c r="D1380" s="11"/>
      <c r="E1380" s="11"/>
      <c r="F1380" s="11"/>
      <c r="G1380" s="11"/>
      <c r="H1380" s="10" t="s">
        <v>172</v>
      </c>
    </row>
    <row r="1381" s="9" customFormat="1" ht="23" customHeight="1" spans="1:8">
      <c r="A1381" s="10" t="s">
        <v>172</v>
      </c>
      <c r="B1381" s="12"/>
      <c r="C1381" s="12"/>
      <c r="D1381" s="12"/>
      <c r="E1381" s="12"/>
      <c r="F1381" s="12"/>
      <c r="G1381" s="12"/>
      <c r="H1381" s="10" t="s">
        <v>172</v>
      </c>
    </row>
    <row r="1382" s="9" customFormat="1" ht="16" customHeight="1" spans="1:8">
      <c r="A1382" s="10" t="s">
        <v>172</v>
      </c>
      <c r="B1382" s="13"/>
      <c r="C1382" s="13"/>
      <c r="D1382" s="13"/>
      <c r="E1382" s="13"/>
      <c r="F1382" s="13"/>
      <c r="G1382" s="13"/>
      <c r="H1382" s="10" t="s">
        <v>172</v>
      </c>
    </row>
    <row r="1383" s="9" customFormat="1" ht="12" customHeight="1" spans="1:8">
      <c r="A1383" s="10" t="s">
        <v>172</v>
      </c>
      <c r="B1383" s="14"/>
      <c r="C1383" s="14"/>
      <c r="D1383" s="14"/>
      <c r="E1383" s="14"/>
      <c r="F1383" s="14"/>
      <c r="G1383" s="14"/>
      <c r="H1383" s="10" t="s">
        <v>172</v>
      </c>
    </row>
    <row r="1384" s="9" customFormat="1" ht="17" customHeight="1" spans="1:8">
      <c r="A1384" s="10" t="s">
        <v>172</v>
      </c>
      <c r="B1384" s="15" t="s">
        <v>1836</v>
      </c>
      <c r="C1384" s="16" t="s">
        <v>1837</v>
      </c>
      <c r="D1384" s="17" t="s">
        <v>1838</v>
      </c>
      <c r="E1384" s="18" t="s">
        <v>1839</v>
      </c>
      <c r="F1384" s="10" t="s">
        <v>172</v>
      </c>
      <c r="G1384" s="10" t="s">
        <v>172</v>
      </c>
      <c r="H1384" s="10" t="s">
        <v>172</v>
      </c>
    </row>
    <row r="1385" s="9" customFormat="1" ht="37" customHeight="1" spans="1:8">
      <c r="A1385" s="10" t="s">
        <v>172</v>
      </c>
      <c r="B1385" s="19" t="s">
        <v>736</v>
      </c>
      <c r="C1385" s="20" t="s">
        <v>182</v>
      </c>
      <c r="D1385" s="21">
        <v>4</v>
      </c>
      <c r="E1385" s="22">
        <v>2063423.810811</v>
      </c>
      <c r="F1385" s="10" t="s">
        <v>172</v>
      </c>
      <c r="G1385" s="10" t="s">
        <v>172</v>
      </c>
      <c r="H1385" s="10" t="s">
        <v>172</v>
      </c>
    </row>
    <row r="1386" s="9" customFormat="1" ht="26" customHeight="1" spans="1:8">
      <c r="A1386" s="10" t="s">
        <v>172</v>
      </c>
      <c r="B1386" s="19" t="s">
        <v>736</v>
      </c>
      <c r="C1386" s="20" t="s">
        <v>804</v>
      </c>
      <c r="D1386" s="21">
        <v>1</v>
      </c>
      <c r="E1386" s="22">
        <v>515855.855856</v>
      </c>
      <c r="F1386" s="10" t="s">
        <v>172</v>
      </c>
      <c r="G1386" s="10" t="s">
        <v>172</v>
      </c>
      <c r="H1386" s="10" t="s">
        <v>172</v>
      </c>
    </row>
    <row r="1387" s="9" customFormat="1" ht="17" customHeight="1" spans="1:8">
      <c r="A1387" s="10" t="s">
        <v>172</v>
      </c>
      <c r="B1387" s="19" t="s">
        <v>736</v>
      </c>
      <c r="C1387" s="16" t="s">
        <v>1841</v>
      </c>
      <c r="D1387" s="23">
        <v>5</v>
      </c>
      <c r="E1387" s="24">
        <v>2579279.666667</v>
      </c>
      <c r="F1387" s="10" t="s">
        <v>172</v>
      </c>
      <c r="G1387" s="10" t="s">
        <v>172</v>
      </c>
      <c r="H1387" s="10" t="s">
        <v>172</v>
      </c>
    </row>
    <row r="1388" s="9" customFormat="1" ht="37" customHeight="1" spans="1:8">
      <c r="A1388" s="10" t="s">
        <v>172</v>
      </c>
      <c r="B1388" s="19" t="s">
        <v>737</v>
      </c>
      <c r="C1388" s="20" t="s">
        <v>182</v>
      </c>
      <c r="D1388" s="21">
        <v>4</v>
      </c>
      <c r="E1388" s="22">
        <v>2063423.423424</v>
      </c>
      <c r="F1388" s="10" t="s">
        <v>172</v>
      </c>
      <c r="G1388" s="10" t="s">
        <v>172</v>
      </c>
      <c r="H1388" s="10" t="s">
        <v>172</v>
      </c>
    </row>
    <row r="1389" s="9" customFormat="1" ht="26" customHeight="1" spans="1:8">
      <c r="A1389" s="10" t="s">
        <v>172</v>
      </c>
      <c r="B1389" s="19" t="s">
        <v>737</v>
      </c>
      <c r="C1389" s="20" t="s">
        <v>804</v>
      </c>
      <c r="D1389" s="21">
        <v>1</v>
      </c>
      <c r="E1389" s="22">
        <v>515855.855856</v>
      </c>
      <c r="F1389" s="10" t="s">
        <v>172</v>
      </c>
      <c r="G1389" s="10" t="s">
        <v>172</v>
      </c>
      <c r="H1389" s="10" t="s">
        <v>172</v>
      </c>
    </row>
    <row r="1390" s="9" customFormat="1" ht="17" customHeight="1" spans="1:8">
      <c r="A1390" s="10" t="s">
        <v>172</v>
      </c>
      <c r="B1390" s="19" t="s">
        <v>737</v>
      </c>
      <c r="C1390" s="16" t="s">
        <v>1841</v>
      </c>
      <c r="D1390" s="23">
        <v>5</v>
      </c>
      <c r="E1390" s="24">
        <v>2579279.27928</v>
      </c>
      <c r="F1390" s="10" t="s">
        <v>172</v>
      </c>
      <c r="G1390" s="10" t="s">
        <v>172</v>
      </c>
      <c r="H1390" s="10" t="s">
        <v>172</v>
      </c>
    </row>
    <row r="1391" s="9" customFormat="1" ht="37" customHeight="1" spans="1:8">
      <c r="A1391" s="10" t="s">
        <v>172</v>
      </c>
      <c r="B1391" s="19" t="s">
        <v>1548</v>
      </c>
      <c r="C1391" s="20" t="s">
        <v>182</v>
      </c>
      <c r="D1391" s="21">
        <v>1</v>
      </c>
      <c r="E1391" s="22">
        <v>539189.09009</v>
      </c>
      <c r="F1391" s="10" t="s">
        <v>172</v>
      </c>
      <c r="G1391" s="10" t="s">
        <v>172</v>
      </c>
      <c r="H1391" s="10" t="s">
        <v>172</v>
      </c>
    </row>
    <row r="1392" s="9" customFormat="1" ht="26" customHeight="1" spans="1:8">
      <c r="A1392" s="10" t="s">
        <v>172</v>
      </c>
      <c r="B1392" s="19" t="s">
        <v>1548</v>
      </c>
      <c r="C1392" s="20" t="s">
        <v>804</v>
      </c>
      <c r="D1392" s="21">
        <v>1</v>
      </c>
      <c r="E1392" s="22">
        <v>539189.189189</v>
      </c>
      <c r="F1392" s="10" t="s">
        <v>172</v>
      </c>
      <c r="G1392" s="10" t="s">
        <v>172</v>
      </c>
      <c r="H1392" s="10" t="s">
        <v>172</v>
      </c>
    </row>
    <row r="1393" s="9" customFormat="1" ht="17" customHeight="1" spans="1:8">
      <c r="A1393" s="10" t="s">
        <v>172</v>
      </c>
      <c r="B1393" s="19" t="s">
        <v>1548</v>
      </c>
      <c r="C1393" s="16" t="s">
        <v>1841</v>
      </c>
      <c r="D1393" s="23">
        <v>2</v>
      </c>
      <c r="E1393" s="24">
        <v>1078378.279279</v>
      </c>
      <c r="F1393" s="10" t="s">
        <v>172</v>
      </c>
      <c r="G1393" s="10" t="s">
        <v>172</v>
      </c>
      <c r="H1393" s="10" t="s">
        <v>172</v>
      </c>
    </row>
    <row r="1394" s="9" customFormat="1" ht="37" customHeight="1" spans="1:8">
      <c r="A1394" s="10" t="s">
        <v>172</v>
      </c>
      <c r="B1394" s="19" t="s">
        <v>1549</v>
      </c>
      <c r="C1394" s="20" t="s">
        <v>182</v>
      </c>
      <c r="D1394" s="21">
        <v>1</v>
      </c>
      <c r="E1394" s="22">
        <v>539189.189189</v>
      </c>
      <c r="F1394" s="10" t="s">
        <v>172</v>
      </c>
      <c r="G1394" s="10" t="s">
        <v>172</v>
      </c>
      <c r="H1394" s="10" t="s">
        <v>172</v>
      </c>
    </row>
    <row r="1395" s="9" customFormat="1" ht="26" customHeight="1" spans="1:8">
      <c r="A1395" s="10" t="s">
        <v>172</v>
      </c>
      <c r="B1395" s="19" t="s">
        <v>1549</v>
      </c>
      <c r="C1395" s="20" t="s">
        <v>804</v>
      </c>
      <c r="D1395" s="21">
        <v>1</v>
      </c>
      <c r="E1395" s="22">
        <v>539188.810811</v>
      </c>
      <c r="F1395" s="10" t="s">
        <v>172</v>
      </c>
      <c r="G1395" s="10" t="s">
        <v>172</v>
      </c>
      <c r="H1395" s="10" t="s">
        <v>172</v>
      </c>
    </row>
    <row r="1396" s="9" customFormat="1" ht="17" customHeight="1" spans="1:8">
      <c r="A1396" s="10" t="s">
        <v>172</v>
      </c>
      <c r="B1396" s="19" t="s">
        <v>1549</v>
      </c>
      <c r="C1396" s="16" t="s">
        <v>1841</v>
      </c>
      <c r="D1396" s="23">
        <v>2</v>
      </c>
      <c r="E1396" s="24">
        <v>1078378</v>
      </c>
      <c r="F1396" s="10" t="s">
        <v>172</v>
      </c>
      <c r="G1396" s="10" t="s">
        <v>172</v>
      </c>
      <c r="H1396" s="10" t="s">
        <v>172</v>
      </c>
    </row>
    <row r="1397" s="9" customFormat="1" ht="37" customHeight="1" spans="1:8">
      <c r="A1397" s="10" t="s">
        <v>172</v>
      </c>
      <c r="B1397" s="20" t="s">
        <v>899</v>
      </c>
      <c r="C1397" s="20" t="s">
        <v>182</v>
      </c>
      <c r="D1397" s="21">
        <v>2</v>
      </c>
      <c r="E1397" s="22">
        <v>699279.225225</v>
      </c>
      <c r="F1397" s="10" t="s">
        <v>172</v>
      </c>
      <c r="G1397" s="10" t="s">
        <v>172</v>
      </c>
      <c r="H1397" s="10" t="s">
        <v>172</v>
      </c>
    </row>
    <row r="1398" s="9" customFormat="1" ht="1" customHeight="1" spans="1:8">
      <c r="A1398" s="10" t="s">
        <v>172</v>
      </c>
      <c r="B1398" s="25"/>
      <c r="C1398" s="25"/>
      <c r="D1398" s="25"/>
      <c r="E1398" s="25"/>
      <c r="F1398" s="25"/>
      <c r="G1398" s="25"/>
      <c r="H1398" s="10" t="s">
        <v>172</v>
      </c>
    </row>
    <row r="1399" s="9" customFormat="1" ht="13" customHeight="1" spans="1:8">
      <c r="A1399" s="10" t="s">
        <v>172</v>
      </c>
      <c r="B1399" s="26"/>
      <c r="C1399" s="26"/>
      <c r="D1399" s="26"/>
      <c r="E1399" s="26"/>
      <c r="F1399" s="26"/>
      <c r="G1399" s="26"/>
      <c r="H1399" s="10" t="s">
        <v>172</v>
      </c>
    </row>
    <row r="1400" s="9" customFormat="1" ht="13" customHeight="1" spans="1:8">
      <c r="A1400" s="10" t="s">
        <v>172</v>
      </c>
      <c r="B1400" s="26"/>
      <c r="C1400" s="26"/>
      <c r="D1400" s="26"/>
      <c r="E1400" s="26"/>
      <c r="F1400" s="26"/>
      <c r="G1400" s="26"/>
      <c r="H1400" s="10" t="s">
        <v>172</v>
      </c>
    </row>
    <row r="1401" s="9" customFormat="1" ht="13" customHeight="1" spans="1:8">
      <c r="A1401" s="10" t="s">
        <v>172</v>
      </c>
      <c r="B1401" s="26"/>
      <c r="C1401" s="26"/>
      <c r="D1401" s="26"/>
      <c r="E1401" s="26"/>
      <c r="F1401" s="26"/>
      <c r="G1401" s="26"/>
      <c r="H1401" s="10" t="s">
        <v>172</v>
      </c>
    </row>
    <row r="1402" s="9" customFormat="1" ht="13" customHeight="1" spans="1:8">
      <c r="A1402" s="10" t="s">
        <v>172</v>
      </c>
      <c r="B1402" s="26"/>
      <c r="C1402" s="26"/>
      <c r="D1402" s="26"/>
      <c r="E1402" s="26"/>
      <c r="F1402" s="26"/>
      <c r="G1402" s="27" t="s">
        <v>1847</v>
      </c>
      <c r="H1402" s="10" t="s">
        <v>172</v>
      </c>
    </row>
    <row r="1403" s="9" customFormat="1" ht="17" customHeight="1" spans="1:8">
      <c r="A1403" s="10" t="s">
        <v>172</v>
      </c>
      <c r="B1403" s="11"/>
      <c r="C1403" s="11"/>
      <c r="D1403" s="11"/>
      <c r="E1403" s="11"/>
      <c r="F1403" s="11"/>
      <c r="G1403" s="11"/>
      <c r="H1403" s="10" t="s">
        <v>172</v>
      </c>
    </row>
    <row r="1404" s="9" customFormat="1" ht="23" customHeight="1" spans="1:8">
      <c r="A1404" s="10" t="s">
        <v>172</v>
      </c>
      <c r="B1404" s="12"/>
      <c r="C1404" s="12"/>
      <c r="D1404" s="12"/>
      <c r="E1404" s="12"/>
      <c r="F1404" s="12"/>
      <c r="G1404" s="12"/>
      <c r="H1404" s="10" t="s">
        <v>172</v>
      </c>
    </row>
    <row r="1405" s="9" customFormat="1" ht="16" customHeight="1" spans="1:8">
      <c r="A1405" s="10" t="s">
        <v>172</v>
      </c>
      <c r="B1405" s="13"/>
      <c r="C1405" s="13"/>
      <c r="D1405" s="13"/>
      <c r="E1405" s="13"/>
      <c r="F1405" s="13"/>
      <c r="G1405" s="13"/>
      <c r="H1405" s="10" t="s">
        <v>172</v>
      </c>
    </row>
    <row r="1406" s="9" customFormat="1" ht="12" customHeight="1" spans="1:8">
      <c r="A1406" s="10" t="s">
        <v>172</v>
      </c>
      <c r="B1406" s="14"/>
      <c r="C1406" s="14"/>
      <c r="D1406" s="14"/>
      <c r="E1406" s="14"/>
      <c r="F1406" s="14"/>
      <c r="G1406" s="14"/>
      <c r="H1406" s="10" t="s">
        <v>172</v>
      </c>
    </row>
    <row r="1407" s="9" customFormat="1" ht="17" customHeight="1" spans="1:8">
      <c r="A1407" s="10" t="s">
        <v>172</v>
      </c>
      <c r="B1407" s="15" t="s">
        <v>1836</v>
      </c>
      <c r="C1407" s="16" t="s">
        <v>1837</v>
      </c>
      <c r="D1407" s="17" t="s">
        <v>1838</v>
      </c>
      <c r="E1407" s="18" t="s">
        <v>1839</v>
      </c>
      <c r="F1407" s="10" t="s">
        <v>172</v>
      </c>
      <c r="G1407" s="10" t="s">
        <v>172</v>
      </c>
      <c r="H1407" s="10" t="s">
        <v>172</v>
      </c>
    </row>
    <row r="1408" s="9" customFormat="1" ht="26" customHeight="1" spans="1:8">
      <c r="A1408" s="10" t="s">
        <v>172</v>
      </c>
      <c r="B1408" s="19" t="s">
        <v>899</v>
      </c>
      <c r="C1408" s="20" t="s">
        <v>804</v>
      </c>
      <c r="D1408" s="21">
        <v>1</v>
      </c>
      <c r="E1408" s="22">
        <v>462252.252252</v>
      </c>
      <c r="F1408" s="10" t="s">
        <v>172</v>
      </c>
      <c r="G1408" s="10" t="s">
        <v>172</v>
      </c>
      <c r="H1408" s="10" t="s">
        <v>172</v>
      </c>
    </row>
    <row r="1409" s="9" customFormat="1" ht="17" customHeight="1" spans="1:8">
      <c r="A1409" s="10" t="s">
        <v>172</v>
      </c>
      <c r="B1409" s="19" t="s">
        <v>899</v>
      </c>
      <c r="C1409" s="16" t="s">
        <v>1841</v>
      </c>
      <c r="D1409" s="23">
        <v>3</v>
      </c>
      <c r="E1409" s="24">
        <v>1161531.477477</v>
      </c>
      <c r="F1409" s="10" t="s">
        <v>172</v>
      </c>
      <c r="G1409" s="10" t="s">
        <v>172</v>
      </c>
      <c r="H1409" s="10" t="s">
        <v>172</v>
      </c>
    </row>
    <row r="1410" s="9" customFormat="1" ht="37" customHeight="1" spans="1:8">
      <c r="A1410" s="10" t="s">
        <v>172</v>
      </c>
      <c r="B1410" s="19" t="s">
        <v>900</v>
      </c>
      <c r="C1410" s="20" t="s">
        <v>182</v>
      </c>
      <c r="D1410" s="21">
        <v>2</v>
      </c>
      <c r="E1410" s="22">
        <v>699279.279279</v>
      </c>
      <c r="F1410" s="10" t="s">
        <v>172</v>
      </c>
      <c r="G1410" s="10" t="s">
        <v>172</v>
      </c>
      <c r="H1410" s="10" t="s">
        <v>172</v>
      </c>
    </row>
    <row r="1411" s="9" customFormat="1" ht="26" customHeight="1" spans="1:8">
      <c r="A1411" s="10" t="s">
        <v>172</v>
      </c>
      <c r="B1411" s="19" t="s">
        <v>900</v>
      </c>
      <c r="C1411" s="20" t="s">
        <v>804</v>
      </c>
      <c r="D1411" s="21">
        <v>1</v>
      </c>
      <c r="E1411" s="22">
        <v>462252.252252</v>
      </c>
      <c r="F1411" s="10" t="s">
        <v>172</v>
      </c>
      <c r="G1411" s="10" t="s">
        <v>172</v>
      </c>
      <c r="H1411" s="10" t="s">
        <v>172</v>
      </c>
    </row>
    <row r="1412" s="9" customFormat="1" ht="17" customHeight="1" spans="1:8">
      <c r="A1412" s="10" t="s">
        <v>172</v>
      </c>
      <c r="B1412" s="19" t="s">
        <v>900</v>
      </c>
      <c r="C1412" s="16" t="s">
        <v>1841</v>
      </c>
      <c r="D1412" s="23">
        <v>3</v>
      </c>
      <c r="E1412" s="24">
        <v>1161531.531531</v>
      </c>
      <c r="F1412" s="10" t="s">
        <v>172</v>
      </c>
      <c r="G1412" s="10" t="s">
        <v>172</v>
      </c>
      <c r="H1412" s="10" t="s">
        <v>172</v>
      </c>
    </row>
    <row r="1413" s="9" customFormat="1" ht="37" customHeight="1" spans="1:8">
      <c r="A1413" s="10" t="s">
        <v>172</v>
      </c>
      <c r="B1413" s="19" t="s">
        <v>1057</v>
      </c>
      <c r="C1413" s="20" t="s">
        <v>182</v>
      </c>
      <c r="D1413" s="21">
        <v>1</v>
      </c>
      <c r="E1413" s="22">
        <v>575135.135135</v>
      </c>
      <c r="F1413" s="10" t="s">
        <v>172</v>
      </c>
      <c r="G1413" s="10" t="s">
        <v>172</v>
      </c>
      <c r="H1413" s="10" t="s">
        <v>172</v>
      </c>
    </row>
    <row r="1414" s="9" customFormat="1" ht="17" customHeight="1" spans="1:8">
      <c r="A1414" s="10" t="s">
        <v>172</v>
      </c>
      <c r="B1414" s="19" t="s">
        <v>1057</v>
      </c>
      <c r="C1414" s="16" t="s">
        <v>1841</v>
      </c>
      <c r="D1414" s="23">
        <v>1</v>
      </c>
      <c r="E1414" s="24">
        <v>575135.135135</v>
      </c>
      <c r="F1414" s="10" t="s">
        <v>172</v>
      </c>
      <c r="G1414" s="10" t="s">
        <v>172</v>
      </c>
      <c r="H1414" s="10" t="s">
        <v>172</v>
      </c>
    </row>
    <row r="1415" s="9" customFormat="1" ht="37" customHeight="1" spans="1:8">
      <c r="A1415" s="10" t="s">
        <v>172</v>
      </c>
      <c r="B1415" s="19" t="s">
        <v>1058</v>
      </c>
      <c r="C1415" s="20" t="s">
        <v>182</v>
      </c>
      <c r="D1415" s="21">
        <v>1</v>
      </c>
      <c r="E1415" s="22">
        <v>575134.864865</v>
      </c>
      <c r="F1415" s="10" t="s">
        <v>172</v>
      </c>
      <c r="G1415" s="10" t="s">
        <v>172</v>
      </c>
      <c r="H1415" s="10" t="s">
        <v>172</v>
      </c>
    </row>
    <row r="1416" s="9" customFormat="1" ht="17" customHeight="1" spans="1:8">
      <c r="A1416" s="10" t="s">
        <v>172</v>
      </c>
      <c r="B1416" s="19" t="s">
        <v>1058</v>
      </c>
      <c r="C1416" s="16" t="s">
        <v>1841</v>
      </c>
      <c r="D1416" s="23">
        <v>1</v>
      </c>
      <c r="E1416" s="24">
        <v>575134.864865</v>
      </c>
      <c r="F1416" s="10" t="s">
        <v>172</v>
      </c>
      <c r="G1416" s="10" t="s">
        <v>172</v>
      </c>
      <c r="H1416" s="10" t="s">
        <v>172</v>
      </c>
    </row>
    <row r="1417" s="9" customFormat="1" ht="37" customHeight="1" spans="1:8">
      <c r="A1417" s="10" t="s">
        <v>172</v>
      </c>
      <c r="B1417" s="19" t="s">
        <v>901</v>
      </c>
      <c r="C1417" s="20" t="s">
        <v>182</v>
      </c>
      <c r="D1417" s="21">
        <v>2</v>
      </c>
      <c r="E1417" s="22">
        <v>1256216</v>
      </c>
      <c r="F1417" s="10" t="s">
        <v>172</v>
      </c>
      <c r="G1417" s="10" t="s">
        <v>172</v>
      </c>
      <c r="H1417" s="10" t="s">
        <v>172</v>
      </c>
    </row>
    <row r="1418" s="9" customFormat="1" ht="26" customHeight="1" spans="1:8">
      <c r="A1418" s="10" t="s">
        <v>172</v>
      </c>
      <c r="B1418" s="19" t="s">
        <v>901</v>
      </c>
      <c r="C1418" s="20" t="s">
        <v>804</v>
      </c>
      <c r="D1418" s="21">
        <v>1</v>
      </c>
      <c r="E1418" s="22">
        <v>628108.108108</v>
      </c>
      <c r="F1418" s="10" t="s">
        <v>172</v>
      </c>
      <c r="G1418" s="10" t="s">
        <v>172</v>
      </c>
      <c r="H1418" s="10" t="s">
        <v>172</v>
      </c>
    </row>
    <row r="1419" s="9" customFormat="1" ht="17" customHeight="1" spans="1:8">
      <c r="A1419" s="10" t="s">
        <v>172</v>
      </c>
      <c r="B1419" s="19" t="s">
        <v>901</v>
      </c>
      <c r="C1419" s="16" t="s">
        <v>1841</v>
      </c>
      <c r="D1419" s="23">
        <v>3</v>
      </c>
      <c r="E1419" s="24">
        <v>1884324.108108</v>
      </c>
      <c r="F1419" s="10" t="s">
        <v>172</v>
      </c>
      <c r="G1419" s="10" t="s">
        <v>172</v>
      </c>
      <c r="H1419" s="10" t="s">
        <v>172</v>
      </c>
    </row>
    <row r="1420" s="9" customFormat="1" ht="37" customHeight="1" spans="1:8">
      <c r="A1420" s="10" t="s">
        <v>172</v>
      </c>
      <c r="B1420" s="20" t="s">
        <v>902</v>
      </c>
      <c r="C1420" s="20" t="s">
        <v>182</v>
      </c>
      <c r="D1420" s="21">
        <v>2</v>
      </c>
      <c r="E1420" s="22">
        <v>1256216.216216</v>
      </c>
      <c r="F1420" s="10" t="s">
        <v>172</v>
      </c>
      <c r="G1420" s="10" t="s">
        <v>172</v>
      </c>
      <c r="H1420" s="10" t="s">
        <v>172</v>
      </c>
    </row>
    <row r="1421" s="9" customFormat="1" ht="1" customHeight="1" spans="1:8">
      <c r="A1421" s="10" t="s">
        <v>172</v>
      </c>
      <c r="B1421" s="25"/>
      <c r="C1421" s="25"/>
      <c r="D1421" s="25"/>
      <c r="E1421" s="25"/>
      <c r="F1421" s="25"/>
      <c r="G1421" s="25"/>
      <c r="H1421" s="10" t="s">
        <v>172</v>
      </c>
    </row>
    <row r="1422" s="9" customFormat="1" ht="13" customHeight="1" spans="1:8">
      <c r="A1422" s="10" t="s">
        <v>172</v>
      </c>
      <c r="B1422" s="26"/>
      <c r="C1422" s="26"/>
      <c r="D1422" s="26"/>
      <c r="E1422" s="26"/>
      <c r="F1422" s="26"/>
      <c r="G1422" s="26"/>
      <c r="H1422" s="10" t="s">
        <v>172</v>
      </c>
    </row>
    <row r="1423" s="9" customFormat="1" ht="13" customHeight="1" spans="1:8">
      <c r="A1423" s="10" t="s">
        <v>172</v>
      </c>
      <c r="B1423" s="26"/>
      <c r="C1423" s="26"/>
      <c r="D1423" s="26"/>
      <c r="E1423" s="26"/>
      <c r="F1423" s="26"/>
      <c r="G1423" s="26"/>
      <c r="H1423" s="10" t="s">
        <v>172</v>
      </c>
    </row>
    <row r="1424" s="9" customFormat="1" ht="13" customHeight="1" spans="1:8">
      <c r="A1424" s="10" t="s">
        <v>172</v>
      </c>
      <c r="B1424" s="26"/>
      <c r="C1424" s="26"/>
      <c r="D1424" s="26"/>
      <c r="E1424" s="26"/>
      <c r="F1424" s="26"/>
      <c r="G1424" s="26"/>
      <c r="H1424" s="10" t="s">
        <v>172</v>
      </c>
    </row>
    <row r="1425" s="9" customFormat="1" ht="13" customHeight="1" spans="1:8">
      <c r="A1425" s="10" t="s">
        <v>172</v>
      </c>
      <c r="B1425" s="26"/>
      <c r="C1425" s="26"/>
      <c r="D1425" s="26"/>
      <c r="E1425" s="26"/>
      <c r="F1425" s="26"/>
      <c r="G1425" s="27" t="s">
        <v>1847</v>
      </c>
      <c r="H1425" s="10" t="s">
        <v>172</v>
      </c>
    </row>
    <row r="1426" s="9" customFormat="1" ht="17" customHeight="1" spans="1:8">
      <c r="A1426" s="10" t="s">
        <v>172</v>
      </c>
      <c r="B1426" s="11"/>
      <c r="C1426" s="11"/>
      <c r="D1426" s="11"/>
      <c r="E1426" s="11"/>
      <c r="F1426" s="11"/>
      <c r="G1426" s="11"/>
      <c r="H1426" s="10" t="s">
        <v>172</v>
      </c>
    </row>
    <row r="1427" s="9" customFormat="1" ht="23" customHeight="1" spans="1:8">
      <c r="A1427" s="10" t="s">
        <v>172</v>
      </c>
      <c r="B1427" s="12"/>
      <c r="C1427" s="12"/>
      <c r="D1427" s="12"/>
      <c r="E1427" s="12"/>
      <c r="F1427" s="12"/>
      <c r="G1427" s="12"/>
      <c r="H1427" s="10" t="s">
        <v>172</v>
      </c>
    </row>
    <row r="1428" s="9" customFormat="1" ht="16" customHeight="1" spans="1:8">
      <c r="A1428" s="10" t="s">
        <v>172</v>
      </c>
      <c r="B1428" s="13"/>
      <c r="C1428" s="13"/>
      <c r="D1428" s="13"/>
      <c r="E1428" s="13"/>
      <c r="F1428" s="13"/>
      <c r="G1428" s="13"/>
      <c r="H1428" s="10" t="s">
        <v>172</v>
      </c>
    </row>
    <row r="1429" s="9" customFormat="1" ht="12" customHeight="1" spans="1:8">
      <c r="A1429" s="10" t="s">
        <v>172</v>
      </c>
      <c r="B1429" s="14"/>
      <c r="C1429" s="14"/>
      <c r="D1429" s="14"/>
      <c r="E1429" s="14"/>
      <c r="F1429" s="14"/>
      <c r="G1429" s="14"/>
      <c r="H1429" s="10" t="s">
        <v>172</v>
      </c>
    </row>
    <row r="1430" s="9" customFormat="1" ht="17" customHeight="1" spans="1:8">
      <c r="A1430" s="10" t="s">
        <v>172</v>
      </c>
      <c r="B1430" s="15" t="s">
        <v>1836</v>
      </c>
      <c r="C1430" s="16" t="s">
        <v>1837</v>
      </c>
      <c r="D1430" s="17" t="s">
        <v>1838</v>
      </c>
      <c r="E1430" s="18" t="s">
        <v>1839</v>
      </c>
      <c r="F1430" s="10" t="s">
        <v>172</v>
      </c>
      <c r="G1430" s="10" t="s">
        <v>172</v>
      </c>
      <c r="H1430" s="10" t="s">
        <v>172</v>
      </c>
    </row>
    <row r="1431" s="9" customFormat="1" ht="26" customHeight="1" spans="1:8">
      <c r="A1431" s="10" t="s">
        <v>172</v>
      </c>
      <c r="B1431" s="19" t="s">
        <v>902</v>
      </c>
      <c r="C1431" s="20" t="s">
        <v>804</v>
      </c>
      <c r="D1431" s="21">
        <v>1</v>
      </c>
      <c r="E1431" s="22">
        <v>628108.108108</v>
      </c>
      <c r="F1431" s="10" t="s">
        <v>172</v>
      </c>
      <c r="G1431" s="10" t="s">
        <v>172</v>
      </c>
      <c r="H1431" s="10" t="s">
        <v>172</v>
      </c>
    </row>
    <row r="1432" s="9" customFormat="1" ht="17" customHeight="1" spans="1:8">
      <c r="A1432" s="10" t="s">
        <v>172</v>
      </c>
      <c r="B1432" s="19" t="s">
        <v>902</v>
      </c>
      <c r="C1432" s="16" t="s">
        <v>1841</v>
      </c>
      <c r="D1432" s="23">
        <v>3</v>
      </c>
      <c r="E1432" s="24">
        <v>1884324.324324</v>
      </c>
      <c r="F1432" s="10" t="s">
        <v>172</v>
      </c>
      <c r="G1432" s="10" t="s">
        <v>172</v>
      </c>
      <c r="H1432" s="10" t="s">
        <v>172</v>
      </c>
    </row>
    <row r="1433" s="9" customFormat="1" ht="37" customHeight="1" spans="1:8">
      <c r="A1433" s="10" t="s">
        <v>172</v>
      </c>
      <c r="B1433" s="19" t="s">
        <v>1553</v>
      </c>
      <c r="C1433" s="20" t="s">
        <v>182</v>
      </c>
      <c r="D1433" s="21">
        <v>1</v>
      </c>
      <c r="E1433" s="22">
        <v>588378.378378</v>
      </c>
      <c r="F1433" s="10" t="s">
        <v>172</v>
      </c>
      <c r="G1433" s="10" t="s">
        <v>172</v>
      </c>
      <c r="H1433" s="10" t="s">
        <v>172</v>
      </c>
    </row>
    <row r="1434" s="9" customFormat="1" ht="17" customHeight="1" spans="1:8">
      <c r="A1434" s="10" t="s">
        <v>172</v>
      </c>
      <c r="B1434" s="19" t="s">
        <v>1553</v>
      </c>
      <c r="C1434" s="16" t="s">
        <v>1841</v>
      </c>
      <c r="D1434" s="23">
        <v>1</v>
      </c>
      <c r="E1434" s="24">
        <v>588378.378378</v>
      </c>
      <c r="F1434" s="10" t="s">
        <v>172</v>
      </c>
      <c r="G1434" s="10" t="s">
        <v>172</v>
      </c>
      <c r="H1434" s="10" t="s">
        <v>172</v>
      </c>
    </row>
    <row r="1435" s="9" customFormat="1" ht="37" customHeight="1" spans="1:8">
      <c r="A1435" s="10" t="s">
        <v>172</v>
      </c>
      <c r="B1435" s="19" t="s">
        <v>1554</v>
      </c>
      <c r="C1435" s="20" t="s">
        <v>182</v>
      </c>
      <c r="D1435" s="21">
        <v>1</v>
      </c>
      <c r="E1435" s="22">
        <v>588378.378378</v>
      </c>
      <c r="F1435" s="10" t="s">
        <v>172</v>
      </c>
      <c r="G1435" s="10" t="s">
        <v>172</v>
      </c>
      <c r="H1435" s="10" t="s">
        <v>172</v>
      </c>
    </row>
    <row r="1436" s="9" customFormat="1" ht="17" customHeight="1" spans="1:8">
      <c r="A1436" s="10" t="s">
        <v>172</v>
      </c>
      <c r="B1436" s="19" t="s">
        <v>1554</v>
      </c>
      <c r="C1436" s="16" t="s">
        <v>1841</v>
      </c>
      <c r="D1436" s="23">
        <v>1</v>
      </c>
      <c r="E1436" s="24">
        <v>588378.378378</v>
      </c>
      <c r="F1436" s="10" t="s">
        <v>172</v>
      </c>
      <c r="G1436" s="10" t="s">
        <v>172</v>
      </c>
      <c r="H1436" s="10" t="s">
        <v>172</v>
      </c>
    </row>
    <row r="1437" s="9" customFormat="1" ht="37" customHeight="1" spans="1:8">
      <c r="A1437" s="10" t="s">
        <v>172</v>
      </c>
      <c r="B1437" s="19" t="s">
        <v>1061</v>
      </c>
      <c r="C1437" s="20" t="s">
        <v>182</v>
      </c>
      <c r="D1437" s="21">
        <v>1</v>
      </c>
      <c r="E1437" s="22">
        <v>414414.585586</v>
      </c>
      <c r="F1437" s="10" t="s">
        <v>172</v>
      </c>
      <c r="G1437" s="10" t="s">
        <v>172</v>
      </c>
      <c r="H1437" s="10" t="s">
        <v>172</v>
      </c>
    </row>
    <row r="1438" s="9" customFormat="1" ht="26" customHeight="1" spans="1:8">
      <c r="A1438" s="10" t="s">
        <v>172</v>
      </c>
      <c r="B1438" s="19" t="s">
        <v>1061</v>
      </c>
      <c r="C1438" s="20" t="s">
        <v>804</v>
      </c>
      <c r="D1438" s="21">
        <v>1</v>
      </c>
      <c r="E1438" s="22">
        <v>565675.675676</v>
      </c>
      <c r="F1438" s="10" t="s">
        <v>172</v>
      </c>
      <c r="G1438" s="10" t="s">
        <v>172</v>
      </c>
      <c r="H1438" s="10" t="s">
        <v>172</v>
      </c>
    </row>
    <row r="1439" s="9" customFormat="1" ht="17" customHeight="1" spans="1:8">
      <c r="A1439" s="10" t="s">
        <v>172</v>
      </c>
      <c r="B1439" s="19" t="s">
        <v>1061</v>
      </c>
      <c r="C1439" s="16" t="s">
        <v>1841</v>
      </c>
      <c r="D1439" s="23">
        <v>2</v>
      </c>
      <c r="E1439" s="24">
        <v>980090.261262</v>
      </c>
      <c r="F1439" s="10" t="s">
        <v>172</v>
      </c>
      <c r="G1439" s="10" t="s">
        <v>172</v>
      </c>
      <c r="H1439" s="10" t="s">
        <v>172</v>
      </c>
    </row>
    <row r="1440" s="9" customFormat="1" ht="37" customHeight="1" spans="1:8">
      <c r="A1440" s="10" t="s">
        <v>172</v>
      </c>
      <c r="B1440" s="19" t="s">
        <v>1062</v>
      </c>
      <c r="C1440" s="20" t="s">
        <v>182</v>
      </c>
      <c r="D1440" s="21">
        <v>1</v>
      </c>
      <c r="E1440" s="22">
        <v>414414.414414</v>
      </c>
      <c r="F1440" s="10" t="s">
        <v>172</v>
      </c>
      <c r="G1440" s="10" t="s">
        <v>172</v>
      </c>
      <c r="H1440" s="10" t="s">
        <v>172</v>
      </c>
    </row>
    <row r="1441" s="9" customFormat="1" ht="26" customHeight="1" spans="1:8">
      <c r="A1441" s="10" t="s">
        <v>172</v>
      </c>
      <c r="B1441" s="19" t="s">
        <v>1062</v>
      </c>
      <c r="C1441" s="20" t="s">
        <v>804</v>
      </c>
      <c r="D1441" s="21">
        <v>1</v>
      </c>
      <c r="E1441" s="22">
        <v>565675.324324</v>
      </c>
      <c r="F1441" s="10" t="s">
        <v>172</v>
      </c>
      <c r="G1441" s="10" t="s">
        <v>172</v>
      </c>
      <c r="H1441" s="10" t="s">
        <v>172</v>
      </c>
    </row>
    <row r="1442" s="9" customFormat="1" ht="17" customHeight="1" spans="1:8">
      <c r="A1442" s="10" t="s">
        <v>172</v>
      </c>
      <c r="B1442" s="19" t="s">
        <v>1062</v>
      </c>
      <c r="C1442" s="16" t="s">
        <v>1841</v>
      </c>
      <c r="D1442" s="23">
        <v>2</v>
      </c>
      <c r="E1442" s="24">
        <v>980089.738738</v>
      </c>
      <c r="F1442" s="10" t="s">
        <v>172</v>
      </c>
      <c r="G1442" s="10" t="s">
        <v>172</v>
      </c>
      <c r="H1442" s="10" t="s">
        <v>172</v>
      </c>
    </row>
    <row r="1443" s="9" customFormat="1" ht="26" customHeight="1" spans="1:8">
      <c r="A1443" s="10" t="s">
        <v>172</v>
      </c>
      <c r="B1443" s="19" t="s">
        <v>1929</v>
      </c>
      <c r="C1443" s="20" t="s">
        <v>804</v>
      </c>
      <c r="D1443" s="21">
        <v>1</v>
      </c>
      <c r="E1443" s="22">
        <v>558108.108108</v>
      </c>
      <c r="F1443" s="10" t="s">
        <v>172</v>
      </c>
      <c r="G1443" s="10" t="s">
        <v>172</v>
      </c>
      <c r="H1443" s="10" t="s">
        <v>172</v>
      </c>
    </row>
    <row r="1444" s="9" customFormat="1" ht="17" customHeight="1" spans="1:8">
      <c r="A1444" s="10" t="s">
        <v>172</v>
      </c>
      <c r="B1444" s="19" t="s">
        <v>1929</v>
      </c>
      <c r="C1444" s="16" t="s">
        <v>1841</v>
      </c>
      <c r="D1444" s="23">
        <v>1</v>
      </c>
      <c r="E1444" s="24">
        <v>558108.108108</v>
      </c>
      <c r="F1444" s="10" t="s">
        <v>172</v>
      </c>
      <c r="G1444" s="10" t="s">
        <v>172</v>
      </c>
      <c r="H1444" s="10" t="s">
        <v>172</v>
      </c>
    </row>
    <row r="1445" s="9" customFormat="1" ht="1" customHeight="1" spans="1:8">
      <c r="A1445" s="10" t="s">
        <v>172</v>
      </c>
      <c r="B1445" s="25"/>
      <c r="C1445" s="25"/>
      <c r="D1445" s="25"/>
      <c r="E1445" s="25"/>
      <c r="F1445" s="25"/>
      <c r="G1445" s="25"/>
      <c r="H1445" s="10" t="s">
        <v>172</v>
      </c>
    </row>
    <row r="1446" s="9" customFormat="1" ht="13" customHeight="1" spans="1:8">
      <c r="A1446" s="10" t="s">
        <v>172</v>
      </c>
      <c r="B1446" s="26"/>
      <c r="C1446" s="26"/>
      <c r="D1446" s="26"/>
      <c r="E1446" s="26"/>
      <c r="F1446" s="26"/>
      <c r="G1446" s="26"/>
      <c r="H1446" s="10" t="s">
        <v>172</v>
      </c>
    </row>
    <row r="1447" s="9" customFormat="1" ht="13" customHeight="1" spans="1:8">
      <c r="A1447" s="10" t="s">
        <v>172</v>
      </c>
      <c r="B1447" s="26"/>
      <c r="C1447" s="26"/>
      <c r="D1447" s="26"/>
      <c r="E1447" s="26"/>
      <c r="F1447" s="26"/>
      <c r="G1447" s="26"/>
      <c r="H1447" s="10" t="s">
        <v>172</v>
      </c>
    </row>
    <row r="1448" s="9" customFormat="1" ht="13" customHeight="1" spans="1:8">
      <c r="A1448" s="10" t="s">
        <v>172</v>
      </c>
      <c r="B1448" s="26"/>
      <c r="C1448" s="26"/>
      <c r="D1448" s="26"/>
      <c r="E1448" s="26"/>
      <c r="F1448" s="26"/>
      <c r="G1448" s="26"/>
      <c r="H1448" s="10" t="s">
        <v>172</v>
      </c>
    </row>
    <row r="1449" s="9" customFormat="1" ht="13" customHeight="1" spans="1:8">
      <c r="A1449" s="10" t="s">
        <v>172</v>
      </c>
      <c r="B1449" s="26"/>
      <c r="C1449" s="26"/>
      <c r="D1449" s="26"/>
      <c r="E1449" s="26"/>
      <c r="F1449" s="26"/>
      <c r="G1449" s="27" t="s">
        <v>1847</v>
      </c>
      <c r="H1449" s="10" t="s">
        <v>172</v>
      </c>
    </row>
    <row r="1450" s="9" customFormat="1" ht="17" customHeight="1" spans="1:8">
      <c r="A1450" s="10" t="s">
        <v>172</v>
      </c>
      <c r="B1450" s="11"/>
      <c r="C1450" s="11"/>
      <c r="D1450" s="11"/>
      <c r="E1450" s="11"/>
      <c r="F1450" s="11"/>
      <c r="G1450" s="11"/>
      <c r="H1450" s="10" t="s">
        <v>172</v>
      </c>
    </row>
    <row r="1451" s="9" customFormat="1" ht="23" customHeight="1" spans="1:8">
      <c r="A1451" s="10" t="s">
        <v>172</v>
      </c>
      <c r="B1451" s="12"/>
      <c r="C1451" s="12"/>
      <c r="D1451" s="12"/>
      <c r="E1451" s="12"/>
      <c r="F1451" s="12"/>
      <c r="G1451" s="12"/>
      <c r="H1451" s="10" t="s">
        <v>172</v>
      </c>
    </row>
    <row r="1452" s="9" customFormat="1" ht="16" customHeight="1" spans="1:8">
      <c r="A1452" s="10" t="s">
        <v>172</v>
      </c>
      <c r="B1452" s="13"/>
      <c r="C1452" s="13"/>
      <c r="D1452" s="13"/>
      <c r="E1452" s="13"/>
      <c r="F1452" s="13"/>
      <c r="G1452" s="13"/>
      <c r="H1452" s="10" t="s">
        <v>172</v>
      </c>
    </row>
    <row r="1453" s="9" customFormat="1" ht="12" customHeight="1" spans="1:8">
      <c r="A1453" s="10" t="s">
        <v>172</v>
      </c>
      <c r="B1453" s="14"/>
      <c r="C1453" s="14"/>
      <c r="D1453" s="14"/>
      <c r="E1453" s="14"/>
      <c r="F1453" s="14"/>
      <c r="G1453" s="14"/>
      <c r="H1453" s="10" t="s">
        <v>172</v>
      </c>
    </row>
    <row r="1454" s="9" customFormat="1" ht="17" customHeight="1" spans="1:8">
      <c r="A1454" s="10" t="s">
        <v>172</v>
      </c>
      <c r="B1454" s="15" t="s">
        <v>1836</v>
      </c>
      <c r="C1454" s="16" t="s">
        <v>1837</v>
      </c>
      <c r="D1454" s="17" t="s">
        <v>1838</v>
      </c>
      <c r="E1454" s="18" t="s">
        <v>1839</v>
      </c>
      <c r="F1454" s="10" t="s">
        <v>172</v>
      </c>
      <c r="G1454" s="10" t="s">
        <v>172</v>
      </c>
      <c r="H1454" s="10" t="s">
        <v>172</v>
      </c>
    </row>
    <row r="1455" s="9" customFormat="1" ht="26" customHeight="1" spans="1:8">
      <c r="A1455" s="10" t="s">
        <v>172</v>
      </c>
      <c r="B1455" s="19" t="s">
        <v>1930</v>
      </c>
      <c r="C1455" s="20" t="s">
        <v>804</v>
      </c>
      <c r="D1455" s="21">
        <v>1</v>
      </c>
      <c r="E1455" s="22">
        <v>558108.108108</v>
      </c>
      <c r="F1455" s="10" t="s">
        <v>172</v>
      </c>
      <c r="G1455" s="10" t="s">
        <v>172</v>
      </c>
      <c r="H1455" s="10" t="s">
        <v>172</v>
      </c>
    </row>
    <row r="1456" s="9" customFormat="1" ht="17" customHeight="1" spans="1:8">
      <c r="A1456" s="10" t="s">
        <v>172</v>
      </c>
      <c r="B1456" s="19" t="s">
        <v>1930</v>
      </c>
      <c r="C1456" s="16" t="s">
        <v>1841</v>
      </c>
      <c r="D1456" s="23">
        <v>1</v>
      </c>
      <c r="E1456" s="24">
        <v>558108.108108</v>
      </c>
      <c r="F1456" s="10" t="s">
        <v>172</v>
      </c>
      <c r="G1456" s="10" t="s">
        <v>172</v>
      </c>
      <c r="H1456" s="10" t="s">
        <v>172</v>
      </c>
    </row>
    <row r="1457" s="9" customFormat="1" ht="26" customHeight="1" spans="1:8">
      <c r="A1457" s="10" t="s">
        <v>172</v>
      </c>
      <c r="B1457" s="19" t="s">
        <v>738</v>
      </c>
      <c r="C1457" s="20" t="s">
        <v>804</v>
      </c>
      <c r="D1457" s="21">
        <v>1</v>
      </c>
      <c r="E1457" s="22">
        <v>762432.432432</v>
      </c>
      <c r="F1457" s="10" t="s">
        <v>172</v>
      </c>
      <c r="G1457" s="10" t="s">
        <v>172</v>
      </c>
      <c r="H1457" s="10" t="s">
        <v>172</v>
      </c>
    </row>
    <row r="1458" s="9" customFormat="1" ht="17" customHeight="1" spans="1:8">
      <c r="A1458" s="10" t="s">
        <v>172</v>
      </c>
      <c r="B1458" s="19" t="s">
        <v>738</v>
      </c>
      <c r="C1458" s="16" t="s">
        <v>1841</v>
      </c>
      <c r="D1458" s="23">
        <v>1</v>
      </c>
      <c r="E1458" s="24">
        <v>762432.432432</v>
      </c>
      <c r="F1458" s="10" t="s">
        <v>172</v>
      </c>
      <c r="G1458" s="10" t="s">
        <v>172</v>
      </c>
      <c r="H1458" s="10" t="s">
        <v>172</v>
      </c>
    </row>
    <row r="1459" s="9" customFormat="1" ht="26" customHeight="1" spans="1:8">
      <c r="A1459" s="10" t="s">
        <v>172</v>
      </c>
      <c r="B1459" s="19" t="s">
        <v>739</v>
      </c>
      <c r="C1459" s="20" t="s">
        <v>804</v>
      </c>
      <c r="D1459" s="21">
        <v>1</v>
      </c>
      <c r="E1459" s="22">
        <v>762432.855856</v>
      </c>
      <c r="F1459" s="10" t="s">
        <v>172</v>
      </c>
      <c r="G1459" s="10" t="s">
        <v>172</v>
      </c>
      <c r="H1459" s="10" t="s">
        <v>172</v>
      </c>
    </row>
    <row r="1460" s="9" customFormat="1" ht="17" customHeight="1" spans="1:8">
      <c r="A1460" s="10" t="s">
        <v>172</v>
      </c>
      <c r="B1460" s="19" t="s">
        <v>739</v>
      </c>
      <c r="C1460" s="16" t="s">
        <v>1841</v>
      </c>
      <c r="D1460" s="23">
        <v>1</v>
      </c>
      <c r="E1460" s="24">
        <v>762432.855856</v>
      </c>
      <c r="F1460" s="10" t="s">
        <v>172</v>
      </c>
      <c r="G1460" s="10" t="s">
        <v>172</v>
      </c>
      <c r="H1460" s="10" t="s">
        <v>172</v>
      </c>
    </row>
    <row r="1461" s="9" customFormat="1" ht="26" customHeight="1" spans="1:8">
      <c r="A1461" s="10" t="s">
        <v>172</v>
      </c>
      <c r="B1461" s="19" t="s">
        <v>1931</v>
      </c>
      <c r="C1461" s="20" t="s">
        <v>804</v>
      </c>
      <c r="D1461" s="21">
        <v>1</v>
      </c>
      <c r="E1461" s="22">
        <v>563153.153153</v>
      </c>
      <c r="F1461" s="10" t="s">
        <v>172</v>
      </c>
      <c r="G1461" s="10" t="s">
        <v>172</v>
      </c>
      <c r="H1461" s="10" t="s">
        <v>172</v>
      </c>
    </row>
    <row r="1462" s="9" customFormat="1" ht="17" customHeight="1" spans="1:8">
      <c r="A1462" s="10" t="s">
        <v>172</v>
      </c>
      <c r="B1462" s="19" t="s">
        <v>1931</v>
      </c>
      <c r="C1462" s="16" t="s">
        <v>1841</v>
      </c>
      <c r="D1462" s="23">
        <v>1</v>
      </c>
      <c r="E1462" s="24">
        <v>563153.153153</v>
      </c>
      <c r="F1462" s="10" t="s">
        <v>172</v>
      </c>
      <c r="G1462" s="10" t="s">
        <v>172</v>
      </c>
      <c r="H1462" s="10" t="s">
        <v>172</v>
      </c>
    </row>
    <row r="1463" s="9" customFormat="1" ht="26" customHeight="1" spans="1:8">
      <c r="A1463" s="10" t="s">
        <v>172</v>
      </c>
      <c r="B1463" s="19" t="s">
        <v>1932</v>
      </c>
      <c r="C1463" s="20" t="s">
        <v>804</v>
      </c>
      <c r="D1463" s="21">
        <v>1</v>
      </c>
      <c r="E1463" s="22">
        <v>563153.153153</v>
      </c>
      <c r="F1463" s="10" t="s">
        <v>172</v>
      </c>
      <c r="G1463" s="10" t="s">
        <v>172</v>
      </c>
      <c r="H1463" s="10" t="s">
        <v>172</v>
      </c>
    </row>
    <row r="1464" s="9" customFormat="1" ht="17" customHeight="1" spans="1:8">
      <c r="A1464" s="10" t="s">
        <v>172</v>
      </c>
      <c r="B1464" s="19" t="s">
        <v>1932</v>
      </c>
      <c r="C1464" s="16" t="s">
        <v>1841</v>
      </c>
      <c r="D1464" s="23">
        <v>1</v>
      </c>
      <c r="E1464" s="24">
        <v>563153.153153</v>
      </c>
      <c r="F1464" s="10" t="s">
        <v>172</v>
      </c>
      <c r="G1464" s="10" t="s">
        <v>172</v>
      </c>
      <c r="H1464" s="10" t="s">
        <v>172</v>
      </c>
    </row>
    <row r="1465" s="9" customFormat="1" ht="37" customHeight="1" spans="1:8">
      <c r="A1465" s="10" t="s">
        <v>172</v>
      </c>
      <c r="B1465" s="19" t="s">
        <v>1555</v>
      </c>
      <c r="C1465" s="20" t="s">
        <v>182</v>
      </c>
      <c r="D1465" s="21">
        <v>1</v>
      </c>
      <c r="E1465" s="22">
        <v>770000</v>
      </c>
      <c r="F1465" s="10" t="s">
        <v>172</v>
      </c>
      <c r="G1465" s="10" t="s">
        <v>172</v>
      </c>
      <c r="H1465" s="10" t="s">
        <v>172</v>
      </c>
    </row>
    <row r="1466" s="9" customFormat="1" ht="17" customHeight="1" spans="1:8">
      <c r="A1466" s="10" t="s">
        <v>172</v>
      </c>
      <c r="B1466" s="19" t="s">
        <v>1555</v>
      </c>
      <c r="C1466" s="16" t="s">
        <v>1841</v>
      </c>
      <c r="D1466" s="23">
        <v>1</v>
      </c>
      <c r="E1466" s="24">
        <v>770000</v>
      </c>
      <c r="F1466" s="10" t="s">
        <v>172</v>
      </c>
      <c r="G1466" s="10" t="s">
        <v>172</v>
      </c>
      <c r="H1466" s="10" t="s">
        <v>172</v>
      </c>
    </row>
    <row r="1467" s="9" customFormat="1" ht="37" customHeight="1" spans="1:8">
      <c r="A1467" s="10" t="s">
        <v>172</v>
      </c>
      <c r="B1467" s="19" t="s">
        <v>1556</v>
      </c>
      <c r="C1467" s="20" t="s">
        <v>182</v>
      </c>
      <c r="D1467" s="21">
        <v>1</v>
      </c>
      <c r="E1467" s="22">
        <v>770000</v>
      </c>
      <c r="F1467" s="10" t="s">
        <v>172</v>
      </c>
      <c r="G1467" s="10" t="s">
        <v>172</v>
      </c>
      <c r="H1467" s="10" t="s">
        <v>172</v>
      </c>
    </row>
    <row r="1468" s="9" customFormat="1" ht="17" customHeight="1" spans="1:8">
      <c r="A1468" s="10" t="s">
        <v>172</v>
      </c>
      <c r="B1468" s="19" t="s">
        <v>1556</v>
      </c>
      <c r="C1468" s="16" t="s">
        <v>1841</v>
      </c>
      <c r="D1468" s="23">
        <v>1</v>
      </c>
      <c r="E1468" s="24">
        <v>770000</v>
      </c>
      <c r="F1468" s="10" t="s">
        <v>172</v>
      </c>
      <c r="G1468" s="10" t="s">
        <v>172</v>
      </c>
      <c r="H1468" s="10" t="s">
        <v>172</v>
      </c>
    </row>
    <row r="1469" s="9" customFormat="1" ht="1" customHeight="1" spans="1:8">
      <c r="A1469" s="10" t="s">
        <v>172</v>
      </c>
      <c r="B1469" s="25"/>
      <c r="C1469" s="25"/>
      <c r="D1469" s="25"/>
      <c r="E1469" s="25"/>
      <c r="F1469" s="25"/>
      <c r="G1469" s="25"/>
      <c r="H1469" s="10" t="s">
        <v>172</v>
      </c>
    </row>
    <row r="1470" s="9" customFormat="1" ht="13" customHeight="1" spans="1:8">
      <c r="A1470" s="10" t="s">
        <v>172</v>
      </c>
      <c r="B1470" s="26"/>
      <c r="C1470" s="26"/>
      <c r="D1470" s="26"/>
      <c r="E1470" s="26"/>
      <c r="F1470" s="26"/>
      <c r="G1470" s="26"/>
      <c r="H1470" s="10" t="s">
        <v>172</v>
      </c>
    </row>
    <row r="1471" s="9" customFormat="1" ht="13" customHeight="1" spans="1:8">
      <c r="A1471" s="10" t="s">
        <v>172</v>
      </c>
      <c r="B1471" s="26"/>
      <c r="C1471" s="26"/>
      <c r="D1471" s="26"/>
      <c r="E1471" s="26"/>
      <c r="F1471" s="26"/>
      <c r="G1471" s="26"/>
      <c r="H1471" s="10" t="s">
        <v>172</v>
      </c>
    </row>
    <row r="1472" s="9" customFormat="1" ht="13" customHeight="1" spans="1:8">
      <c r="A1472" s="10" t="s">
        <v>172</v>
      </c>
      <c r="B1472" s="26"/>
      <c r="C1472" s="26"/>
      <c r="D1472" s="26"/>
      <c r="E1472" s="26"/>
      <c r="F1472" s="26"/>
      <c r="G1472" s="26"/>
      <c r="H1472" s="10" t="s">
        <v>172</v>
      </c>
    </row>
    <row r="1473" s="9" customFormat="1" ht="13" customHeight="1" spans="1:8">
      <c r="A1473" s="10" t="s">
        <v>172</v>
      </c>
      <c r="B1473" s="26"/>
      <c r="C1473" s="26"/>
      <c r="D1473" s="26"/>
      <c r="E1473" s="26"/>
      <c r="F1473" s="26"/>
      <c r="G1473" s="27" t="s">
        <v>1847</v>
      </c>
      <c r="H1473" s="10" t="s">
        <v>172</v>
      </c>
    </row>
    <row r="1474" s="9" customFormat="1" ht="17" customHeight="1" spans="1:8">
      <c r="A1474" s="10" t="s">
        <v>172</v>
      </c>
      <c r="B1474" s="11"/>
      <c r="C1474" s="11"/>
      <c r="D1474" s="11"/>
      <c r="E1474" s="11"/>
      <c r="F1474" s="11"/>
      <c r="G1474" s="11"/>
      <c r="H1474" s="10" t="s">
        <v>172</v>
      </c>
    </row>
    <row r="1475" s="9" customFormat="1" ht="23" customHeight="1" spans="1:8">
      <c r="A1475" s="10" t="s">
        <v>172</v>
      </c>
      <c r="B1475" s="12"/>
      <c r="C1475" s="12"/>
      <c r="D1475" s="12"/>
      <c r="E1475" s="12"/>
      <c r="F1475" s="12"/>
      <c r="G1475" s="12"/>
      <c r="H1475" s="10" t="s">
        <v>172</v>
      </c>
    </row>
    <row r="1476" s="9" customFormat="1" ht="16" customHeight="1" spans="1:8">
      <c r="A1476" s="10" t="s">
        <v>172</v>
      </c>
      <c r="B1476" s="13"/>
      <c r="C1476" s="13"/>
      <c r="D1476" s="13"/>
      <c r="E1476" s="13"/>
      <c r="F1476" s="13"/>
      <c r="G1476" s="13"/>
      <c r="H1476" s="10" t="s">
        <v>172</v>
      </c>
    </row>
    <row r="1477" s="9" customFormat="1" ht="12" customHeight="1" spans="1:8">
      <c r="A1477" s="10" t="s">
        <v>172</v>
      </c>
      <c r="B1477" s="14"/>
      <c r="C1477" s="14"/>
      <c r="D1477" s="14"/>
      <c r="E1477" s="14"/>
      <c r="F1477" s="14"/>
      <c r="G1477" s="14"/>
      <c r="H1477" s="10" t="s">
        <v>172</v>
      </c>
    </row>
    <row r="1478" s="9" customFormat="1" ht="17" customHeight="1" spans="1:8">
      <c r="A1478" s="10" t="s">
        <v>172</v>
      </c>
      <c r="B1478" s="15" t="s">
        <v>1836</v>
      </c>
      <c r="C1478" s="16" t="s">
        <v>1837</v>
      </c>
      <c r="D1478" s="17" t="s">
        <v>1838</v>
      </c>
      <c r="E1478" s="18" t="s">
        <v>1839</v>
      </c>
      <c r="F1478" s="10" t="s">
        <v>172</v>
      </c>
      <c r="G1478" s="10" t="s">
        <v>172</v>
      </c>
      <c r="H1478" s="10" t="s">
        <v>172</v>
      </c>
    </row>
    <row r="1479" s="9" customFormat="1" ht="37" customHeight="1" spans="1:8">
      <c r="A1479" s="10" t="s">
        <v>172</v>
      </c>
      <c r="B1479" s="19" t="s">
        <v>1557</v>
      </c>
      <c r="C1479" s="20" t="s">
        <v>182</v>
      </c>
      <c r="D1479" s="21">
        <v>1</v>
      </c>
      <c r="E1479" s="22">
        <v>770000</v>
      </c>
      <c r="F1479" s="10" t="s">
        <v>172</v>
      </c>
      <c r="G1479" s="10" t="s">
        <v>172</v>
      </c>
      <c r="H1479" s="10" t="s">
        <v>172</v>
      </c>
    </row>
    <row r="1480" s="9" customFormat="1" ht="17" customHeight="1" spans="1:8">
      <c r="A1480" s="10" t="s">
        <v>172</v>
      </c>
      <c r="B1480" s="19" t="s">
        <v>1557</v>
      </c>
      <c r="C1480" s="16" t="s">
        <v>1841</v>
      </c>
      <c r="D1480" s="23">
        <v>1</v>
      </c>
      <c r="E1480" s="24">
        <v>770000</v>
      </c>
      <c r="F1480" s="10" t="s">
        <v>172</v>
      </c>
      <c r="G1480" s="10" t="s">
        <v>172</v>
      </c>
      <c r="H1480" s="10" t="s">
        <v>172</v>
      </c>
    </row>
    <row r="1481" s="9" customFormat="1" ht="37" customHeight="1" spans="1:8">
      <c r="A1481" s="10" t="s">
        <v>172</v>
      </c>
      <c r="B1481" s="19" t="s">
        <v>1558</v>
      </c>
      <c r="C1481" s="20" t="s">
        <v>182</v>
      </c>
      <c r="D1481" s="21">
        <v>1</v>
      </c>
      <c r="E1481" s="22">
        <v>770000</v>
      </c>
      <c r="F1481" s="10" t="s">
        <v>172</v>
      </c>
      <c r="G1481" s="10" t="s">
        <v>172</v>
      </c>
      <c r="H1481" s="10" t="s">
        <v>172</v>
      </c>
    </row>
    <row r="1482" s="9" customFormat="1" ht="17" customHeight="1" spans="1:8">
      <c r="A1482" s="10" t="s">
        <v>172</v>
      </c>
      <c r="B1482" s="19" t="s">
        <v>1558</v>
      </c>
      <c r="C1482" s="16" t="s">
        <v>1841</v>
      </c>
      <c r="D1482" s="23">
        <v>1</v>
      </c>
      <c r="E1482" s="24">
        <v>770000</v>
      </c>
      <c r="F1482" s="10" t="s">
        <v>172</v>
      </c>
      <c r="G1482" s="10" t="s">
        <v>172</v>
      </c>
      <c r="H1482" s="10" t="s">
        <v>172</v>
      </c>
    </row>
    <row r="1483" s="9" customFormat="1" ht="26" customHeight="1" spans="1:8">
      <c r="A1483" s="10" t="s">
        <v>172</v>
      </c>
      <c r="B1483" s="19" t="s">
        <v>1323</v>
      </c>
      <c r="C1483" s="20" t="s">
        <v>804</v>
      </c>
      <c r="D1483" s="21">
        <v>1</v>
      </c>
      <c r="E1483" s="22">
        <v>780720.720721</v>
      </c>
      <c r="F1483" s="10" t="s">
        <v>172</v>
      </c>
      <c r="G1483" s="10" t="s">
        <v>172</v>
      </c>
      <c r="H1483" s="10" t="s">
        <v>172</v>
      </c>
    </row>
    <row r="1484" s="9" customFormat="1" ht="17" customHeight="1" spans="1:8">
      <c r="A1484" s="10" t="s">
        <v>172</v>
      </c>
      <c r="B1484" s="19" t="s">
        <v>1323</v>
      </c>
      <c r="C1484" s="16" t="s">
        <v>1841</v>
      </c>
      <c r="D1484" s="23">
        <v>1</v>
      </c>
      <c r="E1484" s="24">
        <v>780720.720721</v>
      </c>
      <c r="F1484" s="10" t="s">
        <v>172</v>
      </c>
      <c r="G1484" s="10" t="s">
        <v>172</v>
      </c>
      <c r="H1484" s="10" t="s">
        <v>172</v>
      </c>
    </row>
    <row r="1485" s="9" customFormat="1" ht="26" customHeight="1" spans="1:8">
      <c r="A1485" s="10" t="s">
        <v>172</v>
      </c>
      <c r="B1485" s="19" t="s">
        <v>1324</v>
      </c>
      <c r="C1485" s="20" t="s">
        <v>804</v>
      </c>
      <c r="D1485" s="21">
        <v>1</v>
      </c>
      <c r="E1485" s="22">
        <v>780720.720721</v>
      </c>
      <c r="F1485" s="10" t="s">
        <v>172</v>
      </c>
      <c r="G1485" s="10" t="s">
        <v>172</v>
      </c>
      <c r="H1485" s="10" t="s">
        <v>172</v>
      </c>
    </row>
    <row r="1486" s="9" customFormat="1" ht="17" customHeight="1" spans="1:8">
      <c r="A1486" s="10" t="s">
        <v>172</v>
      </c>
      <c r="B1486" s="19" t="s">
        <v>1324</v>
      </c>
      <c r="C1486" s="16" t="s">
        <v>1841</v>
      </c>
      <c r="D1486" s="23">
        <v>1</v>
      </c>
      <c r="E1486" s="24">
        <v>780720.720721</v>
      </c>
      <c r="F1486" s="10" t="s">
        <v>172</v>
      </c>
      <c r="G1486" s="10" t="s">
        <v>172</v>
      </c>
      <c r="H1486" s="10" t="s">
        <v>172</v>
      </c>
    </row>
    <row r="1487" s="9" customFormat="1" ht="26" customHeight="1" spans="1:8">
      <c r="A1487" s="10" t="s">
        <v>172</v>
      </c>
      <c r="B1487" s="19" t="s">
        <v>1325</v>
      </c>
      <c r="C1487" s="20" t="s">
        <v>804</v>
      </c>
      <c r="D1487" s="21">
        <v>2</v>
      </c>
      <c r="E1487" s="22">
        <v>1107387.387387</v>
      </c>
      <c r="F1487" s="10" t="s">
        <v>172</v>
      </c>
      <c r="G1487" s="10" t="s">
        <v>172</v>
      </c>
      <c r="H1487" s="10" t="s">
        <v>172</v>
      </c>
    </row>
    <row r="1488" s="9" customFormat="1" ht="17" customHeight="1" spans="1:8">
      <c r="A1488" s="10" t="s">
        <v>172</v>
      </c>
      <c r="B1488" s="19" t="s">
        <v>1325</v>
      </c>
      <c r="C1488" s="16" t="s">
        <v>1841</v>
      </c>
      <c r="D1488" s="23">
        <v>2</v>
      </c>
      <c r="E1488" s="24">
        <v>1107387.387387</v>
      </c>
      <c r="F1488" s="10" t="s">
        <v>172</v>
      </c>
      <c r="G1488" s="10" t="s">
        <v>172</v>
      </c>
      <c r="H1488" s="10" t="s">
        <v>172</v>
      </c>
    </row>
    <row r="1489" s="9" customFormat="1" ht="37" customHeight="1" spans="1:8">
      <c r="A1489" s="10" t="s">
        <v>172</v>
      </c>
      <c r="B1489" s="19" t="s">
        <v>1933</v>
      </c>
      <c r="C1489" s="20" t="s">
        <v>182</v>
      </c>
      <c r="D1489" s="21">
        <v>2</v>
      </c>
      <c r="E1489" s="22">
        <v>1050631</v>
      </c>
      <c r="F1489" s="10" t="s">
        <v>172</v>
      </c>
      <c r="G1489" s="10" t="s">
        <v>172</v>
      </c>
      <c r="H1489" s="10" t="s">
        <v>172</v>
      </c>
    </row>
    <row r="1490" s="9" customFormat="1" ht="17" customHeight="1" spans="1:8">
      <c r="A1490" s="10" t="s">
        <v>172</v>
      </c>
      <c r="B1490" s="19" t="s">
        <v>1933</v>
      </c>
      <c r="C1490" s="16" t="s">
        <v>1841</v>
      </c>
      <c r="D1490" s="23">
        <v>2</v>
      </c>
      <c r="E1490" s="24">
        <v>1050631</v>
      </c>
      <c r="F1490" s="10" t="s">
        <v>172</v>
      </c>
      <c r="G1490" s="10" t="s">
        <v>172</v>
      </c>
      <c r="H1490" s="10" t="s">
        <v>172</v>
      </c>
    </row>
    <row r="1491" s="9" customFormat="1" ht="26" customHeight="1" spans="1:8">
      <c r="A1491" s="10" t="s">
        <v>172</v>
      </c>
      <c r="B1491" s="19" t="s">
        <v>1934</v>
      </c>
      <c r="C1491" s="20" t="s">
        <v>804</v>
      </c>
      <c r="D1491" s="21">
        <v>1</v>
      </c>
      <c r="E1491" s="22">
        <v>861441.441441</v>
      </c>
      <c r="F1491" s="10" t="s">
        <v>172</v>
      </c>
      <c r="G1491" s="10" t="s">
        <v>172</v>
      </c>
      <c r="H1491" s="10" t="s">
        <v>172</v>
      </c>
    </row>
    <row r="1492" s="9" customFormat="1" ht="17" customHeight="1" spans="1:8">
      <c r="A1492" s="10" t="s">
        <v>172</v>
      </c>
      <c r="B1492" s="19" t="s">
        <v>1934</v>
      </c>
      <c r="C1492" s="16" t="s">
        <v>1841</v>
      </c>
      <c r="D1492" s="23">
        <v>1</v>
      </c>
      <c r="E1492" s="24">
        <v>861441.441441</v>
      </c>
      <c r="F1492" s="10" t="s">
        <v>172</v>
      </c>
      <c r="G1492" s="10" t="s">
        <v>172</v>
      </c>
      <c r="H1492" s="10" t="s">
        <v>172</v>
      </c>
    </row>
    <row r="1493" s="9" customFormat="1" ht="1" customHeight="1" spans="1:8">
      <c r="A1493" s="10" t="s">
        <v>172</v>
      </c>
      <c r="B1493" s="25"/>
      <c r="C1493" s="25"/>
      <c r="D1493" s="25"/>
      <c r="E1493" s="25"/>
      <c r="F1493" s="25"/>
      <c r="G1493" s="25"/>
      <c r="H1493" s="10" t="s">
        <v>172</v>
      </c>
    </row>
    <row r="1494" s="9" customFormat="1" ht="13" customHeight="1" spans="1:8">
      <c r="A1494" s="10" t="s">
        <v>172</v>
      </c>
      <c r="B1494" s="26"/>
      <c r="C1494" s="26"/>
      <c r="D1494" s="26"/>
      <c r="E1494" s="26"/>
      <c r="F1494" s="26"/>
      <c r="G1494" s="26"/>
      <c r="H1494" s="10" t="s">
        <v>172</v>
      </c>
    </row>
    <row r="1495" s="9" customFormat="1" ht="13" customHeight="1" spans="1:8">
      <c r="A1495" s="10" t="s">
        <v>172</v>
      </c>
      <c r="B1495" s="26"/>
      <c r="C1495" s="26"/>
      <c r="D1495" s="26"/>
      <c r="E1495" s="26"/>
      <c r="F1495" s="26"/>
      <c r="G1495" s="26"/>
      <c r="H1495" s="10" t="s">
        <v>172</v>
      </c>
    </row>
    <row r="1496" s="9" customFormat="1" ht="13" customHeight="1" spans="1:8">
      <c r="A1496" s="10" t="s">
        <v>172</v>
      </c>
      <c r="B1496" s="26"/>
      <c r="C1496" s="26"/>
      <c r="D1496" s="26"/>
      <c r="E1496" s="26"/>
      <c r="F1496" s="26"/>
      <c r="G1496" s="26"/>
      <c r="H1496" s="10" t="s">
        <v>172</v>
      </c>
    </row>
    <row r="1497" s="9" customFormat="1" ht="13" customHeight="1" spans="1:8">
      <c r="A1497" s="10" t="s">
        <v>172</v>
      </c>
      <c r="B1497" s="26"/>
      <c r="C1497" s="26"/>
      <c r="D1497" s="26"/>
      <c r="E1497" s="26"/>
      <c r="F1497" s="26"/>
      <c r="G1497" s="27" t="s">
        <v>1847</v>
      </c>
      <c r="H1497" s="10" t="s">
        <v>172</v>
      </c>
    </row>
    <row r="1498" s="9" customFormat="1" ht="17" customHeight="1" spans="1:8">
      <c r="A1498" s="10" t="s">
        <v>172</v>
      </c>
      <c r="B1498" s="11"/>
      <c r="C1498" s="11"/>
      <c r="D1498" s="11"/>
      <c r="E1498" s="11"/>
      <c r="F1498" s="11"/>
      <c r="G1498" s="11"/>
      <c r="H1498" s="10" t="s">
        <v>172</v>
      </c>
    </row>
    <row r="1499" s="9" customFormat="1" ht="23" customHeight="1" spans="1:8">
      <c r="A1499" s="10" t="s">
        <v>172</v>
      </c>
      <c r="B1499" s="12"/>
      <c r="C1499" s="12"/>
      <c r="D1499" s="12"/>
      <c r="E1499" s="12"/>
      <c r="F1499" s="12"/>
      <c r="G1499" s="12"/>
      <c r="H1499" s="10" t="s">
        <v>172</v>
      </c>
    </row>
    <row r="1500" s="9" customFormat="1" ht="16" customHeight="1" spans="1:8">
      <c r="A1500" s="10" t="s">
        <v>172</v>
      </c>
      <c r="B1500" s="13"/>
      <c r="C1500" s="13"/>
      <c r="D1500" s="13"/>
      <c r="E1500" s="13"/>
      <c r="F1500" s="13"/>
      <c r="G1500" s="13"/>
      <c r="H1500" s="10" t="s">
        <v>172</v>
      </c>
    </row>
    <row r="1501" s="9" customFormat="1" ht="12" customHeight="1" spans="1:8">
      <c r="A1501" s="10" t="s">
        <v>172</v>
      </c>
      <c r="B1501" s="14"/>
      <c r="C1501" s="14"/>
      <c r="D1501" s="14"/>
      <c r="E1501" s="14"/>
      <c r="F1501" s="14"/>
      <c r="G1501" s="14"/>
      <c r="H1501" s="10" t="s">
        <v>172</v>
      </c>
    </row>
    <row r="1502" s="9" customFormat="1" ht="17" customHeight="1" spans="1:8">
      <c r="A1502" s="10" t="s">
        <v>172</v>
      </c>
      <c r="B1502" s="15" t="s">
        <v>1836</v>
      </c>
      <c r="C1502" s="16" t="s">
        <v>1837</v>
      </c>
      <c r="D1502" s="17" t="s">
        <v>1838</v>
      </c>
      <c r="E1502" s="18" t="s">
        <v>1839</v>
      </c>
      <c r="F1502" s="10" t="s">
        <v>172</v>
      </c>
      <c r="G1502" s="10" t="s">
        <v>172</v>
      </c>
      <c r="H1502" s="10" t="s">
        <v>172</v>
      </c>
    </row>
    <row r="1503" s="9" customFormat="1" ht="26" customHeight="1" spans="1:8">
      <c r="A1503" s="10" t="s">
        <v>172</v>
      </c>
      <c r="B1503" s="19" t="s">
        <v>1935</v>
      </c>
      <c r="C1503" s="20" t="s">
        <v>804</v>
      </c>
      <c r="D1503" s="21">
        <v>1</v>
      </c>
      <c r="E1503" s="22">
        <v>861441.441441</v>
      </c>
      <c r="F1503" s="10" t="s">
        <v>172</v>
      </c>
      <c r="G1503" s="10" t="s">
        <v>172</v>
      </c>
      <c r="H1503" s="10" t="s">
        <v>172</v>
      </c>
    </row>
    <row r="1504" s="9" customFormat="1" ht="17" customHeight="1" spans="1:8">
      <c r="A1504" s="10" t="s">
        <v>172</v>
      </c>
      <c r="B1504" s="19" t="s">
        <v>1935</v>
      </c>
      <c r="C1504" s="16" t="s">
        <v>1841</v>
      </c>
      <c r="D1504" s="23">
        <v>1</v>
      </c>
      <c r="E1504" s="24">
        <v>861441.441441</v>
      </c>
      <c r="F1504" s="10" t="s">
        <v>172</v>
      </c>
      <c r="G1504" s="10" t="s">
        <v>172</v>
      </c>
      <c r="H1504" s="10" t="s">
        <v>172</v>
      </c>
    </row>
    <row r="1505" s="9" customFormat="1" ht="37" customHeight="1" spans="1:8">
      <c r="A1505" s="10" t="s">
        <v>172</v>
      </c>
      <c r="B1505" s="19" t="s">
        <v>1936</v>
      </c>
      <c r="C1505" s="20" t="s">
        <v>182</v>
      </c>
      <c r="D1505" s="21">
        <v>1</v>
      </c>
      <c r="E1505" s="22">
        <v>747927.936937</v>
      </c>
      <c r="F1505" s="10" t="s">
        <v>172</v>
      </c>
      <c r="G1505" s="10" t="s">
        <v>172</v>
      </c>
      <c r="H1505" s="10" t="s">
        <v>172</v>
      </c>
    </row>
    <row r="1506" s="9" customFormat="1" ht="17" customHeight="1" spans="1:8">
      <c r="A1506" s="10" t="s">
        <v>172</v>
      </c>
      <c r="B1506" s="19" t="s">
        <v>1936</v>
      </c>
      <c r="C1506" s="16" t="s">
        <v>1841</v>
      </c>
      <c r="D1506" s="23">
        <v>1</v>
      </c>
      <c r="E1506" s="24">
        <v>747927.936937</v>
      </c>
      <c r="F1506" s="10" t="s">
        <v>172</v>
      </c>
      <c r="G1506" s="10" t="s">
        <v>172</v>
      </c>
      <c r="H1506" s="10" t="s">
        <v>172</v>
      </c>
    </row>
    <row r="1507" s="9" customFormat="1" ht="37" customHeight="1" spans="1:8">
      <c r="A1507" s="10" t="s">
        <v>172</v>
      </c>
      <c r="B1507" s="19" t="s">
        <v>1937</v>
      </c>
      <c r="C1507" s="20" t="s">
        <v>182</v>
      </c>
      <c r="D1507" s="21">
        <v>1</v>
      </c>
      <c r="E1507" s="22">
        <v>747927.927928</v>
      </c>
      <c r="F1507" s="10" t="s">
        <v>172</v>
      </c>
      <c r="G1507" s="10" t="s">
        <v>172</v>
      </c>
      <c r="H1507" s="10" t="s">
        <v>172</v>
      </c>
    </row>
    <row r="1508" s="9" customFormat="1" ht="17" customHeight="1" spans="1:8">
      <c r="A1508" s="10" t="s">
        <v>172</v>
      </c>
      <c r="B1508" s="19" t="s">
        <v>1937</v>
      </c>
      <c r="C1508" s="16" t="s">
        <v>1841</v>
      </c>
      <c r="D1508" s="23">
        <v>1</v>
      </c>
      <c r="E1508" s="24">
        <v>747927.927928</v>
      </c>
      <c r="F1508" s="10" t="s">
        <v>172</v>
      </c>
      <c r="G1508" s="10" t="s">
        <v>172</v>
      </c>
      <c r="H1508" s="10" t="s">
        <v>172</v>
      </c>
    </row>
    <row r="1509" s="9" customFormat="1" ht="26" customHeight="1" spans="1:8">
      <c r="A1509" s="10" t="s">
        <v>172</v>
      </c>
      <c r="B1509" s="19" t="s">
        <v>1564</v>
      </c>
      <c r="C1509" s="20" t="s">
        <v>804</v>
      </c>
      <c r="D1509" s="21">
        <v>1</v>
      </c>
      <c r="E1509" s="22">
        <v>622432.216216</v>
      </c>
      <c r="F1509" s="10" t="s">
        <v>172</v>
      </c>
      <c r="G1509" s="10" t="s">
        <v>172</v>
      </c>
      <c r="H1509" s="10" t="s">
        <v>172</v>
      </c>
    </row>
    <row r="1510" s="9" customFormat="1" ht="17" customHeight="1" spans="1:8">
      <c r="A1510" s="10" t="s">
        <v>172</v>
      </c>
      <c r="B1510" s="19" t="s">
        <v>1564</v>
      </c>
      <c r="C1510" s="16" t="s">
        <v>1841</v>
      </c>
      <c r="D1510" s="23">
        <v>1</v>
      </c>
      <c r="E1510" s="24">
        <v>622432.216216</v>
      </c>
      <c r="F1510" s="10" t="s">
        <v>172</v>
      </c>
      <c r="G1510" s="10" t="s">
        <v>172</v>
      </c>
      <c r="H1510" s="10" t="s">
        <v>172</v>
      </c>
    </row>
    <row r="1511" s="9" customFormat="1" ht="26" customHeight="1" spans="1:8">
      <c r="A1511" s="10" t="s">
        <v>172</v>
      </c>
      <c r="B1511" s="19" t="s">
        <v>1565</v>
      </c>
      <c r="C1511" s="20" t="s">
        <v>804</v>
      </c>
      <c r="D1511" s="21">
        <v>1</v>
      </c>
      <c r="E1511" s="22">
        <v>622432.432432</v>
      </c>
      <c r="F1511" s="10" t="s">
        <v>172</v>
      </c>
      <c r="G1511" s="10" t="s">
        <v>172</v>
      </c>
      <c r="H1511" s="10" t="s">
        <v>172</v>
      </c>
    </row>
    <row r="1512" s="9" customFormat="1" ht="17" customHeight="1" spans="1:8">
      <c r="A1512" s="10" t="s">
        <v>172</v>
      </c>
      <c r="B1512" s="19" t="s">
        <v>1565</v>
      </c>
      <c r="C1512" s="16" t="s">
        <v>1841</v>
      </c>
      <c r="D1512" s="23">
        <v>1</v>
      </c>
      <c r="E1512" s="24">
        <v>622432.432432</v>
      </c>
      <c r="F1512" s="10" t="s">
        <v>172</v>
      </c>
      <c r="G1512" s="10" t="s">
        <v>172</v>
      </c>
      <c r="H1512" s="10" t="s">
        <v>172</v>
      </c>
    </row>
    <row r="1513" s="9" customFormat="1" ht="37" customHeight="1" spans="1:8">
      <c r="A1513" s="10" t="s">
        <v>172</v>
      </c>
      <c r="B1513" s="19" t="s">
        <v>462</v>
      </c>
      <c r="C1513" s="20" t="s">
        <v>182</v>
      </c>
      <c r="D1513" s="21">
        <v>1</v>
      </c>
      <c r="E1513" s="22">
        <v>544234.234234</v>
      </c>
      <c r="F1513" s="10" t="s">
        <v>172</v>
      </c>
      <c r="G1513" s="10" t="s">
        <v>172</v>
      </c>
      <c r="H1513" s="10" t="s">
        <v>172</v>
      </c>
    </row>
    <row r="1514" s="9" customFormat="1" ht="17" customHeight="1" spans="1:8">
      <c r="A1514" s="10" t="s">
        <v>172</v>
      </c>
      <c r="B1514" s="19" t="s">
        <v>462</v>
      </c>
      <c r="C1514" s="16" t="s">
        <v>1841</v>
      </c>
      <c r="D1514" s="23">
        <v>1</v>
      </c>
      <c r="E1514" s="24">
        <v>544234.234234</v>
      </c>
      <c r="F1514" s="10" t="s">
        <v>172</v>
      </c>
      <c r="G1514" s="10" t="s">
        <v>172</v>
      </c>
      <c r="H1514" s="10" t="s">
        <v>172</v>
      </c>
    </row>
    <row r="1515" s="9" customFormat="1" ht="37" customHeight="1" spans="1:8">
      <c r="A1515" s="10" t="s">
        <v>172</v>
      </c>
      <c r="B1515" s="19" t="s">
        <v>463</v>
      </c>
      <c r="C1515" s="20" t="s">
        <v>182</v>
      </c>
      <c r="D1515" s="21">
        <v>1</v>
      </c>
      <c r="E1515" s="22">
        <v>544234.234234</v>
      </c>
      <c r="F1515" s="10" t="s">
        <v>172</v>
      </c>
      <c r="G1515" s="10" t="s">
        <v>172</v>
      </c>
      <c r="H1515" s="10" t="s">
        <v>172</v>
      </c>
    </row>
    <row r="1516" s="9" customFormat="1" ht="17" customHeight="1" spans="1:8">
      <c r="A1516" s="10" t="s">
        <v>172</v>
      </c>
      <c r="B1516" s="19" t="s">
        <v>463</v>
      </c>
      <c r="C1516" s="16" t="s">
        <v>1841</v>
      </c>
      <c r="D1516" s="23">
        <v>1</v>
      </c>
      <c r="E1516" s="24">
        <v>544234.234234</v>
      </c>
      <c r="F1516" s="10" t="s">
        <v>172</v>
      </c>
      <c r="G1516" s="10" t="s">
        <v>172</v>
      </c>
      <c r="H1516" s="10" t="s">
        <v>172</v>
      </c>
    </row>
    <row r="1517" s="9" customFormat="1" ht="1" customHeight="1" spans="1:8">
      <c r="A1517" s="10" t="s">
        <v>172</v>
      </c>
      <c r="B1517" s="25"/>
      <c r="C1517" s="25"/>
      <c r="D1517" s="25"/>
      <c r="E1517" s="25"/>
      <c r="F1517" s="25"/>
      <c r="G1517" s="25"/>
      <c r="H1517" s="10" t="s">
        <v>172</v>
      </c>
    </row>
    <row r="1518" s="9" customFormat="1" ht="13" customHeight="1" spans="1:8">
      <c r="A1518" s="10" t="s">
        <v>172</v>
      </c>
      <c r="B1518" s="26"/>
      <c r="C1518" s="26"/>
      <c r="D1518" s="26"/>
      <c r="E1518" s="26"/>
      <c r="F1518" s="26"/>
      <c r="G1518" s="26"/>
      <c r="H1518" s="10" t="s">
        <v>172</v>
      </c>
    </row>
    <row r="1519" s="9" customFormat="1" ht="13" customHeight="1" spans="1:8">
      <c r="A1519" s="10" t="s">
        <v>172</v>
      </c>
      <c r="B1519" s="26"/>
      <c r="C1519" s="26"/>
      <c r="D1519" s="26"/>
      <c r="E1519" s="26"/>
      <c r="F1519" s="26"/>
      <c r="G1519" s="26"/>
      <c r="H1519" s="10" t="s">
        <v>172</v>
      </c>
    </row>
    <row r="1520" s="9" customFormat="1" ht="13" customHeight="1" spans="1:8">
      <c r="A1520" s="10" t="s">
        <v>172</v>
      </c>
      <c r="B1520" s="26"/>
      <c r="C1520" s="26"/>
      <c r="D1520" s="26"/>
      <c r="E1520" s="26"/>
      <c r="F1520" s="26"/>
      <c r="G1520" s="26"/>
      <c r="H1520" s="10" t="s">
        <v>172</v>
      </c>
    </row>
    <row r="1521" s="9" customFormat="1" ht="13" customHeight="1" spans="1:8">
      <c r="A1521" s="10" t="s">
        <v>172</v>
      </c>
      <c r="B1521" s="26"/>
      <c r="C1521" s="26"/>
      <c r="D1521" s="26"/>
      <c r="E1521" s="26"/>
      <c r="F1521" s="26"/>
      <c r="G1521" s="27" t="s">
        <v>1847</v>
      </c>
      <c r="H1521" s="10" t="s">
        <v>172</v>
      </c>
    </row>
    <row r="1522" s="9" customFormat="1" ht="17" customHeight="1" spans="1:8">
      <c r="A1522" s="10" t="s">
        <v>172</v>
      </c>
      <c r="B1522" s="11"/>
      <c r="C1522" s="11"/>
      <c r="D1522" s="11"/>
      <c r="E1522" s="11"/>
      <c r="F1522" s="11"/>
      <c r="G1522" s="11"/>
      <c r="H1522" s="10" t="s">
        <v>172</v>
      </c>
    </row>
    <row r="1523" s="9" customFormat="1" ht="23" customHeight="1" spans="1:8">
      <c r="A1523" s="10" t="s">
        <v>172</v>
      </c>
      <c r="B1523" s="12"/>
      <c r="C1523" s="12"/>
      <c r="D1523" s="12"/>
      <c r="E1523" s="12"/>
      <c r="F1523" s="12"/>
      <c r="G1523" s="12"/>
      <c r="H1523" s="10" t="s">
        <v>172</v>
      </c>
    </row>
    <row r="1524" s="9" customFormat="1" ht="16" customHeight="1" spans="1:8">
      <c r="A1524" s="10" t="s">
        <v>172</v>
      </c>
      <c r="B1524" s="13"/>
      <c r="C1524" s="13"/>
      <c r="D1524" s="13"/>
      <c r="E1524" s="13"/>
      <c r="F1524" s="13"/>
      <c r="G1524" s="13"/>
      <c r="H1524" s="10" t="s">
        <v>172</v>
      </c>
    </row>
    <row r="1525" s="9" customFormat="1" ht="12" customHeight="1" spans="1:8">
      <c r="A1525" s="10" t="s">
        <v>172</v>
      </c>
      <c r="B1525" s="14"/>
      <c r="C1525" s="14"/>
      <c r="D1525" s="14"/>
      <c r="E1525" s="14"/>
      <c r="F1525" s="14"/>
      <c r="G1525" s="14"/>
      <c r="H1525" s="10" t="s">
        <v>172</v>
      </c>
    </row>
    <row r="1526" s="9" customFormat="1" ht="17" customHeight="1" spans="1:8">
      <c r="A1526" s="10" t="s">
        <v>172</v>
      </c>
      <c r="B1526" s="15" t="s">
        <v>1836</v>
      </c>
      <c r="C1526" s="16" t="s">
        <v>1837</v>
      </c>
      <c r="D1526" s="17" t="s">
        <v>1838</v>
      </c>
      <c r="E1526" s="18" t="s">
        <v>1839</v>
      </c>
      <c r="F1526" s="10" t="s">
        <v>172</v>
      </c>
      <c r="G1526" s="10" t="s">
        <v>172</v>
      </c>
      <c r="H1526" s="10" t="s">
        <v>172</v>
      </c>
    </row>
    <row r="1527" s="9" customFormat="1" ht="37" customHeight="1" spans="1:8">
      <c r="A1527" s="10" t="s">
        <v>172</v>
      </c>
      <c r="B1527" s="19" t="s">
        <v>1072</v>
      </c>
      <c r="C1527" s="20" t="s">
        <v>182</v>
      </c>
      <c r="D1527" s="21">
        <v>2</v>
      </c>
      <c r="E1527" s="22">
        <v>1160360.117117</v>
      </c>
      <c r="F1527" s="10" t="s">
        <v>172</v>
      </c>
      <c r="G1527" s="10" t="s">
        <v>172</v>
      </c>
      <c r="H1527" s="10" t="s">
        <v>172</v>
      </c>
    </row>
    <row r="1528" s="9" customFormat="1" ht="26" customHeight="1" spans="1:8">
      <c r="A1528" s="10" t="s">
        <v>172</v>
      </c>
      <c r="B1528" s="19" t="s">
        <v>1072</v>
      </c>
      <c r="C1528" s="20" t="s">
        <v>804</v>
      </c>
      <c r="D1528" s="21">
        <v>1</v>
      </c>
      <c r="E1528" s="22">
        <v>580180.18018</v>
      </c>
      <c r="F1528" s="10" t="s">
        <v>172</v>
      </c>
      <c r="G1528" s="10" t="s">
        <v>172</v>
      </c>
      <c r="H1528" s="10" t="s">
        <v>172</v>
      </c>
    </row>
    <row r="1529" s="9" customFormat="1" ht="17" customHeight="1" spans="1:8">
      <c r="A1529" s="10" t="s">
        <v>172</v>
      </c>
      <c r="B1529" s="19" t="s">
        <v>1072</v>
      </c>
      <c r="C1529" s="16" t="s">
        <v>1841</v>
      </c>
      <c r="D1529" s="23">
        <v>3</v>
      </c>
      <c r="E1529" s="24">
        <v>1740540.297297</v>
      </c>
      <c r="F1529" s="10" t="s">
        <v>172</v>
      </c>
      <c r="G1529" s="10" t="s">
        <v>172</v>
      </c>
      <c r="H1529" s="10" t="s">
        <v>172</v>
      </c>
    </row>
    <row r="1530" s="9" customFormat="1" ht="37" customHeight="1" spans="1:8">
      <c r="A1530" s="10" t="s">
        <v>172</v>
      </c>
      <c r="B1530" s="19" t="s">
        <v>1073</v>
      </c>
      <c r="C1530" s="20" t="s">
        <v>182</v>
      </c>
      <c r="D1530" s="21">
        <v>2</v>
      </c>
      <c r="E1530" s="22">
        <v>1160360.36036</v>
      </c>
      <c r="F1530" s="10" t="s">
        <v>172</v>
      </c>
      <c r="G1530" s="10" t="s">
        <v>172</v>
      </c>
      <c r="H1530" s="10" t="s">
        <v>172</v>
      </c>
    </row>
    <row r="1531" s="9" customFormat="1" ht="26" customHeight="1" spans="1:8">
      <c r="A1531" s="10" t="s">
        <v>172</v>
      </c>
      <c r="B1531" s="19" t="s">
        <v>1073</v>
      </c>
      <c r="C1531" s="20" t="s">
        <v>804</v>
      </c>
      <c r="D1531" s="21">
        <v>1</v>
      </c>
      <c r="E1531" s="22">
        <v>580180.18018</v>
      </c>
      <c r="F1531" s="10" t="s">
        <v>172</v>
      </c>
      <c r="G1531" s="10" t="s">
        <v>172</v>
      </c>
      <c r="H1531" s="10" t="s">
        <v>172</v>
      </c>
    </row>
    <row r="1532" s="9" customFormat="1" ht="17" customHeight="1" spans="1:8">
      <c r="A1532" s="10" t="s">
        <v>172</v>
      </c>
      <c r="B1532" s="19" t="s">
        <v>1073</v>
      </c>
      <c r="C1532" s="16" t="s">
        <v>1841</v>
      </c>
      <c r="D1532" s="23">
        <v>3</v>
      </c>
      <c r="E1532" s="24">
        <v>1740540.54054</v>
      </c>
      <c r="F1532" s="10" t="s">
        <v>172</v>
      </c>
      <c r="G1532" s="10" t="s">
        <v>172</v>
      </c>
      <c r="H1532" s="10" t="s">
        <v>172</v>
      </c>
    </row>
    <row r="1533" s="9" customFormat="1" ht="37" customHeight="1" spans="1:8">
      <c r="A1533" s="10" t="s">
        <v>172</v>
      </c>
      <c r="B1533" s="19" t="s">
        <v>1568</v>
      </c>
      <c r="C1533" s="20" t="s">
        <v>182</v>
      </c>
      <c r="D1533" s="21">
        <v>1</v>
      </c>
      <c r="E1533" s="22">
        <v>636305.864865</v>
      </c>
      <c r="F1533" s="10" t="s">
        <v>172</v>
      </c>
      <c r="G1533" s="10" t="s">
        <v>172</v>
      </c>
      <c r="H1533" s="10" t="s">
        <v>172</v>
      </c>
    </row>
    <row r="1534" s="9" customFormat="1" ht="17" customHeight="1" spans="1:8">
      <c r="A1534" s="10" t="s">
        <v>172</v>
      </c>
      <c r="B1534" s="19" t="s">
        <v>1568</v>
      </c>
      <c r="C1534" s="16" t="s">
        <v>1841</v>
      </c>
      <c r="D1534" s="23">
        <v>1</v>
      </c>
      <c r="E1534" s="24">
        <v>636305.864865</v>
      </c>
      <c r="F1534" s="10" t="s">
        <v>172</v>
      </c>
      <c r="G1534" s="10" t="s">
        <v>172</v>
      </c>
      <c r="H1534" s="10" t="s">
        <v>172</v>
      </c>
    </row>
    <row r="1535" s="9" customFormat="1" ht="37" customHeight="1" spans="1:8">
      <c r="A1535" s="10" t="s">
        <v>172</v>
      </c>
      <c r="B1535" s="19" t="s">
        <v>1569</v>
      </c>
      <c r="C1535" s="20" t="s">
        <v>182</v>
      </c>
      <c r="D1535" s="21">
        <v>1</v>
      </c>
      <c r="E1535" s="22">
        <v>636306.306306</v>
      </c>
      <c r="F1535" s="10" t="s">
        <v>172</v>
      </c>
      <c r="G1535" s="10" t="s">
        <v>172</v>
      </c>
      <c r="H1535" s="10" t="s">
        <v>172</v>
      </c>
    </row>
    <row r="1536" s="9" customFormat="1" ht="17" customHeight="1" spans="1:8">
      <c r="A1536" s="10" t="s">
        <v>172</v>
      </c>
      <c r="B1536" s="19" t="s">
        <v>1569</v>
      </c>
      <c r="C1536" s="16" t="s">
        <v>1841</v>
      </c>
      <c r="D1536" s="23">
        <v>1</v>
      </c>
      <c r="E1536" s="24">
        <v>636306.306306</v>
      </c>
      <c r="F1536" s="10" t="s">
        <v>172</v>
      </c>
      <c r="G1536" s="10" t="s">
        <v>172</v>
      </c>
      <c r="H1536" s="10" t="s">
        <v>172</v>
      </c>
    </row>
    <row r="1537" s="9" customFormat="1" ht="37" customHeight="1" spans="1:8">
      <c r="A1537" s="10" t="s">
        <v>172</v>
      </c>
      <c r="B1537" s="19" t="s">
        <v>328</v>
      </c>
      <c r="C1537" s="20" t="s">
        <v>182</v>
      </c>
      <c r="D1537" s="21">
        <v>8</v>
      </c>
      <c r="E1537" s="22">
        <v>0</v>
      </c>
      <c r="F1537" s="10" t="s">
        <v>172</v>
      </c>
      <c r="G1537" s="10" t="s">
        <v>172</v>
      </c>
      <c r="H1537" s="10" t="s">
        <v>172</v>
      </c>
    </row>
    <row r="1538" s="9" customFormat="1" ht="26" customHeight="1" spans="1:8">
      <c r="A1538" s="10" t="s">
        <v>172</v>
      </c>
      <c r="B1538" s="19" t="s">
        <v>328</v>
      </c>
      <c r="C1538" s="20" t="s">
        <v>804</v>
      </c>
      <c r="D1538" s="21">
        <v>6</v>
      </c>
      <c r="E1538" s="22">
        <v>1010810.81081</v>
      </c>
      <c r="F1538" s="10" t="s">
        <v>172</v>
      </c>
      <c r="G1538" s="10" t="s">
        <v>172</v>
      </c>
      <c r="H1538" s="10" t="s">
        <v>172</v>
      </c>
    </row>
    <row r="1539" s="9" customFormat="1" ht="17" customHeight="1" spans="1:8">
      <c r="A1539" s="10" t="s">
        <v>172</v>
      </c>
      <c r="B1539" s="19" t="s">
        <v>328</v>
      </c>
      <c r="C1539" s="16" t="s">
        <v>1841</v>
      </c>
      <c r="D1539" s="23">
        <v>14</v>
      </c>
      <c r="E1539" s="24">
        <v>1010810.81081</v>
      </c>
      <c r="F1539" s="10" t="s">
        <v>172</v>
      </c>
      <c r="G1539" s="10" t="s">
        <v>172</v>
      </c>
      <c r="H1539" s="10" t="s">
        <v>172</v>
      </c>
    </row>
    <row r="1540" s="9" customFormat="1" ht="1" customHeight="1" spans="1:8">
      <c r="A1540" s="10" t="s">
        <v>172</v>
      </c>
      <c r="B1540" s="25"/>
      <c r="C1540" s="25"/>
      <c r="D1540" s="25"/>
      <c r="E1540" s="25"/>
      <c r="F1540" s="25"/>
      <c r="G1540" s="25"/>
      <c r="H1540" s="10" t="s">
        <v>172</v>
      </c>
    </row>
    <row r="1541" s="9" customFormat="1" ht="13" customHeight="1" spans="1:8">
      <c r="A1541" s="10" t="s">
        <v>172</v>
      </c>
      <c r="B1541" s="26"/>
      <c r="C1541" s="26"/>
      <c r="D1541" s="26"/>
      <c r="E1541" s="26"/>
      <c r="F1541" s="26"/>
      <c r="G1541" s="26"/>
      <c r="H1541" s="10" t="s">
        <v>172</v>
      </c>
    </row>
    <row r="1542" s="9" customFormat="1" ht="13" customHeight="1" spans="1:8">
      <c r="A1542" s="10" t="s">
        <v>172</v>
      </c>
      <c r="B1542" s="26"/>
      <c r="C1542" s="26"/>
      <c r="D1542" s="26"/>
      <c r="E1542" s="26"/>
      <c r="F1542" s="26"/>
      <c r="G1542" s="26"/>
      <c r="H1542" s="10" t="s">
        <v>172</v>
      </c>
    </row>
    <row r="1543" s="9" customFormat="1" ht="13" customHeight="1" spans="1:8">
      <c r="A1543" s="10" t="s">
        <v>172</v>
      </c>
      <c r="B1543" s="26"/>
      <c r="C1543" s="26"/>
      <c r="D1543" s="26"/>
      <c r="E1543" s="26"/>
      <c r="F1543" s="26"/>
      <c r="G1543" s="26"/>
      <c r="H1543" s="10" t="s">
        <v>172</v>
      </c>
    </row>
    <row r="1544" s="9" customFormat="1" ht="13" customHeight="1" spans="1:8">
      <c r="A1544" s="10" t="s">
        <v>172</v>
      </c>
      <c r="B1544" s="26"/>
      <c r="C1544" s="26"/>
      <c r="D1544" s="26"/>
      <c r="E1544" s="26"/>
      <c r="F1544" s="26"/>
      <c r="G1544" s="27" t="s">
        <v>1847</v>
      </c>
      <c r="H1544" s="10" t="s">
        <v>172</v>
      </c>
    </row>
    <row r="1545" s="9" customFormat="1" ht="17" customHeight="1" spans="1:8">
      <c r="A1545" s="10" t="s">
        <v>172</v>
      </c>
      <c r="B1545" s="11"/>
      <c r="C1545" s="11"/>
      <c r="D1545" s="11"/>
      <c r="E1545" s="11"/>
      <c r="F1545" s="11"/>
      <c r="G1545" s="11"/>
      <c r="H1545" s="10" t="s">
        <v>172</v>
      </c>
    </row>
    <row r="1546" s="9" customFormat="1" ht="23" customHeight="1" spans="1:8">
      <c r="A1546" s="10" t="s">
        <v>172</v>
      </c>
      <c r="B1546" s="12"/>
      <c r="C1546" s="12"/>
      <c r="D1546" s="12"/>
      <c r="E1546" s="12"/>
      <c r="F1546" s="12"/>
      <c r="G1546" s="12"/>
      <c r="H1546" s="10" t="s">
        <v>172</v>
      </c>
    </row>
    <row r="1547" s="9" customFormat="1" ht="16" customHeight="1" spans="1:8">
      <c r="A1547" s="10" t="s">
        <v>172</v>
      </c>
      <c r="B1547" s="13"/>
      <c r="C1547" s="13"/>
      <c r="D1547" s="13"/>
      <c r="E1547" s="13"/>
      <c r="F1547" s="13"/>
      <c r="G1547" s="13"/>
      <c r="H1547" s="10" t="s">
        <v>172</v>
      </c>
    </row>
    <row r="1548" s="9" customFormat="1" ht="12" customHeight="1" spans="1:8">
      <c r="A1548" s="10" t="s">
        <v>172</v>
      </c>
      <c r="B1548" s="14"/>
      <c r="C1548" s="14"/>
      <c r="D1548" s="14"/>
      <c r="E1548" s="14"/>
      <c r="F1548" s="14"/>
      <c r="G1548" s="14"/>
      <c r="H1548" s="10" t="s">
        <v>172</v>
      </c>
    </row>
    <row r="1549" s="9" customFormat="1" ht="17" customHeight="1" spans="1:8">
      <c r="A1549" s="10" t="s">
        <v>172</v>
      </c>
      <c r="B1549" s="15" t="s">
        <v>1836</v>
      </c>
      <c r="C1549" s="16" t="s">
        <v>1837</v>
      </c>
      <c r="D1549" s="17" t="s">
        <v>1838</v>
      </c>
      <c r="E1549" s="18" t="s">
        <v>1839</v>
      </c>
      <c r="F1549" s="10" t="s">
        <v>172</v>
      </c>
      <c r="G1549" s="10" t="s">
        <v>172</v>
      </c>
      <c r="H1549" s="10" t="s">
        <v>172</v>
      </c>
    </row>
    <row r="1550" s="9" customFormat="1" ht="37" customHeight="1" spans="1:8">
      <c r="A1550" s="10" t="s">
        <v>172</v>
      </c>
      <c r="B1550" s="19" t="s">
        <v>329</v>
      </c>
      <c r="C1550" s="20" t="s">
        <v>182</v>
      </c>
      <c r="D1550" s="21">
        <v>2</v>
      </c>
      <c r="E1550" s="22">
        <v>673873.873874</v>
      </c>
      <c r="F1550" s="10" t="s">
        <v>172</v>
      </c>
      <c r="G1550" s="10" t="s">
        <v>172</v>
      </c>
      <c r="H1550" s="10" t="s">
        <v>172</v>
      </c>
    </row>
    <row r="1551" s="9" customFormat="1" ht="26" customHeight="1" spans="1:8">
      <c r="A1551" s="10" t="s">
        <v>172</v>
      </c>
      <c r="B1551" s="19" t="s">
        <v>329</v>
      </c>
      <c r="C1551" s="20" t="s">
        <v>804</v>
      </c>
      <c r="D1551" s="21">
        <v>4</v>
      </c>
      <c r="E1551" s="22">
        <v>673873.873874</v>
      </c>
      <c r="F1551" s="10" t="s">
        <v>172</v>
      </c>
      <c r="G1551" s="10" t="s">
        <v>172</v>
      </c>
      <c r="H1551" s="10" t="s">
        <v>172</v>
      </c>
    </row>
    <row r="1552" s="9" customFormat="1" ht="17" customHeight="1" spans="1:8">
      <c r="A1552" s="10" t="s">
        <v>172</v>
      </c>
      <c r="B1552" s="19" t="s">
        <v>329</v>
      </c>
      <c r="C1552" s="16" t="s">
        <v>1841</v>
      </c>
      <c r="D1552" s="23">
        <v>6</v>
      </c>
      <c r="E1552" s="24">
        <v>1347747.747748</v>
      </c>
      <c r="F1552" s="10" t="s">
        <v>172</v>
      </c>
      <c r="G1552" s="10" t="s">
        <v>172</v>
      </c>
      <c r="H1552" s="10" t="s">
        <v>172</v>
      </c>
    </row>
    <row r="1553" s="9" customFormat="1" ht="26" customHeight="1" spans="1:8">
      <c r="A1553" s="10" t="s">
        <v>172</v>
      </c>
      <c r="B1553" s="19" t="s">
        <v>464</v>
      </c>
      <c r="C1553" s="20" t="s">
        <v>804</v>
      </c>
      <c r="D1553" s="21">
        <v>4</v>
      </c>
      <c r="E1553" s="22">
        <v>0</v>
      </c>
      <c r="F1553" s="10" t="s">
        <v>172</v>
      </c>
      <c r="G1553" s="10" t="s">
        <v>172</v>
      </c>
      <c r="H1553" s="10" t="s">
        <v>172</v>
      </c>
    </row>
    <row r="1554" s="9" customFormat="1" ht="17" customHeight="1" spans="1:8">
      <c r="A1554" s="10" t="s">
        <v>172</v>
      </c>
      <c r="B1554" s="19" t="s">
        <v>464</v>
      </c>
      <c r="C1554" s="16" t="s">
        <v>1841</v>
      </c>
      <c r="D1554" s="23">
        <v>4</v>
      </c>
      <c r="E1554" s="24">
        <v>0</v>
      </c>
      <c r="F1554" s="10" t="s">
        <v>172</v>
      </c>
      <c r="G1554" s="10" t="s">
        <v>172</v>
      </c>
      <c r="H1554" s="10" t="s">
        <v>172</v>
      </c>
    </row>
    <row r="1555" s="9" customFormat="1" ht="26" customHeight="1" spans="1:8">
      <c r="A1555" s="10" t="s">
        <v>172</v>
      </c>
      <c r="B1555" s="19" t="s">
        <v>330</v>
      </c>
      <c r="C1555" s="20" t="s">
        <v>804</v>
      </c>
      <c r="D1555" s="21">
        <v>2</v>
      </c>
      <c r="E1555" s="22">
        <v>333333.333333</v>
      </c>
      <c r="F1555" s="10" t="s">
        <v>172</v>
      </c>
      <c r="G1555" s="10" t="s">
        <v>172</v>
      </c>
      <c r="H1555" s="10" t="s">
        <v>172</v>
      </c>
    </row>
    <row r="1556" s="9" customFormat="1" ht="17" customHeight="1" spans="1:8">
      <c r="A1556" s="10" t="s">
        <v>172</v>
      </c>
      <c r="B1556" s="19" t="s">
        <v>330</v>
      </c>
      <c r="C1556" s="16" t="s">
        <v>1841</v>
      </c>
      <c r="D1556" s="23">
        <v>2</v>
      </c>
      <c r="E1556" s="24">
        <v>333333.333333</v>
      </c>
      <c r="F1556" s="10" t="s">
        <v>172</v>
      </c>
      <c r="G1556" s="10" t="s">
        <v>172</v>
      </c>
      <c r="H1556" s="10" t="s">
        <v>172</v>
      </c>
    </row>
    <row r="1557" s="9" customFormat="1" ht="26" customHeight="1" spans="1:8">
      <c r="A1557" s="10" t="s">
        <v>172</v>
      </c>
      <c r="B1557" s="19" t="s">
        <v>1755</v>
      </c>
      <c r="C1557" s="20" t="s">
        <v>804</v>
      </c>
      <c r="D1557" s="21">
        <v>4</v>
      </c>
      <c r="E1557" s="22">
        <v>0</v>
      </c>
      <c r="F1557" s="10" t="s">
        <v>172</v>
      </c>
      <c r="G1557" s="10" t="s">
        <v>172</v>
      </c>
      <c r="H1557" s="10" t="s">
        <v>172</v>
      </c>
    </row>
    <row r="1558" s="9" customFormat="1" ht="17" customHeight="1" spans="1:8">
      <c r="A1558" s="10" t="s">
        <v>172</v>
      </c>
      <c r="B1558" s="19" t="s">
        <v>1755</v>
      </c>
      <c r="C1558" s="16" t="s">
        <v>1841</v>
      </c>
      <c r="D1558" s="23">
        <v>4</v>
      </c>
      <c r="E1558" s="24">
        <v>0</v>
      </c>
      <c r="F1558" s="10" t="s">
        <v>172</v>
      </c>
      <c r="G1558" s="10" t="s">
        <v>172</v>
      </c>
      <c r="H1558" s="10" t="s">
        <v>172</v>
      </c>
    </row>
    <row r="1559" s="9" customFormat="1" ht="26" customHeight="1" spans="1:8">
      <c r="A1559" s="10" t="s">
        <v>172</v>
      </c>
      <c r="B1559" s="19" t="s">
        <v>385</v>
      </c>
      <c r="C1559" s="20" t="s">
        <v>804</v>
      </c>
      <c r="D1559" s="21">
        <v>4</v>
      </c>
      <c r="E1559" s="22">
        <v>0</v>
      </c>
      <c r="F1559" s="10" t="s">
        <v>172</v>
      </c>
      <c r="G1559" s="10" t="s">
        <v>172</v>
      </c>
      <c r="H1559" s="10" t="s">
        <v>172</v>
      </c>
    </row>
    <row r="1560" s="9" customFormat="1" ht="17" customHeight="1" spans="1:8">
      <c r="A1560" s="10" t="s">
        <v>172</v>
      </c>
      <c r="B1560" s="19" t="s">
        <v>385</v>
      </c>
      <c r="C1560" s="16" t="s">
        <v>1841</v>
      </c>
      <c r="D1560" s="23">
        <v>4</v>
      </c>
      <c r="E1560" s="24">
        <v>0</v>
      </c>
      <c r="F1560" s="10" t="s">
        <v>172</v>
      </c>
      <c r="G1560" s="10" t="s">
        <v>172</v>
      </c>
      <c r="H1560" s="10" t="s">
        <v>172</v>
      </c>
    </row>
    <row r="1561" s="9" customFormat="1" ht="37" customHeight="1" spans="1:8">
      <c r="A1561" s="10" t="s">
        <v>172</v>
      </c>
      <c r="B1561" s="19" t="s">
        <v>466</v>
      </c>
      <c r="C1561" s="20" t="s">
        <v>182</v>
      </c>
      <c r="D1561" s="21">
        <v>13</v>
      </c>
      <c r="E1561" s="22">
        <v>96396.396396</v>
      </c>
      <c r="F1561" s="10" t="s">
        <v>172</v>
      </c>
      <c r="G1561" s="10" t="s">
        <v>172</v>
      </c>
      <c r="H1561" s="10" t="s">
        <v>172</v>
      </c>
    </row>
    <row r="1562" s="9" customFormat="1" ht="17" customHeight="1" spans="1:8">
      <c r="A1562" s="10" t="s">
        <v>172</v>
      </c>
      <c r="B1562" s="19" t="s">
        <v>466</v>
      </c>
      <c r="C1562" s="16" t="s">
        <v>1841</v>
      </c>
      <c r="D1562" s="23">
        <v>13</v>
      </c>
      <c r="E1562" s="24">
        <v>96396.396396</v>
      </c>
      <c r="F1562" s="10" t="s">
        <v>172</v>
      </c>
      <c r="G1562" s="10" t="s">
        <v>172</v>
      </c>
      <c r="H1562" s="10" t="s">
        <v>172</v>
      </c>
    </row>
    <row r="1563" s="9" customFormat="1" ht="37" customHeight="1" spans="1:8">
      <c r="A1563" s="10" t="s">
        <v>172</v>
      </c>
      <c r="B1563" s="19" t="s">
        <v>332</v>
      </c>
      <c r="C1563" s="20" t="s">
        <v>182</v>
      </c>
      <c r="D1563" s="21">
        <v>5</v>
      </c>
      <c r="E1563" s="22">
        <v>126126.378378</v>
      </c>
      <c r="F1563" s="10" t="s">
        <v>172</v>
      </c>
      <c r="G1563" s="10" t="s">
        <v>172</v>
      </c>
      <c r="H1563" s="10" t="s">
        <v>172</v>
      </c>
    </row>
    <row r="1564" s="9" customFormat="1" ht="17" customHeight="1" spans="1:8">
      <c r="A1564" s="10" t="s">
        <v>172</v>
      </c>
      <c r="B1564" s="19" t="s">
        <v>332</v>
      </c>
      <c r="C1564" s="16" t="s">
        <v>1841</v>
      </c>
      <c r="D1564" s="23">
        <v>5</v>
      </c>
      <c r="E1564" s="24">
        <v>126126.378378</v>
      </c>
      <c r="F1564" s="10" t="s">
        <v>172</v>
      </c>
      <c r="G1564" s="10" t="s">
        <v>172</v>
      </c>
      <c r="H1564" s="10" t="s">
        <v>172</v>
      </c>
    </row>
    <row r="1565" s="9" customFormat="1" ht="1" customHeight="1" spans="1:8">
      <c r="A1565" s="10" t="s">
        <v>172</v>
      </c>
      <c r="B1565" s="25"/>
      <c r="C1565" s="25"/>
      <c r="D1565" s="25"/>
      <c r="E1565" s="25"/>
      <c r="F1565" s="25"/>
      <c r="G1565" s="25"/>
      <c r="H1565" s="10" t="s">
        <v>172</v>
      </c>
    </row>
    <row r="1566" s="9" customFormat="1" ht="13" customHeight="1" spans="1:8">
      <c r="A1566" s="10" t="s">
        <v>172</v>
      </c>
      <c r="B1566" s="26"/>
      <c r="C1566" s="26"/>
      <c r="D1566" s="26"/>
      <c r="E1566" s="26"/>
      <c r="F1566" s="26"/>
      <c r="G1566" s="26"/>
      <c r="H1566" s="10" t="s">
        <v>172</v>
      </c>
    </row>
    <row r="1567" s="9" customFormat="1" ht="13" customHeight="1" spans="1:8">
      <c r="A1567" s="10" t="s">
        <v>172</v>
      </c>
      <c r="B1567" s="26"/>
      <c r="C1567" s="26"/>
      <c r="D1567" s="26"/>
      <c r="E1567" s="26"/>
      <c r="F1567" s="26"/>
      <c r="G1567" s="26"/>
      <c r="H1567" s="10" t="s">
        <v>172</v>
      </c>
    </row>
    <row r="1568" s="9" customFormat="1" ht="13" customHeight="1" spans="1:8">
      <c r="A1568" s="10" t="s">
        <v>172</v>
      </c>
      <c r="B1568" s="26"/>
      <c r="C1568" s="26"/>
      <c r="D1568" s="26"/>
      <c r="E1568" s="26"/>
      <c r="F1568" s="26"/>
      <c r="G1568" s="26"/>
      <c r="H1568" s="10" t="s">
        <v>172</v>
      </c>
    </row>
    <row r="1569" s="9" customFormat="1" ht="13" customHeight="1" spans="1:8">
      <c r="A1569" s="10" t="s">
        <v>172</v>
      </c>
      <c r="B1569" s="26"/>
      <c r="C1569" s="26"/>
      <c r="D1569" s="26"/>
      <c r="E1569" s="26"/>
      <c r="F1569" s="26"/>
      <c r="G1569" s="27" t="s">
        <v>1847</v>
      </c>
      <c r="H1569" s="10" t="s">
        <v>172</v>
      </c>
    </row>
    <row r="1570" s="9" customFormat="1" ht="17" customHeight="1" spans="1:8">
      <c r="A1570" s="10" t="s">
        <v>172</v>
      </c>
      <c r="B1570" s="11"/>
      <c r="C1570" s="11"/>
      <c r="D1570" s="11"/>
      <c r="E1570" s="11"/>
      <c r="F1570" s="11"/>
      <c r="G1570" s="11"/>
      <c r="H1570" s="10" t="s">
        <v>172</v>
      </c>
    </row>
    <row r="1571" s="9" customFormat="1" ht="23" customHeight="1" spans="1:8">
      <c r="A1571" s="10" t="s">
        <v>172</v>
      </c>
      <c r="B1571" s="12"/>
      <c r="C1571" s="12"/>
      <c r="D1571" s="12"/>
      <c r="E1571" s="12"/>
      <c r="F1571" s="12"/>
      <c r="G1571" s="12"/>
      <c r="H1571" s="10" t="s">
        <v>172</v>
      </c>
    </row>
    <row r="1572" s="9" customFormat="1" ht="16" customHeight="1" spans="1:8">
      <c r="A1572" s="10" t="s">
        <v>172</v>
      </c>
      <c r="B1572" s="13"/>
      <c r="C1572" s="13"/>
      <c r="D1572" s="13"/>
      <c r="E1572" s="13"/>
      <c r="F1572" s="13"/>
      <c r="G1572" s="13"/>
      <c r="H1572" s="10" t="s">
        <v>172</v>
      </c>
    </row>
    <row r="1573" s="9" customFormat="1" ht="12" customHeight="1" spans="1:8">
      <c r="A1573" s="10" t="s">
        <v>172</v>
      </c>
      <c r="B1573" s="14"/>
      <c r="C1573" s="14"/>
      <c r="D1573" s="14"/>
      <c r="E1573" s="14"/>
      <c r="F1573" s="14"/>
      <c r="G1573" s="14"/>
      <c r="H1573" s="10" t="s">
        <v>172</v>
      </c>
    </row>
    <row r="1574" s="9" customFormat="1" ht="17" customHeight="1" spans="1:8">
      <c r="A1574" s="10" t="s">
        <v>172</v>
      </c>
      <c r="B1574" s="15" t="s">
        <v>1836</v>
      </c>
      <c r="C1574" s="16" t="s">
        <v>1837</v>
      </c>
      <c r="D1574" s="17" t="s">
        <v>1838</v>
      </c>
      <c r="E1574" s="18" t="s">
        <v>1839</v>
      </c>
      <c r="F1574" s="10" t="s">
        <v>172</v>
      </c>
      <c r="G1574" s="10" t="s">
        <v>172</v>
      </c>
      <c r="H1574" s="10" t="s">
        <v>172</v>
      </c>
    </row>
    <row r="1575" s="9" customFormat="1" ht="26" customHeight="1" spans="1:8">
      <c r="A1575" s="10" t="s">
        <v>172</v>
      </c>
      <c r="B1575" s="19" t="s">
        <v>522</v>
      </c>
      <c r="C1575" s="20" t="s">
        <v>804</v>
      </c>
      <c r="D1575" s="21">
        <v>12</v>
      </c>
      <c r="E1575" s="22">
        <v>2270270.27027</v>
      </c>
      <c r="F1575" s="10" t="s">
        <v>172</v>
      </c>
      <c r="G1575" s="10" t="s">
        <v>172</v>
      </c>
      <c r="H1575" s="10" t="s">
        <v>172</v>
      </c>
    </row>
    <row r="1576" s="9" customFormat="1" ht="17" customHeight="1" spans="1:8">
      <c r="A1576" s="10" t="s">
        <v>172</v>
      </c>
      <c r="B1576" s="19" t="s">
        <v>522</v>
      </c>
      <c r="C1576" s="16" t="s">
        <v>1841</v>
      </c>
      <c r="D1576" s="23">
        <v>12</v>
      </c>
      <c r="E1576" s="24">
        <v>2270270.27027</v>
      </c>
      <c r="F1576" s="10" t="s">
        <v>172</v>
      </c>
      <c r="G1576" s="10" t="s">
        <v>172</v>
      </c>
      <c r="H1576" s="10" t="s">
        <v>172</v>
      </c>
    </row>
    <row r="1577" s="9" customFormat="1" ht="26" customHeight="1" spans="1:8">
      <c r="A1577" s="10" t="s">
        <v>172</v>
      </c>
      <c r="B1577" s="19" t="s">
        <v>1938</v>
      </c>
      <c r="C1577" s="20" t="s">
        <v>804</v>
      </c>
      <c r="D1577" s="21">
        <v>1</v>
      </c>
      <c r="E1577" s="22">
        <v>540000</v>
      </c>
      <c r="F1577" s="10" t="s">
        <v>172</v>
      </c>
      <c r="G1577" s="10" t="s">
        <v>172</v>
      </c>
      <c r="H1577" s="10" t="s">
        <v>172</v>
      </c>
    </row>
    <row r="1578" s="9" customFormat="1" ht="17" customHeight="1" spans="1:8">
      <c r="A1578" s="10" t="s">
        <v>172</v>
      </c>
      <c r="B1578" s="19" t="s">
        <v>1938</v>
      </c>
      <c r="C1578" s="16" t="s">
        <v>1841</v>
      </c>
      <c r="D1578" s="23">
        <v>1</v>
      </c>
      <c r="E1578" s="24">
        <v>540000</v>
      </c>
      <c r="F1578" s="10" t="s">
        <v>172</v>
      </c>
      <c r="G1578" s="10" t="s">
        <v>172</v>
      </c>
      <c r="H1578" s="10" t="s">
        <v>172</v>
      </c>
    </row>
    <row r="1579" s="9" customFormat="1" ht="26" customHeight="1" spans="1:8">
      <c r="A1579" s="10" t="s">
        <v>172</v>
      </c>
      <c r="B1579" s="19" t="s">
        <v>1939</v>
      </c>
      <c r="C1579" s="20" t="s">
        <v>804</v>
      </c>
      <c r="D1579" s="21">
        <v>1</v>
      </c>
      <c r="E1579" s="22">
        <v>4100000</v>
      </c>
      <c r="F1579" s="10" t="s">
        <v>172</v>
      </c>
      <c r="G1579" s="10" t="s">
        <v>172</v>
      </c>
      <c r="H1579" s="10" t="s">
        <v>172</v>
      </c>
    </row>
    <row r="1580" s="9" customFormat="1" ht="17" customHeight="1" spans="1:8">
      <c r="A1580" s="10" t="s">
        <v>172</v>
      </c>
      <c r="B1580" s="19" t="s">
        <v>1939</v>
      </c>
      <c r="C1580" s="16" t="s">
        <v>1841</v>
      </c>
      <c r="D1580" s="23">
        <v>1</v>
      </c>
      <c r="E1580" s="24">
        <v>4100000</v>
      </c>
      <c r="F1580" s="10" t="s">
        <v>172</v>
      </c>
      <c r="G1580" s="10" t="s">
        <v>172</v>
      </c>
      <c r="H1580" s="10" t="s">
        <v>172</v>
      </c>
    </row>
    <row r="1581" s="9" customFormat="1" ht="26" customHeight="1" spans="1:8">
      <c r="A1581" s="10" t="s">
        <v>172</v>
      </c>
      <c r="B1581" s="19" t="s">
        <v>1940</v>
      </c>
      <c r="C1581" s="20" t="s">
        <v>804</v>
      </c>
      <c r="D1581" s="21">
        <v>1</v>
      </c>
      <c r="E1581" s="22">
        <v>4100000</v>
      </c>
      <c r="F1581" s="10" t="s">
        <v>172</v>
      </c>
      <c r="G1581" s="10" t="s">
        <v>172</v>
      </c>
      <c r="H1581" s="10" t="s">
        <v>172</v>
      </c>
    </row>
    <row r="1582" s="9" customFormat="1" ht="17" customHeight="1" spans="1:8">
      <c r="A1582" s="10" t="s">
        <v>172</v>
      </c>
      <c r="B1582" s="19" t="s">
        <v>1940</v>
      </c>
      <c r="C1582" s="16" t="s">
        <v>1841</v>
      </c>
      <c r="D1582" s="23">
        <v>1</v>
      </c>
      <c r="E1582" s="24">
        <v>4100000</v>
      </c>
      <c r="F1582" s="10" t="s">
        <v>172</v>
      </c>
      <c r="G1582" s="10" t="s">
        <v>172</v>
      </c>
      <c r="H1582" s="10" t="s">
        <v>172</v>
      </c>
    </row>
    <row r="1583" s="9" customFormat="1" ht="26" customHeight="1" spans="1:8">
      <c r="A1583" s="10" t="s">
        <v>172</v>
      </c>
      <c r="B1583" s="19" t="s">
        <v>1941</v>
      </c>
      <c r="C1583" s="20" t="s">
        <v>804</v>
      </c>
      <c r="D1583" s="21">
        <v>1</v>
      </c>
      <c r="E1583" s="22">
        <v>60000</v>
      </c>
      <c r="F1583" s="10" t="s">
        <v>172</v>
      </c>
      <c r="G1583" s="10" t="s">
        <v>172</v>
      </c>
      <c r="H1583" s="10" t="s">
        <v>172</v>
      </c>
    </row>
    <row r="1584" s="9" customFormat="1" ht="17" customHeight="1" spans="1:8">
      <c r="A1584" s="10" t="s">
        <v>172</v>
      </c>
      <c r="B1584" s="19" t="s">
        <v>1941</v>
      </c>
      <c r="C1584" s="16" t="s">
        <v>1841</v>
      </c>
      <c r="D1584" s="23">
        <v>1</v>
      </c>
      <c r="E1584" s="24">
        <v>60000</v>
      </c>
      <c r="F1584" s="10" t="s">
        <v>172</v>
      </c>
      <c r="G1584" s="10" t="s">
        <v>172</v>
      </c>
      <c r="H1584" s="10" t="s">
        <v>172</v>
      </c>
    </row>
    <row r="1585" s="9" customFormat="1" ht="37" customHeight="1" spans="1:8">
      <c r="A1585" s="10" t="s">
        <v>172</v>
      </c>
      <c r="B1585" s="19" t="s">
        <v>1942</v>
      </c>
      <c r="C1585" s="20" t="s">
        <v>182</v>
      </c>
      <c r="D1585" s="21">
        <v>1</v>
      </c>
      <c r="E1585" s="22">
        <v>273779.069767</v>
      </c>
      <c r="F1585" s="10" t="s">
        <v>172</v>
      </c>
      <c r="G1585" s="10" t="s">
        <v>172</v>
      </c>
      <c r="H1585" s="10" t="s">
        <v>172</v>
      </c>
    </row>
    <row r="1586" s="9" customFormat="1" ht="17" customHeight="1" spans="1:8">
      <c r="A1586" s="10" t="s">
        <v>172</v>
      </c>
      <c r="B1586" s="19" t="s">
        <v>1942</v>
      </c>
      <c r="C1586" s="16" t="s">
        <v>1841</v>
      </c>
      <c r="D1586" s="23">
        <v>1</v>
      </c>
      <c r="E1586" s="24">
        <v>273779.069767</v>
      </c>
      <c r="F1586" s="10" t="s">
        <v>172</v>
      </c>
      <c r="G1586" s="10" t="s">
        <v>172</v>
      </c>
      <c r="H1586" s="10" t="s">
        <v>172</v>
      </c>
    </row>
    <row r="1587" s="9" customFormat="1" ht="26" customHeight="1" spans="1:8">
      <c r="A1587" s="10" t="s">
        <v>172</v>
      </c>
      <c r="B1587" s="19" t="s">
        <v>1943</v>
      </c>
      <c r="C1587" s="20" t="s">
        <v>804</v>
      </c>
      <c r="D1587" s="21">
        <v>1</v>
      </c>
      <c r="E1587" s="22">
        <v>410000</v>
      </c>
      <c r="F1587" s="10" t="s">
        <v>172</v>
      </c>
      <c r="G1587" s="10" t="s">
        <v>172</v>
      </c>
      <c r="H1587" s="10" t="s">
        <v>172</v>
      </c>
    </row>
    <row r="1588" s="9" customFormat="1" ht="17" customHeight="1" spans="1:8">
      <c r="A1588" s="10" t="s">
        <v>172</v>
      </c>
      <c r="B1588" s="19" t="s">
        <v>1943</v>
      </c>
      <c r="C1588" s="16" t="s">
        <v>1841</v>
      </c>
      <c r="D1588" s="23">
        <v>1</v>
      </c>
      <c r="E1588" s="24">
        <v>410000</v>
      </c>
      <c r="F1588" s="10" t="s">
        <v>172</v>
      </c>
      <c r="G1588" s="10" t="s">
        <v>172</v>
      </c>
      <c r="H1588" s="10" t="s">
        <v>172</v>
      </c>
    </row>
    <row r="1589" s="9" customFormat="1" ht="26" customHeight="1" spans="1:8">
      <c r="A1589" s="10" t="s">
        <v>172</v>
      </c>
      <c r="B1589" s="19" t="s">
        <v>1944</v>
      </c>
      <c r="C1589" s="20" t="s">
        <v>804</v>
      </c>
      <c r="D1589" s="21">
        <v>2</v>
      </c>
      <c r="E1589" s="22">
        <v>290000</v>
      </c>
      <c r="F1589" s="10" t="s">
        <v>172</v>
      </c>
      <c r="G1589" s="10" t="s">
        <v>172</v>
      </c>
      <c r="H1589" s="10" t="s">
        <v>172</v>
      </c>
    </row>
    <row r="1590" s="9" customFormat="1" ht="17" customHeight="1" spans="1:8">
      <c r="A1590" s="10" t="s">
        <v>172</v>
      </c>
      <c r="B1590" s="19" t="s">
        <v>1944</v>
      </c>
      <c r="C1590" s="16" t="s">
        <v>1841</v>
      </c>
      <c r="D1590" s="23">
        <v>2</v>
      </c>
      <c r="E1590" s="24">
        <v>290000</v>
      </c>
      <c r="F1590" s="10" t="s">
        <v>172</v>
      </c>
      <c r="G1590" s="10" t="s">
        <v>172</v>
      </c>
      <c r="H1590" s="10" t="s">
        <v>172</v>
      </c>
    </row>
    <row r="1591" s="9" customFormat="1" ht="1" customHeight="1" spans="1:8">
      <c r="A1591" s="10" t="s">
        <v>172</v>
      </c>
      <c r="B1591" s="25"/>
      <c r="C1591" s="25"/>
      <c r="D1591" s="25"/>
      <c r="E1591" s="25"/>
      <c r="F1591" s="25"/>
      <c r="G1591" s="25"/>
      <c r="H1591" s="10" t="s">
        <v>172</v>
      </c>
    </row>
    <row r="1592" s="9" customFormat="1" ht="13" customHeight="1" spans="1:8">
      <c r="A1592" s="10" t="s">
        <v>172</v>
      </c>
      <c r="B1592" s="26"/>
      <c r="C1592" s="26"/>
      <c r="D1592" s="26"/>
      <c r="E1592" s="26"/>
      <c r="F1592" s="26"/>
      <c r="G1592" s="26"/>
      <c r="H1592" s="10" t="s">
        <v>172</v>
      </c>
    </row>
    <row r="1593" s="9" customFormat="1" ht="13" customHeight="1" spans="1:8">
      <c r="A1593" s="10" t="s">
        <v>172</v>
      </c>
      <c r="B1593" s="26"/>
      <c r="C1593" s="26"/>
      <c r="D1593" s="26"/>
      <c r="E1593" s="26"/>
      <c r="F1593" s="26"/>
      <c r="G1593" s="26"/>
      <c r="H1593" s="10" t="s">
        <v>172</v>
      </c>
    </row>
    <row r="1594" s="9" customFormat="1" ht="13" customHeight="1" spans="1:8">
      <c r="A1594" s="10" t="s">
        <v>172</v>
      </c>
      <c r="B1594" s="26"/>
      <c r="C1594" s="26"/>
      <c r="D1594" s="26"/>
      <c r="E1594" s="26"/>
      <c r="F1594" s="26"/>
      <c r="G1594" s="26"/>
      <c r="H1594" s="10" t="s">
        <v>172</v>
      </c>
    </row>
    <row r="1595" s="9" customFormat="1" ht="13" customHeight="1" spans="1:8">
      <c r="A1595" s="10" t="s">
        <v>172</v>
      </c>
      <c r="B1595" s="26"/>
      <c r="C1595" s="26"/>
      <c r="D1595" s="26"/>
      <c r="E1595" s="26"/>
      <c r="F1595" s="26"/>
      <c r="G1595" s="27" t="s">
        <v>1847</v>
      </c>
      <c r="H1595" s="10" t="s">
        <v>172</v>
      </c>
    </row>
    <row r="1596" s="9" customFormat="1" ht="17" customHeight="1" spans="1:8">
      <c r="A1596" s="10" t="s">
        <v>172</v>
      </c>
      <c r="B1596" s="11"/>
      <c r="C1596" s="11"/>
      <c r="D1596" s="11"/>
      <c r="E1596" s="11"/>
      <c r="F1596" s="11"/>
      <c r="G1596" s="11"/>
      <c r="H1596" s="10" t="s">
        <v>172</v>
      </c>
    </row>
    <row r="1597" s="9" customFormat="1" ht="23" customHeight="1" spans="1:8">
      <c r="A1597" s="10" t="s">
        <v>172</v>
      </c>
      <c r="B1597" s="12"/>
      <c r="C1597" s="12"/>
      <c r="D1597" s="12"/>
      <c r="E1597" s="12"/>
      <c r="F1597" s="12"/>
      <c r="G1597" s="12"/>
      <c r="H1597" s="10" t="s">
        <v>172</v>
      </c>
    </row>
    <row r="1598" s="9" customFormat="1" ht="16" customHeight="1" spans="1:8">
      <c r="A1598" s="10" t="s">
        <v>172</v>
      </c>
      <c r="B1598" s="13"/>
      <c r="C1598" s="13"/>
      <c r="D1598" s="13"/>
      <c r="E1598" s="13"/>
      <c r="F1598" s="13"/>
      <c r="G1598" s="13"/>
      <c r="H1598" s="10" t="s">
        <v>172</v>
      </c>
    </row>
    <row r="1599" s="9" customFormat="1" ht="12" customHeight="1" spans="1:8">
      <c r="A1599" s="10" t="s">
        <v>172</v>
      </c>
      <c r="B1599" s="14"/>
      <c r="C1599" s="14"/>
      <c r="D1599" s="14"/>
      <c r="E1599" s="14"/>
      <c r="F1599" s="14"/>
      <c r="G1599" s="14"/>
      <c r="H1599" s="10" t="s">
        <v>172</v>
      </c>
    </row>
    <row r="1600" s="9" customFormat="1" ht="17" customHeight="1" spans="1:8">
      <c r="A1600" s="10" t="s">
        <v>172</v>
      </c>
      <c r="B1600" s="15" t="s">
        <v>1836</v>
      </c>
      <c r="C1600" s="16" t="s">
        <v>1837</v>
      </c>
      <c r="D1600" s="17" t="s">
        <v>1838</v>
      </c>
      <c r="E1600" s="18" t="s">
        <v>1839</v>
      </c>
      <c r="F1600" s="10" t="s">
        <v>172</v>
      </c>
      <c r="G1600" s="10" t="s">
        <v>172</v>
      </c>
      <c r="H1600" s="10" t="s">
        <v>172</v>
      </c>
    </row>
    <row r="1601" s="9" customFormat="1" ht="37" customHeight="1" spans="1:8">
      <c r="A1601" s="10" t="s">
        <v>172</v>
      </c>
      <c r="B1601" s="19" t="s">
        <v>1945</v>
      </c>
      <c r="C1601" s="20" t="s">
        <v>182</v>
      </c>
      <c r="D1601" s="21">
        <v>23</v>
      </c>
      <c r="E1601" s="22">
        <v>351351.351351</v>
      </c>
      <c r="F1601" s="10" t="s">
        <v>172</v>
      </c>
      <c r="G1601" s="10" t="s">
        <v>172</v>
      </c>
      <c r="H1601" s="10" t="s">
        <v>172</v>
      </c>
    </row>
    <row r="1602" s="9" customFormat="1" ht="26" customHeight="1" spans="1:8">
      <c r="A1602" s="10" t="s">
        <v>172</v>
      </c>
      <c r="B1602" s="19" t="s">
        <v>1945</v>
      </c>
      <c r="C1602" s="20" t="s">
        <v>804</v>
      </c>
      <c r="D1602" s="21">
        <v>2</v>
      </c>
      <c r="E1602" s="22">
        <v>0</v>
      </c>
      <c r="F1602" s="10" t="s">
        <v>172</v>
      </c>
      <c r="G1602" s="10" t="s">
        <v>172</v>
      </c>
      <c r="H1602" s="10" t="s">
        <v>172</v>
      </c>
    </row>
    <row r="1603" s="9" customFormat="1" ht="17" customHeight="1" spans="1:8">
      <c r="A1603" s="10" t="s">
        <v>172</v>
      </c>
      <c r="B1603" s="19" t="s">
        <v>1945</v>
      </c>
      <c r="C1603" s="16" t="s">
        <v>1841</v>
      </c>
      <c r="D1603" s="23">
        <v>25</v>
      </c>
      <c r="E1603" s="24">
        <v>351351.351351</v>
      </c>
      <c r="F1603" s="10" t="s">
        <v>172</v>
      </c>
      <c r="G1603" s="10" t="s">
        <v>172</v>
      </c>
      <c r="H1603" s="10" t="s">
        <v>172</v>
      </c>
    </row>
    <row r="1604" s="9" customFormat="1" ht="37" customHeight="1" spans="1:8">
      <c r="A1604" s="10" t="s">
        <v>172</v>
      </c>
      <c r="B1604" s="19" t="s">
        <v>1946</v>
      </c>
      <c r="C1604" s="20" t="s">
        <v>182</v>
      </c>
      <c r="D1604" s="21">
        <v>11</v>
      </c>
      <c r="E1604" s="22">
        <v>201801.801802</v>
      </c>
      <c r="F1604" s="10" t="s">
        <v>172</v>
      </c>
      <c r="G1604" s="10" t="s">
        <v>172</v>
      </c>
      <c r="H1604" s="10" t="s">
        <v>172</v>
      </c>
    </row>
    <row r="1605" s="9" customFormat="1" ht="17" customHeight="1" spans="1:8">
      <c r="A1605" s="10" t="s">
        <v>172</v>
      </c>
      <c r="B1605" s="19" t="s">
        <v>1946</v>
      </c>
      <c r="C1605" s="16" t="s">
        <v>1841</v>
      </c>
      <c r="D1605" s="23">
        <v>11</v>
      </c>
      <c r="E1605" s="24">
        <v>201801.801802</v>
      </c>
      <c r="F1605" s="10" t="s">
        <v>172</v>
      </c>
      <c r="G1605" s="10" t="s">
        <v>172</v>
      </c>
      <c r="H1605" s="10" t="s">
        <v>172</v>
      </c>
    </row>
    <row r="1606" s="9" customFormat="1" ht="26" customHeight="1" spans="1:8">
      <c r="A1606" s="10" t="s">
        <v>172</v>
      </c>
      <c r="B1606" s="19" t="s">
        <v>1947</v>
      </c>
      <c r="C1606" s="20" t="s">
        <v>804</v>
      </c>
      <c r="D1606" s="21">
        <v>1</v>
      </c>
      <c r="E1606" s="22">
        <v>686000</v>
      </c>
      <c r="F1606" s="10" t="s">
        <v>172</v>
      </c>
      <c r="G1606" s="10" t="s">
        <v>172</v>
      </c>
      <c r="H1606" s="10" t="s">
        <v>172</v>
      </c>
    </row>
    <row r="1607" s="9" customFormat="1" ht="17" customHeight="1" spans="1:8">
      <c r="A1607" s="10" t="s">
        <v>172</v>
      </c>
      <c r="B1607" s="19" t="s">
        <v>1947</v>
      </c>
      <c r="C1607" s="16" t="s">
        <v>1841</v>
      </c>
      <c r="D1607" s="23">
        <v>1</v>
      </c>
      <c r="E1607" s="24">
        <v>686000</v>
      </c>
      <c r="F1607" s="10" t="s">
        <v>172</v>
      </c>
      <c r="G1607" s="10" t="s">
        <v>172</v>
      </c>
      <c r="H1607" s="10" t="s">
        <v>172</v>
      </c>
    </row>
    <row r="1608" s="9" customFormat="1" ht="26" customHeight="1" spans="1:8">
      <c r="A1608" s="10" t="s">
        <v>172</v>
      </c>
      <c r="B1608" s="19" t="s">
        <v>1948</v>
      </c>
      <c r="C1608" s="20" t="s">
        <v>804</v>
      </c>
      <c r="D1608" s="21">
        <v>2</v>
      </c>
      <c r="E1608" s="22">
        <v>900000</v>
      </c>
      <c r="F1608" s="10" t="s">
        <v>172</v>
      </c>
      <c r="G1608" s="10" t="s">
        <v>172</v>
      </c>
      <c r="H1608" s="10" t="s">
        <v>172</v>
      </c>
    </row>
    <row r="1609" s="9" customFormat="1" ht="17" customHeight="1" spans="1:8">
      <c r="A1609" s="10" t="s">
        <v>172</v>
      </c>
      <c r="B1609" s="19" t="s">
        <v>1948</v>
      </c>
      <c r="C1609" s="16" t="s">
        <v>1841</v>
      </c>
      <c r="D1609" s="23">
        <v>2</v>
      </c>
      <c r="E1609" s="24">
        <v>900000</v>
      </c>
      <c r="F1609" s="10" t="s">
        <v>172</v>
      </c>
      <c r="G1609" s="10" t="s">
        <v>172</v>
      </c>
      <c r="H1609" s="10" t="s">
        <v>172</v>
      </c>
    </row>
    <row r="1610" s="9" customFormat="1" ht="37" customHeight="1" spans="1:8">
      <c r="A1610" s="10" t="s">
        <v>172</v>
      </c>
      <c r="B1610" s="19" t="s">
        <v>1949</v>
      </c>
      <c r="C1610" s="20" t="s">
        <v>182</v>
      </c>
      <c r="D1610" s="21">
        <v>1</v>
      </c>
      <c r="E1610" s="22">
        <v>350000</v>
      </c>
      <c r="F1610" s="10" t="s">
        <v>172</v>
      </c>
      <c r="G1610" s="10" t="s">
        <v>172</v>
      </c>
      <c r="H1610" s="10" t="s">
        <v>172</v>
      </c>
    </row>
    <row r="1611" s="9" customFormat="1" ht="17" customHeight="1" spans="1:8">
      <c r="A1611" s="10" t="s">
        <v>172</v>
      </c>
      <c r="B1611" s="19" t="s">
        <v>1949</v>
      </c>
      <c r="C1611" s="16" t="s">
        <v>1841</v>
      </c>
      <c r="D1611" s="23">
        <v>1</v>
      </c>
      <c r="E1611" s="24">
        <v>350000</v>
      </c>
      <c r="F1611" s="10" t="s">
        <v>172</v>
      </c>
      <c r="G1611" s="10" t="s">
        <v>172</v>
      </c>
      <c r="H1611" s="10" t="s">
        <v>172</v>
      </c>
    </row>
    <row r="1612" s="9" customFormat="1" ht="26" customHeight="1" spans="1:8">
      <c r="A1612" s="10" t="s">
        <v>172</v>
      </c>
      <c r="B1612" s="19" t="s">
        <v>1950</v>
      </c>
      <c r="C1612" s="20" t="s">
        <v>804</v>
      </c>
      <c r="D1612" s="21">
        <v>1</v>
      </c>
      <c r="E1612" s="22">
        <v>350000</v>
      </c>
      <c r="F1612" s="10" t="s">
        <v>172</v>
      </c>
      <c r="G1612" s="10" t="s">
        <v>172</v>
      </c>
      <c r="H1612" s="10" t="s">
        <v>172</v>
      </c>
    </row>
    <row r="1613" s="9" customFormat="1" ht="17" customHeight="1" spans="1:8">
      <c r="A1613" s="10" t="s">
        <v>172</v>
      </c>
      <c r="B1613" s="19" t="s">
        <v>1950</v>
      </c>
      <c r="C1613" s="16" t="s">
        <v>1841</v>
      </c>
      <c r="D1613" s="23">
        <v>1</v>
      </c>
      <c r="E1613" s="24">
        <v>350000</v>
      </c>
      <c r="F1613" s="10" t="s">
        <v>172</v>
      </c>
      <c r="G1613" s="10" t="s">
        <v>172</v>
      </c>
      <c r="H1613" s="10" t="s">
        <v>172</v>
      </c>
    </row>
    <row r="1614" s="9" customFormat="1" ht="26" customHeight="1" spans="1:8">
      <c r="A1614" s="10" t="s">
        <v>172</v>
      </c>
      <c r="B1614" s="19" t="s">
        <v>1951</v>
      </c>
      <c r="C1614" s="20" t="s">
        <v>804</v>
      </c>
      <c r="D1614" s="21">
        <v>1</v>
      </c>
      <c r="E1614" s="22">
        <v>510000</v>
      </c>
      <c r="F1614" s="10" t="s">
        <v>172</v>
      </c>
      <c r="G1614" s="10" t="s">
        <v>172</v>
      </c>
      <c r="H1614" s="10" t="s">
        <v>172</v>
      </c>
    </row>
    <row r="1615" s="9" customFormat="1" ht="17" customHeight="1" spans="1:8">
      <c r="A1615" s="10" t="s">
        <v>172</v>
      </c>
      <c r="B1615" s="19" t="s">
        <v>1951</v>
      </c>
      <c r="C1615" s="16" t="s">
        <v>1841</v>
      </c>
      <c r="D1615" s="23">
        <v>1</v>
      </c>
      <c r="E1615" s="24">
        <v>510000</v>
      </c>
      <c r="F1615" s="10" t="s">
        <v>172</v>
      </c>
      <c r="G1615" s="10" t="s">
        <v>172</v>
      </c>
      <c r="H1615" s="10" t="s">
        <v>172</v>
      </c>
    </row>
    <row r="1616" s="9" customFormat="1" ht="1" customHeight="1" spans="1:8">
      <c r="A1616" s="10" t="s">
        <v>172</v>
      </c>
      <c r="B1616" s="25"/>
      <c r="C1616" s="25"/>
      <c r="D1616" s="25"/>
      <c r="E1616" s="25"/>
      <c r="F1616" s="25"/>
      <c r="G1616" s="25"/>
      <c r="H1616" s="10" t="s">
        <v>172</v>
      </c>
    </row>
    <row r="1617" s="9" customFormat="1" ht="13" customHeight="1" spans="1:8">
      <c r="A1617" s="10" t="s">
        <v>172</v>
      </c>
      <c r="B1617" s="26"/>
      <c r="C1617" s="26"/>
      <c r="D1617" s="26"/>
      <c r="E1617" s="26"/>
      <c r="F1617" s="26"/>
      <c r="G1617" s="26"/>
      <c r="H1617" s="10" t="s">
        <v>172</v>
      </c>
    </row>
    <row r="1618" s="9" customFormat="1" ht="13" customHeight="1" spans="1:8">
      <c r="A1618" s="10" t="s">
        <v>172</v>
      </c>
      <c r="B1618" s="26"/>
      <c r="C1618" s="26"/>
      <c r="D1618" s="26"/>
      <c r="E1618" s="26"/>
      <c r="F1618" s="26"/>
      <c r="G1618" s="26"/>
      <c r="H1618" s="10" t="s">
        <v>172</v>
      </c>
    </row>
    <row r="1619" s="9" customFormat="1" ht="13" customHeight="1" spans="1:8">
      <c r="A1619" s="10" t="s">
        <v>172</v>
      </c>
      <c r="B1619" s="26"/>
      <c r="C1619" s="26"/>
      <c r="D1619" s="26"/>
      <c r="E1619" s="26"/>
      <c r="F1619" s="26"/>
      <c r="G1619" s="26"/>
      <c r="H1619" s="10" t="s">
        <v>172</v>
      </c>
    </row>
    <row r="1620" s="9" customFormat="1" ht="13" customHeight="1" spans="1:8">
      <c r="A1620" s="10" t="s">
        <v>172</v>
      </c>
      <c r="B1620" s="26"/>
      <c r="C1620" s="26"/>
      <c r="D1620" s="26"/>
      <c r="E1620" s="26"/>
      <c r="F1620" s="26"/>
      <c r="G1620" s="27" t="s">
        <v>1847</v>
      </c>
      <c r="H1620" s="10" t="s">
        <v>172</v>
      </c>
    </row>
    <row r="1621" s="9" customFormat="1" ht="17" customHeight="1" spans="1:8">
      <c r="A1621" s="10" t="s">
        <v>172</v>
      </c>
      <c r="B1621" s="11"/>
      <c r="C1621" s="11"/>
      <c r="D1621" s="11"/>
      <c r="E1621" s="11"/>
      <c r="F1621" s="11"/>
      <c r="G1621" s="11"/>
      <c r="H1621" s="10" t="s">
        <v>172</v>
      </c>
    </row>
    <row r="1622" s="9" customFormat="1" ht="23" customHeight="1" spans="1:8">
      <c r="A1622" s="10" t="s">
        <v>172</v>
      </c>
      <c r="B1622" s="12"/>
      <c r="C1622" s="12"/>
      <c r="D1622" s="12"/>
      <c r="E1622" s="12"/>
      <c r="F1622" s="12"/>
      <c r="G1622" s="12"/>
      <c r="H1622" s="10" t="s">
        <v>172</v>
      </c>
    </row>
    <row r="1623" s="9" customFormat="1" ht="16" customHeight="1" spans="1:8">
      <c r="A1623" s="10" t="s">
        <v>172</v>
      </c>
      <c r="B1623" s="13"/>
      <c r="C1623" s="13"/>
      <c r="D1623" s="13"/>
      <c r="E1623" s="13"/>
      <c r="F1623" s="13"/>
      <c r="G1623" s="13"/>
      <c r="H1623" s="10" t="s">
        <v>172</v>
      </c>
    </row>
    <row r="1624" s="9" customFormat="1" ht="12" customHeight="1" spans="1:8">
      <c r="A1624" s="10" t="s">
        <v>172</v>
      </c>
      <c r="B1624" s="14"/>
      <c r="C1624" s="14"/>
      <c r="D1624" s="14"/>
      <c r="E1624" s="14"/>
      <c r="F1624" s="14"/>
      <c r="G1624" s="14"/>
      <c r="H1624" s="10" t="s">
        <v>172</v>
      </c>
    </row>
    <row r="1625" s="9" customFormat="1" ht="17" customHeight="1" spans="1:8">
      <c r="A1625" s="10" t="s">
        <v>172</v>
      </c>
      <c r="B1625" s="15" t="s">
        <v>1836</v>
      </c>
      <c r="C1625" s="16" t="s">
        <v>1837</v>
      </c>
      <c r="D1625" s="17" t="s">
        <v>1838</v>
      </c>
      <c r="E1625" s="18" t="s">
        <v>1839</v>
      </c>
      <c r="F1625" s="10" t="s">
        <v>172</v>
      </c>
      <c r="G1625" s="10" t="s">
        <v>172</v>
      </c>
      <c r="H1625" s="10" t="s">
        <v>172</v>
      </c>
    </row>
    <row r="1626" s="9" customFormat="1" ht="37" customHeight="1" spans="1:8">
      <c r="A1626" s="10" t="s">
        <v>172</v>
      </c>
      <c r="B1626" s="19" t="s">
        <v>751</v>
      </c>
      <c r="C1626" s="20" t="s">
        <v>182</v>
      </c>
      <c r="D1626" s="21">
        <v>4</v>
      </c>
      <c r="E1626" s="22">
        <v>36036.036036</v>
      </c>
      <c r="F1626" s="10" t="s">
        <v>172</v>
      </c>
      <c r="G1626" s="10" t="s">
        <v>172</v>
      </c>
      <c r="H1626" s="10" t="s">
        <v>172</v>
      </c>
    </row>
    <row r="1627" s="9" customFormat="1" ht="17" customHeight="1" spans="1:8">
      <c r="A1627" s="10" t="s">
        <v>172</v>
      </c>
      <c r="B1627" s="19" t="s">
        <v>751</v>
      </c>
      <c r="C1627" s="16" t="s">
        <v>1841</v>
      </c>
      <c r="D1627" s="23">
        <v>4</v>
      </c>
      <c r="E1627" s="24">
        <v>36036.036036</v>
      </c>
      <c r="F1627" s="10" t="s">
        <v>172</v>
      </c>
      <c r="G1627" s="10" t="s">
        <v>172</v>
      </c>
      <c r="H1627" s="10" t="s">
        <v>172</v>
      </c>
    </row>
    <row r="1628" s="9" customFormat="1" ht="37" customHeight="1" spans="1:8">
      <c r="A1628" s="10" t="s">
        <v>172</v>
      </c>
      <c r="B1628" s="19" t="s">
        <v>752</v>
      </c>
      <c r="C1628" s="20" t="s">
        <v>182</v>
      </c>
      <c r="D1628" s="21">
        <v>2</v>
      </c>
      <c r="E1628" s="22">
        <v>18018.018018</v>
      </c>
      <c r="F1628" s="10" t="s">
        <v>172</v>
      </c>
      <c r="G1628" s="10" t="s">
        <v>172</v>
      </c>
      <c r="H1628" s="10" t="s">
        <v>172</v>
      </c>
    </row>
    <row r="1629" s="9" customFormat="1" ht="17" customHeight="1" spans="1:8">
      <c r="A1629" s="10" t="s">
        <v>172</v>
      </c>
      <c r="B1629" s="19" t="s">
        <v>752</v>
      </c>
      <c r="C1629" s="16" t="s">
        <v>1841</v>
      </c>
      <c r="D1629" s="23">
        <v>2</v>
      </c>
      <c r="E1629" s="24">
        <v>18018.018018</v>
      </c>
      <c r="F1629" s="10" t="s">
        <v>172</v>
      </c>
      <c r="G1629" s="10" t="s">
        <v>172</v>
      </c>
      <c r="H1629" s="10" t="s">
        <v>172</v>
      </c>
    </row>
    <row r="1630" s="9" customFormat="1" ht="37" customHeight="1" spans="1:8">
      <c r="A1630" s="10" t="s">
        <v>172</v>
      </c>
      <c r="B1630" s="19" t="s">
        <v>753</v>
      </c>
      <c r="C1630" s="20" t="s">
        <v>182</v>
      </c>
      <c r="D1630" s="21">
        <v>2</v>
      </c>
      <c r="E1630" s="22">
        <v>18018.018018</v>
      </c>
      <c r="F1630" s="10" t="s">
        <v>172</v>
      </c>
      <c r="G1630" s="10" t="s">
        <v>172</v>
      </c>
      <c r="H1630" s="10" t="s">
        <v>172</v>
      </c>
    </row>
    <row r="1631" s="9" customFormat="1" ht="17" customHeight="1" spans="1:8">
      <c r="A1631" s="10" t="s">
        <v>172</v>
      </c>
      <c r="B1631" s="19" t="s">
        <v>753</v>
      </c>
      <c r="C1631" s="16" t="s">
        <v>1841</v>
      </c>
      <c r="D1631" s="23">
        <v>2</v>
      </c>
      <c r="E1631" s="24">
        <v>18018.018018</v>
      </c>
      <c r="F1631" s="10" t="s">
        <v>172</v>
      </c>
      <c r="G1631" s="10" t="s">
        <v>172</v>
      </c>
      <c r="H1631" s="10" t="s">
        <v>172</v>
      </c>
    </row>
    <row r="1632" s="9" customFormat="1" ht="37" customHeight="1" spans="1:8">
      <c r="A1632" s="10" t="s">
        <v>172</v>
      </c>
      <c r="B1632" s="19" t="s">
        <v>1593</v>
      </c>
      <c r="C1632" s="20" t="s">
        <v>182</v>
      </c>
      <c r="D1632" s="21">
        <v>131</v>
      </c>
      <c r="E1632" s="22">
        <v>0</v>
      </c>
      <c r="F1632" s="10" t="s">
        <v>172</v>
      </c>
      <c r="G1632" s="10" t="s">
        <v>172</v>
      </c>
      <c r="H1632" s="10" t="s">
        <v>172</v>
      </c>
    </row>
    <row r="1633" s="9" customFormat="1" ht="26" customHeight="1" spans="1:8">
      <c r="A1633" s="10" t="s">
        <v>172</v>
      </c>
      <c r="B1633" s="19" t="s">
        <v>1593</v>
      </c>
      <c r="C1633" s="20" t="s">
        <v>804</v>
      </c>
      <c r="D1633" s="21">
        <v>107</v>
      </c>
      <c r="E1633" s="22">
        <v>0</v>
      </c>
      <c r="F1633" s="10" t="s">
        <v>172</v>
      </c>
      <c r="G1633" s="10" t="s">
        <v>172</v>
      </c>
      <c r="H1633" s="10" t="s">
        <v>172</v>
      </c>
    </row>
    <row r="1634" s="9" customFormat="1" ht="17" customHeight="1" spans="1:8">
      <c r="A1634" s="10" t="s">
        <v>172</v>
      </c>
      <c r="B1634" s="19" t="s">
        <v>1593</v>
      </c>
      <c r="C1634" s="16" t="s">
        <v>1841</v>
      </c>
      <c r="D1634" s="23">
        <v>238</v>
      </c>
      <c r="E1634" s="24">
        <v>0</v>
      </c>
      <c r="F1634" s="10" t="s">
        <v>172</v>
      </c>
      <c r="G1634" s="10" t="s">
        <v>172</v>
      </c>
      <c r="H1634" s="10" t="s">
        <v>172</v>
      </c>
    </row>
    <row r="1635" s="9" customFormat="1" ht="37" customHeight="1" spans="1:8">
      <c r="A1635" s="10" t="s">
        <v>172</v>
      </c>
      <c r="B1635" s="19" t="s">
        <v>1594</v>
      </c>
      <c r="C1635" s="20" t="s">
        <v>182</v>
      </c>
      <c r="D1635" s="21">
        <v>263</v>
      </c>
      <c r="E1635" s="22">
        <v>0</v>
      </c>
      <c r="F1635" s="10" t="s">
        <v>172</v>
      </c>
      <c r="G1635" s="10" t="s">
        <v>172</v>
      </c>
      <c r="H1635" s="10" t="s">
        <v>172</v>
      </c>
    </row>
    <row r="1636" s="9" customFormat="1" ht="26" customHeight="1" spans="1:8">
      <c r="A1636" s="10" t="s">
        <v>172</v>
      </c>
      <c r="B1636" s="19" t="s">
        <v>1594</v>
      </c>
      <c r="C1636" s="20" t="s">
        <v>804</v>
      </c>
      <c r="D1636" s="21">
        <v>135</v>
      </c>
      <c r="E1636" s="22">
        <v>51351.351351</v>
      </c>
      <c r="F1636" s="10" t="s">
        <v>172</v>
      </c>
      <c r="G1636" s="10" t="s">
        <v>172</v>
      </c>
      <c r="H1636" s="10" t="s">
        <v>172</v>
      </c>
    </row>
    <row r="1637" s="9" customFormat="1" ht="17" customHeight="1" spans="1:8">
      <c r="A1637" s="10" t="s">
        <v>172</v>
      </c>
      <c r="B1637" s="19" t="s">
        <v>1594</v>
      </c>
      <c r="C1637" s="16" t="s">
        <v>1841</v>
      </c>
      <c r="D1637" s="23">
        <v>398</v>
      </c>
      <c r="E1637" s="24">
        <v>51351.351351</v>
      </c>
      <c r="F1637" s="10" t="s">
        <v>172</v>
      </c>
      <c r="G1637" s="10" t="s">
        <v>172</v>
      </c>
      <c r="H1637" s="10" t="s">
        <v>172</v>
      </c>
    </row>
    <row r="1638" s="9" customFormat="1" ht="1" customHeight="1" spans="1:8">
      <c r="A1638" s="10" t="s">
        <v>172</v>
      </c>
      <c r="B1638" s="25"/>
      <c r="C1638" s="25"/>
      <c r="D1638" s="25"/>
      <c r="E1638" s="25"/>
      <c r="F1638" s="25"/>
      <c r="G1638" s="25"/>
      <c r="H1638" s="10" t="s">
        <v>172</v>
      </c>
    </row>
    <row r="1639" s="9" customFormat="1" ht="13" customHeight="1" spans="1:8">
      <c r="A1639" s="10" t="s">
        <v>172</v>
      </c>
      <c r="B1639" s="26"/>
      <c r="C1639" s="26"/>
      <c r="D1639" s="26"/>
      <c r="E1639" s="26"/>
      <c r="F1639" s="26"/>
      <c r="G1639" s="26"/>
      <c r="H1639" s="10" t="s">
        <v>172</v>
      </c>
    </row>
    <row r="1640" s="9" customFormat="1" ht="13" customHeight="1" spans="1:8">
      <c r="A1640" s="10" t="s">
        <v>172</v>
      </c>
      <c r="B1640" s="26"/>
      <c r="C1640" s="26"/>
      <c r="D1640" s="26"/>
      <c r="E1640" s="26"/>
      <c r="F1640" s="26"/>
      <c r="G1640" s="26"/>
      <c r="H1640" s="10" t="s">
        <v>172</v>
      </c>
    </row>
    <row r="1641" s="9" customFormat="1" ht="13" customHeight="1" spans="1:8">
      <c r="A1641" s="10" t="s">
        <v>172</v>
      </c>
      <c r="B1641" s="26"/>
      <c r="C1641" s="26"/>
      <c r="D1641" s="26"/>
      <c r="E1641" s="26"/>
      <c r="F1641" s="26"/>
      <c r="G1641" s="26"/>
      <c r="H1641" s="10" t="s">
        <v>172</v>
      </c>
    </row>
    <row r="1642" s="9" customFormat="1" ht="13" customHeight="1" spans="1:8">
      <c r="A1642" s="10" t="s">
        <v>172</v>
      </c>
      <c r="B1642" s="26"/>
      <c r="C1642" s="26"/>
      <c r="D1642" s="26"/>
      <c r="E1642" s="26"/>
      <c r="F1642" s="26"/>
      <c r="G1642" s="27" t="s">
        <v>1847</v>
      </c>
      <c r="H1642" s="10" t="s">
        <v>172</v>
      </c>
    </row>
    <row r="1643" s="9" customFormat="1" ht="17" customHeight="1" spans="1:8">
      <c r="A1643" s="10" t="s">
        <v>172</v>
      </c>
      <c r="B1643" s="11"/>
      <c r="C1643" s="11"/>
      <c r="D1643" s="11"/>
      <c r="E1643" s="11"/>
      <c r="F1643" s="11"/>
      <c r="G1643" s="11"/>
      <c r="H1643" s="10" t="s">
        <v>172</v>
      </c>
    </row>
    <row r="1644" s="9" customFormat="1" ht="23" customHeight="1" spans="1:8">
      <c r="A1644" s="10" t="s">
        <v>172</v>
      </c>
      <c r="B1644" s="12"/>
      <c r="C1644" s="12"/>
      <c r="D1644" s="12"/>
      <c r="E1644" s="12"/>
      <c r="F1644" s="12"/>
      <c r="G1644" s="12"/>
      <c r="H1644" s="10" t="s">
        <v>172</v>
      </c>
    </row>
    <row r="1645" s="9" customFormat="1" ht="16" customHeight="1" spans="1:8">
      <c r="A1645" s="10" t="s">
        <v>172</v>
      </c>
      <c r="B1645" s="13"/>
      <c r="C1645" s="13"/>
      <c r="D1645" s="13"/>
      <c r="E1645" s="13"/>
      <c r="F1645" s="13"/>
      <c r="G1645" s="13"/>
      <c r="H1645" s="10" t="s">
        <v>172</v>
      </c>
    </row>
    <row r="1646" s="9" customFormat="1" ht="12" customHeight="1" spans="1:8">
      <c r="A1646" s="10" t="s">
        <v>172</v>
      </c>
      <c r="B1646" s="14"/>
      <c r="C1646" s="14"/>
      <c r="D1646" s="14"/>
      <c r="E1646" s="14"/>
      <c r="F1646" s="14"/>
      <c r="G1646" s="14"/>
      <c r="H1646" s="10" t="s">
        <v>172</v>
      </c>
    </row>
    <row r="1647" s="9" customFormat="1" ht="17" customHeight="1" spans="1:8">
      <c r="A1647" s="10" t="s">
        <v>172</v>
      </c>
      <c r="B1647" s="15" t="s">
        <v>1836</v>
      </c>
      <c r="C1647" s="16" t="s">
        <v>1837</v>
      </c>
      <c r="D1647" s="17" t="s">
        <v>1838</v>
      </c>
      <c r="E1647" s="18" t="s">
        <v>1839</v>
      </c>
      <c r="F1647" s="10" t="s">
        <v>172</v>
      </c>
      <c r="G1647" s="10" t="s">
        <v>172</v>
      </c>
      <c r="H1647" s="10" t="s">
        <v>172</v>
      </c>
    </row>
    <row r="1648" s="9" customFormat="1" ht="37" customHeight="1" spans="1:8">
      <c r="A1648" s="10" t="s">
        <v>172</v>
      </c>
      <c r="B1648" s="19" t="s">
        <v>631</v>
      </c>
      <c r="C1648" s="20" t="s">
        <v>182</v>
      </c>
      <c r="D1648" s="21">
        <v>2</v>
      </c>
      <c r="E1648" s="22">
        <v>0</v>
      </c>
      <c r="F1648" s="10" t="s">
        <v>172</v>
      </c>
      <c r="G1648" s="10" t="s">
        <v>172</v>
      </c>
      <c r="H1648" s="10" t="s">
        <v>172</v>
      </c>
    </row>
    <row r="1649" s="9" customFormat="1" ht="17" customHeight="1" spans="1:8">
      <c r="A1649" s="10" t="s">
        <v>172</v>
      </c>
      <c r="B1649" s="19" t="s">
        <v>631</v>
      </c>
      <c r="C1649" s="16" t="s">
        <v>1841</v>
      </c>
      <c r="D1649" s="23">
        <v>2</v>
      </c>
      <c r="E1649" s="24">
        <v>0</v>
      </c>
      <c r="F1649" s="10" t="s">
        <v>172</v>
      </c>
      <c r="G1649" s="10" t="s">
        <v>172</v>
      </c>
      <c r="H1649" s="10" t="s">
        <v>172</v>
      </c>
    </row>
    <row r="1650" s="9" customFormat="1" ht="37" customHeight="1" spans="1:8">
      <c r="A1650" s="10" t="s">
        <v>172</v>
      </c>
      <c r="B1650" s="19" t="s">
        <v>472</v>
      </c>
      <c r="C1650" s="20" t="s">
        <v>182</v>
      </c>
      <c r="D1650" s="21">
        <v>2</v>
      </c>
      <c r="E1650" s="22">
        <v>0</v>
      </c>
      <c r="F1650" s="10" t="s">
        <v>172</v>
      </c>
      <c r="G1650" s="10" t="s">
        <v>172</v>
      </c>
      <c r="H1650" s="10" t="s">
        <v>172</v>
      </c>
    </row>
    <row r="1651" s="9" customFormat="1" ht="17" customHeight="1" spans="1:8">
      <c r="A1651" s="10" t="s">
        <v>172</v>
      </c>
      <c r="B1651" s="19" t="s">
        <v>472</v>
      </c>
      <c r="C1651" s="16" t="s">
        <v>1841</v>
      </c>
      <c r="D1651" s="23">
        <v>2</v>
      </c>
      <c r="E1651" s="24">
        <v>0</v>
      </c>
      <c r="F1651" s="10" t="s">
        <v>172</v>
      </c>
      <c r="G1651" s="10" t="s">
        <v>172</v>
      </c>
      <c r="H1651" s="10" t="s">
        <v>172</v>
      </c>
    </row>
    <row r="1652" s="9" customFormat="1" ht="37" customHeight="1" spans="1:8">
      <c r="A1652" s="10" t="s">
        <v>172</v>
      </c>
      <c r="B1652" s="19" t="s">
        <v>1952</v>
      </c>
      <c r="C1652" s="20" t="s">
        <v>182</v>
      </c>
      <c r="D1652" s="21">
        <v>1</v>
      </c>
      <c r="E1652" s="22">
        <v>199527.751459</v>
      </c>
      <c r="F1652" s="10" t="s">
        <v>172</v>
      </c>
      <c r="G1652" s="10" t="s">
        <v>172</v>
      </c>
      <c r="H1652" s="10" t="s">
        <v>172</v>
      </c>
    </row>
    <row r="1653" s="9" customFormat="1" ht="17" customHeight="1" spans="1:8">
      <c r="A1653" s="10" t="s">
        <v>172</v>
      </c>
      <c r="B1653" s="19" t="s">
        <v>1952</v>
      </c>
      <c r="C1653" s="16" t="s">
        <v>1841</v>
      </c>
      <c r="D1653" s="23">
        <v>1</v>
      </c>
      <c r="E1653" s="24">
        <v>199527.751459</v>
      </c>
      <c r="F1653" s="10" t="s">
        <v>172</v>
      </c>
      <c r="G1653" s="10" t="s">
        <v>172</v>
      </c>
      <c r="H1653" s="10" t="s">
        <v>172</v>
      </c>
    </row>
    <row r="1654" s="9" customFormat="1" ht="37" customHeight="1" spans="1:8">
      <c r="A1654" s="10" t="s">
        <v>172</v>
      </c>
      <c r="B1654" s="19" t="s">
        <v>1953</v>
      </c>
      <c r="C1654" s="20" t="s">
        <v>182</v>
      </c>
      <c r="D1654" s="21">
        <v>1</v>
      </c>
      <c r="E1654" s="22">
        <v>161522.465467</v>
      </c>
      <c r="F1654" s="10" t="s">
        <v>172</v>
      </c>
      <c r="G1654" s="10" t="s">
        <v>172</v>
      </c>
      <c r="H1654" s="10" t="s">
        <v>172</v>
      </c>
    </row>
    <row r="1655" s="9" customFormat="1" ht="17" customHeight="1" spans="1:8">
      <c r="A1655" s="10" t="s">
        <v>172</v>
      </c>
      <c r="B1655" s="19" t="s">
        <v>1953</v>
      </c>
      <c r="C1655" s="16" t="s">
        <v>1841</v>
      </c>
      <c r="D1655" s="23">
        <v>1</v>
      </c>
      <c r="E1655" s="24">
        <v>161522.465467</v>
      </c>
      <c r="F1655" s="10" t="s">
        <v>172</v>
      </c>
      <c r="G1655" s="10" t="s">
        <v>172</v>
      </c>
      <c r="H1655" s="10" t="s">
        <v>172</v>
      </c>
    </row>
    <row r="1656" s="9" customFormat="1" ht="37" customHeight="1" spans="1:8">
      <c r="A1656" s="10" t="s">
        <v>172</v>
      </c>
      <c r="B1656" s="19" t="s">
        <v>916</v>
      </c>
      <c r="C1656" s="20" t="s">
        <v>182</v>
      </c>
      <c r="D1656" s="21">
        <v>22</v>
      </c>
      <c r="E1656" s="22">
        <v>1753658.02821</v>
      </c>
      <c r="F1656" s="10" t="s">
        <v>172</v>
      </c>
      <c r="G1656" s="10" t="s">
        <v>172</v>
      </c>
      <c r="H1656" s="10" t="s">
        <v>172</v>
      </c>
    </row>
    <row r="1657" s="9" customFormat="1" ht="26" customHeight="1" spans="1:8">
      <c r="A1657" s="10" t="s">
        <v>172</v>
      </c>
      <c r="B1657" s="19" t="s">
        <v>916</v>
      </c>
      <c r="C1657" s="20" t="s">
        <v>804</v>
      </c>
      <c r="D1657" s="21">
        <v>8</v>
      </c>
      <c r="E1657" s="22">
        <v>641441.441442</v>
      </c>
      <c r="F1657" s="10" t="s">
        <v>172</v>
      </c>
      <c r="G1657" s="10" t="s">
        <v>172</v>
      </c>
      <c r="H1657" s="10" t="s">
        <v>172</v>
      </c>
    </row>
    <row r="1658" s="9" customFormat="1" ht="17" customHeight="1" spans="1:8">
      <c r="A1658" s="10" t="s">
        <v>172</v>
      </c>
      <c r="B1658" s="19" t="s">
        <v>916</v>
      </c>
      <c r="C1658" s="16" t="s">
        <v>1841</v>
      </c>
      <c r="D1658" s="23">
        <v>30</v>
      </c>
      <c r="E1658" s="24">
        <v>2395099.469652</v>
      </c>
      <c r="F1658" s="10" t="s">
        <v>172</v>
      </c>
      <c r="G1658" s="10" t="s">
        <v>172</v>
      </c>
      <c r="H1658" s="10" t="s">
        <v>172</v>
      </c>
    </row>
    <row r="1659" s="9" customFormat="1" ht="26" customHeight="1" spans="1:8">
      <c r="A1659" s="10" t="s">
        <v>172</v>
      </c>
      <c r="B1659" s="19" t="s">
        <v>1101</v>
      </c>
      <c r="C1659" s="20" t="s">
        <v>804</v>
      </c>
      <c r="D1659" s="21">
        <v>11</v>
      </c>
      <c r="E1659" s="22">
        <v>921621.621621</v>
      </c>
      <c r="F1659" s="10" t="s">
        <v>172</v>
      </c>
      <c r="G1659" s="10" t="s">
        <v>172</v>
      </c>
      <c r="H1659" s="10" t="s">
        <v>172</v>
      </c>
    </row>
    <row r="1660" s="9" customFormat="1" ht="17" customHeight="1" spans="1:8">
      <c r="A1660" s="10" t="s">
        <v>172</v>
      </c>
      <c r="B1660" s="19" t="s">
        <v>1101</v>
      </c>
      <c r="C1660" s="16" t="s">
        <v>1841</v>
      </c>
      <c r="D1660" s="23">
        <v>11</v>
      </c>
      <c r="E1660" s="24">
        <v>921621.621621</v>
      </c>
      <c r="F1660" s="10" t="s">
        <v>172</v>
      </c>
      <c r="G1660" s="10" t="s">
        <v>172</v>
      </c>
      <c r="H1660" s="10" t="s">
        <v>172</v>
      </c>
    </row>
    <row r="1661" s="9" customFormat="1" ht="1" customHeight="1" spans="1:8">
      <c r="A1661" s="10" t="s">
        <v>172</v>
      </c>
      <c r="B1661" s="25"/>
      <c r="C1661" s="25"/>
      <c r="D1661" s="25"/>
      <c r="E1661" s="25"/>
      <c r="F1661" s="25"/>
      <c r="G1661" s="25"/>
      <c r="H1661" s="10" t="s">
        <v>172</v>
      </c>
    </row>
    <row r="1662" s="9" customFormat="1" ht="13" customHeight="1" spans="1:8">
      <c r="A1662" s="10" t="s">
        <v>172</v>
      </c>
      <c r="B1662" s="26"/>
      <c r="C1662" s="26"/>
      <c r="D1662" s="26"/>
      <c r="E1662" s="26"/>
      <c r="F1662" s="26"/>
      <c r="G1662" s="26"/>
      <c r="H1662" s="10" t="s">
        <v>172</v>
      </c>
    </row>
    <row r="1663" s="9" customFormat="1" ht="13" customHeight="1" spans="1:8">
      <c r="A1663" s="10" t="s">
        <v>172</v>
      </c>
      <c r="B1663" s="26"/>
      <c r="C1663" s="26"/>
      <c r="D1663" s="26"/>
      <c r="E1663" s="26"/>
      <c r="F1663" s="26"/>
      <c r="G1663" s="26"/>
      <c r="H1663" s="10" t="s">
        <v>172</v>
      </c>
    </row>
    <row r="1664" s="9" customFormat="1" ht="13" customHeight="1" spans="1:8">
      <c r="A1664" s="10" t="s">
        <v>172</v>
      </c>
      <c r="B1664" s="26"/>
      <c r="C1664" s="26"/>
      <c r="D1664" s="26"/>
      <c r="E1664" s="26"/>
      <c r="F1664" s="26"/>
      <c r="G1664" s="26"/>
      <c r="H1664" s="10" t="s">
        <v>172</v>
      </c>
    </row>
    <row r="1665" s="9" customFormat="1" ht="13" customHeight="1" spans="1:8">
      <c r="A1665" s="10" t="s">
        <v>172</v>
      </c>
      <c r="B1665" s="26"/>
      <c r="C1665" s="26"/>
      <c r="D1665" s="26"/>
      <c r="E1665" s="26"/>
      <c r="F1665" s="26"/>
      <c r="G1665" s="27" t="s">
        <v>1847</v>
      </c>
      <c r="H1665" s="10" t="s">
        <v>172</v>
      </c>
    </row>
    <row r="1666" s="9" customFormat="1" ht="17" customHeight="1" spans="1:8">
      <c r="A1666" s="10" t="s">
        <v>172</v>
      </c>
      <c r="B1666" s="11"/>
      <c r="C1666" s="11"/>
      <c r="D1666" s="11"/>
      <c r="E1666" s="11"/>
      <c r="F1666" s="11"/>
      <c r="G1666" s="11"/>
      <c r="H1666" s="10" t="s">
        <v>172</v>
      </c>
    </row>
    <row r="1667" s="9" customFormat="1" ht="23" customHeight="1" spans="1:8">
      <c r="A1667" s="10" t="s">
        <v>172</v>
      </c>
      <c r="B1667" s="12"/>
      <c r="C1667" s="12"/>
      <c r="D1667" s="12"/>
      <c r="E1667" s="12"/>
      <c r="F1667" s="12"/>
      <c r="G1667" s="12"/>
      <c r="H1667" s="10" t="s">
        <v>172</v>
      </c>
    </row>
    <row r="1668" s="9" customFormat="1" ht="16" customHeight="1" spans="1:8">
      <c r="A1668" s="10" t="s">
        <v>172</v>
      </c>
      <c r="B1668" s="13"/>
      <c r="C1668" s="13"/>
      <c r="D1668" s="13"/>
      <c r="E1668" s="13"/>
      <c r="F1668" s="13"/>
      <c r="G1668" s="13"/>
      <c r="H1668" s="10" t="s">
        <v>172</v>
      </c>
    </row>
    <row r="1669" s="9" customFormat="1" ht="12" customHeight="1" spans="1:8">
      <c r="A1669" s="10" t="s">
        <v>172</v>
      </c>
      <c r="B1669" s="14"/>
      <c r="C1669" s="14"/>
      <c r="D1669" s="14"/>
      <c r="E1669" s="14"/>
      <c r="F1669" s="14"/>
      <c r="G1669" s="14"/>
      <c r="H1669" s="10" t="s">
        <v>172</v>
      </c>
    </row>
    <row r="1670" s="9" customFormat="1" ht="17" customHeight="1" spans="1:8">
      <c r="A1670" s="10" t="s">
        <v>172</v>
      </c>
      <c r="B1670" s="15" t="s">
        <v>1836</v>
      </c>
      <c r="C1670" s="16" t="s">
        <v>1837</v>
      </c>
      <c r="D1670" s="17" t="s">
        <v>1838</v>
      </c>
      <c r="E1670" s="18" t="s">
        <v>1839</v>
      </c>
      <c r="F1670" s="10" t="s">
        <v>172</v>
      </c>
      <c r="G1670" s="10" t="s">
        <v>172</v>
      </c>
      <c r="H1670" s="10" t="s">
        <v>172</v>
      </c>
    </row>
    <row r="1671" s="9" customFormat="1" ht="37" customHeight="1" spans="1:8">
      <c r="A1671" s="10" t="s">
        <v>172</v>
      </c>
      <c r="B1671" s="19" t="s">
        <v>917</v>
      </c>
      <c r="C1671" s="20" t="s">
        <v>182</v>
      </c>
      <c r="D1671" s="21">
        <v>4</v>
      </c>
      <c r="E1671" s="22">
        <v>657657.657658</v>
      </c>
      <c r="F1671" s="10" t="s">
        <v>172</v>
      </c>
      <c r="G1671" s="10" t="s">
        <v>172</v>
      </c>
      <c r="H1671" s="10" t="s">
        <v>172</v>
      </c>
    </row>
    <row r="1672" s="9" customFormat="1" ht="26" customHeight="1" spans="1:8">
      <c r="A1672" s="10" t="s">
        <v>172</v>
      </c>
      <c r="B1672" s="19" t="s">
        <v>917</v>
      </c>
      <c r="C1672" s="20" t="s">
        <v>804</v>
      </c>
      <c r="D1672" s="21">
        <v>5</v>
      </c>
      <c r="E1672" s="22">
        <v>0</v>
      </c>
      <c r="F1672" s="10" t="s">
        <v>172</v>
      </c>
      <c r="G1672" s="10" t="s">
        <v>172</v>
      </c>
      <c r="H1672" s="10" t="s">
        <v>172</v>
      </c>
    </row>
    <row r="1673" s="9" customFormat="1" ht="17" customHeight="1" spans="1:8">
      <c r="A1673" s="10" t="s">
        <v>172</v>
      </c>
      <c r="B1673" s="19" t="s">
        <v>917</v>
      </c>
      <c r="C1673" s="16" t="s">
        <v>1841</v>
      </c>
      <c r="D1673" s="23">
        <v>9</v>
      </c>
      <c r="E1673" s="24">
        <v>657657.657658</v>
      </c>
      <c r="F1673" s="10" t="s">
        <v>172</v>
      </c>
      <c r="G1673" s="10" t="s">
        <v>172</v>
      </c>
      <c r="H1673" s="10" t="s">
        <v>172</v>
      </c>
    </row>
    <row r="1674" s="9" customFormat="1" ht="37" customHeight="1" spans="1:8">
      <c r="A1674" s="10" t="s">
        <v>172</v>
      </c>
      <c r="B1674" s="19" t="s">
        <v>1102</v>
      </c>
      <c r="C1674" s="20" t="s">
        <v>182</v>
      </c>
      <c r="D1674" s="21">
        <v>28</v>
      </c>
      <c r="E1674" s="22">
        <v>0</v>
      </c>
      <c r="F1674" s="10" t="s">
        <v>172</v>
      </c>
      <c r="G1674" s="10" t="s">
        <v>172</v>
      </c>
      <c r="H1674" s="10" t="s">
        <v>172</v>
      </c>
    </row>
    <row r="1675" s="9" customFormat="1" ht="26" customHeight="1" spans="1:8">
      <c r="A1675" s="10" t="s">
        <v>172</v>
      </c>
      <c r="B1675" s="19" t="s">
        <v>1102</v>
      </c>
      <c r="C1675" s="20" t="s">
        <v>804</v>
      </c>
      <c r="D1675" s="21">
        <v>4</v>
      </c>
      <c r="E1675" s="22">
        <v>0</v>
      </c>
      <c r="F1675" s="10" t="s">
        <v>172</v>
      </c>
      <c r="G1675" s="10" t="s">
        <v>172</v>
      </c>
      <c r="H1675" s="10" t="s">
        <v>172</v>
      </c>
    </row>
    <row r="1676" s="9" customFormat="1" ht="17" customHeight="1" spans="1:8">
      <c r="A1676" s="10" t="s">
        <v>172</v>
      </c>
      <c r="B1676" s="19" t="s">
        <v>1102</v>
      </c>
      <c r="C1676" s="16" t="s">
        <v>1841</v>
      </c>
      <c r="D1676" s="23">
        <v>32</v>
      </c>
      <c r="E1676" s="24">
        <v>0</v>
      </c>
      <c r="F1676" s="10" t="s">
        <v>172</v>
      </c>
      <c r="G1676" s="10" t="s">
        <v>172</v>
      </c>
      <c r="H1676" s="10" t="s">
        <v>172</v>
      </c>
    </row>
    <row r="1677" s="9" customFormat="1" ht="37" customHeight="1" spans="1:8">
      <c r="A1677" s="10" t="s">
        <v>172</v>
      </c>
      <c r="B1677" s="19" t="s">
        <v>918</v>
      </c>
      <c r="C1677" s="20" t="s">
        <v>182</v>
      </c>
      <c r="D1677" s="21">
        <v>19</v>
      </c>
      <c r="E1677" s="22">
        <v>0</v>
      </c>
      <c r="F1677" s="10" t="s">
        <v>172</v>
      </c>
      <c r="G1677" s="10" t="s">
        <v>172</v>
      </c>
      <c r="H1677" s="10" t="s">
        <v>172</v>
      </c>
    </row>
    <row r="1678" s="9" customFormat="1" ht="26" customHeight="1" spans="1:8">
      <c r="A1678" s="10" t="s">
        <v>172</v>
      </c>
      <c r="B1678" s="19" t="s">
        <v>918</v>
      </c>
      <c r="C1678" s="20" t="s">
        <v>804</v>
      </c>
      <c r="D1678" s="21">
        <v>8</v>
      </c>
      <c r="E1678" s="22">
        <v>0</v>
      </c>
      <c r="F1678" s="10" t="s">
        <v>172</v>
      </c>
      <c r="G1678" s="10" t="s">
        <v>172</v>
      </c>
      <c r="H1678" s="10" t="s">
        <v>172</v>
      </c>
    </row>
    <row r="1679" s="9" customFormat="1" ht="17" customHeight="1" spans="1:8">
      <c r="A1679" s="10" t="s">
        <v>172</v>
      </c>
      <c r="B1679" s="19" t="s">
        <v>918</v>
      </c>
      <c r="C1679" s="16" t="s">
        <v>1841</v>
      </c>
      <c r="D1679" s="23">
        <v>27</v>
      </c>
      <c r="E1679" s="24">
        <v>0</v>
      </c>
      <c r="F1679" s="10" t="s">
        <v>172</v>
      </c>
      <c r="G1679" s="10" t="s">
        <v>172</v>
      </c>
      <c r="H1679" s="10" t="s">
        <v>172</v>
      </c>
    </row>
    <row r="1680" s="9" customFormat="1" ht="37" customHeight="1" spans="1:8">
      <c r="A1680" s="10" t="s">
        <v>172</v>
      </c>
      <c r="B1680" s="19" t="s">
        <v>919</v>
      </c>
      <c r="C1680" s="20" t="s">
        <v>182</v>
      </c>
      <c r="D1680" s="21">
        <v>16</v>
      </c>
      <c r="E1680" s="22">
        <v>0</v>
      </c>
      <c r="F1680" s="10" t="s">
        <v>172</v>
      </c>
      <c r="G1680" s="10" t="s">
        <v>172</v>
      </c>
      <c r="H1680" s="10" t="s">
        <v>172</v>
      </c>
    </row>
    <row r="1681" s="9" customFormat="1" ht="26" customHeight="1" spans="1:8">
      <c r="A1681" s="10" t="s">
        <v>172</v>
      </c>
      <c r="B1681" s="19" t="s">
        <v>919</v>
      </c>
      <c r="C1681" s="20" t="s">
        <v>804</v>
      </c>
      <c r="D1681" s="21">
        <v>8</v>
      </c>
      <c r="E1681" s="22">
        <v>0</v>
      </c>
      <c r="F1681" s="10" t="s">
        <v>172</v>
      </c>
      <c r="G1681" s="10" t="s">
        <v>172</v>
      </c>
      <c r="H1681" s="10" t="s">
        <v>172</v>
      </c>
    </row>
    <row r="1682" s="9" customFormat="1" ht="17" customHeight="1" spans="1:8">
      <c r="A1682" s="10" t="s">
        <v>172</v>
      </c>
      <c r="B1682" s="19" t="s">
        <v>919</v>
      </c>
      <c r="C1682" s="16" t="s">
        <v>1841</v>
      </c>
      <c r="D1682" s="23">
        <v>24</v>
      </c>
      <c r="E1682" s="24">
        <v>0</v>
      </c>
      <c r="F1682" s="10" t="s">
        <v>172</v>
      </c>
      <c r="G1682" s="10" t="s">
        <v>172</v>
      </c>
      <c r="H1682" s="10" t="s">
        <v>172</v>
      </c>
    </row>
    <row r="1683" s="9" customFormat="1" ht="37" customHeight="1" spans="1:8">
      <c r="A1683" s="10" t="s">
        <v>172</v>
      </c>
      <c r="B1683" s="20" t="s">
        <v>757</v>
      </c>
      <c r="C1683" s="20" t="s">
        <v>182</v>
      </c>
      <c r="D1683" s="21">
        <v>44</v>
      </c>
      <c r="E1683" s="22">
        <v>327927.927928</v>
      </c>
      <c r="F1683" s="10" t="s">
        <v>172</v>
      </c>
      <c r="G1683" s="10" t="s">
        <v>172</v>
      </c>
      <c r="H1683" s="10" t="s">
        <v>172</v>
      </c>
    </row>
    <row r="1684" s="9" customFormat="1" ht="1" customHeight="1" spans="1:8">
      <c r="A1684" s="10" t="s">
        <v>172</v>
      </c>
      <c r="B1684" s="25"/>
      <c r="C1684" s="25"/>
      <c r="D1684" s="25"/>
      <c r="E1684" s="25"/>
      <c r="F1684" s="25"/>
      <c r="G1684" s="25"/>
      <c r="H1684" s="10" t="s">
        <v>172</v>
      </c>
    </row>
    <row r="1685" s="9" customFormat="1" ht="13" customHeight="1" spans="1:8">
      <c r="A1685" s="10" t="s">
        <v>172</v>
      </c>
      <c r="B1685" s="26"/>
      <c r="C1685" s="26"/>
      <c r="D1685" s="26"/>
      <c r="E1685" s="26"/>
      <c r="F1685" s="26"/>
      <c r="G1685" s="26"/>
      <c r="H1685" s="10" t="s">
        <v>172</v>
      </c>
    </row>
    <row r="1686" s="9" customFormat="1" ht="13" customHeight="1" spans="1:8">
      <c r="A1686" s="10" t="s">
        <v>172</v>
      </c>
      <c r="B1686" s="26"/>
      <c r="C1686" s="26"/>
      <c r="D1686" s="26"/>
      <c r="E1686" s="26"/>
      <c r="F1686" s="26"/>
      <c r="G1686" s="26"/>
      <c r="H1686" s="10" t="s">
        <v>172</v>
      </c>
    </row>
    <row r="1687" s="9" customFormat="1" ht="13" customHeight="1" spans="1:8">
      <c r="A1687" s="10" t="s">
        <v>172</v>
      </c>
      <c r="B1687" s="26"/>
      <c r="C1687" s="26"/>
      <c r="D1687" s="26"/>
      <c r="E1687" s="26"/>
      <c r="F1687" s="26"/>
      <c r="G1687" s="26"/>
      <c r="H1687" s="10" t="s">
        <v>172</v>
      </c>
    </row>
    <row r="1688" s="9" customFormat="1" ht="13" customHeight="1" spans="1:8">
      <c r="A1688" s="10" t="s">
        <v>172</v>
      </c>
      <c r="B1688" s="26"/>
      <c r="C1688" s="26"/>
      <c r="D1688" s="26"/>
      <c r="E1688" s="26"/>
      <c r="F1688" s="26"/>
      <c r="G1688" s="27" t="s">
        <v>1847</v>
      </c>
      <c r="H1688" s="10" t="s">
        <v>172</v>
      </c>
    </row>
    <row r="1689" s="9" customFormat="1" ht="17" customHeight="1" spans="1:8">
      <c r="A1689" s="10" t="s">
        <v>172</v>
      </c>
      <c r="B1689" s="11"/>
      <c r="C1689" s="11"/>
      <c r="D1689" s="11"/>
      <c r="E1689" s="11"/>
      <c r="F1689" s="11"/>
      <c r="G1689" s="11"/>
      <c r="H1689" s="10" t="s">
        <v>172</v>
      </c>
    </row>
    <row r="1690" s="9" customFormat="1" ht="23" customHeight="1" spans="1:8">
      <c r="A1690" s="10" t="s">
        <v>172</v>
      </c>
      <c r="B1690" s="12"/>
      <c r="C1690" s="12"/>
      <c r="D1690" s="12"/>
      <c r="E1690" s="12"/>
      <c r="F1690" s="12"/>
      <c r="G1690" s="12"/>
      <c r="H1690" s="10" t="s">
        <v>172</v>
      </c>
    </row>
    <row r="1691" s="9" customFormat="1" ht="16" customHeight="1" spans="1:8">
      <c r="A1691" s="10" t="s">
        <v>172</v>
      </c>
      <c r="B1691" s="13"/>
      <c r="C1691" s="13"/>
      <c r="D1691" s="13"/>
      <c r="E1691" s="13"/>
      <c r="F1691" s="13"/>
      <c r="G1691" s="13"/>
      <c r="H1691" s="10" t="s">
        <v>172</v>
      </c>
    </row>
    <row r="1692" s="9" customFormat="1" ht="12" customHeight="1" spans="1:8">
      <c r="A1692" s="10" t="s">
        <v>172</v>
      </c>
      <c r="B1692" s="14"/>
      <c r="C1692" s="14"/>
      <c r="D1692" s="14"/>
      <c r="E1692" s="14"/>
      <c r="F1692" s="14"/>
      <c r="G1692" s="14"/>
      <c r="H1692" s="10" t="s">
        <v>172</v>
      </c>
    </row>
    <row r="1693" s="9" customFormat="1" ht="17" customHeight="1" spans="1:8">
      <c r="A1693" s="10" t="s">
        <v>172</v>
      </c>
      <c r="B1693" s="15" t="s">
        <v>1836</v>
      </c>
      <c r="C1693" s="16" t="s">
        <v>1837</v>
      </c>
      <c r="D1693" s="17" t="s">
        <v>1838</v>
      </c>
      <c r="E1693" s="18" t="s">
        <v>1839</v>
      </c>
      <c r="F1693" s="10" t="s">
        <v>172</v>
      </c>
      <c r="G1693" s="10" t="s">
        <v>172</v>
      </c>
      <c r="H1693" s="10" t="s">
        <v>172</v>
      </c>
    </row>
    <row r="1694" s="9" customFormat="1" ht="26" customHeight="1" spans="1:8">
      <c r="A1694" s="10" t="s">
        <v>172</v>
      </c>
      <c r="B1694" s="19" t="s">
        <v>757</v>
      </c>
      <c r="C1694" s="20" t="s">
        <v>804</v>
      </c>
      <c r="D1694" s="21">
        <v>9</v>
      </c>
      <c r="E1694" s="22">
        <v>409909.90991</v>
      </c>
      <c r="F1694" s="10" t="s">
        <v>172</v>
      </c>
      <c r="G1694" s="10" t="s">
        <v>172</v>
      </c>
      <c r="H1694" s="10" t="s">
        <v>172</v>
      </c>
    </row>
    <row r="1695" s="9" customFormat="1" ht="17" customHeight="1" spans="1:8">
      <c r="A1695" s="10" t="s">
        <v>172</v>
      </c>
      <c r="B1695" s="19" t="s">
        <v>757</v>
      </c>
      <c r="C1695" s="16" t="s">
        <v>1841</v>
      </c>
      <c r="D1695" s="23">
        <v>53</v>
      </c>
      <c r="E1695" s="24">
        <v>737837.837838</v>
      </c>
      <c r="F1695" s="10" t="s">
        <v>172</v>
      </c>
      <c r="G1695" s="10" t="s">
        <v>172</v>
      </c>
      <c r="H1695" s="10" t="s">
        <v>172</v>
      </c>
    </row>
    <row r="1696" s="9" customFormat="1" ht="37" customHeight="1" spans="1:8">
      <c r="A1696" s="10" t="s">
        <v>172</v>
      </c>
      <c r="B1696" s="19" t="s">
        <v>632</v>
      </c>
      <c r="C1696" s="20" t="s">
        <v>182</v>
      </c>
      <c r="D1696" s="21">
        <v>25</v>
      </c>
      <c r="E1696" s="22">
        <v>0</v>
      </c>
      <c r="F1696" s="10" t="s">
        <v>172</v>
      </c>
      <c r="G1696" s="10" t="s">
        <v>172</v>
      </c>
      <c r="H1696" s="10" t="s">
        <v>172</v>
      </c>
    </row>
    <row r="1697" s="9" customFormat="1" ht="26" customHeight="1" spans="1:8">
      <c r="A1697" s="10" t="s">
        <v>172</v>
      </c>
      <c r="B1697" s="19" t="s">
        <v>632</v>
      </c>
      <c r="C1697" s="20" t="s">
        <v>804</v>
      </c>
      <c r="D1697" s="21">
        <v>15</v>
      </c>
      <c r="E1697" s="22">
        <v>0</v>
      </c>
      <c r="F1697" s="10" t="s">
        <v>172</v>
      </c>
      <c r="G1697" s="10" t="s">
        <v>172</v>
      </c>
      <c r="H1697" s="10" t="s">
        <v>172</v>
      </c>
    </row>
    <row r="1698" s="9" customFormat="1" ht="17" customHeight="1" spans="1:8">
      <c r="A1698" s="10" t="s">
        <v>172</v>
      </c>
      <c r="B1698" s="19" t="s">
        <v>632</v>
      </c>
      <c r="C1698" s="16" t="s">
        <v>1841</v>
      </c>
      <c r="D1698" s="23">
        <v>40</v>
      </c>
      <c r="E1698" s="24">
        <v>0</v>
      </c>
      <c r="F1698" s="10" t="s">
        <v>172</v>
      </c>
      <c r="G1698" s="10" t="s">
        <v>172</v>
      </c>
      <c r="H1698" s="10" t="s">
        <v>172</v>
      </c>
    </row>
    <row r="1699" s="9" customFormat="1" ht="37" customHeight="1" spans="1:8">
      <c r="A1699" s="10" t="s">
        <v>172</v>
      </c>
      <c r="B1699" s="19" t="s">
        <v>1104</v>
      </c>
      <c r="C1699" s="20" t="s">
        <v>182</v>
      </c>
      <c r="D1699" s="21">
        <v>76</v>
      </c>
      <c r="E1699" s="22">
        <v>1348732.453383</v>
      </c>
      <c r="F1699" s="10" t="s">
        <v>172</v>
      </c>
      <c r="G1699" s="10" t="s">
        <v>172</v>
      </c>
      <c r="H1699" s="10" t="s">
        <v>172</v>
      </c>
    </row>
    <row r="1700" s="9" customFormat="1" ht="26" customHeight="1" spans="1:8">
      <c r="A1700" s="10" t="s">
        <v>172</v>
      </c>
      <c r="B1700" s="19" t="s">
        <v>1104</v>
      </c>
      <c r="C1700" s="20" t="s">
        <v>804</v>
      </c>
      <c r="D1700" s="21">
        <v>4</v>
      </c>
      <c r="E1700" s="22">
        <v>450450.315316</v>
      </c>
      <c r="F1700" s="10" t="s">
        <v>172</v>
      </c>
      <c r="G1700" s="10" t="s">
        <v>172</v>
      </c>
      <c r="H1700" s="10" t="s">
        <v>172</v>
      </c>
    </row>
    <row r="1701" s="9" customFormat="1" ht="17" customHeight="1" spans="1:8">
      <c r="A1701" s="10" t="s">
        <v>172</v>
      </c>
      <c r="B1701" s="19" t="s">
        <v>1104</v>
      </c>
      <c r="C1701" s="16" t="s">
        <v>1841</v>
      </c>
      <c r="D1701" s="23">
        <v>80</v>
      </c>
      <c r="E1701" s="24">
        <v>1799182.768699</v>
      </c>
      <c r="F1701" s="10" t="s">
        <v>172</v>
      </c>
      <c r="G1701" s="10" t="s">
        <v>172</v>
      </c>
      <c r="H1701" s="10" t="s">
        <v>172</v>
      </c>
    </row>
    <row r="1702" s="9" customFormat="1" ht="37" customHeight="1" spans="1:8">
      <c r="A1702" s="10" t="s">
        <v>172</v>
      </c>
      <c r="B1702" s="19" t="s">
        <v>920</v>
      </c>
      <c r="C1702" s="20" t="s">
        <v>182</v>
      </c>
      <c r="D1702" s="21">
        <v>36</v>
      </c>
      <c r="E1702" s="22">
        <v>1353153.153152</v>
      </c>
      <c r="F1702" s="10" t="s">
        <v>172</v>
      </c>
      <c r="G1702" s="10" t="s">
        <v>172</v>
      </c>
      <c r="H1702" s="10" t="s">
        <v>172</v>
      </c>
    </row>
    <row r="1703" s="9" customFormat="1" ht="26" customHeight="1" spans="1:8">
      <c r="A1703" s="10" t="s">
        <v>172</v>
      </c>
      <c r="B1703" s="19" t="s">
        <v>920</v>
      </c>
      <c r="C1703" s="20" t="s">
        <v>804</v>
      </c>
      <c r="D1703" s="21">
        <v>14</v>
      </c>
      <c r="E1703" s="22">
        <v>0</v>
      </c>
      <c r="F1703" s="10" t="s">
        <v>172</v>
      </c>
      <c r="G1703" s="10" t="s">
        <v>172</v>
      </c>
      <c r="H1703" s="10" t="s">
        <v>172</v>
      </c>
    </row>
    <row r="1704" s="9" customFormat="1" ht="17" customHeight="1" spans="1:8">
      <c r="A1704" s="10" t="s">
        <v>172</v>
      </c>
      <c r="B1704" s="19" t="s">
        <v>920</v>
      </c>
      <c r="C1704" s="16" t="s">
        <v>1841</v>
      </c>
      <c r="D1704" s="23">
        <v>50</v>
      </c>
      <c r="E1704" s="24">
        <v>1353153.153152</v>
      </c>
      <c r="F1704" s="10" t="s">
        <v>172</v>
      </c>
      <c r="G1704" s="10" t="s">
        <v>172</v>
      </c>
      <c r="H1704" s="10" t="s">
        <v>172</v>
      </c>
    </row>
    <row r="1705" s="9" customFormat="1" ht="37" customHeight="1" spans="1:8">
      <c r="A1705" s="10" t="s">
        <v>172</v>
      </c>
      <c r="B1705" s="19" t="s">
        <v>633</v>
      </c>
      <c r="C1705" s="20" t="s">
        <v>182</v>
      </c>
      <c r="D1705" s="21">
        <v>3</v>
      </c>
      <c r="E1705" s="22">
        <v>451626.606559</v>
      </c>
      <c r="F1705" s="10" t="s">
        <v>172</v>
      </c>
      <c r="G1705" s="10" t="s">
        <v>172</v>
      </c>
      <c r="H1705" s="10" t="s">
        <v>172</v>
      </c>
    </row>
    <row r="1706" s="9" customFormat="1" ht="26" customHeight="1" spans="1:8">
      <c r="A1706" s="10" t="s">
        <v>172</v>
      </c>
      <c r="B1706" s="19" t="s">
        <v>633</v>
      </c>
      <c r="C1706" s="20" t="s">
        <v>804</v>
      </c>
      <c r="D1706" s="21">
        <v>1</v>
      </c>
      <c r="E1706" s="22">
        <v>144361.228699</v>
      </c>
      <c r="F1706" s="10" t="s">
        <v>172</v>
      </c>
      <c r="G1706" s="10" t="s">
        <v>172</v>
      </c>
      <c r="H1706" s="10" t="s">
        <v>172</v>
      </c>
    </row>
    <row r="1707" s="9" customFormat="1" ht="17" customHeight="1" spans="1:8">
      <c r="A1707" s="10" t="s">
        <v>172</v>
      </c>
      <c r="B1707" s="19" t="s">
        <v>633</v>
      </c>
      <c r="C1707" s="16" t="s">
        <v>1841</v>
      </c>
      <c r="D1707" s="23">
        <v>4</v>
      </c>
      <c r="E1707" s="24">
        <v>595987.835258</v>
      </c>
      <c r="F1707" s="10" t="s">
        <v>172</v>
      </c>
      <c r="G1707" s="10" t="s">
        <v>172</v>
      </c>
      <c r="H1707" s="10" t="s">
        <v>172</v>
      </c>
    </row>
    <row r="1708" s="9" customFormat="1" ht="1" customHeight="1" spans="1:8">
      <c r="A1708" s="10" t="s">
        <v>172</v>
      </c>
      <c r="B1708" s="25"/>
      <c r="C1708" s="25"/>
      <c r="D1708" s="25"/>
      <c r="E1708" s="25"/>
      <c r="F1708" s="25"/>
      <c r="G1708" s="25"/>
      <c r="H1708" s="10" t="s">
        <v>172</v>
      </c>
    </row>
    <row r="1709" s="9" customFormat="1" ht="13" customHeight="1" spans="1:8">
      <c r="A1709" s="10" t="s">
        <v>172</v>
      </c>
      <c r="B1709" s="26"/>
      <c r="C1709" s="26"/>
      <c r="D1709" s="26"/>
      <c r="E1709" s="26"/>
      <c r="F1709" s="26"/>
      <c r="G1709" s="26"/>
      <c r="H1709" s="10" t="s">
        <v>172</v>
      </c>
    </row>
    <row r="1710" s="9" customFormat="1" ht="13" customHeight="1" spans="1:8">
      <c r="A1710" s="10" t="s">
        <v>172</v>
      </c>
      <c r="B1710" s="26"/>
      <c r="C1710" s="26"/>
      <c r="D1710" s="26"/>
      <c r="E1710" s="26"/>
      <c r="F1710" s="26"/>
      <c r="G1710" s="26"/>
      <c r="H1710" s="10" t="s">
        <v>172</v>
      </c>
    </row>
    <row r="1711" s="9" customFormat="1" ht="13" customHeight="1" spans="1:8">
      <c r="A1711" s="10" t="s">
        <v>172</v>
      </c>
      <c r="B1711" s="26"/>
      <c r="C1711" s="26"/>
      <c r="D1711" s="26"/>
      <c r="E1711" s="26"/>
      <c r="F1711" s="26"/>
      <c r="G1711" s="26"/>
      <c r="H1711" s="10" t="s">
        <v>172</v>
      </c>
    </row>
    <row r="1712" s="9" customFormat="1" ht="13" customHeight="1" spans="1:8">
      <c r="A1712" s="10" t="s">
        <v>172</v>
      </c>
      <c r="B1712" s="26"/>
      <c r="C1712" s="26"/>
      <c r="D1712" s="26"/>
      <c r="E1712" s="26"/>
      <c r="F1712" s="26"/>
      <c r="G1712" s="27" t="s">
        <v>1847</v>
      </c>
      <c r="H1712" s="10" t="s">
        <v>172</v>
      </c>
    </row>
    <row r="1713" s="9" customFormat="1" ht="17" customHeight="1" spans="1:8">
      <c r="A1713" s="10" t="s">
        <v>172</v>
      </c>
      <c r="B1713" s="11"/>
      <c r="C1713" s="11"/>
      <c r="D1713" s="11"/>
      <c r="E1713" s="11"/>
      <c r="F1713" s="11"/>
      <c r="G1713" s="11"/>
      <c r="H1713" s="10" t="s">
        <v>172</v>
      </c>
    </row>
    <row r="1714" s="9" customFormat="1" ht="23" customHeight="1" spans="1:8">
      <c r="A1714" s="10" t="s">
        <v>172</v>
      </c>
      <c r="B1714" s="12"/>
      <c r="C1714" s="12"/>
      <c r="D1714" s="12"/>
      <c r="E1714" s="12"/>
      <c r="F1714" s="12"/>
      <c r="G1714" s="12"/>
      <c r="H1714" s="10" t="s">
        <v>172</v>
      </c>
    </row>
    <row r="1715" s="9" customFormat="1" ht="16" customHeight="1" spans="1:8">
      <c r="A1715" s="10" t="s">
        <v>172</v>
      </c>
      <c r="B1715" s="13"/>
      <c r="C1715" s="13"/>
      <c r="D1715" s="13"/>
      <c r="E1715" s="13"/>
      <c r="F1715" s="13"/>
      <c r="G1715" s="13"/>
      <c r="H1715" s="10" t="s">
        <v>172</v>
      </c>
    </row>
    <row r="1716" s="9" customFormat="1" ht="12" customHeight="1" spans="1:8">
      <c r="A1716" s="10" t="s">
        <v>172</v>
      </c>
      <c r="B1716" s="14"/>
      <c r="C1716" s="14"/>
      <c r="D1716" s="14"/>
      <c r="E1716" s="14"/>
      <c r="F1716" s="14"/>
      <c r="G1716" s="14"/>
      <c r="H1716" s="10" t="s">
        <v>172</v>
      </c>
    </row>
    <row r="1717" s="9" customFormat="1" ht="17" customHeight="1" spans="1:8">
      <c r="A1717" s="10" t="s">
        <v>172</v>
      </c>
      <c r="B1717" s="15" t="s">
        <v>1836</v>
      </c>
      <c r="C1717" s="16" t="s">
        <v>1837</v>
      </c>
      <c r="D1717" s="17" t="s">
        <v>1838</v>
      </c>
      <c r="E1717" s="18" t="s">
        <v>1839</v>
      </c>
      <c r="F1717" s="10" t="s">
        <v>172</v>
      </c>
      <c r="G1717" s="10" t="s">
        <v>172</v>
      </c>
      <c r="H1717" s="10" t="s">
        <v>172</v>
      </c>
    </row>
    <row r="1718" s="9" customFormat="1" ht="37" customHeight="1" spans="1:8">
      <c r="A1718" s="10" t="s">
        <v>172</v>
      </c>
      <c r="B1718" s="19" t="s">
        <v>634</v>
      </c>
      <c r="C1718" s="20" t="s">
        <v>182</v>
      </c>
      <c r="D1718" s="21">
        <v>10</v>
      </c>
      <c r="E1718" s="22">
        <v>0</v>
      </c>
      <c r="F1718" s="10" t="s">
        <v>172</v>
      </c>
      <c r="G1718" s="10" t="s">
        <v>172</v>
      </c>
      <c r="H1718" s="10" t="s">
        <v>172</v>
      </c>
    </row>
    <row r="1719" s="9" customFormat="1" ht="26" customHeight="1" spans="1:8">
      <c r="A1719" s="10" t="s">
        <v>172</v>
      </c>
      <c r="B1719" s="19" t="s">
        <v>634</v>
      </c>
      <c r="C1719" s="20" t="s">
        <v>804</v>
      </c>
      <c r="D1719" s="21">
        <v>6</v>
      </c>
      <c r="E1719" s="22">
        <v>553694.108108</v>
      </c>
      <c r="F1719" s="10" t="s">
        <v>172</v>
      </c>
      <c r="G1719" s="10" t="s">
        <v>172</v>
      </c>
      <c r="H1719" s="10" t="s">
        <v>172</v>
      </c>
    </row>
    <row r="1720" s="9" customFormat="1" ht="17" customHeight="1" spans="1:8">
      <c r="A1720" s="10" t="s">
        <v>172</v>
      </c>
      <c r="B1720" s="19" t="s">
        <v>634</v>
      </c>
      <c r="C1720" s="16" t="s">
        <v>1841</v>
      </c>
      <c r="D1720" s="23">
        <v>16</v>
      </c>
      <c r="E1720" s="24">
        <v>553694.108108</v>
      </c>
      <c r="F1720" s="10" t="s">
        <v>172</v>
      </c>
      <c r="G1720" s="10" t="s">
        <v>172</v>
      </c>
      <c r="H1720" s="10" t="s">
        <v>172</v>
      </c>
    </row>
    <row r="1721" s="9" customFormat="1" ht="37" customHeight="1" spans="1:8">
      <c r="A1721" s="10" t="s">
        <v>172</v>
      </c>
      <c r="B1721" s="19" t="s">
        <v>921</v>
      </c>
      <c r="C1721" s="20" t="s">
        <v>182</v>
      </c>
      <c r="D1721" s="21">
        <v>30</v>
      </c>
      <c r="E1721" s="22">
        <v>2245045.504507</v>
      </c>
      <c r="F1721" s="10" t="s">
        <v>172</v>
      </c>
      <c r="G1721" s="10" t="s">
        <v>172</v>
      </c>
      <c r="H1721" s="10" t="s">
        <v>172</v>
      </c>
    </row>
    <row r="1722" s="9" customFormat="1" ht="26" customHeight="1" spans="1:8">
      <c r="A1722" s="10" t="s">
        <v>172</v>
      </c>
      <c r="B1722" s="19" t="s">
        <v>921</v>
      </c>
      <c r="C1722" s="20" t="s">
        <v>804</v>
      </c>
      <c r="D1722" s="21">
        <v>6</v>
      </c>
      <c r="E1722" s="22">
        <v>481081.08108</v>
      </c>
      <c r="F1722" s="10" t="s">
        <v>172</v>
      </c>
      <c r="G1722" s="10" t="s">
        <v>172</v>
      </c>
      <c r="H1722" s="10" t="s">
        <v>172</v>
      </c>
    </row>
    <row r="1723" s="9" customFormat="1" ht="17" customHeight="1" spans="1:8">
      <c r="A1723" s="10" t="s">
        <v>172</v>
      </c>
      <c r="B1723" s="19" t="s">
        <v>921</v>
      </c>
      <c r="C1723" s="16" t="s">
        <v>1841</v>
      </c>
      <c r="D1723" s="23">
        <v>36</v>
      </c>
      <c r="E1723" s="24">
        <v>2726126.585587</v>
      </c>
      <c r="F1723" s="10" t="s">
        <v>172</v>
      </c>
      <c r="G1723" s="10" t="s">
        <v>172</v>
      </c>
      <c r="H1723" s="10" t="s">
        <v>172</v>
      </c>
    </row>
    <row r="1724" s="9" customFormat="1" ht="37" customHeight="1" spans="1:8">
      <c r="A1724" s="10" t="s">
        <v>172</v>
      </c>
      <c r="B1724" s="19" t="s">
        <v>635</v>
      </c>
      <c r="C1724" s="20" t="s">
        <v>182</v>
      </c>
      <c r="D1724" s="21">
        <v>20</v>
      </c>
      <c r="E1724" s="22">
        <v>2061829.904367</v>
      </c>
      <c r="F1724" s="10" t="s">
        <v>172</v>
      </c>
      <c r="G1724" s="10" t="s">
        <v>172</v>
      </c>
      <c r="H1724" s="10" t="s">
        <v>172</v>
      </c>
    </row>
    <row r="1725" s="9" customFormat="1" ht="26" customHeight="1" spans="1:8">
      <c r="A1725" s="10" t="s">
        <v>172</v>
      </c>
      <c r="B1725" s="19" t="s">
        <v>635</v>
      </c>
      <c r="C1725" s="20" t="s">
        <v>804</v>
      </c>
      <c r="D1725" s="21">
        <v>24</v>
      </c>
      <c r="E1725" s="22">
        <v>2616216.216216</v>
      </c>
      <c r="F1725" s="10" t="s">
        <v>172</v>
      </c>
      <c r="G1725" s="10" t="s">
        <v>172</v>
      </c>
      <c r="H1725" s="10" t="s">
        <v>172</v>
      </c>
    </row>
    <row r="1726" s="9" customFormat="1" ht="17" customHeight="1" spans="1:8">
      <c r="A1726" s="10" t="s">
        <v>172</v>
      </c>
      <c r="B1726" s="19" t="s">
        <v>635</v>
      </c>
      <c r="C1726" s="16" t="s">
        <v>1841</v>
      </c>
      <c r="D1726" s="23">
        <v>44</v>
      </c>
      <c r="E1726" s="24">
        <v>4678046.120583</v>
      </c>
      <c r="F1726" s="10" t="s">
        <v>172</v>
      </c>
      <c r="G1726" s="10" t="s">
        <v>172</v>
      </c>
      <c r="H1726" s="10" t="s">
        <v>172</v>
      </c>
    </row>
    <row r="1727" s="9" customFormat="1" ht="37" customHeight="1" spans="1:8">
      <c r="A1727" s="10" t="s">
        <v>172</v>
      </c>
      <c r="B1727" s="19" t="s">
        <v>636</v>
      </c>
      <c r="C1727" s="20" t="s">
        <v>182</v>
      </c>
      <c r="D1727" s="21">
        <v>12</v>
      </c>
      <c r="E1727" s="22">
        <v>1030630</v>
      </c>
      <c r="F1727" s="10" t="s">
        <v>172</v>
      </c>
      <c r="G1727" s="10" t="s">
        <v>172</v>
      </c>
      <c r="H1727" s="10" t="s">
        <v>172</v>
      </c>
    </row>
    <row r="1728" s="9" customFormat="1" ht="17" customHeight="1" spans="1:8">
      <c r="A1728" s="10" t="s">
        <v>172</v>
      </c>
      <c r="B1728" s="19" t="s">
        <v>636</v>
      </c>
      <c r="C1728" s="16" t="s">
        <v>1841</v>
      </c>
      <c r="D1728" s="23">
        <v>12</v>
      </c>
      <c r="E1728" s="24">
        <v>1030630</v>
      </c>
      <c r="F1728" s="10" t="s">
        <v>172</v>
      </c>
      <c r="G1728" s="10" t="s">
        <v>172</v>
      </c>
      <c r="H1728" s="10" t="s">
        <v>172</v>
      </c>
    </row>
    <row r="1729" s="9" customFormat="1" ht="26" customHeight="1" spans="1:8">
      <c r="A1729" s="10" t="s">
        <v>172</v>
      </c>
      <c r="B1729" s="19" t="s">
        <v>389</v>
      </c>
      <c r="C1729" s="20" t="s">
        <v>804</v>
      </c>
      <c r="D1729" s="21">
        <v>39</v>
      </c>
      <c r="E1729" s="22">
        <v>0</v>
      </c>
      <c r="F1729" s="10" t="s">
        <v>172</v>
      </c>
      <c r="G1729" s="10" t="s">
        <v>172</v>
      </c>
      <c r="H1729" s="10" t="s">
        <v>172</v>
      </c>
    </row>
    <row r="1730" s="9" customFormat="1" ht="17" customHeight="1" spans="1:8">
      <c r="A1730" s="10" t="s">
        <v>172</v>
      </c>
      <c r="B1730" s="19" t="s">
        <v>389</v>
      </c>
      <c r="C1730" s="16" t="s">
        <v>1841</v>
      </c>
      <c r="D1730" s="23">
        <v>39</v>
      </c>
      <c r="E1730" s="24">
        <v>0</v>
      </c>
      <c r="F1730" s="10" t="s">
        <v>172</v>
      </c>
      <c r="G1730" s="10" t="s">
        <v>172</v>
      </c>
      <c r="H1730" s="10" t="s">
        <v>172</v>
      </c>
    </row>
    <row r="1731" s="9" customFormat="1" ht="1" customHeight="1" spans="1:8">
      <c r="A1731" s="10" t="s">
        <v>172</v>
      </c>
      <c r="B1731" s="25"/>
      <c r="C1731" s="25"/>
      <c r="D1731" s="25"/>
      <c r="E1731" s="25"/>
      <c r="F1731" s="25"/>
      <c r="G1731" s="25"/>
      <c r="H1731" s="10" t="s">
        <v>172</v>
      </c>
    </row>
    <row r="1732" s="9" customFormat="1" ht="13" customHeight="1" spans="1:8">
      <c r="A1732" s="10" t="s">
        <v>172</v>
      </c>
      <c r="B1732" s="26"/>
      <c r="C1732" s="26"/>
      <c r="D1732" s="26"/>
      <c r="E1732" s="26"/>
      <c r="F1732" s="26"/>
      <c r="G1732" s="26"/>
      <c r="H1732" s="10" t="s">
        <v>172</v>
      </c>
    </row>
    <row r="1733" s="9" customFormat="1" ht="13" customHeight="1" spans="1:8">
      <c r="A1733" s="10" t="s">
        <v>172</v>
      </c>
      <c r="B1733" s="26"/>
      <c r="C1733" s="26"/>
      <c r="D1733" s="26"/>
      <c r="E1733" s="26"/>
      <c r="F1733" s="26"/>
      <c r="G1733" s="26"/>
      <c r="H1733" s="10" t="s">
        <v>172</v>
      </c>
    </row>
    <row r="1734" s="9" customFormat="1" ht="13" customHeight="1" spans="1:8">
      <c r="A1734" s="10" t="s">
        <v>172</v>
      </c>
      <c r="B1734" s="26"/>
      <c r="C1734" s="26"/>
      <c r="D1734" s="26"/>
      <c r="E1734" s="26"/>
      <c r="F1734" s="26"/>
      <c r="G1734" s="26"/>
      <c r="H1734" s="10" t="s">
        <v>172</v>
      </c>
    </row>
    <row r="1735" s="9" customFormat="1" ht="13" customHeight="1" spans="1:8">
      <c r="A1735" s="10" t="s">
        <v>172</v>
      </c>
      <c r="B1735" s="26"/>
      <c r="C1735" s="26"/>
      <c r="D1735" s="26"/>
      <c r="E1735" s="26"/>
      <c r="F1735" s="26"/>
      <c r="G1735" s="27" t="s">
        <v>1847</v>
      </c>
      <c r="H1735" s="10" t="s">
        <v>172</v>
      </c>
    </row>
    <row r="1736" s="9" customFormat="1" ht="17" customHeight="1" spans="1:8">
      <c r="A1736" s="10" t="s">
        <v>172</v>
      </c>
      <c r="B1736" s="11"/>
      <c r="C1736" s="11"/>
      <c r="D1736" s="11"/>
      <c r="E1736" s="11"/>
      <c r="F1736" s="11"/>
      <c r="G1736" s="11"/>
      <c r="H1736" s="10" t="s">
        <v>172</v>
      </c>
    </row>
    <row r="1737" s="9" customFormat="1" ht="23" customHeight="1" spans="1:8">
      <c r="A1737" s="10" t="s">
        <v>172</v>
      </c>
      <c r="B1737" s="12"/>
      <c r="C1737" s="12"/>
      <c r="D1737" s="12"/>
      <c r="E1737" s="12"/>
      <c r="F1737" s="12"/>
      <c r="G1737" s="12"/>
      <c r="H1737" s="10" t="s">
        <v>172</v>
      </c>
    </row>
    <row r="1738" s="9" customFormat="1" ht="16" customHeight="1" spans="1:8">
      <c r="A1738" s="10" t="s">
        <v>172</v>
      </c>
      <c r="B1738" s="13"/>
      <c r="C1738" s="13"/>
      <c r="D1738" s="13"/>
      <c r="E1738" s="13"/>
      <c r="F1738" s="13"/>
      <c r="G1738" s="13"/>
      <c r="H1738" s="10" t="s">
        <v>172</v>
      </c>
    </row>
    <row r="1739" s="9" customFormat="1" ht="12" customHeight="1" spans="1:8">
      <c r="A1739" s="10" t="s">
        <v>172</v>
      </c>
      <c r="B1739" s="14"/>
      <c r="C1739" s="14"/>
      <c r="D1739" s="14"/>
      <c r="E1739" s="14"/>
      <c r="F1739" s="14"/>
      <c r="G1739" s="14"/>
      <c r="H1739" s="10" t="s">
        <v>172</v>
      </c>
    </row>
    <row r="1740" s="9" customFormat="1" ht="17" customHeight="1" spans="1:8">
      <c r="A1740" s="10" t="s">
        <v>172</v>
      </c>
      <c r="B1740" s="15" t="s">
        <v>1836</v>
      </c>
      <c r="C1740" s="16" t="s">
        <v>1837</v>
      </c>
      <c r="D1740" s="17" t="s">
        <v>1838</v>
      </c>
      <c r="E1740" s="18" t="s">
        <v>1839</v>
      </c>
      <c r="F1740" s="10" t="s">
        <v>172</v>
      </c>
      <c r="G1740" s="10" t="s">
        <v>172</v>
      </c>
      <c r="H1740" s="10" t="s">
        <v>172</v>
      </c>
    </row>
    <row r="1741" s="9" customFormat="1" ht="37" customHeight="1" spans="1:8">
      <c r="A1741" s="10" t="s">
        <v>172</v>
      </c>
      <c r="B1741" s="19" t="s">
        <v>1954</v>
      </c>
      <c r="C1741" s="20" t="s">
        <v>182</v>
      </c>
      <c r="D1741" s="21">
        <v>2</v>
      </c>
      <c r="E1741" s="22">
        <v>676000</v>
      </c>
      <c r="F1741" s="10" t="s">
        <v>172</v>
      </c>
      <c r="G1741" s="10" t="s">
        <v>172</v>
      </c>
      <c r="H1741" s="10" t="s">
        <v>172</v>
      </c>
    </row>
    <row r="1742" s="9" customFormat="1" ht="17" customHeight="1" spans="1:8">
      <c r="A1742" s="10" t="s">
        <v>172</v>
      </c>
      <c r="B1742" s="19" t="s">
        <v>1954</v>
      </c>
      <c r="C1742" s="16" t="s">
        <v>1841</v>
      </c>
      <c r="D1742" s="23">
        <v>2</v>
      </c>
      <c r="E1742" s="24">
        <v>676000</v>
      </c>
      <c r="F1742" s="10" t="s">
        <v>172</v>
      </c>
      <c r="G1742" s="10" t="s">
        <v>172</v>
      </c>
      <c r="H1742" s="10" t="s">
        <v>172</v>
      </c>
    </row>
    <row r="1743" s="9" customFormat="1" ht="26" customHeight="1" spans="1:8">
      <c r="A1743" s="10" t="s">
        <v>172</v>
      </c>
      <c r="B1743" s="19" t="s">
        <v>1955</v>
      </c>
      <c r="C1743" s="20" t="s">
        <v>804</v>
      </c>
      <c r="D1743" s="21">
        <v>2</v>
      </c>
      <c r="E1743" s="22">
        <v>3700000</v>
      </c>
      <c r="F1743" s="10" t="s">
        <v>172</v>
      </c>
      <c r="G1743" s="10" t="s">
        <v>172</v>
      </c>
      <c r="H1743" s="10" t="s">
        <v>172</v>
      </c>
    </row>
    <row r="1744" s="9" customFormat="1" ht="17" customHeight="1" spans="1:8">
      <c r="A1744" s="10" t="s">
        <v>172</v>
      </c>
      <c r="B1744" s="19" t="s">
        <v>1955</v>
      </c>
      <c r="C1744" s="16" t="s">
        <v>1841</v>
      </c>
      <c r="D1744" s="23">
        <v>2</v>
      </c>
      <c r="E1744" s="24">
        <v>3700000</v>
      </c>
      <c r="F1744" s="10" t="s">
        <v>172</v>
      </c>
      <c r="G1744" s="10" t="s">
        <v>172</v>
      </c>
      <c r="H1744" s="10" t="s">
        <v>172</v>
      </c>
    </row>
    <row r="1745" s="9" customFormat="1" ht="37" customHeight="1" spans="1:8">
      <c r="A1745" s="10" t="s">
        <v>172</v>
      </c>
      <c r="B1745" s="19" t="s">
        <v>1956</v>
      </c>
      <c r="C1745" s="20" t="s">
        <v>182</v>
      </c>
      <c r="D1745" s="21">
        <v>1</v>
      </c>
      <c r="E1745" s="22">
        <v>0</v>
      </c>
      <c r="F1745" s="10" t="s">
        <v>172</v>
      </c>
      <c r="G1745" s="10" t="s">
        <v>172</v>
      </c>
      <c r="H1745" s="10" t="s">
        <v>172</v>
      </c>
    </row>
    <row r="1746" s="9" customFormat="1" ht="17" customHeight="1" spans="1:8">
      <c r="A1746" s="10" t="s">
        <v>172</v>
      </c>
      <c r="B1746" s="19" t="s">
        <v>1956</v>
      </c>
      <c r="C1746" s="16" t="s">
        <v>1841</v>
      </c>
      <c r="D1746" s="23">
        <v>1</v>
      </c>
      <c r="E1746" s="24">
        <v>0</v>
      </c>
      <c r="F1746" s="10" t="s">
        <v>172</v>
      </c>
      <c r="G1746" s="10" t="s">
        <v>172</v>
      </c>
      <c r="H1746" s="10" t="s">
        <v>172</v>
      </c>
    </row>
    <row r="1747" s="9" customFormat="1" ht="37" customHeight="1" spans="1:8">
      <c r="A1747" s="10" t="s">
        <v>172</v>
      </c>
      <c r="B1747" s="19" t="s">
        <v>1957</v>
      </c>
      <c r="C1747" s="20" t="s">
        <v>182</v>
      </c>
      <c r="D1747" s="21">
        <v>1</v>
      </c>
      <c r="E1747" s="22">
        <v>240000</v>
      </c>
      <c r="F1747" s="10" t="s">
        <v>172</v>
      </c>
      <c r="G1747" s="10" t="s">
        <v>172</v>
      </c>
      <c r="H1747" s="10" t="s">
        <v>172</v>
      </c>
    </row>
    <row r="1748" s="9" customFormat="1" ht="17" customHeight="1" spans="1:8">
      <c r="A1748" s="10" t="s">
        <v>172</v>
      </c>
      <c r="B1748" s="19" t="s">
        <v>1957</v>
      </c>
      <c r="C1748" s="16" t="s">
        <v>1841</v>
      </c>
      <c r="D1748" s="23">
        <v>1</v>
      </c>
      <c r="E1748" s="24">
        <v>240000</v>
      </c>
      <c r="F1748" s="10" t="s">
        <v>172</v>
      </c>
      <c r="G1748" s="10" t="s">
        <v>172</v>
      </c>
      <c r="H1748" s="10" t="s">
        <v>172</v>
      </c>
    </row>
    <row r="1749" s="9" customFormat="1" ht="37" customHeight="1" spans="1:8">
      <c r="A1749" s="10" t="s">
        <v>172</v>
      </c>
      <c r="B1749" s="19" t="s">
        <v>1958</v>
      </c>
      <c r="C1749" s="20" t="s">
        <v>182</v>
      </c>
      <c r="D1749" s="21">
        <v>1</v>
      </c>
      <c r="E1749" s="22">
        <v>1100000</v>
      </c>
      <c r="F1749" s="10" t="s">
        <v>172</v>
      </c>
      <c r="G1749" s="10" t="s">
        <v>172</v>
      </c>
      <c r="H1749" s="10" t="s">
        <v>172</v>
      </c>
    </row>
    <row r="1750" s="9" customFormat="1" ht="17" customHeight="1" spans="1:8">
      <c r="A1750" s="10" t="s">
        <v>172</v>
      </c>
      <c r="B1750" s="19" t="s">
        <v>1958</v>
      </c>
      <c r="C1750" s="16" t="s">
        <v>1841</v>
      </c>
      <c r="D1750" s="23">
        <v>1</v>
      </c>
      <c r="E1750" s="24">
        <v>1100000</v>
      </c>
      <c r="F1750" s="10" t="s">
        <v>172</v>
      </c>
      <c r="G1750" s="10" t="s">
        <v>172</v>
      </c>
      <c r="H1750" s="10" t="s">
        <v>172</v>
      </c>
    </row>
    <row r="1751" s="9" customFormat="1" ht="26" customHeight="1" spans="1:8">
      <c r="A1751" s="10" t="s">
        <v>172</v>
      </c>
      <c r="B1751" s="19" t="s">
        <v>1959</v>
      </c>
      <c r="C1751" s="20" t="s">
        <v>804</v>
      </c>
      <c r="D1751" s="21">
        <v>1</v>
      </c>
      <c r="E1751" s="22">
        <v>247000</v>
      </c>
      <c r="F1751" s="10" t="s">
        <v>172</v>
      </c>
      <c r="G1751" s="10" t="s">
        <v>172</v>
      </c>
      <c r="H1751" s="10" t="s">
        <v>172</v>
      </c>
    </row>
    <row r="1752" s="9" customFormat="1" ht="17" customHeight="1" spans="1:8">
      <c r="A1752" s="10" t="s">
        <v>172</v>
      </c>
      <c r="B1752" s="19" t="s">
        <v>1959</v>
      </c>
      <c r="C1752" s="16" t="s">
        <v>1841</v>
      </c>
      <c r="D1752" s="23">
        <v>1</v>
      </c>
      <c r="E1752" s="24">
        <v>247000</v>
      </c>
      <c r="F1752" s="10" t="s">
        <v>172</v>
      </c>
      <c r="G1752" s="10" t="s">
        <v>172</v>
      </c>
      <c r="H1752" s="10" t="s">
        <v>172</v>
      </c>
    </row>
    <row r="1753" s="9" customFormat="1" ht="26" customHeight="1" spans="1:8">
      <c r="A1753" s="10" t="s">
        <v>172</v>
      </c>
      <c r="B1753" s="19" t="s">
        <v>1960</v>
      </c>
      <c r="C1753" s="20" t="s">
        <v>804</v>
      </c>
      <c r="D1753" s="21">
        <v>1</v>
      </c>
      <c r="E1753" s="22">
        <v>160000</v>
      </c>
      <c r="F1753" s="10" t="s">
        <v>172</v>
      </c>
      <c r="G1753" s="10" t="s">
        <v>172</v>
      </c>
      <c r="H1753" s="10" t="s">
        <v>172</v>
      </c>
    </row>
    <row r="1754" s="9" customFormat="1" ht="17" customHeight="1" spans="1:8">
      <c r="A1754" s="10" t="s">
        <v>172</v>
      </c>
      <c r="B1754" s="19" t="s">
        <v>1960</v>
      </c>
      <c r="C1754" s="16" t="s">
        <v>1841</v>
      </c>
      <c r="D1754" s="23">
        <v>1</v>
      </c>
      <c r="E1754" s="24">
        <v>160000</v>
      </c>
      <c r="F1754" s="10" t="s">
        <v>172</v>
      </c>
      <c r="G1754" s="10" t="s">
        <v>172</v>
      </c>
      <c r="H1754" s="10" t="s">
        <v>172</v>
      </c>
    </row>
    <row r="1755" s="9" customFormat="1" ht="1" customHeight="1" spans="1:8">
      <c r="A1755" s="10" t="s">
        <v>172</v>
      </c>
      <c r="B1755" s="25"/>
      <c r="C1755" s="25"/>
      <c r="D1755" s="25"/>
      <c r="E1755" s="25"/>
      <c r="F1755" s="25"/>
      <c r="G1755" s="25"/>
      <c r="H1755" s="10" t="s">
        <v>172</v>
      </c>
    </row>
    <row r="1756" s="9" customFormat="1" ht="13" customHeight="1" spans="1:8">
      <c r="A1756" s="10" t="s">
        <v>172</v>
      </c>
      <c r="B1756" s="26"/>
      <c r="C1756" s="26"/>
      <c r="D1756" s="26"/>
      <c r="E1756" s="26"/>
      <c r="F1756" s="26"/>
      <c r="G1756" s="26"/>
      <c r="H1756" s="10" t="s">
        <v>172</v>
      </c>
    </row>
    <row r="1757" s="9" customFormat="1" ht="13" customHeight="1" spans="1:8">
      <c r="A1757" s="10" t="s">
        <v>172</v>
      </c>
      <c r="B1757" s="26"/>
      <c r="C1757" s="26"/>
      <c r="D1757" s="26"/>
      <c r="E1757" s="26"/>
      <c r="F1757" s="26"/>
      <c r="G1757" s="26"/>
      <c r="H1757" s="10" t="s">
        <v>172</v>
      </c>
    </row>
    <row r="1758" s="9" customFormat="1" ht="13" customHeight="1" spans="1:8">
      <c r="A1758" s="10" t="s">
        <v>172</v>
      </c>
      <c r="B1758" s="26"/>
      <c r="C1758" s="26"/>
      <c r="D1758" s="26"/>
      <c r="E1758" s="26"/>
      <c r="F1758" s="26"/>
      <c r="G1758" s="26"/>
      <c r="H1758" s="10" t="s">
        <v>172</v>
      </c>
    </row>
    <row r="1759" s="9" customFormat="1" ht="13" customHeight="1" spans="1:8">
      <c r="A1759" s="10" t="s">
        <v>172</v>
      </c>
      <c r="B1759" s="26"/>
      <c r="C1759" s="26"/>
      <c r="D1759" s="26"/>
      <c r="E1759" s="26"/>
      <c r="F1759" s="26"/>
      <c r="G1759" s="27" t="s">
        <v>1847</v>
      </c>
      <c r="H1759" s="10" t="s">
        <v>172</v>
      </c>
    </row>
    <row r="1760" s="9" customFormat="1" ht="17" customHeight="1" spans="1:8">
      <c r="A1760" s="10" t="s">
        <v>172</v>
      </c>
      <c r="B1760" s="11"/>
      <c r="C1760" s="11"/>
      <c r="D1760" s="11"/>
      <c r="E1760" s="11"/>
      <c r="F1760" s="11"/>
      <c r="G1760" s="11"/>
      <c r="H1760" s="10" t="s">
        <v>172</v>
      </c>
    </row>
    <row r="1761" s="9" customFormat="1" ht="23" customHeight="1" spans="1:8">
      <c r="A1761" s="10" t="s">
        <v>172</v>
      </c>
      <c r="B1761" s="12"/>
      <c r="C1761" s="12"/>
      <c r="D1761" s="12"/>
      <c r="E1761" s="12"/>
      <c r="F1761" s="12"/>
      <c r="G1761" s="12"/>
      <c r="H1761" s="10" t="s">
        <v>172</v>
      </c>
    </row>
    <row r="1762" s="9" customFormat="1" ht="16" customHeight="1" spans="1:8">
      <c r="A1762" s="10" t="s">
        <v>172</v>
      </c>
      <c r="B1762" s="13"/>
      <c r="C1762" s="13"/>
      <c r="D1762" s="13"/>
      <c r="E1762" s="13"/>
      <c r="F1762" s="13"/>
      <c r="G1762" s="13"/>
      <c r="H1762" s="10" t="s">
        <v>172</v>
      </c>
    </row>
    <row r="1763" s="9" customFormat="1" ht="12" customHeight="1" spans="1:8">
      <c r="A1763" s="10" t="s">
        <v>172</v>
      </c>
      <c r="B1763" s="14"/>
      <c r="C1763" s="14"/>
      <c r="D1763" s="14"/>
      <c r="E1763" s="14"/>
      <c r="F1763" s="14"/>
      <c r="G1763" s="14"/>
      <c r="H1763" s="10" t="s">
        <v>172</v>
      </c>
    </row>
    <row r="1764" s="9" customFormat="1" ht="17" customHeight="1" spans="1:8">
      <c r="A1764" s="10" t="s">
        <v>172</v>
      </c>
      <c r="B1764" s="15" t="s">
        <v>1836</v>
      </c>
      <c r="C1764" s="16" t="s">
        <v>1837</v>
      </c>
      <c r="D1764" s="17" t="s">
        <v>1838</v>
      </c>
      <c r="E1764" s="18" t="s">
        <v>1839</v>
      </c>
      <c r="F1764" s="10" t="s">
        <v>172</v>
      </c>
      <c r="G1764" s="10" t="s">
        <v>172</v>
      </c>
      <c r="H1764" s="10" t="s">
        <v>172</v>
      </c>
    </row>
    <row r="1765" s="9" customFormat="1" ht="26" customHeight="1" spans="1:8">
      <c r="A1765" s="10" t="s">
        <v>172</v>
      </c>
      <c r="B1765" s="19" t="s">
        <v>1961</v>
      </c>
      <c r="C1765" s="20" t="s">
        <v>804</v>
      </c>
      <c r="D1765" s="21">
        <v>2</v>
      </c>
      <c r="E1765" s="22">
        <v>900000</v>
      </c>
      <c r="F1765" s="10" t="s">
        <v>172</v>
      </c>
      <c r="G1765" s="10" t="s">
        <v>172</v>
      </c>
      <c r="H1765" s="10" t="s">
        <v>172</v>
      </c>
    </row>
    <row r="1766" s="9" customFormat="1" ht="17" customHeight="1" spans="1:8">
      <c r="A1766" s="10" t="s">
        <v>172</v>
      </c>
      <c r="B1766" s="19" t="s">
        <v>1961</v>
      </c>
      <c r="C1766" s="16" t="s">
        <v>1841</v>
      </c>
      <c r="D1766" s="23">
        <v>2</v>
      </c>
      <c r="E1766" s="24">
        <v>900000</v>
      </c>
      <c r="F1766" s="10" t="s">
        <v>172</v>
      </c>
      <c r="G1766" s="10" t="s">
        <v>172</v>
      </c>
      <c r="H1766" s="10" t="s">
        <v>172</v>
      </c>
    </row>
    <row r="1767" s="9" customFormat="1" ht="26" customHeight="1" spans="1:8">
      <c r="A1767" s="10" t="s">
        <v>172</v>
      </c>
      <c r="B1767" s="19" t="s">
        <v>1962</v>
      </c>
      <c r="C1767" s="20" t="s">
        <v>804</v>
      </c>
      <c r="D1767" s="21">
        <v>1</v>
      </c>
      <c r="E1767" s="22">
        <v>465000</v>
      </c>
      <c r="F1767" s="10" t="s">
        <v>172</v>
      </c>
      <c r="G1767" s="10" t="s">
        <v>172</v>
      </c>
      <c r="H1767" s="10" t="s">
        <v>172</v>
      </c>
    </row>
    <row r="1768" s="9" customFormat="1" ht="17" customHeight="1" spans="1:8">
      <c r="A1768" s="10" t="s">
        <v>172</v>
      </c>
      <c r="B1768" s="19" t="s">
        <v>1962</v>
      </c>
      <c r="C1768" s="16" t="s">
        <v>1841</v>
      </c>
      <c r="D1768" s="23">
        <v>1</v>
      </c>
      <c r="E1768" s="24">
        <v>465000</v>
      </c>
      <c r="F1768" s="10" t="s">
        <v>172</v>
      </c>
      <c r="G1768" s="10" t="s">
        <v>172</v>
      </c>
      <c r="H1768" s="10" t="s">
        <v>172</v>
      </c>
    </row>
    <row r="1769" s="9" customFormat="1" ht="26" customHeight="1" spans="1:8">
      <c r="A1769" s="10" t="s">
        <v>172</v>
      </c>
      <c r="B1769" s="19" t="s">
        <v>1963</v>
      </c>
      <c r="C1769" s="20" t="s">
        <v>804</v>
      </c>
      <c r="D1769" s="21">
        <v>1</v>
      </c>
      <c r="E1769" s="22">
        <v>42000</v>
      </c>
      <c r="F1769" s="10" t="s">
        <v>172</v>
      </c>
      <c r="G1769" s="10" t="s">
        <v>172</v>
      </c>
      <c r="H1769" s="10" t="s">
        <v>172</v>
      </c>
    </row>
    <row r="1770" s="9" customFormat="1" ht="17" customHeight="1" spans="1:8">
      <c r="A1770" s="10" t="s">
        <v>172</v>
      </c>
      <c r="B1770" s="19" t="s">
        <v>1963</v>
      </c>
      <c r="C1770" s="16" t="s">
        <v>1841</v>
      </c>
      <c r="D1770" s="23">
        <v>1</v>
      </c>
      <c r="E1770" s="24">
        <v>42000</v>
      </c>
      <c r="F1770" s="10" t="s">
        <v>172</v>
      </c>
      <c r="G1770" s="10" t="s">
        <v>172</v>
      </c>
      <c r="H1770" s="10" t="s">
        <v>172</v>
      </c>
    </row>
    <row r="1771" s="9" customFormat="1" ht="26" customHeight="1" spans="1:8">
      <c r="A1771" s="10" t="s">
        <v>172</v>
      </c>
      <c r="B1771" s="19" t="s">
        <v>1964</v>
      </c>
      <c r="C1771" s="20" t="s">
        <v>804</v>
      </c>
      <c r="D1771" s="21">
        <v>1</v>
      </c>
      <c r="E1771" s="22">
        <v>112000</v>
      </c>
      <c r="F1771" s="10" t="s">
        <v>172</v>
      </c>
      <c r="G1771" s="10" t="s">
        <v>172</v>
      </c>
      <c r="H1771" s="10" t="s">
        <v>172</v>
      </c>
    </row>
    <row r="1772" s="9" customFormat="1" ht="17" customHeight="1" spans="1:8">
      <c r="A1772" s="10" t="s">
        <v>172</v>
      </c>
      <c r="B1772" s="19" t="s">
        <v>1964</v>
      </c>
      <c r="C1772" s="16" t="s">
        <v>1841</v>
      </c>
      <c r="D1772" s="23">
        <v>1</v>
      </c>
      <c r="E1772" s="24">
        <v>112000</v>
      </c>
      <c r="F1772" s="10" t="s">
        <v>172</v>
      </c>
      <c r="G1772" s="10" t="s">
        <v>172</v>
      </c>
      <c r="H1772" s="10" t="s">
        <v>172</v>
      </c>
    </row>
    <row r="1773" s="9" customFormat="1" ht="26" customHeight="1" spans="1:8">
      <c r="A1773" s="10" t="s">
        <v>172</v>
      </c>
      <c r="B1773" s="19" t="s">
        <v>1965</v>
      </c>
      <c r="C1773" s="20" t="s">
        <v>804</v>
      </c>
      <c r="D1773" s="21">
        <v>2</v>
      </c>
      <c r="E1773" s="22">
        <v>1292000</v>
      </c>
      <c r="F1773" s="10" t="s">
        <v>172</v>
      </c>
      <c r="G1773" s="10" t="s">
        <v>172</v>
      </c>
      <c r="H1773" s="10" t="s">
        <v>172</v>
      </c>
    </row>
    <row r="1774" s="9" customFormat="1" ht="17" customHeight="1" spans="1:8">
      <c r="A1774" s="10" t="s">
        <v>172</v>
      </c>
      <c r="B1774" s="19" t="s">
        <v>1965</v>
      </c>
      <c r="C1774" s="16" t="s">
        <v>1841</v>
      </c>
      <c r="D1774" s="23">
        <v>2</v>
      </c>
      <c r="E1774" s="24">
        <v>1292000</v>
      </c>
      <c r="F1774" s="10" t="s">
        <v>172</v>
      </c>
      <c r="G1774" s="10" t="s">
        <v>172</v>
      </c>
      <c r="H1774" s="10" t="s">
        <v>172</v>
      </c>
    </row>
    <row r="1775" s="9" customFormat="1" ht="26" customHeight="1" spans="1:8">
      <c r="A1775" s="10" t="s">
        <v>172</v>
      </c>
      <c r="B1775" s="19" t="s">
        <v>1966</v>
      </c>
      <c r="C1775" s="20" t="s">
        <v>804</v>
      </c>
      <c r="D1775" s="21">
        <v>1</v>
      </c>
      <c r="E1775" s="22">
        <v>450000</v>
      </c>
      <c r="F1775" s="10" t="s">
        <v>172</v>
      </c>
      <c r="G1775" s="10" t="s">
        <v>172</v>
      </c>
      <c r="H1775" s="10" t="s">
        <v>172</v>
      </c>
    </row>
    <row r="1776" s="9" customFormat="1" ht="17" customHeight="1" spans="1:8">
      <c r="A1776" s="10" t="s">
        <v>172</v>
      </c>
      <c r="B1776" s="19" t="s">
        <v>1966</v>
      </c>
      <c r="C1776" s="16" t="s">
        <v>1841</v>
      </c>
      <c r="D1776" s="23">
        <v>1</v>
      </c>
      <c r="E1776" s="24">
        <v>450000</v>
      </c>
      <c r="F1776" s="10" t="s">
        <v>172</v>
      </c>
      <c r="G1776" s="10" t="s">
        <v>172</v>
      </c>
      <c r="H1776" s="10" t="s">
        <v>172</v>
      </c>
    </row>
    <row r="1777" s="9" customFormat="1" ht="37" customHeight="1" spans="1:8">
      <c r="A1777" s="10" t="s">
        <v>172</v>
      </c>
      <c r="B1777" s="19" t="s">
        <v>1967</v>
      </c>
      <c r="C1777" s="20" t="s">
        <v>182</v>
      </c>
      <c r="D1777" s="21">
        <v>1</v>
      </c>
      <c r="E1777" s="22">
        <v>490000</v>
      </c>
      <c r="F1777" s="10" t="s">
        <v>172</v>
      </c>
      <c r="G1777" s="10" t="s">
        <v>172</v>
      </c>
      <c r="H1777" s="10" t="s">
        <v>172</v>
      </c>
    </row>
    <row r="1778" s="9" customFormat="1" ht="17" customHeight="1" spans="1:8">
      <c r="A1778" s="10" t="s">
        <v>172</v>
      </c>
      <c r="B1778" s="19" t="s">
        <v>1967</v>
      </c>
      <c r="C1778" s="16" t="s">
        <v>1841</v>
      </c>
      <c r="D1778" s="23">
        <v>1</v>
      </c>
      <c r="E1778" s="24">
        <v>490000</v>
      </c>
      <c r="F1778" s="10" t="s">
        <v>172</v>
      </c>
      <c r="G1778" s="10" t="s">
        <v>172</v>
      </c>
      <c r="H1778" s="10" t="s">
        <v>172</v>
      </c>
    </row>
    <row r="1779" s="9" customFormat="1" ht="37" customHeight="1" spans="1:8">
      <c r="A1779" s="10" t="s">
        <v>172</v>
      </c>
      <c r="B1779" s="19" t="s">
        <v>1968</v>
      </c>
      <c r="C1779" s="20" t="s">
        <v>182</v>
      </c>
      <c r="D1779" s="21">
        <v>1</v>
      </c>
      <c r="E1779" s="22">
        <v>341500</v>
      </c>
      <c r="F1779" s="10" t="s">
        <v>172</v>
      </c>
      <c r="G1779" s="10" t="s">
        <v>172</v>
      </c>
      <c r="H1779" s="10" t="s">
        <v>172</v>
      </c>
    </row>
    <row r="1780" s="9" customFormat="1" ht="17" customHeight="1" spans="1:8">
      <c r="A1780" s="10" t="s">
        <v>172</v>
      </c>
      <c r="B1780" s="19" t="s">
        <v>1968</v>
      </c>
      <c r="C1780" s="16" t="s">
        <v>1841</v>
      </c>
      <c r="D1780" s="23">
        <v>1</v>
      </c>
      <c r="E1780" s="24">
        <v>341500</v>
      </c>
      <c r="F1780" s="10" t="s">
        <v>172</v>
      </c>
      <c r="G1780" s="10" t="s">
        <v>172</v>
      </c>
      <c r="H1780" s="10" t="s">
        <v>172</v>
      </c>
    </row>
    <row r="1781" s="9" customFormat="1" ht="1" customHeight="1" spans="1:8">
      <c r="A1781" s="10" t="s">
        <v>172</v>
      </c>
      <c r="B1781" s="25"/>
      <c r="C1781" s="25"/>
      <c r="D1781" s="25"/>
      <c r="E1781" s="25"/>
      <c r="F1781" s="25"/>
      <c r="G1781" s="25"/>
      <c r="H1781" s="10" t="s">
        <v>172</v>
      </c>
    </row>
    <row r="1782" s="9" customFormat="1" ht="13" customHeight="1" spans="1:8">
      <c r="A1782" s="10" t="s">
        <v>172</v>
      </c>
      <c r="B1782" s="26"/>
      <c r="C1782" s="26"/>
      <c r="D1782" s="26"/>
      <c r="E1782" s="26"/>
      <c r="F1782" s="26"/>
      <c r="G1782" s="26"/>
      <c r="H1782" s="10" t="s">
        <v>172</v>
      </c>
    </row>
    <row r="1783" s="9" customFormat="1" ht="13" customHeight="1" spans="1:8">
      <c r="A1783" s="10" t="s">
        <v>172</v>
      </c>
      <c r="B1783" s="26"/>
      <c r="C1783" s="26"/>
      <c r="D1783" s="26"/>
      <c r="E1783" s="26"/>
      <c r="F1783" s="26"/>
      <c r="G1783" s="26"/>
      <c r="H1783" s="10" t="s">
        <v>172</v>
      </c>
    </row>
    <row r="1784" s="9" customFormat="1" ht="13" customHeight="1" spans="1:8">
      <c r="A1784" s="10" t="s">
        <v>172</v>
      </c>
      <c r="B1784" s="26"/>
      <c r="C1784" s="26"/>
      <c r="D1784" s="26"/>
      <c r="E1784" s="26"/>
      <c r="F1784" s="26"/>
      <c r="G1784" s="26"/>
      <c r="H1784" s="10" t="s">
        <v>172</v>
      </c>
    </row>
    <row r="1785" s="9" customFormat="1" ht="13" customHeight="1" spans="1:8">
      <c r="A1785" s="10" t="s">
        <v>172</v>
      </c>
      <c r="B1785" s="26"/>
      <c r="C1785" s="26"/>
      <c r="D1785" s="26"/>
      <c r="E1785" s="26"/>
      <c r="F1785" s="26"/>
      <c r="G1785" s="27" t="s">
        <v>1847</v>
      </c>
      <c r="H1785" s="10" t="s">
        <v>172</v>
      </c>
    </row>
    <row r="1786" s="9" customFormat="1" ht="17" customHeight="1" spans="1:8">
      <c r="A1786" s="10" t="s">
        <v>172</v>
      </c>
      <c r="B1786" s="11"/>
      <c r="C1786" s="11"/>
      <c r="D1786" s="11"/>
      <c r="E1786" s="11"/>
      <c r="F1786" s="11"/>
      <c r="G1786" s="11"/>
      <c r="H1786" s="10" t="s">
        <v>172</v>
      </c>
    </row>
    <row r="1787" s="9" customFormat="1" ht="23" customHeight="1" spans="1:8">
      <c r="A1787" s="10" t="s">
        <v>172</v>
      </c>
      <c r="B1787" s="12"/>
      <c r="C1787" s="12"/>
      <c r="D1787" s="12"/>
      <c r="E1787" s="12"/>
      <c r="F1787" s="12"/>
      <c r="G1787" s="12"/>
      <c r="H1787" s="10" t="s">
        <v>172</v>
      </c>
    </row>
    <row r="1788" s="9" customFormat="1" ht="16" customHeight="1" spans="1:8">
      <c r="A1788" s="10" t="s">
        <v>172</v>
      </c>
      <c r="B1788" s="13"/>
      <c r="C1788" s="13"/>
      <c r="D1788" s="13"/>
      <c r="E1788" s="13"/>
      <c r="F1788" s="13"/>
      <c r="G1788" s="13"/>
      <c r="H1788" s="10" t="s">
        <v>172</v>
      </c>
    </row>
    <row r="1789" s="9" customFormat="1" ht="12" customHeight="1" spans="1:8">
      <c r="A1789" s="10" t="s">
        <v>172</v>
      </c>
      <c r="B1789" s="14"/>
      <c r="C1789" s="14"/>
      <c r="D1789" s="14"/>
      <c r="E1789" s="14"/>
      <c r="F1789" s="14"/>
      <c r="G1789" s="14"/>
      <c r="H1789" s="10" t="s">
        <v>172</v>
      </c>
    </row>
    <row r="1790" s="9" customFormat="1" ht="17" customHeight="1" spans="1:8">
      <c r="A1790" s="10" t="s">
        <v>172</v>
      </c>
      <c r="B1790" s="15" t="s">
        <v>1836</v>
      </c>
      <c r="C1790" s="16" t="s">
        <v>1837</v>
      </c>
      <c r="D1790" s="17" t="s">
        <v>1838</v>
      </c>
      <c r="E1790" s="18" t="s">
        <v>1839</v>
      </c>
      <c r="F1790" s="10" t="s">
        <v>172</v>
      </c>
      <c r="G1790" s="10" t="s">
        <v>172</v>
      </c>
      <c r="H1790" s="10" t="s">
        <v>172</v>
      </c>
    </row>
    <row r="1791" s="9" customFormat="1" ht="37" customHeight="1" spans="1:8">
      <c r="A1791" s="10" t="s">
        <v>172</v>
      </c>
      <c r="B1791" s="19" t="s">
        <v>1969</v>
      </c>
      <c r="C1791" s="20" t="s">
        <v>182</v>
      </c>
      <c r="D1791" s="21">
        <v>1</v>
      </c>
      <c r="E1791" s="22">
        <v>0</v>
      </c>
      <c r="F1791" s="10" t="s">
        <v>172</v>
      </c>
      <c r="G1791" s="10" t="s">
        <v>172</v>
      </c>
      <c r="H1791" s="10" t="s">
        <v>172</v>
      </c>
    </row>
    <row r="1792" s="9" customFormat="1" ht="17" customHeight="1" spans="1:8">
      <c r="A1792" s="10" t="s">
        <v>172</v>
      </c>
      <c r="B1792" s="19" t="s">
        <v>1969</v>
      </c>
      <c r="C1792" s="16" t="s">
        <v>1841</v>
      </c>
      <c r="D1792" s="23">
        <v>1</v>
      </c>
      <c r="E1792" s="24">
        <v>0</v>
      </c>
      <c r="F1792" s="10" t="s">
        <v>172</v>
      </c>
      <c r="G1792" s="10" t="s">
        <v>172</v>
      </c>
      <c r="H1792" s="10" t="s">
        <v>172</v>
      </c>
    </row>
    <row r="1793" s="9" customFormat="1" ht="37" customHeight="1" spans="1:8">
      <c r="A1793" s="10" t="s">
        <v>172</v>
      </c>
      <c r="B1793" s="19" t="s">
        <v>1970</v>
      </c>
      <c r="C1793" s="20" t="s">
        <v>182</v>
      </c>
      <c r="D1793" s="21">
        <v>1</v>
      </c>
      <c r="E1793" s="22">
        <v>300000</v>
      </c>
      <c r="F1793" s="10" t="s">
        <v>172</v>
      </c>
      <c r="G1793" s="10" t="s">
        <v>172</v>
      </c>
      <c r="H1793" s="10" t="s">
        <v>172</v>
      </c>
    </row>
    <row r="1794" s="9" customFormat="1" ht="17" customHeight="1" spans="1:8">
      <c r="A1794" s="10" t="s">
        <v>172</v>
      </c>
      <c r="B1794" s="19" t="s">
        <v>1970</v>
      </c>
      <c r="C1794" s="16" t="s">
        <v>1841</v>
      </c>
      <c r="D1794" s="23">
        <v>1</v>
      </c>
      <c r="E1794" s="24">
        <v>300000</v>
      </c>
      <c r="F1794" s="10" t="s">
        <v>172</v>
      </c>
      <c r="G1794" s="10" t="s">
        <v>172</v>
      </c>
      <c r="H1794" s="10" t="s">
        <v>172</v>
      </c>
    </row>
    <row r="1795" s="9" customFormat="1" ht="37" customHeight="1" spans="1:8">
      <c r="A1795" s="10" t="s">
        <v>172</v>
      </c>
      <c r="B1795" s="19" t="s">
        <v>1971</v>
      </c>
      <c r="C1795" s="20" t="s">
        <v>182</v>
      </c>
      <c r="D1795" s="21">
        <v>1</v>
      </c>
      <c r="E1795" s="22">
        <v>450000</v>
      </c>
      <c r="F1795" s="10" t="s">
        <v>172</v>
      </c>
      <c r="G1795" s="10" t="s">
        <v>172</v>
      </c>
      <c r="H1795" s="10" t="s">
        <v>172</v>
      </c>
    </row>
    <row r="1796" s="9" customFormat="1" ht="17" customHeight="1" spans="1:8">
      <c r="A1796" s="10" t="s">
        <v>172</v>
      </c>
      <c r="B1796" s="19" t="s">
        <v>1971</v>
      </c>
      <c r="C1796" s="16" t="s">
        <v>1841</v>
      </c>
      <c r="D1796" s="23">
        <v>1</v>
      </c>
      <c r="E1796" s="24">
        <v>450000</v>
      </c>
      <c r="F1796" s="10" t="s">
        <v>172</v>
      </c>
      <c r="G1796" s="10" t="s">
        <v>172</v>
      </c>
      <c r="H1796" s="10" t="s">
        <v>172</v>
      </c>
    </row>
    <row r="1797" s="9" customFormat="1" ht="37" customHeight="1" spans="1:8">
      <c r="A1797" s="10" t="s">
        <v>172</v>
      </c>
      <c r="B1797" s="19" t="s">
        <v>1120</v>
      </c>
      <c r="C1797" s="20" t="s">
        <v>182</v>
      </c>
      <c r="D1797" s="21">
        <v>1</v>
      </c>
      <c r="E1797" s="22">
        <v>58000</v>
      </c>
      <c r="F1797" s="10" t="s">
        <v>172</v>
      </c>
      <c r="G1797" s="10" t="s">
        <v>172</v>
      </c>
      <c r="H1797" s="10" t="s">
        <v>172</v>
      </c>
    </row>
    <row r="1798" s="9" customFormat="1" ht="17" customHeight="1" spans="1:8">
      <c r="A1798" s="10" t="s">
        <v>172</v>
      </c>
      <c r="B1798" s="19" t="s">
        <v>1120</v>
      </c>
      <c r="C1798" s="16" t="s">
        <v>1841</v>
      </c>
      <c r="D1798" s="23">
        <v>1</v>
      </c>
      <c r="E1798" s="24">
        <v>58000</v>
      </c>
      <c r="F1798" s="10" t="s">
        <v>172</v>
      </c>
      <c r="G1798" s="10" t="s">
        <v>172</v>
      </c>
      <c r="H1798" s="10" t="s">
        <v>172</v>
      </c>
    </row>
    <row r="1799" s="9" customFormat="1" ht="37" customHeight="1" spans="1:8">
      <c r="A1799" s="10" t="s">
        <v>172</v>
      </c>
      <c r="B1799" s="19" t="s">
        <v>1972</v>
      </c>
      <c r="C1799" s="20" t="s">
        <v>182</v>
      </c>
      <c r="D1799" s="21">
        <v>1</v>
      </c>
      <c r="E1799" s="22">
        <v>500000</v>
      </c>
      <c r="F1799" s="10" t="s">
        <v>172</v>
      </c>
      <c r="G1799" s="10" t="s">
        <v>172</v>
      </c>
      <c r="H1799" s="10" t="s">
        <v>172</v>
      </c>
    </row>
    <row r="1800" s="9" customFormat="1" ht="17" customHeight="1" spans="1:8">
      <c r="A1800" s="10" t="s">
        <v>172</v>
      </c>
      <c r="B1800" s="19" t="s">
        <v>1972</v>
      </c>
      <c r="C1800" s="16" t="s">
        <v>1841</v>
      </c>
      <c r="D1800" s="23">
        <v>1</v>
      </c>
      <c r="E1800" s="24">
        <v>500000</v>
      </c>
      <c r="F1800" s="10" t="s">
        <v>172</v>
      </c>
      <c r="G1800" s="10" t="s">
        <v>172</v>
      </c>
      <c r="H1800" s="10" t="s">
        <v>172</v>
      </c>
    </row>
    <row r="1801" s="9" customFormat="1" ht="37" customHeight="1" spans="1:8">
      <c r="A1801" s="10" t="s">
        <v>172</v>
      </c>
      <c r="B1801" s="19" t="s">
        <v>1973</v>
      </c>
      <c r="C1801" s="20" t="s">
        <v>182</v>
      </c>
      <c r="D1801" s="21">
        <v>1</v>
      </c>
      <c r="E1801" s="22">
        <v>700000</v>
      </c>
      <c r="F1801" s="10" t="s">
        <v>172</v>
      </c>
      <c r="G1801" s="10" t="s">
        <v>172</v>
      </c>
      <c r="H1801" s="10" t="s">
        <v>172</v>
      </c>
    </row>
    <row r="1802" s="9" customFormat="1" ht="17" customHeight="1" spans="1:8">
      <c r="A1802" s="10" t="s">
        <v>172</v>
      </c>
      <c r="B1802" s="19" t="s">
        <v>1973</v>
      </c>
      <c r="C1802" s="16" t="s">
        <v>1841</v>
      </c>
      <c r="D1802" s="23">
        <v>1</v>
      </c>
      <c r="E1802" s="24">
        <v>700000</v>
      </c>
      <c r="F1802" s="10" t="s">
        <v>172</v>
      </c>
      <c r="G1802" s="10" t="s">
        <v>172</v>
      </c>
      <c r="H1802" s="10" t="s">
        <v>172</v>
      </c>
    </row>
    <row r="1803" s="9" customFormat="1" ht="37" customHeight="1" spans="1:8">
      <c r="A1803" s="10" t="s">
        <v>172</v>
      </c>
      <c r="B1803" s="20" t="s">
        <v>646</v>
      </c>
      <c r="C1803" s="20" t="s">
        <v>182</v>
      </c>
      <c r="D1803" s="21">
        <v>2</v>
      </c>
      <c r="E1803" s="22">
        <v>0</v>
      </c>
      <c r="F1803" s="10" t="s">
        <v>172</v>
      </c>
      <c r="G1803" s="10" t="s">
        <v>172</v>
      </c>
      <c r="H1803" s="10" t="s">
        <v>172</v>
      </c>
    </row>
    <row r="1804" s="9" customFormat="1" ht="1" customHeight="1" spans="1:8">
      <c r="A1804" s="10" t="s">
        <v>172</v>
      </c>
      <c r="B1804" s="25"/>
      <c r="C1804" s="25"/>
      <c r="D1804" s="25"/>
      <c r="E1804" s="25"/>
      <c r="F1804" s="25"/>
      <c r="G1804" s="25"/>
      <c r="H1804" s="10" t="s">
        <v>172</v>
      </c>
    </row>
    <row r="1805" s="9" customFormat="1" ht="13" customHeight="1" spans="1:8">
      <c r="A1805" s="10" t="s">
        <v>172</v>
      </c>
      <c r="B1805" s="26"/>
      <c r="C1805" s="26"/>
      <c r="D1805" s="26"/>
      <c r="E1805" s="26"/>
      <c r="F1805" s="26"/>
      <c r="G1805" s="26"/>
      <c r="H1805" s="10" t="s">
        <v>172</v>
      </c>
    </row>
    <row r="1806" s="9" customFormat="1" ht="13" customHeight="1" spans="1:8">
      <c r="A1806" s="10" t="s">
        <v>172</v>
      </c>
      <c r="B1806" s="26"/>
      <c r="C1806" s="26"/>
      <c r="D1806" s="26"/>
      <c r="E1806" s="26"/>
      <c r="F1806" s="26"/>
      <c r="G1806" s="26"/>
      <c r="H1806" s="10" t="s">
        <v>172</v>
      </c>
    </row>
    <row r="1807" s="9" customFormat="1" ht="13" customHeight="1" spans="1:8">
      <c r="A1807" s="10" t="s">
        <v>172</v>
      </c>
      <c r="B1807" s="26"/>
      <c r="C1807" s="26"/>
      <c r="D1807" s="26"/>
      <c r="E1807" s="26"/>
      <c r="F1807" s="26"/>
      <c r="G1807" s="26"/>
      <c r="H1807" s="10" t="s">
        <v>172</v>
      </c>
    </row>
    <row r="1808" s="9" customFormat="1" ht="13" customHeight="1" spans="1:8">
      <c r="A1808" s="10" t="s">
        <v>172</v>
      </c>
      <c r="B1808" s="26"/>
      <c r="C1808" s="26"/>
      <c r="D1808" s="26"/>
      <c r="E1808" s="26"/>
      <c r="F1808" s="26"/>
      <c r="G1808" s="27" t="s">
        <v>1847</v>
      </c>
      <c r="H1808" s="10" t="s">
        <v>172</v>
      </c>
    </row>
    <row r="1809" s="9" customFormat="1" ht="17" customHeight="1" spans="1:8">
      <c r="A1809" s="10" t="s">
        <v>172</v>
      </c>
      <c r="B1809" s="11"/>
      <c r="C1809" s="11"/>
      <c r="D1809" s="11"/>
      <c r="E1809" s="11"/>
      <c r="F1809" s="11"/>
      <c r="G1809" s="11"/>
      <c r="H1809" s="10" t="s">
        <v>172</v>
      </c>
    </row>
    <row r="1810" s="9" customFormat="1" ht="23" customHeight="1" spans="1:8">
      <c r="A1810" s="10" t="s">
        <v>172</v>
      </c>
      <c r="B1810" s="12"/>
      <c r="C1810" s="12"/>
      <c r="D1810" s="12"/>
      <c r="E1810" s="12"/>
      <c r="F1810" s="12"/>
      <c r="G1810" s="12"/>
      <c r="H1810" s="10" t="s">
        <v>172</v>
      </c>
    </row>
    <row r="1811" s="9" customFormat="1" ht="16" customHeight="1" spans="1:8">
      <c r="A1811" s="10" t="s">
        <v>172</v>
      </c>
      <c r="B1811" s="13"/>
      <c r="C1811" s="13"/>
      <c r="D1811" s="13"/>
      <c r="E1811" s="13"/>
      <c r="F1811" s="13"/>
      <c r="G1811" s="13"/>
      <c r="H1811" s="10" t="s">
        <v>172</v>
      </c>
    </row>
    <row r="1812" s="9" customFormat="1" ht="12" customHeight="1" spans="1:8">
      <c r="A1812" s="10" t="s">
        <v>172</v>
      </c>
      <c r="B1812" s="14"/>
      <c r="C1812" s="14"/>
      <c r="D1812" s="14"/>
      <c r="E1812" s="14"/>
      <c r="F1812" s="14"/>
      <c r="G1812" s="14"/>
      <c r="H1812" s="10" t="s">
        <v>172</v>
      </c>
    </row>
    <row r="1813" s="9" customFormat="1" ht="17" customHeight="1" spans="1:8">
      <c r="A1813" s="10" t="s">
        <v>172</v>
      </c>
      <c r="B1813" s="15" t="s">
        <v>1836</v>
      </c>
      <c r="C1813" s="16" t="s">
        <v>1837</v>
      </c>
      <c r="D1813" s="17" t="s">
        <v>1838</v>
      </c>
      <c r="E1813" s="18" t="s">
        <v>1839</v>
      </c>
      <c r="F1813" s="10" t="s">
        <v>172</v>
      </c>
      <c r="G1813" s="10" t="s">
        <v>172</v>
      </c>
      <c r="H1813" s="10" t="s">
        <v>172</v>
      </c>
    </row>
    <row r="1814" s="9" customFormat="1" ht="26" customHeight="1" spans="1:8">
      <c r="A1814" s="10" t="s">
        <v>172</v>
      </c>
      <c r="B1814" s="19" t="s">
        <v>646</v>
      </c>
      <c r="C1814" s="20" t="s">
        <v>804</v>
      </c>
      <c r="D1814" s="21">
        <v>7</v>
      </c>
      <c r="E1814" s="22">
        <v>472072.07207</v>
      </c>
      <c r="F1814" s="10" t="s">
        <v>172</v>
      </c>
      <c r="G1814" s="10" t="s">
        <v>172</v>
      </c>
      <c r="H1814" s="10" t="s">
        <v>172</v>
      </c>
    </row>
    <row r="1815" s="9" customFormat="1" ht="17" customHeight="1" spans="1:8">
      <c r="A1815" s="10" t="s">
        <v>172</v>
      </c>
      <c r="B1815" s="19" t="s">
        <v>646</v>
      </c>
      <c r="C1815" s="16" t="s">
        <v>1841</v>
      </c>
      <c r="D1815" s="23">
        <v>9</v>
      </c>
      <c r="E1815" s="24">
        <v>472072.07207</v>
      </c>
      <c r="F1815" s="10" t="s">
        <v>172</v>
      </c>
      <c r="G1815" s="10" t="s">
        <v>172</v>
      </c>
      <c r="H1815" s="10" t="s">
        <v>172</v>
      </c>
    </row>
    <row r="1816" s="9" customFormat="1" ht="37" customHeight="1" spans="1:8">
      <c r="A1816" s="10" t="s">
        <v>172</v>
      </c>
      <c r="B1816" s="19" t="s">
        <v>769</v>
      </c>
      <c r="C1816" s="20" t="s">
        <v>182</v>
      </c>
      <c r="D1816" s="21">
        <v>1</v>
      </c>
      <c r="E1816" s="22">
        <v>0</v>
      </c>
      <c r="F1816" s="10" t="s">
        <v>172</v>
      </c>
      <c r="G1816" s="10" t="s">
        <v>172</v>
      </c>
      <c r="H1816" s="10" t="s">
        <v>172</v>
      </c>
    </row>
    <row r="1817" s="9" customFormat="1" ht="26" customHeight="1" spans="1:8">
      <c r="A1817" s="10" t="s">
        <v>172</v>
      </c>
      <c r="B1817" s="19" t="s">
        <v>769</v>
      </c>
      <c r="C1817" s="20" t="s">
        <v>804</v>
      </c>
      <c r="D1817" s="21">
        <v>3</v>
      </c>
      <c r="E1817" s="22">
        <v>215315.315316</v>
      </c>
      <c r="F1817" s="10" t="s">
        <v>172</v>
      </c>
      <c r="G1817" s="10" t="s">
        <v>172</v>
      </c>
      <c r="H1817" s="10" t="s">
        <v>172</v>
      </c>
    </row>
    <row r="1818" s="9" customFormat="1" ht="17" customHeight="1" spans="1:8">
      <c r="A1818" s="10" t="s">
        <v>172</v>
      </c>
      <c r="B1818" s="19" t="s">
        <v>769</v>
      </c>
      <c r="C1818" s="16" t="s">
        <v>1841</v>
      </c>
      <c r="D1818" s="23">
        <v>4</v>
      </c>
      <c r="E1818" s="24">
        <v>215315.315316</v>
      </c>
      <c r="F1818" s="10" t="s">
        <v>172</v>
      </c>
      <c r="G1818" s="10" t="s">
        <v>172</v>
      </c>
      <c r="H1818" s="10" t="s">
        <v>172</v>
      </c>
    </row>
    <row r="1819" s="9" customFormat="1" ht="37" customHeight="1" spans="1:8">
      <c r="A1819" s="10" t="s">
        <v>172</v>
      </c>
      <c r="B1819" s="19" t="s">
        <v>931</v>
      </c>
      <c r="C1819" s="20" t="s">
        <v>182</v>
      </c>
      <c r="D1819" s="21">
        <v>5</v>
      </c>
      <c r="E1819" s="22">
        <v>0</v>
      </c>
      <c r="F1819" s="10" t="s">
        <v>172</v>
      </c>
      <c r="G1819" s="10" t="s">
        <v>172</v>
      </c>
      <c r="H1819" s="10" t="s">
        <v>172</v>
      </c>
    </row>
    <row r="1820" s="9" customFormat="1" ht="17" customHeight="1" spans="1:8">
      <c r="A1820" s="10" t="s">
        <v>172</v>
      </c>
      <c r="B1820" s="19" t="s">
        <v>931</v>
      </c>
      <c r="C1820" s="16" t="s">
        <v>1841</v>
      </c>
      <c r="D1820" s="23">
        <v>5</v>
      </c>
      <c r="E1820" s="24">
        <v>0</v>
      </c>
      <c r="F1820" s="10" t="s">
        <v>172</v>
      </c>
      <c r="G1820" s="10" t="s">
        <v>172</v>
      </c>
      <c r="H1820" s="10" t="s">
        <v>172</v>
      </c>
    </row>
    <row r="1821" s="9" customFormat="1" ht="37" customHeight="1" spans="1:8">
      <c r="A1821" s="10" t="s">
        <v>172</v>
      </c>
      <c r="B1821" s="19" t="s">
        <v>1974</v>
      </c>
      <c r="C1821" s="20" t="s">
        <v>182</v>
      </c>
      <c r="D1821" s="21">
        <v>1</v>
      </c>
      <c r="E1821" s="22">
        <v>264000</v>
      </c>
      <c r="F1821" s="10" t="s">
        <v>172</v>
      </c>
      <c r="G1821" s="10" t="s">
        <v>172</v>
      </c>
      <c r="H1821" s="10" t="s">
        <v>172</v>
      </c>
    </row>
    <row r="1822" s="9" customFormat="1" ht="17" customHeight="1" spans="1:8">
      <c r="A1822" s="10" t="s">
        <v>172</v>
      </c>
      <c r="B1822" s="19" t="s">
        <v>1974</v>
      </c>
      <c r="C1822" s="16" t="s">
        <v>1841</v>
      </c>
      <c r="D1822" s="23">
        <v>1</v>
      </c>
      <c r="E1822" s="24">
        <v>264000</v>
      </c>
      <c r="F1822" s="10" t="s">
        <v>172</v>
      </c>
      <c r="G1822" s="10" t="s">
        <v>172</v>
      </c>
      <c r="H1822" s="10" t="s">
        <v>172</v>
      </c>
    </row>
    <row r="1823" s="9" customFormat="1" ht="37" customHeight="1" spans="1:8">
      <c r="A1823" s="10" t="s">
        <v>172</v>
      </c>
      <c r="B1823" s="19" t="s">
        <v>1975</v>
      </c>
      <c r="C1823" s="20" t="s">
        <v>182</v>
      </c>
      <c r="D1823" s="21">
        <v>1</v>
      </c>
      <c r="E1823" s="22">
        <v>300000</v>
      </c>
      <c r="F1823" s="10" t="s">
        <v>172</v>
      </c>
      <c r="G1823" s="10" t="s">
        <v>172</v>
      </c>
      <c r="H1823" s="10" t="s">
        <v>172</v>
      </c>
    </row>
    <row r="1824" s="9" customFormat="1" ht="17" customHeight="1" spans="1:8">
      <c r="A1824" s="10" t="s">
        <v>172</v>
      </c>
      <c r="B1824" s="19" t="s">
        <v>1975</v>
      </c>
      <c r="C1824" s="16" t="s">
        <v>1841</v>
      </c>
      <c r="D1824" s="23">
        <v>1</v>
      </c>
      <c r="E1824" s="24">
        <v>300000</v>
      </c>
      <c r="F1824" s="10" t="s">
        <v>172</v>
      </c>
      <c r="G1824" s="10" t="s">
        <v>172</v>
      </c>
      <c r="H1824" s="10" t="s">
        <v>172</v>
      </c>
    </row>
    <row r="1825" s="9" customFormat="1" ht="37" customHeight="1" spans="1:8">
      <c r="A1825" s="10" t="s">
        <v>172</v>
      </c>
      <c r="B1825" s="19" t="s">
        <v>1976</v>
      </c>
      <c r="C1825" s="20" t="s">
        <v>182</v>
      </c>
      <c r="D1825" s="21">
        <v>1</v>
      </c>
      <c r="E1825" s="22">
        <v>0</v>
      </c>
      <c r="F1825" s="10" t="s">
        <v>172</v>
      </c>
      <c r="G1825" s="10" t="s">
        <v>172</v>
      </c>
      <c r="H1825" s="10" t="s">
        <v>172</v>
      </c>
    </row>
    <row r="1826" s="9" customFormat="1" ht="17" customHeight="1" spans="1:8">
      <c r="A1826" s="10" t="s">
        <v>172</v>
      </c>
      <c r="B1826" s="19" t="s">
        <v>1976</v>
      </c>
      <c r="C1826" s="16" t="s">
        <v>1841</v>
      </c>
      <c r="D1826" s="23">
        <v>1</v>
      </c>
      <c r="E1826" s="24">
        <v>0</v>
      </c>
      <c r="F1826" s="10" t="s">
        <v>172</v>
      </c>
      <c r="G1826" s="10" t="s">
        <v>172</v>
      </c>
      <c r="H1826" s="10" t="s">
        <v>172</v>
      </c>
    </row>
    <row r="1827" s="9" customFormat="1" ht="1" customHeight="1" spans="1:8">
      <c r="A1827" s="10" t="s">
        <v>172</v>
      </c>
      <c r="B1827" s="25"/>
      <c r="C1827" s="25"/>
      <c r="D1827" s="25"/>
      <c r="E1827" s="25"/>
      <c r="F1827" s="25"/>
      <c r="G1827" s="25"/>
      <c r="H1827" s="10" t="s">
        <v>172</v>
      </c>
    </row>
    <row r="1828" s="9" customFormat="1" ht="13" customHeight="1" spans="1:8">
      <c r="A1828" s="10" t="s">
        <v>172</v>
      </c>
      <c r="B1828" s="26"/>
      <c r="C1828" s="26"/>
      <c r="D1828" s="26"/>
      <c r="E1828" s="26"/>
      <c r="F1828" s="26"/>
      <c r="G1828" s="26"/>
      <c r="H1828" s="10" t="s">
        <v>172</v>
      </c>
    </row>
    <row r="1829" s="9" customFormat="1" ht="13" customHeight="1" spans="1:8">
      <c r="A1829" s="10" t="s">
        <v>172</v>
      </c>
      <c r="B1829" s="26"/>
      <c r="C1829" s="26"/>
      <c r="D1829" s="26"/>
      <c r="E1829" s="26"/>
      <c r="F1829" s="26"/>
      <c r="G1829" s="26"/>
      <c r="H1829" s="10" t="s">
        <v>172</v>
      </c>
    </row>
    <row r="1830" s="9" customFormat="1" ht="13" customHeight="1" spans="1:8">
      <c r="A1830" s="10" t="s">
        <v>172</v>
      </c>
      <c r="B1830" s="26"/>
      <c r="C1830" s="26"/>
      <c r="D1830" s="26"/>
      <c r="E1830" s="26"/>
      <c r="F1830" s="26"/>
      <c r="G1830" s="26"/>
      <c r="H1830" s="10" t="s">
        <v>172</v>
      </c>
    </row>
    <row r="1831" s="9" customFormat="1" ht="13" customHeight="1" spans="1:8">
      <c r="A1831" s="10" t="s">
        <v>172</v>
      </c>
      <c r="B1831" s="26"/>
      <c r="C1831" s="26"/>
      <c r="D1831" s="26"/>
      <c r="E1831" s="26"/>
      <c r="F1831" s="26"/>
      <c r="G1831" s="27" t="s">
        <v>1847</v>
      </c>
      <c r="H1831" s="10" t="s">
        <v>172</v>
      </c>
    </row>
    <row r="1832" s="9" customFormat="1" ht="17" customHeight="1" spans="1:8">
      <c r="A1832" s="10" t="s">
        <v>172</v>
      </c>
      <c r="B1832" s="11"/>
      <c r="C1832" s="11"/>
      <c r="D1832" s="11"/>
      <c r="E1832" s="11"/>
      <c r="F1832" s="11"/>
      <c r="G1832" s="11"/>
      <c r="H1832" s="10" t="s">
        <v>172</v>
      </c>
    </row>
    <row r="1833" s="9" customFormat="1" ht="23" customHeight="1" spans="1:8">
      <c r="A1833" s="10" t="s">
        <v>172</v>
      </c>
      <c r="B1833" s="12"/>
      <c r="C1833" s="12"/>
      <c r="D1833" s="12"/>
      <c r="E1833" s="12"/>
      <c r="F1833" s="12"/>
      <c r="G1833" s="12"/>
      <c r="H1833" s="10" t="s">
        <v>172</v>
      </c>
    </row>
    <row r="1834" s="9" customFormat="1" ht="16" customHeight="1" spans="1:8">
      <c r="A1834" s="10" t="s">
        <v>172</v>
      </c>
      <c r="B1834" s="13"/>
      <c r="C1834" s="13"/>
      <c r="D1834" s="13"/>
      <c r="E1834" s="13"/>
      <c r="F1834" s="13"/>
      <c r="G1834" s="13"/>
      <c r="H1834" s="10" t="s">
        <v>172</v>
      </c>
    </row>
    <row r="1835" s="9" customFormat="1" ht="12" customHeight="1" spans="1:8">
      <c r="A1835" s="10" t="s">
        <v>172</v>
      </c>
      <c r="B1835" s="14"/>
      <c r="C1835" s="14"/>
      <c r="D1835" s="14"/>
      <c r="E1835" s="14"/>
      <c r="F1835" s="14"/>
      <c r="G1835" s="14"/>
      <c r="H1835" s="10" t="s">
        <v>172</v>
      </c>
    </row>
    <row r="1836" s="9" customFormat="1" ht="17" customHeight="1" spans="1:8">
      <c r="A1836" s="10" t="s">
        <v>172</v>
      </c>
      <c r="B1836" s="15" t="s">
        <v>1836</v>
      </c>
      <c r="C1836" s="16" t="s">
        <v>1837</v>
      </c>
      <c r="D1836" s="17" t="s">
        <v>1838</v>
      </c>
      <c r="E1836" s="18" t="s">
        <v>1839</v>
      </c>
      <c r="F1836" s="10" t="s">
        <v>172</v>
      </c>
      <c r="G1836" s="10" t="s">
        <v>172</v>
      </c>
      <c r="H1836" s="10" t="s">
        <v>172</v>
      </c>
    </row>
    <row r="1837" s="9" customFormat="1" ht="37" customHeight="1" spans="1:8">
      <c r="A1837" s="10" t="s">
        <v>172</v>
      </c>
      <c r="B1837" s="19" t="s">
        <v>1977</v>
      </c>
      <c r="C1837" s="20" t="s">
        <v>182</v>
      </c>
      <c r="D1837" s="21">
        <v>1</v>
      </c>
      <c r="E1837" s="22">
        <v>467000</v>
      </c>
      <c r="F1837" s="10" t="s">
        <v>172</v>
      </c>
      <c r="G1837" s="10" t="s">
        <v>172</v>
      </c>
      <c r="H1837" s="10" t="s">
        <v>172</v>
      </c>
    </row>
    <row r="1838" s="9" customFormat="1" ht="17" customHeight="1" spans="1:8">
      <c r="A1838" s="10" t="s">
        <v>172</v>
      </c>
      <c r="B1838" s="19" t="s">
        <v>1977</v>
      </c>
      <c r="C1838" s="16" t="s">
        <v>1841</v>
      </c>
      <c r="D1838" s="23">
        <v>1</v>
      </c>
      <c r="E1838" s="24">
        <v>467000</v>
      </c>
      <c r="F1838" s="10" t="s">
        <v>172</v>
      </c>
      <c r="G1838" s="10" t="s">
        <v>172</v>
      </c>
      <c r="H1838" s="10" t="s">
        <v>172</v>
      </c>
    </row>
    <row r="1839" s="9" customFormat="1" ht="37" customHeight="1" spans="1:8">
      <c r="A1839" s="10" t="s">
        <v>172</v>
      </c>
      <c r="B1839" s="19" t="s">
        <v>1978</v>
      </c>
      <c r="C1839" s="20" t="s">
        <v>182</v>
      </c>
      <c r="D1839" s="21">
        <v>1</v>
      </c>
      <c r="E1839" s="22">
        <v>1000000</v>
      </c>
      <c r="F1839" s="10" t="s">
        <v>172</v>
      </c>
      <c r="G1839" s="10" t="s">
        <v>172</v>
      </c>
      <c r="H1839" s="10" t="s">
        <v>172</v>
      </c>
    </row>
    <row r="1840" s="9" customFormat="1" ht="17" customHeight="1" spans="1:8">
      <c r="A1840" s="10" t="s">
        <v>172</v>
      </c>
      <c r="B1840" s="19" t="s">
        <v>1978</v>
      </c>
      <c r="C1840" s="16" t="s">
        <v>1841</v>
      </c>
      <c r="D1840" s="23">
        <v>1</v>
      </c>
      <c r="E1840" s="24">
        <v>1000000</v>
      </c>
      <c r="F1840" s="10" t="s">
        <v>172</v>
      </c>
      <c r="G1840" s="10" t="s">
        <v>172</v>
      </c>
      <c r="H1840" s="10" t="s">
        <v>172</v>
      </c>
    </row>
    <row r="1841" s="9" customFormat="1" ht="37" customHeight="1" spans="1:8">
      <c r="A1841" s="10" t="s">
        <v>172</v>
      </c>
      <c r="B1841" s="19" t="s">
        <v>1979</v>
      </c>
      <c r="C1841" s="20" t="s">
        <v>182</v>
      </c>
      <c r="D1841" s="21">
        <v>2</v>
      </c>
      <c r="E1841" s="22">
        <v>694000</v>
      </c>
      <c r="F1841" s="10" t="s">
        <v>172</v>
      </c>
      <c r="G1841" s="10" t="s">
        <v>172</v>
      </c>
      <c r="H1841" s="10" t="s">
        <v>172</v>
      </c>
    </row>
    <row r="1842" s="9" customFormat="1" ht="17" customHeight="1" spans="1:8">
      <c r="A1842" s="10" t="s">
        <v>172</v>
      </c>
      <c r="B1842" s="19" t="s">
        <v>1979</v>
      </c>
      <c r="C1842" s="16" t="s">
        <v>1841</v>
      </c>
      <c r="D1842" s="23">
        <v>2</v>
      </c>
      <c r="E1842" s="24">
        <v>694000</v>
      </c>
      <c r="F1842" s="10" t="s">
        <v>172</v>
      </c>
      <c r="G1842" s="10" t="s">
        <v>172</v>
      </c>
      <c r="H1842" s="10" t="s">
        <v>172</v>
      </c>
    </row>
    <row r="1843" s="9" customFormat="1" ht="37" customHeight="1" spans="1:8">
      <c r="A1843" s="10" t="s">
        <v>172</v>
      </c>
      <c r="B1843" s="19" t="s">
        <v>1980</v>
      </c>
      <c r="C1843" s="20" t="s">
        <v>182</v>
      </c>
      <c r="D1843" s="21">
        <v>1</v>
      </c>
      <c r="E1843" s="22">
        <v>1400000</v>
      </c>
      <c r="F1843" s="10" t="s">
        <v>172</v>
      </c>
      <c r="G1843" s="10" t="s">
        <v>172</v>
      </c>
      <c r="H1843" s="10" t="s">
        <v>172</v>
      </c>
    </row>
    <row r="1844" s="9" customFormat="1" ht="17" customHeight="1" spans="1:8">
      <c r="A1844" s="10" t="s">
        <v>172</v>
      </c>
      <c r="B1844" s="19" t="s">
        <v>1980</v>
      </c>
      <c r="C1844" s="16" t="s">
        <v>1841</v>
      </c>
      <c r="D1844" s="23">
        <v>1</v>
      </c>
      <c r="E1844" s="24">
        <v>1400000</v>
      </c>
      <c r="F1844" s="10" t="s">
        <v>172</v>
      </c>
      <c r="G1844" s="10" t="s">
        <v>172</v>
      </c>
      <c r="H1844" s="10" t="s">
        <v>172</v>
      </c>
    </row>
    <row r="1845" s="9" customFormat="1" ht="37" customHeight="1" spans="1:8">
      <c r="A1845" s="10" t="s">
        <v>172</v>
      </c>
      <c r="B1845" s="19" t="s">
        <v>1981</v>
      </c>
      <c r="C1845" s="20" t="s">
        <v>182</v>
      </c>
      <c r="D1845" s="21">
        <v>1</v>
      </c>
      <c r="E1845" s="22">
        <v>327000</v>
      </c>
      <c r="F1845" s="10" t="s">
        <v>172</v>
      </c>
      <c r="G1845" s="10" t="s">
        <v>172</v>
      </c>
      <c r="H1845" s="10" t="s">
        <v>172</v>
      </c>
    </row>
    <row r="1846" s="9" customFormat="1" ht="17" customHeight="1" spans="1:8">
      <c r="A1846" s="10" t="s">
        <v>172</v>
      </c>
      <c r="B1846" s="19" t="s">
        <v>1981</v>
      </c>
      <c r="C1846" s="16" t="s">
        <v>1841</v>
      </c>
      <c r="D1846" s="23">
        <v>1</v>
      </c>
      <c r="E1846" s="24">
        <v>327000</v>
      </c>
      <c r="F1846" s="10" t="s">
        <v>172</v>
      </c>
      <c r="G1846" s="10" t="s">
        <v>172</v>
      </c>
      <c r="H1846" s="10" t="s">
        <v>172</v>
      </c>
    </row>
    <row r="1847" s="9" customFormat="1" ht="37" customHeight="1" spans="1:8">
      <c r="A1847" s="10" t="s">
        <v>172</v>
      </c>
      <c r="B1847" s="19" t="s">
        <v>1982</v>
      </c>
      <c r="C1847" s="20" t="s">
        <v>182</v>
      </c>
      <c r="D1847" s="21">
        <v>1</v>
      </c>
      <c r="E1847" s="22">
        <v>321000</v>
      </c>
      <c r="F1847" s="10" t="s">
        <v>172</v>
      </c>
      <c r="G1847" s="10" t="s">
        <v>172</v>
      </c>
      <c r="H1847" s="10" t="s">
        <v>172</v>
      </c>
    </row>
    <row r="1848" s="9" customFormat="1" ht="17" customHeight="1" spans="1:8">
      <c r="A1848" s="10" t="s">
        <v>172</v>
      </c>
      <c r="B1848" s="19" t="s">
        <v>1982</v>
      </c>
      <c r="C1848" s="16" t="s">
        <v>1841</v>
      </c>
      <c r="D1848" s="23">
        <v>1</v>
      </c>
      <c r="E1848" s="24">
        <v>321000</v>
      </c>
      <c r="F1848" s="10" t="s">
        <v>172</v>
      </c>
      <c r="G1848" s="10" t="s">
        <v>172</v>
      </c>
      <c r="H1848" s="10" t="s">
        <v>172</v>
      </c>
    </row>
    <row r="1849" s="9" customFormat="1" ht="1" customHeight="1" spans="1:8">
      <c r="A1849" s="10" t="s">
        <v>172</v>
      </c>
      <c r="B1849" s="25"/>
      <c r="C1849" s="25"/>
      <c r="D1849" s="25"/>
      <c r="E1849" s="25"/>
      <c r="F1849" s="25"/>
      <c r="G1849" s="25"/>
      <c r="H1849" s="10" t="s">
        <v>172</v>
      </c>
    </row>
    <row r="1850" s="9" customFormat="1" ht="13" customHeight="1" spans="1:8">
      <c r="A1850" s="10" t="s">
        <v>172</v>
      </c>
      <c r="B1850" s="26"/>
      <c r="C1850" s="26"/>
      <c r="D1850" s="26"/>
      <c r="E1850" s="26"/>
      <c r="F1850" s="26"/>
      <c r="G1850" s="26"/>
      <c r="H1850" s="10" t="s">
        <v>172</v>
      </c>
    </row>
    <row r="1851" s="9" customFormat="1" ht="13" customHeight="1" spans="1:8">
      <c r="A1851" s="10" t="s">
        <v>172</v>
      </c>
      <c r="B1851" s="26"/>
      <c r="C1851" s="26"/>
      <c r="D1851" s="26"/>
      <c r="E1851" s="26"/>
      <c r="F1851" s="26"/>
      <c r="G1851" s="26"/>
      <c r="H1851" s="10" t="s">
        <v>172</v>
      </c>
    </row>
    <row r="1852" s="9" customFormat="1" ht="13" customHeight="1" spans="1:8">
      <c r="A1852" s="10" t="s">
        <v>172</v>
      </c>
      <c r="B1852" s="26"/>
      <c r="C1852" s="26"/>
      <c r="D1852" s="26"/>
      <c r="E1852" s="26"/>
      <c r="F1852" s="26"/>
      <c r="G1852" s="26"/>
      <c r="H1852" s="10" t="s">
        <v>172</v>
      </c>
    </row>
    <row r="1853" s="9" customFormat="1" ht="13" customHeight="1" spans="1:8">
      <c r="A1853" s="10" t="s">
        <v>172</v>
      </c>
      <c r="B1853" s="26"/>
      <c r="C1853" s="26"/>
      <c r="D1853" s="26"/>
      <c r="E1853" s="26"/>
      <c r="F1853" s="26"/>
      <c r="G1853" s="27" t="s">
        <v>1847</v>
      </c>
      <c r="H1853" s="10" t="s">
        <v>172</v>
      </c>
    </row>
    <row r="1854" s="9" customFormat="1" ht="17" customHeight="1" spans="1:8">
      <c r="A1854" s="10" t="s">
        <v>172</v>
      </c>
      <c r="B1854" s="11"/>
      <c r="C1854" s="11"/>
      <c r="D1854" s="11"/>
      <c r="E1854" s="11"/>
      <c r="F1854" s="11"/>
      <c r="G1854" s="11"/>
      <c r="H1854" s="10" t="s">
        <v>172</v>
      </c>
    </row>
    <row r="1855" s="9" customFormat="1" ht="23" customHeight="1" spans="1:8">
      <c r="A1855" s="10" t="s">
        <v>172</v>
      </c>
      <c r="B1855" s="12"/>
      <c r="C1855" s="12"/>
      <c r="D1855" s="12"/>
      <c r="E1855" s="12"/>
      <c r="F1855" s="12"/>
      <c r="G1855" s="12"/>
      <c r="H1855" s="10" t="s">
        <v>172</v>
      </c>
    </row>
    <row r="1856" s="9" customFormat="1" ht="16" customHeight="1" spans="1:8">
      <c r="A1856" s="10" t="s">
        <v>172</v>
      </c>
      <c r="B1856" s="13"/>
      <c r="C1856" s="13"/>
      <c r="D1856" s="13"/>
      <c r="E1856" s="13"/>
      <c r="F1856" s="13"/>
      <c r="G1856" s="13"/>
      <c r="H1856" s="10" t="s">
        <v>172</v>
      </c>
    </row>
    <row r="1857" s="9" customFormat="1" ht="12" customHeight="1" spans="1:8">
      <c r="A1857" s="10" t="s">
        <v>172</v>
      </c>
      <c r="B1857" s="14"/>
      <c r="C1857" s="14"/>
      <c r="D1857" s="14"/>
      <c r="E1857" s="14"/>
      <c r="F1857" s="14"/>
      <c r="G1857" s="14"/>
      <c r="H1857" s="10" t="s">
        <v>172</v>
      </c>
    </row>
    <row r="1858" s="9" customFormat="1" ht="17" customHeight="1" spans="1:8">
      <c r="A1858" s="10" t="s">
        <v>172</v>
      </c>
      <c r="B1858" s="15" t="s">
        <v>1836</v>
      </c>
      <c r="C1858" s="16" t="s">
        <v>1837</v>
      </c>
      <c r="D1858" s="17" t="s">
        <v>1838</v>
      </c>
      <c r="E1858" s="18" t="s">
        <v>1839</v>
      </c>
      <c r="F1858" s="10" t="s">
        <v>172</v>
      </c>
      <c r="G1858" s="10" t="s">
        <v>172</v>
      </c>
      <c r="H1858" s="10" t="s">
        <v>172</v>
      </c>
    </row>
    <row r="1859" s="9" customFormat="1" ht="37" customHeight="1" spans="1:8">
      <c r="A1859" s="10" t="s">
        <v>172</v>
      </c>
      <c r="B1859" s="19" t="s">
        <v>1983</v>
      </c>
      <c r="C1859" s="20" t="s">
        <v>182</v>
      </c>
      <c r="D1859" s="21">
        <v>1</v>
      </c>
      <c r="E1859" s="22">
        <v>250000</v>
      </c>
      <c r="F1859" s="10" t="s">
        <v>172</v>
      </c>
      <c r="G1859" s="10" t="s">
        <v>172</v>
      </c>
      <c r="H1859" s="10" t="s">
        <v>172</v>
      </c>
    </row>
    <row r="1860" s="9" customFormat="1" ht="17" customHeight="1" spans="1:8">
      <c r="A1860" s="10" t="s">
        <v>172</v>
      </c>
      <c r="B1860" s="19" t="s">
        <v>1983</v>
      </c>
      <c r="C1860" s="16" t="s">
        <v>1841</v>
      </c>
      <c r="D1860" s="23">
        <v>1</v>
      </c>
      <c r="E1860" s="24">
        <v>250000</v>
      </c>
      <c r="F1860" s="10" t="s">
        <v>172</v>
      </c>
      <c r="G1860" s="10" t="s">
        <v>172</v>
      </c>
      <c r="H1860" s="10" t="s">
        <v>172</v>
      </c>
    </row>
    <row r="1861" s="9" customFormat="1" ht="37" customHeight="1" spans="1:8">
      <c r="A1861" s="10" t="s">
        <v>172</v>
      </c>
      <c r="B1861" s="19" t="s">
        <v>1984</v>
      </c>
      <c r="C1861" s="20" t="s">
        <v>182</v>
      </c>
      <c r="D1861" s="21">
        <v>1</v>
      </c>
      <c r="E1861" s="22">
        <v>720000</v>
      </c>
      <c r="F1861" s="10" t="s">
        <v>172</v>
      </c>
      <c r="G1861" s="10" t="s">
        <v>172</v>
      </c>
      <c r="H1861" s="10" t="s">
        <v>172</v>
      </c>
    </row>
    <row r="1862" s="9" customFormat="1" ht="17" customHeight="1" spans="1:8">
      <c r="A1862" s="10" t="s">
        <v>172</v>
      </c>
      <c r="B1862" s="19" t="s">
        <v>1984</v>
      </c>
      <c r="C1862" s="16" t="s">
        <v>1841</v>
      </c>
      <c r="D1862" s="23">
        <v>1</v>
      </c>
      <c r="E1862" s="24">
        <v>720000</v>
      </c>
      <c r="F1862" s="10" t="s">
        <v>172</v>
      </c>
      <c r="G1862" s="10" t="s">
        <v>172</v>
      </c>
      <c r="H1862" s="10" t="s">
        <v>172</v>
      </c>
    </row>
    <row r="1863" s="9" customFormat="1" ht="37" customHeight="1" spans="1:8">
      <c r="A1863" s="10" t="s">
        <v>172</v>
      </c>
      <c r="B1863" s="19" t="s">
        <v>1985</v>
      </c>
      <c r="C1863" s="20" t="s">
        <v>182</v>
      </c>
      <c r="D1863" s="21">
        <v>2</v>
      </c>
      <c r="E1863" s="22">
        <v>900000</v>
      </c>
      <c r="F1863" s="10" t="s">
        <v>172</v>
      </c>
      <c r="G1863" s="10" t="s">
        <v>172</v>
      </c>
      <c r="H1863" s="10" t="s">
        <v>172</v>
      </c>
    </row>
    <row r="1864" s="9" customFormat="1" ht="17" customHeight="1" spans="1:8">
      <c r="A1864" s="10" t="s">
        <v>172</v>
      </c>
      <c r="B1864" s="19" t="s">
        <v>1985</v>
      </c>
      <c r="C1864" s="16" t="s">
        <v>1841</v>
      </c>
      <c r="D1864" s="23">
        <v>2</v>
      </c>
      <c r="E1864" s="24">
        <v>900000</v>
      </c>
      <c r="F1864" s="10" t="s">
        <v>172</v>
      </c>
      <c r="G1864" s="10" t="s">
        <v>172</v>
      </c>
      <c r="H1864" s="10" t="s">
        <v>172</v>
      </c>
    </row>
    <row r="1865" s="9" customFormat="1" ht="37" customHeight="1" spans="1:8">
      <c r="A1865" s="10" t="s">
        <v>172</v>
      </c>
      <c r="B1865" s="19" t="s">
        <v>1986</v>
      </c>
      <c r="C1865" s="20" t="s">
        <v>182</v>
      </c>
      <c r="D1865" s="21">
        <v>2</v>
      </c>
      <c r="E1865" s="22">
        <v>468000</v>
      </c>
      <c r="F1865" s="10" t="s">
        <v>172</v>
      </c>
      <c r="G1865" s="10" t="s">
        <v>172</v>
      </c>
      <c r="H1865" s="10" t="s">
        <v>172</v>
      </c>
    </row>
    <row r="1866" s="9" customFormat="1" ht="17" customHeight="1" spans="1:8">
      <c r="A1866" s="10" t="s">
        <v>172</v>
      </c>
      <c r="B1866" s="19" t="s">
        <v>1986</v>
      </c>
      <c r="C1866" s="16" t="s">
        <v>1841</v>
      </c>
      <c r="D1866" s="23">
        <v>2</v>
      </c>
      <c r="E1866" s="24">
        <v>468000</v>
      </c>
      <c r="F1866" s="10" t="s">
        <v>172</v>
      </c>
      <c r="G1866" s="10" t="s">
        <v>172</v>
      </c>
      <c r="H1866" s="10" t="s">
        <v>172</v>
      </c>
    </row>
    <row r="1867" s="9" customFormat="1" ht="26" customHeight="1" spans="1:8">
      <c r="A1867" s="10" t="s">
        <v>172</v>
      </c>
      <c r="B1867" s="19" t="s">
        <v>1987</v>
      </c>
      <c r="C1867" s="20" t="s">
        <v>804</v>
      </c>
      <c r="D1867" s="21">
        <v>1</v>
      </c>
      <c r="E1867" s="22">
        <v>330000</v>
      </c>
      <c r="F1867" s="10" t="s">
        <v>172</v>
      </c>
      <c r="G1867" s="10" t="s">
        <v>172</v>
      </c>
      <c r="H1867" s="10" t="s">
        <v>172</v>
      </c>
    </row>
    <row r="1868" s="9" customFormat="1" ht="17" customHeight="1" spans="1:8">
      <c r="A1868" s="10" t="s">
        <v>172</v>
      </c>
      <c r="B1868" s="19" t="s">
        <v>1987</v>
      </c>
      <c r="C1868" s="16" t="s">
        <v>1841</v>
      </c>
      <c r="D1868" s="23">
        <v>1</v>
      </c>
      <c r="E1868" s="24">
        <v>330000</v>
      </c>
      <c r="F1868" s="10" t="s">
        <v>172</v>
      </c>
      <c r="G1868" s="10" t="s">
        <v>172</v>
      </c>
      <c r="H1868" s="10" t="s">
        <v>172</v>
      </c>
    </row>
    <row r="1869" s="9" customFormat="1" ht="26" customHeight="1" spans="1:8">
      <c r="A1869" s="10" t="s">
        <v>172</v>
      </c>
      <c r="B1869" s="19" t="s">
        <v>1988</v>
      </c>
      <c r="C1869" s="20" t="s">
        <v>804</v>
      </c>
      <c r="D1869" s="21">
        <v>2</v>
      </c>
      <c r="E1869" s="22">
        <v>639639.63964</v>
      </c>
      <c r="F1869" s="10" t="s">
        <v>172</v>
      </c>
      <c r="G1869" s="10" t="s">
        <v>172</v>
      </c>
      <c r="H1869" s="10" t="s">
        <v>172</v>
      </c>
    </row>
    <row r="1870" s="9" customFormat="1" ht="17" customHeight="1" spans="1:8">
      <c r="A1870" s="10" t="s">
        <v>172</v>
      </c>
      <c r="B1870" s="19" t="s">
        <v>1988</v>
      </c>
      <c r="C1870" s="16" t="s">
        <v>1841</v>
      </c>
      <c r="D1870" s="23">
        <v>2</v>
      </c>
      <c r="E1870" s="24">
        <v>639639.63964</v>
      </c>
      <c r="F1870" s="10" t="s">
        <v>172</v>
      </c>
      <c r="G1870" s="10" t="s">
        <v>172</v>
      </c>
      <c r="H1870" s="10" t="s">
        <v>172</v>
      </c>
    </row>
    <row r="1871" s="9" customFormat="1" ht="26" customHeight="1" spans="1:8">
      <c r="A1871" s="10" t="s">
        <v>172</v>
      </c>
      <c r="B1871" s="19" t="s">
        <v>1989</v>
      </c>
      <c r="C1871" s="20" t="s">
        <v>804</v>
      </c>
      <c r="D1871" s="21">
        <v>2</v>
      </c>
      <c r="E1871" s="22">
        <v>1619819.81982</v>
      </c>
      <c r="F1871" s="10" t="s">
        <v>172</v>
      </c>
      <c r="G1871" s="10" t="s">
        <v>172</v>
      </c>
      <c r="H1871" s="10" t="s">
        <v>172</v>
      </c>
    </row>
    <row r="1872" s="9" customFormat="1" ht="17" customHeight="1" spans="1:8">
      <c r="A1872" s="10" t="s">
        <v>172</v>
      </c>
      <c r="B1872" s="19" t="s">
        <v>1989</v>
      </c>
      <c r="C1872" s="16" t="s">
        <v>1841</v>
      </c>
      <c r="D1872" s="23">
        <v>2</v>
      </c>
      <c r="E1872" s="24">
        <v>1619819.81982</v>
      </c>
      <c r="F1872" s="10" t="s">
        <v>172</v>
      </c>
      <c r="G1872" s="10" t="s">
        <v>172</v>
      </c>
      <c r="H1872" s="10" t="s">
        <v>172</v>
      </c>
    </row>
    <row r="1873" s="9" customFormat="1" ht="1" customHeight="1" spans="1:8">
      <c r="A1873" s="10" t="s">
        <v>172</v>
      </c>
      <c r="B1873" s="25"/>
      <c r="C1873" s="25"/>
      <c r="D1873" s="25"/>
      <c r="E1873" s="25"/>
      <c r="F1873" s="25"/>
      <c r="G1873" s="25"/>
      <c r="H1873" s="10" t="s">
        <v>172</v>
      </c>
    </row>
    <row r="1874" s="9" customFormat="1" ht="13" customHeight="1" spans="1:8">
      <c r="A1874" s="10" t="s">
        <v>172</v>
      </c>
      <c r="B1874" s="26"/>
      <c r="C1874" s="26"/>
      <c r="D1874" s="26"/>
      <c r="E1874" s="26"/>
      <c r="F1874" s="26"/>
      <c r="G1874" s="26"/>
      <c r="H1874" s="10" t="s">
        <v>172</v>
      </c>
    </row>
    <row r="1875" s="9" customFormat="1" ht="13" customHeight="1" spans="1:8">
      <c r="A1875" s="10" t="s">
        <v>172</v>
      </c>
      <c r="B1875" s="26"/>
      <c r="C1875" s="26"/>
      <c r="D1875" s="26"/>
      <c r="E1875" s="26"/>
      <c r="F1875" s="26"/>
      <c r="G1875" s="26"/>
      <c r="H1875" s="10" t="s">
        <v>172</v>
      </c>
    </row>
    <row r="1876" s="9" customFormat="1" ht="13" customHeight="1" spans="1:8">
      <c r="A1876" s="10" t="s">
        <v>172</v>
      </c>
      <c r="B1876" s="26"/>
      <c r="C1876" s="26"/>
      <c r="D1876" s="26"/>
      <c r="E1876" s="26"/>
      <c r="F1876" s="26"/>
      <c r="G1876" s="26"/>
      <c r="H1876" s="10" t="s">
        <v>172</v>
      </c>
    </row>
    <row r="1877" s="9" customFormat="1" ht="13" customHeight="1" spans="1:8">
      <c r="A1877" s="10" t="s">
        <v>172</v>
      </c>
      <c r="B1877" s="26"/>
      <c r="C1877" s="26"/>
      <c r="D1877" s="26"/>
      <c r="E1877" s="26"/>
      <c r="F1877" s="26"/>
      <c r="G1877" s="27" t="s">
        <v>1847</v>
      </c>
      <c r="H1877" s="10" t="s">
        <v>172</v>
      </c>
    </row>
    <row r="1878" s="9" customFormat="1" ht="17" customHeight="1" spans="1:8">
      <c r="A1878" s="10" t="s">
        <v>172</v>
      </c>
      <c r="B1878" s="11"/>
      <c r="C1878" s="11"/>
      <c r="D1878" s="11"/>
      <c r="E1878" s="11"/>
      <c r="F1878" s="11"/>
      <c r="G1878" s="11"/>
      <c r="H1878" s="10" t="s">
        <v>172</v>
      </c>
    </row>
    <row r="1879" s="9" customFormat="1" ht="23" customHeight="1" spans="1:8">
      <c r="A1879" s="10" t="s">
        <v>172</v>
      </c>
      <c r="B1879" s="12"/>
      <c r="C1879" s="12"/>
      <c r="D1879" s="12"/>
      <c r="E1879" s="12"/>
      <c r="F1879" s="12"/>
      <c r="G1879" s="12"/>
      <c r="H1879" s="10" t="s">
        <v>172</v>
      </c>
    </row>
    <row r="1880" s="9" customFormat="1" ht="16" customHeight="1" spans="1:8">
      <c r="A1880" s="10" t="s">
        <v>172</v>
      </c>
      <c r="B1880" s="13"/>
      <c r="C1880" s="13"/>
      <c r="D1880" s="13"/>
      <c r="E1880" s="13"/>
      <c r="F1880" s="13"/>
      <c r="G1880" s="13"/>
      <c r="H1880" s="10" t="s">
        <v>172</v>
      </c>
    </row>
    <row r="1881" s="9" customFormat="1" ht="12" customHeight="1" spans="1:8">
      <c r="A1881" s="10" t="s">
        <v>172</v>
      </c>
      <c r="B1881" s="14"/>
      <c r="C1881" s="14"/>
      <c r="D1881" s="14"/>
      <c r="E1881" s="14"/>
      <c r="F1881" s="14"/>
      <c r="G1881" s="14"/>
      <c r="H1881" s="10" t="s">
        <v>172</v>
      </c>
    </row>
    <row r="1882" s="9" customFormat="1" ht="17" customHeight="1" spans="1:8">
      <c r="A1882" s="10" t="s">
        <v>172</v>
      </c>
      <c r="B1882" s="15" t="s">
        <v>1836</v>
      </c>
      <c r="C1882" s="16" t="s">
        <v>1837</v>
      </c>
      <c r="D1882" s="17" t="s">
        <v>1838</v>
      </c>
      <c r="E1882" s="18" t="s">
        <v>1839</v>
      </c>
      <c r="F1882" s="10" t="s">
        <v>172</v>
      </c>
      <c r="G1882" s="10" t="s">
        <v>172</v>
      </c>
      <c r="H1882" s="10" t="s">
        <v>172</v>
      </c>
    </row>
    <row r="1883" s="9" customFormat="1" ht="26" customHeight="1" spans="1:8">
      <c r="A1883" s="10" t="s">
        <v>172</v>
      </c>
      <c r="B1883" s="19" t="s">
        <v>1613</v>
      </c>
      <c r="C1883" s="20" t="s">
        <v>1614</v>
      </c>
      <c r="D1883" s="21">
        <v>2</v>
      </c>
      <c r="E1883" s="22">
        <v>2205405</v>
      </c>
      <c r="F1883" s="10" t="s">
        <v>172</v>
      </c>
      <c r="G1883" s="10" t="s">
        <v>172</v>
      </c>
      <c r="H1883" s="10" t="s">
        <v>172</v>
      </c>
    </row>
    <row r="1884" s="9" customFormat="1" ht="17" customHeight="1" spans="1:8">
      <c r="A1884" s="10" t="s">
        <v>172</v>
      </c>
      <c r="B1884" s="19" t="s">
        <v>1613</v>
      </c>
      <c r="C1884" s="16" t="s">
        <v>1841</v>
      </c>
      <c r="D1884" s="23">
        <v>2</v>
      </c>
      <c r="E1884" s="24">
        <v>2205405</v>
      </c>
      <c r="F1884" s="10" t="s">
        <v>172</v>
      </c>
      <c r="G1884" s="10" t="s">
        <v>172</v>
      </c>
      <c r="H1884" s="10" t="s">
        <v>172</v>
      </c>
    </row>
    <row r="1885" s="9" customFormat="1" ht="26" customHeight="1" spans="1:8">
      <c r="A1885" s="10" t="s">
        <v>172</v>
      </c>
      <c r="B1885" s="19" t="s">
        <v>1990</v>
      </c>
      <c r="C1885" s="20" t="s">
        <v>804</v>
      </c>
      <c r="D1885" s="21">
        <v>4</v>
      </c>
      <c r="E1885" s="22">
        <v>2482882.882883</v>
      </c>
      <c r="F1885" s="10" t="s">
        <v>172</v>
      </c>
      <c r="G1885" s="10" t="s">
        <v>172</v>
      </c>
      <c r="H1885" s="10" t="s">
        <v>172</v>
      </c>
    </row>
    <row r="1886" s="9" customFormat="1" ht="17" customHeight="1" spans="1:8">
      <c r="A1886" s="10" t="s">
        <v>172</v>
      </c>
      <c r="B1886" s="19" t="s">
        <v>1990</v>
      </c>
      <c r="C1886" s="16" t="s">
        <v>1841</v>
      </c>
      <c r="D1886" s="23">
        <v>4</v>
      </c>
      <c r="E1886" s="24">
        <v>2482882.882883</v>
      </c>
      <c r="F1886" s="10" t="s">
        <v>172</v>
      </c>
      <c r="G1886" s="10" t="s">
        <v>172</v>
      </c>
      <c r="H1886" s="10" t="s">
        <v>172</v>
      </c>
    </row>
    <row r="1887" s="9" customFormat="1" ht="26" customHeight="1" spans="1:8">
      <c r="A1887" s="10" t="s">
        <v>172</v>
      </c>
      <c r="B1887" s="19" t="s">
        <v>1991</v>
      </c>
      <c r="C1887" s="20" t="s">
        <v>804</v>
      </c>
      <c r="D1887" s="21">
        <v>1</v>
      </c>
      <c r="E1887" s="22">
        <v>91000</v>
      </c>
      <c r="F1887" s="10" t="s">
        <v>172</v>
      </c>
      <c r="G1887" s="10" t="s">
        <v>172</v>
      </c>
      <c r="H1887" s="10" t="s">
        <v>172</v>
      </c>
    </row>
    <row r="1888" s="9" customFormat="1" ht="17" customHeight="1" spans="1:8">
      <c r="A1888" s="10" t="s">
        <v>172</v>
      </c>
      <c r="B1888" s="19" t="s">
        <v>1991</v>
      </c>
      <c r="C1888" s="16" t="s">
        <v>1841</v>
      </c>
      <c r="D1888" s="23">
        <v>1</v>
      </c>
      <c r="E1888" s="24">
        <v>91000</v>
      </c>
      <c r="F1888" s="10" t="s">
        <v>172</v>
      </c>
      <c r="G1888" s="10" t="s">
        <v>172</v>
      </c>
      <c r="H1888" s="10" t="s">
        <v>172</v>
      </c>
    </row>
    <row r="1889" s="9" customFormat="1" ht="26" customHeight="1" spans="1:8">
      <c r="A1889" s="10" t="s">
        <v>172</v>
      </c>
      <c r="B1889" s="19" t="s">
        <v>946</v>
      </c>
      <c r="C1889" s="20" t="s">
        <v>804</v>
      </c>
      <c r="D1889" s="21">
        <v>3</v>
      </c>
      <c r="E1889" s="22">
        <v>549662.441442</v>
      </c>
      <c r="F1889" s="10" t="s">
        <v>172</v>
      </c>
      <c r="G1889" s="10" t="s">
        <v>172</v>
      </c>
      <c r="H1889" s="10" t="s">
        <v>172</v>
      </c>
    </row>
    <row r="1890" s="9" customFormat="1" ht="17" customHeight="1" spans="1:8">
      <c r="A1890" s="10" t="s">
        <v>172</v>
      </c>
      <c r="B1890" s="19" t="s">
        <v>946</v>
      </c>
      <c r="C1890" s="16" t="s">
        <v>1841</v>
      </c>
      <c r="D1890" s="23">
        <v>3</v>
      </c>
      <c r="E1890" s="24">
        <v>549662.441442</v>
      </c>
      <c r="F1890" s="10" t="s">
        <v>172</v>
      </c>
      <c r="G1890" s="10" t="s">
        <v>172</v>
      </c>
      <c r="H1890" s="10" t="s">
        <v>172</v>
      </c>
    </row>
    <row r="1891" s="9" customFormat="1" ht="37" customHeight="1" spans="1:8">
      <c r="A1891" s="10" t="s">
        <v>172</v>
      </c>
      <c r="B1891" s="19" t="s">
        <v>1992</v>
      </c>
      <c r="C1891" s="20" t="s">
        <v>182</v>
      </c>
      <c r="D1891" s="21">
        <v>1</v>
      </c>
      <c r="E1891" s="22">
        <v>350000</v>
      </c>
      <c r="F1891" s="10" t="s">
        <v>172</v>
      </c>
      <c r="G1891" s="10" t="s">
        <v>172</v>
      </c>
      <c r="H1891" s="10" t="s">
        <v>172</v>
      </c>
    </row>
    <row r="1892" s="9" customFormat="1" ht="17" customHeight="1" spans="1:8">
      <c r="A1892" s="10" t="s">
        <v>172</v>
      </c>
      <c r="B1892" s="19" t="s">
        <v>1992</v>
      </c>
      <c r="C1892" s="16" t="s">
        <v>1841</v>
      </c>
      <c r="D1892" s="23">
        <v>1</v>
      </c>
      <c r="E1892" s="24">
        <v>350000</v>
      </c>
      <c r="F1892" s="10" t="s">
        <v>172</v>
      </c>
      <c r="G1892" s="10" t="s">
        <v>172</v>
      </c>
      <c r="H1892" s="10" t="s">
        <v>172</v>
      </c>
    </row>
    <row r="1893" s="9" customFormat="1" ht="26" customHeight="1" spans="1:8">
      <c r="A1893" s="10" t="s">
        <v>172</v>
      </c>
      <c r="B1893" s="19" t="s">
        <v>1993</v>
      </c>
      <c r="C1893" s="20" t="s">
        <v>804</v>
      </c>
      <c r="D1893" s="21">
        <v>2</v>
      </c>
      <c r="E1893" s="22">
        <v>500000</v>
      </c>
      <c r="F1893" s="10" t="s">
        <v>172</v>
      </c>
      <c r="G1893" s="10" t="s">
        <v>172</v>
      </c>
      <c r="H1893" s="10" t="s">
        <v>172</v>
      </c>
    </row>
    <row r="1894" s="9" customFormat="1" ht="17" customHeight="1" spans="1:8">
      <c r="A1894" s="10" t="s">
        <v>172</v>
      </c>
      <c r="B1894" s="19" t="s">
        <v>1993</v>
      </c>
      <c r="C1894" s="16" t="s">
        <v>1841</v>
      </c>
      <c r="D1894" s="23">
        <v>2</v>
      </c>
      <c r="E1894" s="24">
        <v>500000</v>
      </c>
      <c r="F1894" s="10" t="s">
        <v>172</v>
      </c>
      <c r="G1894" s="10" t="s">
        <v>172</v>
      </c>
      <c r="H1894" s="10" t="s">
        <v>172</v>
      </c>
    </row>
    <row r="1895" s="9" customFormat="1" ht="17" customHeight="1" spans="1:8">
      <c r="A1895" s="10" t="s">
        <v>172</v>
      </c>
      <c r="B1895" s="28" t="s">
        <v>1994</v>
      </c>
      <c r="C1895" s="28" t="s">
        <v>1994</v>
      </c>
      <c r="D1895" s="23">
        <v>6130</v>
      </c>
      <c r="E1895" s="24">
        <v>429193738.234383</v>
      </c>
      <c r="F1895" s="10" t="s">
        <v>172</v>
      </c>
      <c r="G1895" s="10" t="s">
        <v>172</v>
      </c>
      <c r="H1895" s="10" t="s">
        <v>172</v>
      </c>
    </row>
    <row r="1896" s="9" customFormat="1" ht="1" customHeight="1" spans="1:8">
      <c r="A1896" s="10" t="s">
        <v>172</v>
      </c>
      <c r="B1896" s="25"/>
      <c r="C1896" s="25"/>
      <c r="D1896" s="25"/>
      <c r="E1896" s="25"/>
      <c r="F1896" s="25"/>
      <c r="G1896" s="25"/>
      <c r="H1896" s="10" t="s">
        <v>172</v>
      </c>
    </row>
    <row r="1897" s="9" customFormat="1" ht="13" customHeight="1" spans="1:8">
      <c r="A1897" s="10" t="s">
        <v>172</v>
      </c>
      <c r="B1897" s="26"/>
      <c r="C1897" s="26"/>
      <c r="D1897" s="26"/>
      <c r="E1897" s="26"/>
      <c r="F1897" s="26"/>
      <c r="G1897" s="26"/>
      <c r="H1897" s="10" t="s">
        <v>172</v>
      </c>
    </row>
    <row r="1898" s="9" customFormat="1" ht="13" customHeight="1" spans="1:8">
      <c r="A1898" s="10" t="s">
        <v>172</v>
      </c>
      <c r="B1898" s="26"/>
      <c r="C1898" s="26"/>
      <c r="D1898" s="26"/>
      <c r="E1898" s="26"/>
      <c r="F1898" s="26"/>
      <c r="G1898" s="26"/>
      <c r="H1898" s="10" t="s">
        <v>172</v>
      </c>
    </row>
    <row r="1899" s="9" customFormat="1" ht="13" customHeight="1" spans="1:8">
      <c r="A1899" s="10" t="s">
        <v>172</v>
      </c>
      <c r="B1899" s="26"/>
      <c r="C1899" s="26"/>
      <c r="D1899" s="26"/>
      <c r="E1899" s="26"/>
      <c r="F1899" s="26"/>
      <c r="G1899" s="26"/>
      <c r="H1899" s="10" t="s">
        <v>172</v>
      </c>
    </row>
    <row r="1900" s="9" customFormat="1" ht="13" customHeight="1" spans="1:8">
      <c r="A1900" s="10" t="s">
        <v>172</v>
      </c>
      <c r="B1900" s="26"/>
      <c r="C1900" s="26"/>
      <c r="D1900" s="26"/>
      <c r="E1900" s="26"/>
      <c r="F1900" s="26"/>
      <c r="G1900" s="27" t="s">
        <v>1847</v>
      </c>
      <c r="H1900" s="10" t="s">
        <v>172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2"/>
  <sheetViews>
    <sheetView topLeftCell="A34" workbookViewId="0">
      <selection activeCell="F2" sqref="F2"/>
    </sheetView>
  </sheetViews>
  <sheetFormatPr defaultColWidth="9" defaultRowHeight="16.8" outlineLevelCol="6"/>
  <cols>
    <col min="1" max="2" width="12.5446428571429" style="3" customWidth="1"/>
    <col min="3" max="3" width="50.3839285714286" style="2" customWidth="1"/>
    <col min="4" max="6" width="12.5446428571429" style="3" customWidth="1"/>
    <col min="7" max="7" width="27.3482142857143" style="2" customWidth="1"/>
    <col min="8" max="16384" width="9" style="2"/>
  </cols>
  <sheetData>
    <row r="1" s="2" customFormat="1" spans="1:6">
      <c r="A1" s="3"/>
      <c r="B1" s="7" t="s">
        <v>1995</v>
      </c>
      <c r="C1" s="8" t="s">
        <v>1996</v>
      </c>
      <c r="D1" s="7" t="s">
        <v>1997</v>
      </c>
      <c r="E1" s="7" t="s">
        <v>1998</v>
      </c>
      <c r="F1" s="7"/>
    </row>
    <row r="2" s="2" customFormat="1" spans="1:6">
      <c r="A2" s="3"/>
      <c r="B2" s="3">
        <v>1</v>
      </c>
      <c r="C2" s="2" t="s">
        <v>1999</v>
      </c>
      <c r="D2" s="3" t="s">
        <v>2000</v>
      </c>
      <c r="E2" s="3">
        <v>15</v>
      </c>
      <c r="F2" s="3" t="s">
        <v>2001</v>
      </c>
    </row>
    <row r="3" s="2" customFormat="1" spans="1:6">
      <c r="A3" s="3"/>
      <c r="B3" s="3">
        <v>2</v>
      </c>
      <c r="C3" s="2" t="s">
        <v>2002</v>
      </c>
      <c r="D3" s="3" t="s">
        <v>2003</v>
      </c>
      <c r="E3" s="3">
        <v>2</v>
      </c>
      <c r="F3" s="3" t="s">
        <v>2001</v>
      </c>
    </row>
    <row r="4" s="2" customFormat="1" spans="1:6">
      <c r="A4" s="3"/>
      <c r="B4" s="3">
        <v>3</v>
      </c>
      <c r="C4" s="2" t="s">
        <v>2004</v>
      </c>
      <c r="D4" s="3" t="s">
        <v>2005</v>
      </c>
      <c r="E4" s="3">
        <v>6</v>
      </c>
      <c r="F4" s="3" t="s">
        <v>2001</v>
      </c>
    </row>
    <row r="5" s="2" customFormat="1" spans="1:6">
      <c r="A5" s="3"/>
      <c r="B5" s="3">
        <v>4</v>
      </c>
      <c r="C5" s="2" t="s">
        <v>2006</v>
      </c>
      <c r="D5" s="3" t="s">
        <v>2007</v>
      </c>
      <c r="E5" s="3">
        <v>12</v>
      </c>
      <c r="F5" s="3" t="s">
        <v>2001</v>
      </c>
    </row>
    <row r="6" s="2" customFormat="1" spans="1:6">
      <c r="A6" s="3"/>
      <c r="B6" s="3">
        <v>5</v>
      </c>
      <c r="C6" s="2" t="s">
        <v>2008</v>
      </c>
      <c r="D6" s="3" t="s">
        <v>2009</v>
      </c>
      <c r="E6" s="3">
        <v>1</v>
      </c>
      <c r="F6" s="3" t="s">
        <v>2001</v>
      </c>
    </row>
    <row r="7" s="2" customFormat="1" spans="1:6">
      <c r="A7" s="3"/>
      <c r="B7" s="3">
        <v>6</v>
      </c>
      <c r="C7" s="2" t="s">
        <v>2010</v>
      </c>
      <c r="D7" s="3" t="s">
        <v>2011</v>
      </c>
      <c r="E7" s="3">
        <v>7</v>
      </c>
      <c r="F7" s="3" t="s">
        <v>2001</v>
      </c>
    </row>
    <row r="8" s="2" customFormat="1" spans="1:6">
      <c r="A8" s="3"/>
      <c r="B8" s="3">
        <v>7</v>
      </c>
      <c r="C8" s="2" t="s">
        <v>2012</v>
      </c>
      <c r="D8" s="3" t="s">
        <v>2013</v>
      </c>
      <c r="E8" s="3">
        <v>1</v>
      </c>
      <c r="F8" s="3" t="s">
        <v>2001</v>
      </c>
    </row>
    <row r="9" s="2" customFormat="1" spans="1:6">
      <c r="A9" s="3"/>
      <c r="B9" s="3">
        <v>8</v>
      </c>
      <c r="C9" s="2" t="s">
        <v>2014</v>
      </c>
      <c r="D9" s="3" t="s">
        <v>2015</v>
      </c>
      <c r="E9" s="3">
        <v>1</v>
      </c>
      <c r="F9" s="3" t="s">
        <v>2016</v>
      </c>
    </row>
    <row r="10" s="2" customFormat="1" spans="1:6">
      <c r="A10" s="3"/>
      <c r="B10" s="3">
        <v>9</v>
      </c>
      <c r="C10" s="2" t="s">
        <v>2017</v>
      </c>
      <c r="D10" s="3" t="s">
        <v>2018</v>
      </c>
      <c r="E10" s="3">
        <v>25</v>
      </c>
      <c r="F10" s="3" t="s">
        <v>2001</v>
      </c>
    </row>
    <row r="11" s="2" customFormat="1" spans="1:6">
      <c r="A11" s="3"/>
      <c r="B11" s="3">
        <v>10</v>
      </c>
      <c r="C11" s="2" t="s">
        <v>2019</v>
      </c>
      <c r="D11" s="3" t="s">
        <v>2020</v>
      </c>
      <c r="E11" s="3">
        <v>3</v>
      </c>
      <c r="F11" s="3" t="s">
        <v>2001</v>
      </c>
    </row>
    <row r="12" s="2" customFormat="1" spans="1:6">
      <c r="A12" s="3"/>
      <c r="B12" s="3">
        <v>11</v>
      </c>
      <c r="C12" s="2" t="s">
        <v>2021</v>
      </c>
      <c r="D12" s="3" t="s">
        <v>2022</v>
      </c>
      <c r="E12" s="3">
        <v>3</v>
      </c>
      <c r="F12" s="3" t="s">
        <v>2001</v>
      </c>
    </row>
    <row r="13" s="2" customFormat="1" spans="1:6">
      <c r="A13" s="3"/>
      <c r="B13" s="3">
        <v>12</v>
      </c>
      <c r="C13" s="2" t="s">
        <v>2023</v>
      </c>
      <c r="D13" s="3" t="s">
        <v>2024</v>
      </c>
      <c r="E13" s="3">
        <v>1</v>
      </c>
      <c r="F13" s="3" t="s">
        <v>2001</v>
      </c>
    </row>
    <row r="14" s="2" customFormat="1" spans="1:6">
      <c r="A14" s="3"/>
      <c r="B14" s="3">
        <v>13</v>
      </c>
      <c r="C14" s="2" t="s">
        <v>2025</v>
      </c>
      <c r="D14" s="3" t="s">
        <v>2026</v>
      </c>
      <c r="E14" s="3">
        <v>1</v>
      </c>
      <c r="F14" s="3" t="s">
        <v>2001</v>
      </c>
    </row>
    <row r="15" s="2" customFormat="1" spans="1:6">
      <c r="A15" s="3"/>
      <c r="B15" s="3">
        <v>14</v>
      </c>
      <c r="C15" s="2" t="s">
        <v>2027</v>
      </c>
      <c r="D15" s="3" t="s">
        <v>2028</v>
      </c>
      <c r="E15" s="3">
        <v>2</v>
      </c>
      <c r="F15" s="3" t="s">
        <v>2001</v>
      </c>
    </row>
    <row r="16" s="2" customFormat="1" spans="1:6">
      <c r="A16" s="3"/>
      <c r="B16" s="3">
        <v>15</v>
      </c>
      <c r="C16" s="2" t="s">
        <v>2029</v>
      </c>
      <c r="D16" s="3" t="s">
        <v>2030</v>
      </c>
      <c r="E16" s="3">
        <v>2</v>
      </c>
      <c r="F16" s="3" t="s">
        <v>2001</v>
      </c>
    </row>
    <row r="17" s="2" customFormat="1" spans="1:6">
      <c r="A17" s="3"/>
      <c r="B17" s="3">
        <v>16</v>
      </c>
      <c r="C17" s="2" t="s">
        <v>2031</v>
      </c>
      <c r="D17" s="3" t="s">
        <v>2032</v>
      </c>
      <c r="E17" s="3">
        <v>2</v>
      </c>
      <c r="F17" s="3" t="s">
        <v>2001</v>
      </c>
    </row>
    <row r="18" s="2" customFormat="1" spans="1:6">
      <c r="A18" s="3"/>
      <c r="B18" s="3">
        <v>17</v>
      </c>
      <c r="C18" s="2" t="s">
        <v>2033</v>
      </c>
      <c r="D18" s="3" t="s">
        <v>2034</v>
      </c>
      <c r="E18" s="3">
        <v>1</v>
      </c>
      <c r="F18" s="3" t="s">
        <v>2001</v>
      </c>
    </row>
    <row r="19" s="2" customFormat="1" spans="1:6">
      <c r="A19" s="3"/>
      <c r="B19" s="3">
        <v>18</v>
      </c>
      <c r="C19" s="2" t="s">
        <v>2035</v>
      </c>
      <c r="D19" s="3" t="s">
        <v>2036</v>
      </c>
      <c r="E19" s="3">
        <v>2</v>
      </c>
      <c r="F19" s="3" t="s">
        <v>2001</v>
      </c>
    </row>
    <row r="20" s="2" customFormat="1" spans="1:6">
      <c r="A20" s="3"/>
      <c r="B20" s="3">
        <v>19</v>
      </c>
      <c r="C20" s="2" t="s">
        <v>2037</v>
      </c>
      <c r="D20" s="3" t="s">
        <v>2038</v>
      </c>
      <c r="E20" s="3">
        <v>1</v>
      </c>
      <c r="F20" s="3" t="s">
        <v>2001</v>
      </c>
    </row>
    <row r="21" s="2" customFormat="1" spans="1:6">
      <c r="A21" s="3"/>
      <c r="B21" s="3">
        <v>20</v>
      </c>
      <c r="C21" s="2" t="s">
        <v>2039</v>
      </c>
      <c r="D21" s="3" t="s">
        <v>2040</v>
      </c>
      <c r="E21" s="3">
        <v>1</v>
      </c>
      <c r="F21" s="3" t="s">
        <v>2001</v>
      </c>
    </row>
    <row r="22" s="2" customFormat="1" spans="1:6">
      <c r="A22" s="3"/>
      <c r="B22" s="3">
        <v>21</v>
      </c>
      <c r="C22" s="2" t="s">
        <v>2041</v>
      </c>
      <c r="D22" s="3" t="s">
        <v>2042</v>
      </c>
      <c r="E22" s="3">
        <v>2</v>
      </c>
      <c r="F22" s="3" t="s">
        <v>2001</v>
      </c>
    </row>
    <row r="23" s="2" customFormat="1" spans="1:6">
      <c r="A23" s="3"/>
      <c r="B23" s="3">
        <v>22</v>
      </c>
      <c r="C23" s="2" t="s">
        <v>2043</v>
      </c>
      <c r="D23" s="3" t="s">
        <v>2044</v>
      </c>
      <c r="E23" s="3">
        <v>2</v>
      </c>
      <c r="F23" s="3" t="s">
        <v>2001</v>
      </c>
    </row>
    <row r="24" s="2" customFormat="1" spans="1:6">
      <c r="A24" s="3"/>
      <c r="B24" s="3">
        <v>23</v>
      </c>
      <c r="C24" s="2" t="s">
        <v>2045</v>
      </c>
      <c r="D24" s="3" t="s">
        <v>2046</v>
      </c>
      <c r="E24" s="3">
        <v>2</v>
      </c>
      <c r="F24" s="3" t="s">
        <v>2001</v>
      </c>
    </row>
    <row r="25" s="2" customFormat="1" spans="1:6">
      <c r="A25" s="3"/>
      <c r="B25" s="3">
        <v>24</v>
      </c>
      <c r="C25" s="2" t="s">
        <v>2047</v>
      </c>
      <c r="D25" s="3" t="s">
        <v>2048</v>
      </c>
      <c r="E25" s="3">
        <v>1</v>
      </c>
      <c r="F25" s="3" t="s">
        <v>2001</v>
      </c>
    </row>
    <row r="26" s="2" customFormat="1" spans="1:6">
      <c r="A26" s="3"/>
      <c r="B26" s="3">
        <v>25</v>
      </c>
      <c r="C26" s="2" t="s">
        <v>2049</v>
      </c>
      <c r="D26" s="3" t="s">
        <v>2050</v>
      </c>
      <c r="E26" s="3">
        <v>2</v>
      </c>
      <c r="F26" s="3" t="s">
        <v>2001</v>
      </c>
    </row>
    <row r="27" s="2" customFormat="1" spans="1:6">
      <c r="A27" s="3"/>
      <c r="B27" s="3">
        <v>26</v>
      </c>
      <c r="C27" s="2" t="s">
        <v>2051</v>
      </c>
      <c r="D27" s="3" t="s">
        <v>2052</v>
      </c>
      <c r="E27" s="3">
        <v>2</v>
      </c>
      <c r="F27" s="3" t="s">
        <v>2001</v>
      </c>
    </row>
    <row r="28" s="2" customFormat="1" spans="1:6">
      <c r="A28" s="3"/>
      <c r="B28" s="3">
        <v>27</v>
      </c>
      <c r="C28" s="2" t="s">
        <v>2053</v>
      </c>
      <c r="D28" s="3" t="s">
        <v>2054</v>
      </c>
      <c r="E28" s="3">
        <v>1</v>
      </c>
      <c r="F28" s="3" t="s">
        <v>2001</v>
      </c>
    </row>
    <row r="29" s="2" customFormat="1" spans="1:6">
      <c r="A29" s="3"/>
      <c r="B29" s="3">
        <v>28</v>
      </c>
      <c r="C29" s="2" t="s">
        <v>2055</v>
      </c>
      <c r="D29" s="3" t="s">
        <v>2056</v>
      </c>
      <c r="E29" s="3">
        <v>2</v>
      </c>
      <c r="F29" s="3" t="s">
        <v>2001</v>
      </c>
    </row>
    <row r="30" s="2" customFormat="1" spans="1:6">
      <c r="A30" s="3"/>
      <c r="B30" s="3">
        <v>29</v>
      </c>
      <c r="C30" s="2" t="s">
        <v>2057</v>
      </c>
      <c r="D30" s="3" t="s">
        <v>2058</v>
      </c>
      <c r="E30" s="3">
        <v>1</v>
      </c>
      <c r="F30" s="3" t="s">
        <v>2001</v>
      </c>
    </row>
    <row r="31" s="2" customFormat="1" spans="1:6">
      <c r="A31" s="3"/>
      <c r="B31" s="3">
        <v>30</v>
      </c>
      <c r="C31" s="2" t="s">
        <v>2059</v>
      </c>
      <c r="D31" s="3" t="s">
        <v>2060</v>
      </c>
      <c r="E31" s="3">
        <v>2</v>
      </c>
      <c r="F31" s="3" t="s">
        <v>2001</v>
      </c>
    </row>
    <row r="32" s="2" customFormat="1" spans="1:6">
      <c r="A32" s="3"/>
      <c r="B32" s="3">
        <v>31</v>
      </c>
      <c r="C32" s="2" t="s">
        <v>2061</v>
      </c>
      <c r="D32" s="3" t="s">
        <v>2062</v>
      </c>
      <c r="E32" s="3">
        <v>2</v>
      </c>
      <c r="F32" s="3" t="s">
        <v>2001</v>
      </c>
    </row>
    <row r="33" s="2" customFormat="1" spans="1:6">
      <c r="A33" s="3"/>
      <c r="B33" s="3">
        <v>32</v>
      </c>
      <c r="C33" s="2" t="s">
        <v>2063</v>
      </c>
      <c r="D33" s="3" t="s">
        <v>2064</v>
      </c>
      <c r="E33" s="3">
        <v>1</v>
      </c>
      <c r="F33" s="3" t="s">
        <v>2001</v>
      </c>
    </row>
    <row r="34" s="2" customFormat="1" spans="1:6">
      <c r="A34" s="3"/>
      <c r="B34" s="3">
        <v>33</v>
      </c>
      <c r="C34" s="2" t="s">
        <v>2065</v>
      </c>
      <c r="D34" s="3" t="s">
        <v>2066</v>
      </c>
      <c r="E34" s="3">
        <v>2</v>
      </c>
      <c r="F34" s="3" t="s">
        <v>2001</v>
      </c>
    </row>
    <row r="35" s="2" customFormat="1" spans="1:6">
      <c r="A35" s="3"/>
      <c r="B35" s="3">
        <v>34</v>
      </c>
      <c r="C35" s="2" t="s">
        <v>2067</v>
      </c>
      <c r="D35" s="3" t="s">
        <v>2068</v>
      </c>
      <c r="E35" s="3">
        <v>5</v>
      </c>
      <c r="F35" s="3" t="s">
        <v>2001</v>
      </c>
    </row>
    <row r="36" s="2" customFormat="1" spans="1:6">
      <c r="A36" s="3"/>
      <c r="B36" s="3">
        <v>35</v>
      </c>
      <c r="C36" s="2" t="s">
        <v>2069</v>
      </c>
      <c r="D36" s="3" t="s">
        <v>2070</v>
      </c>
      <c r="E36" s="3">
        <v>1</v>
      </c>
      <c r="F36" s="3" t="s">
        <v>2001</v>
      </c>
    </row>
    <row r="37" s="2" customFormat="1" spans="1:6">
      <c r="A37" s="3"/>
      <c r="B37" s="3">
        <v>36</v>
      </c>
      <c r="C37" s="2" t="s">
        <v>2071</v>
      </c>
      <c r="D37" s="3" t="s">
        <v>2072</v>
      </c>
      <c r="E37" s="3">
        <v>1</v>
      </c>
      <c r="F37" s="3" t="s">
        <v>2001</v>
      </c>
    </row>
    <row r="38" s="2" customFormat="1" spans="1:6">
      <c r="A38" s="3"/>
      <c r="B38" s="3">
        <v>37</v>
      </c>
      <c r="C38" s="2" t="s">
        <v>2073</v>
      </c>
      <c r="D38" s="3" t="s">
        <v>2074</v>
      </c>
      <c r="E38" s="3">
        <v>1</v>
      </c>
      <c r="F38" s="3" t="s">
        <v>2001</v>
      </c>
    </row>
    <row r="39" s="2" customFormat="1" spans="1:6">
      <c r="A39" s="3"/>
      <c r="B39" s="3">
        <v>38</v>
      </c>
      <c r="C39" s="2" t="s">
        <v>2075</v>
      </c>
      <c r="D39" s="3" t="s">
        <v>2076</v>
      </c>
      <c r="E39" s="3">
        <v>3</v>
      </c>
      <c r="F39" s="3" t="s">
        <v>2001</v>
      </c>
    </row>
    <row r="40" s="2" customFormat="1" spans="1:6">
      <c r="A40" s="3"/>
      <c r="B40" s="3">
        <v>39</v>
      </c>
      <c r="C40" s="2" t="s">
        <v>2077</v>
      </c>
      <c r="D40" s="3" t="s">
        <v>2078</v>
      </c>
      <c r="E40" s="3">
        <v>2</v>
      </c>
      <c r="F40" s="3" t="s">
        <v>2001</v>
      </c>
    </row>
    <row r="41" s="2" customFormat="1" spans="1:6">
      <c r="A41" s="3"/>
      <c r="B41" s="3">
        <v>40</v>
      </c>
      <c r="C41" s="2" t="s">
        <v>2079</v>
      </c>
      <c r="D41" s="3" t="s">
        <v>2080</v>
      </c>
      <c r="E41" s="3">
        <v>2</v>
      </c>
      <c r="F41" s="3" t="s">
        <v>2001</v>
      </c>
    </row>
    <row r="42" s="2" customFormat="1" spans="1:6">
      <c r="A42" s="3"/>
      <c r="B42" s="3">
        <v>41</v>
      </c>
      <c r="C42" s="2" t="s">
        <v>2081</v>
      </c>
      <c r="D42" s="3" t="s">
        <v>2082</v>
      </c>
      <c r="E42" s="3">
        <v>2</v>
      </c>
      <c r="F42" s="3" t="s">
        <v>2001</v>
      </c>
    </row>
    <row r="43" s="2" customFormat="1" spans="1:6">
      <c r="A43" s="3"/>
      <c r="B43" s="3">
        <v>42</v>
      </c>
      <c r="C43" s="2" t="s">
        <v>2083</v>
      </c>
      <c r="D43" s="3" t="s">
        <v>2084</v>
      </c>
      <c r="E43" s="3">
        <v>2</v>
      </c>
      <c r="F43" s="3" t="s">
        <v>2001</v>
      </c>
    </row>
    <row r="44" s="2" customFormat="1" spans="1:6">
      <c r="A44" s="3"/>
      <c r="B44" s="3">
        <v>43</v>
      </c>
      <c r="C44" s="2" t="s">
        <v>2085</v>
      </c>
      <c r="D44" s="3" t="s">
        <v>2086</v>
      </c>
      <c r="E44" s="3">
        <v>3</v>
      </c>
      <c r="F44" s="3" t="s">
        <v>2001</v>
      </c>
    </row>
    <row r="45" s="2" customFormat="1" spans="1:6">
      <c r="A45" s="3"/>
      <c r="B45" s="3">
        <v>44</v>
      </c>
      <c r="C45" s="2" t="s">
        <v>2087</v>
      </c>
      <c r="D45" s="3" t="s">
        <v>2088</v>
      </c>
      <c r="E45" s="3">
        <v>1</v>
      </c>
      <c r="F45" s="3" t="s">
        <v>2001</v>
      </c>
    </row>
    <row r="46" s="2" customFormat="1" spans="1:6">
      <c r="A46" s="3"/>
      <c r="B46" s="3">
        <v>45</v>
      </c>
      <c r="C46" s="2" t="s">
        <v>2089</v>
      </c>
      <c r="D46" s="3" t="s">
        <v>2090</v>
      </c>
      <c r="E46" s="3">
        <v>2</v>
      </c>
      <c r="F46" s="3" t="s">
        <v>2001</v>
      </c>
    </row>
    <row r="47" s="2" customFormat="1" spans="1:6">
      <c r="A47" s="3"/>
      <c r="B47" s="3">
        <v>46</v>
      </c>
      <c r="C47" s="2" t="s">
        <v>2091</v>
      </c>
      <c r="D47" s="3" t="s">
        <v>2092</v>
      </c>
      <c r="E47" s="3">
        <v>2</v>
      </c>
      <c r="F47" s="3" t="s">
        <v>2001</v>
      </c>
    </row>
    <row r="48" s="2" customFormat="1" spans="1:6">
      <c r="A48" s="3"/>
      <c r="B48" s="3">
        <v>47</v>
      </c>
      <c r="C48" s="2" t="s">
        <v>2093</v>
      </c>
      <c r="D48" s="3" t="s">
        <v>2094</v>
      </c>
      <c r="E48" s="3">
        <v>2</v>
      </c>
      <c r="F48" s="3" t="s">
        <v>2001</v>
      </c>
    </row>
    <row r="49" s="2" customFormat="1" spans="1:6">
      <c r="A49" s="3"/>
      <c r="B49" s="3">
        <v>48</v>
      </c>
      <c r="C49" s="2" t="s">
        <v>2095</v>
      </c>
      <c r="D49" s="3" t="s">
        <v>2096</v>
      </c>
      <c r="E49" s="3">
        <v>1</v>
      </c>
      <c r="F49" s="3" t="s">
        <v>2001</v>
      </c>
    </row>
    <row r="50" s="2" customFormat="1" spans="1:6">
      <c r="A50" s="3"/>
      <c r="B50" s="3">
        <v>49</v>
      </c>
      <c r="C50" s="2" t="s">
        <v>2097</v>
      </c>
      <c r="D50" s="3" t="s">
        <v>2098</v>
      </c>
      <c r="E50" s="3">
        <v>3</v>
      </c>
      <c r="F50" s="3" t="s">
        <v>2001</v>
      </c>
    </row>
    <row r="51" s="2" customFormat="1" spans="1:6">
      <c r="A51" s="3"/>
      <c r="B51" s="3">
        <v>50</v>
      </c>
      <c r="C51" s="2" t="s">
        <v>2099</v>
      </c>
      <c r="D51" s="3" t="s">
        <v>2100</v>
      </c>
      <c r="E51" s="3">
        <v>4</v>
      </c>
      <c r="F51" s="3" t="s">
        <v>2001</v>
      </c>
    </row>
    <row r="52" s="2" customFormat="1" spans="1:6">
      <c r="A52" s="3"/>
      <c r="B52" s="3">
        <v>51</v>
      </c>
      <c r="C52" s="2" t="s">
        <v>2101</v>
      </c>
      <c r="D52" s="3" t="s">
        <v>2102</v>
      </c>
      <c r="E52" s="3">
        <v>1</v>
      </c>
      <c r="F52" s="3" t="s">
        <v>2001</v>
      </c>
    </row>
    <row r="53" s="2" customFormat="1" spans="1:6">
      <c r="A53" s="3"/>
      <c r="B53" s="3">
        <v>52</v>
      </c>
      <c r="C53" s="2" t="s">
        <v>2103</v>
      </c>
      <c r="D53" s="3" t="s">
        <v>2104</v>
      </c>
      <c r="E53" s="3">
        <v>1</v>
      </c>
      <c r="F53" s="3" t="s">
        <v>2001</v>
      </c>
    </row>
    <row r="54" s="2" customFormat="1" spans="1:6">
      <c r="A54" s="3"/>
      <c r="B54" s="3">
        <v>53</v>
      </c>
      <c r="C54" s="2" t="s">
        <v>2105</v>
      </c>
      <c r="D54" s="3" t="s">
        <v>2106</v>
      </c>
      <c r="E54" s="3">
        <v>4</v>
      </c>
      <c r="F54" s="3" t="s">
        <v>2001</v>
      </c>
    </row>
    <row r="55" s="2" customFormat="1" spans="1:6">
      <c r="A55" s="3"/>
      <c r="B55" s="3">
        <v>54</v>
      </c>
      <c r="C55" s="2" t="s">
        <v>2107</v>
      </c>
      <c r="D55" s="3" t="s">
        <v>2108</v>
      </c>
      <c r="E55" s="3">
        <v>2</v>
      </c>
      <c r="F55" s="3" t="s">
        <v>2001</v>
      </c>
    </row>
    <row r="56" s="2" customFormat="1" spans="1:6">
      <c r="A56" s="3"/>
      <c r="B56" s="3">
        <v>55</v>
      </c>
      <c r="C56" s="2" t="s">
        <v>2109</v>
      </c>
      <c r="D56" s="3" t="s">
        <v>2110</v>
      </c>
      <c r="E56" s="3">
        <v>2</v>
      </c>
      <c r="F56" s="3" t="s">
        <v>2001</v>
      </c>
    </row>
    <row r="57" s="2" customFormat="1" spans="1:6">
      <c r="A57" s="3"/>
      <c r="B57" s="3">
        <v>56</v>
      </c>
      <c r="C57" s="2" t="s">
        <v>2111</v>
      </c>
      <c r="D57" s="3" t="s">
        <v>2112</v>
      </c>
      <c r="E57" s="3">
        <v>6</v>
      </c>
      <c r="F57" s="3" t="s">
        <v>2001</v>
      </c>
    </row>
    <row r="58" s="2" customFormat="1" spans="1:6">
      <c r="A58" s="3"/>
      <c r="B58" s="3">
        <v>57</v>
      </c>
      <c r="C58" s="2" t="s">
        <v>2113</v>
      </c>
      <c r="D58" s="3" t="s">
        <v>2114</v>
      </c>
      <c r="E58" s="3">
        <v>1</v>
      </c>
      <c r="F58" s="3" t="s">
        <v>2001</v>
      </c>
    </row>
    <row r="59" s="2" customFormat="1" spans="1:6">
      <c r="A59" s="3"/>
      <c r="B59" s="3">
        <v>58</v>
      </c>
      <c r="C59" s="2" t="s">
        <v>2115</v>
      </c>
      <c r="D59" s="3" t="s">
        <v>2116</v>
      </c>
      <c r="E59" s="3">
        <v>1</v>
      </c>
      <c r="F59" s="3" t="s">
        <v>2001</v>
      </c>
    </row>
    <row r="60" s="2" customFormat="1" spans="1:6">
      <c r="A60" s="3"/>
      <c r="B60" s="3">
        <v>59</v>
      </c>
      <c r="C60" s="2" t="s">
        <v>2117</v>
      </c>
      <c r="D60" s="3" t="s">
        <v>2118</v>
      </c>
      <c r="E60" s="3">
        <v>2</v>
      </c>
      <c r="F60" s="3" t="s">
        <v>2001</v>
      </c>
    </row>
    <row r="61" s="2" customFormat="1" spans="1:6">
      <c r="A61" s="3"/>
      <c r="B61" s="3">
        <v>60</v>
      </c>
      <c r="C61" s="2" t="s">
        <v>2119</v>
      </c>
      <c r="D61" s="3" t="s">
        <v>2120</v>
      </c>
      <c r="E61" s="3">
        <v>2</v>
      </c>
      <c r="F61" s="3" t="s">
        <v>2001</v>
      </c>
    </row>
    <row r="62" s="2" customFormat="1" spans="1:6">
      <c r="A62" s="3"/>
      <c r="B62" s="3">
        <v>61</v>
      </c>
      <c r="C62" s="2" t="s">
        <v>2121</v>
      </c>
      <c r="D62" s="3" t="s">
        <v>2122</v>
      </c>
      <c r="E62" s="3">
        <v>4</v>
      </c>
      <c r="F62" s="3" t="s">
        <v>2001</v>
      </c>
    </row>
    <row r="63" s="2" customFormat="1" spans="1:6">
      <c r="A63" s="3"/>
      <c r="B63" s="3">
        <v>62</v>
      </c>
      <c r="C63" s="2" t="s">
        <v>2123</v>
      </c>
      <c r="D63" s="3" t="s">
        <v>2124</v>
      </c>
      <c r="E63" s="3">
        <v>2</v>
      </c>
      <c r="F63" s="3" t="s">
        <v>2001</v>
      </c>
    </row>
    <row r="64" s="2" customFormat="1" spans="1:6">
      <c r="A64" s="3"/>
      <c r="B64" s="3">
        <v>63</v>
      </c>
      <c r="C64" s="2" t="s">
        <v>2125</v>
      </c>
      <c r="D64" s="3" t="s">
        <v>2126</v>
      </c>
      <c r="E64" s="3">
        <v>2</v>
      </c>
      <c r="F64" s="3" t="s">
        <v>2001</v>
      </c>
    </row>
    <row r="65" s="2" customFormat="1" spans="1:6">
      <c r="A65" s="3"/>
      <c r="B65" s="3">
        <v>64</v>
      </c>
      <c r="C65" s="2" t="s">
        <v>2127</v>
      </c>
      <c r="D65" s="3" t="s">
        <v>2128</v>
      </c>
      <c r="E65" s="3">
        <v>1</v>
      </c>
      <c r="F65" s="3" t="s">
        <v>2001</v>
      </c>
    </row>
    <row r="66" s="2" customFormat="1" spans="1:6">
      <c r="A66" s="3"/>
      <c r="B66" s="3">
        <v>65</v>
      </c>
      <c r="C66" s="2" t="s">
        <v>2129</v>
      </c>
      <c r="D66" s="3" t="s">
        <v>2130</v>
      </c>
      <c r="E66" s="3">
        <v>1</v>
      </c>
      <c r="F66" s="3" t="s">
        <v>2001</v>
      </c>
    </row>
    <row r="67" s="2" customFormat="1" spans="1:6">
      <c r="A67" s="3"/>
      <c r="B67" s="3">
        <v>66</v>
      </c>
      <c r="C67" s="2" t="s">
        <v>2131</v>
      </c>
      <c r="D67" s="3" t="s">
        <v>2132</v>
      </c>
      <c r="E67" s="3">
        <v>1</v>
      </c>
      <c r="F67" s="3" t="s">
        <v>2001</v>
      </c>
    </row>
    <row r="68" s="2" customFormat="1" spans="1:6">
      <c r="A68" s="3"/>
      <c r="B68" s="3">
        <v>67</v>
      </c>
      <c r="C68" s="2" t="s">
        <v>2133</v>
      </c>
      <c r="D68" s="3" t="s">
        <v>2134</v>
      </c>
      <c r="E68" s="3">
        <v>2</v>
      </c>
      <c r="F68" s="3" t="s">
        <v>2001</v>
      </c>
    </row>
    <row r="69" s="2" customFormat="1" spans="1:6">
      <c r="A69" s="3"/>
      <c r="B69" s="3">
        <v>68</v>
      </c>
      <c r="C69" s="2" t="s">
        <v>2135</v>
      </c>
      <c r="D69" s="3" t="s">
        <v>2136</v>
      </c>
      <c r="E69" s="3">
        <v>3</v>
      </c>
      <c r="F69" s="3" t="s">
        <v>2001</v>
      </c>
    </row>
    <row r="70" s="2" customFormat="1" spans="1:6">
      <c r="A70" s="3"/>
      <c r="B70" s="3">
        <v>69</v>
      </c>
      <c r="C70" s="2" t="s">
        <v>2137</v>
      </c>
      <c r="D70" s="3" t="s">
        <v>2138</v>
      </c>
      <c r="E70" s="3">
        <v>1</v>
      </c>
      <c r="F70" s="3" t="s">
        <v>2001</v>
      </c>
    </row>
    <row r="71" s="2" customFormat="1" spans="1:6">
      <c r="A71" s="3"/>
      <c r="B71" s="3">
        <v>70</v>
      </c>
      <c r="C71" s="2" t="s">
        <v>2139</v>
      </c>
      <c r="D71" s="3" t="s">
        <v>2140</v>
      </c>
      <c r="E71" s="3">
        <v>1</v>
      </c>
      <c r="F71" s="3" t="s">
        <v>2001</v>
      </c>
    </row>
    <row r="72" s="2" customFormat="1" spans="1:6">
      <c r="A72" s="3"/>
      <c r="B72" s="3">
        <v>71</v>
      </c>
      <c r="C72" s="2" t="s">
        <v>2141</v>
      </c>
      <c r="D72" s="3" t="s">
        <v>2142</v>
      </c>
      <c r="E72" s="3">
        <v>1</v>
      </c>
      <c r="F72" s="3" t="s">
        <v>2001</v>
      </c>
    </row>
    <row r="73" s="2" customFormat="1" spans="1:6">
      <c r="A73" s="3"/>
      <c r="B73" s="3">
        <v>72</v>
      </c>
      <c r="C73" s="2" t="s">
        <v>2143</v>
      </c>
      <c r="D73" s="3" t="s">
        <v>2144</v>
      </c>
      <c r="E73" s="3">
        <v>5</v>
      </c>
      <c r="F73" s="3" t="s">
        <v>2001</v>
      </c>
    </row>
    <row r="74" s="2" customFormat="1" spans="1:6">
      <c r="A74" s="3"/>
      <c r="B74" s="3">
        <v>73</v>
      </c>
      <c r="C74" s="2" t="s">
        <v>2145</v>
      </c>
      <c r="D74" s="3" t="s">
        <v>2146</v>
      </c>
      <c r="E74" s="3">
        <v>1</v>
      </c>
      <c r="F74" s="3" t="s">
        <v>2001</v>
      </c>
    </row>
    <row r="75" s="2" customFormat="1" spans="1:6">
      <c r="A75" s="3"/>
      <c r="B75" s="3">
        <v>74</v>
      </c>
      <c r="C75" s="2" t="s">
        <v>2147</v>
      </c>
      <c r="D75" s="3" t="s">
        <v>2148</v>
      </c>
      <c r="E75" s="3">
        <v>1</v>
      </c>
      <c r="F75" s="3" t="s">
        <v>2001</v>
      </c>
    </row>
    <row r="76" s="2" customFormat="1" spans="1:6">
      <c r="A76" s="3"/>
      <c r="B76" s="3">
        <v>75</v>
      </c>
      <c r="C76" s="2" t="s">
        <v>2149</v>
      </c>
      <c r="D76" s="3" t="s">
        <v>2150</v>
      </c>
      <c r="E76" s="3">
        <v>3</v>
      </c>
      <c r="F76" s="3" t="s">
        <v>2001</v>
      </c>
    </row>
    <row r="77" s="2" customFormat="1" spans="1:6">
      <c r="A77" s="3"/>
      <c r="B77" s="3">
        <v>76</v>
      </c>
      <c r="C77" s="2" t="s">
        <v>2151</v>
      </c>
      <c r="D77" s="3" t="s">
        <v>2152</v>
      </c>
      <c r="E77" s="3">
        <v>2</v>
      </c>
      <c r="F77" s="3" t="s">
        <v>2001</v>
      </c>
    </row>
    <row r="78" s="2" customFormat="1" spans="1:6">
      <c r="A78" s="3"/>
      <c r="B78" s="3">
        <v>77</v>
      </c>
      <c r="C78" s="2" t="s">
        <v>2153</v>
      </c>
      <c r="D78" s="3" t="s">
        <v>2154</v>
      </c>
      <c r="E78" s="3">
        <v>1</v>
      </c>
      <c r="F78" s="3" t="s">
        <v>2001</v>
      </c>
    </row>
    <row r="79" s="2" customFormat="1" spans="1:6">
      <c r="A79" s="3"/>
      <c r="B79" s="3">
        <v>78</v>
      </c>
      <c r="C79" s="2" t="s">
        <v>2155</v>
      </c>
      <c r="D79" s="3" t="s">
        <v>2156</v>
      </c>
      <c r="E79" s="3">
        <v>5</v>
      </c>
      <c r="F79" s="3" t="s">
        <v>2001</v>
      </c>
    </row>
    <row r="80" s="2" customFormat="1" spans="1:6">
      <c r="A80" s="3"/>
      <c r="B80" s="3">
        <v>79</v>
      </c>
      <c r="C80" s="2" t="s">
        <v>2157</v>
      </c>
      <c r="D80" s="3" t="s">
        <v>2158</v>
      </c>
      <c r="E80" s="3">
        <v>2</v>
      </c>
      <c r="F80" s="3" t="s">
        <v>2001</v>
      </c>
    </row>
    <row r="81" s="2" customFormat="1" spans="1:6">
      <c r="A81" s="3"/>
      <c r="B81" s="3">
        <v>80</v>
      </c>
      <c r="C81" s="2" t="s">
        <v>2159</v>
      </c>
      <c r="D81" s="3" t="s">
        <v>2160</v>
      </c>
      <c r="E81" s="3">
        <v>1</v>
      </c>
      <c r="F81" s="3" t="s">
        <v>2001</v>
      </c>
    </row>
    <row r="82" s="2" customFormat="1" spans="1:6">
      <c r="A82" s="3"/>
      <c r="B82" s="3">
        <v>81</v>
      </c>
      <c r="C82" s="2" t="s">
        <v>2161</v>
      </c>
      <c r="D82" s="3" t="s">
        <v>2162</v>
      </c>
      <c r="E82" s="3">
        <v>1</v>
      </c>
      <c r="F82" s="3" t="s">
        <v>2001</v>
      </c>
    </row>
    <row r="83" s="2" customFormat="1" spans="1:6">
      <c r="A83" s="3"/>
      <c r="B83" s="3">
        <v>82</v>
      </c>
      <c r="C83" s="2" t="s">
        <v>2163</v>
      </c>
      <c r="D83" s="3" t="s">
        <v>2164</v>
      </c>
      <c r="E83" s="3">
        <v>3</v>
      </c>
      <c r="F83" s="3" t="s">
        <v>2001</v>
      </c>
    </row>
    <row r="84" s="2" customFormat="1" spans="1:6">
      <c r="A84" s="3"/>
      <c r="B84" s="3">
        <v>83</v>
      </c>
      <c r="C84" s="2" t="s">
        <v>2165</v>
      </c>
      <c r="D84" s="3" t="s">
        <v>2166</v>
      </c>
      <c r="E84" s="3">
        <v>1</v>
      </c>
      <c r="F84" s="3" t="s">
        <v>2001</v>
      </c>
    </row>
    <row r="85" s="2" customFormat="1" spans="1:6">
      <c r="A85" s="3"/>
      <c r="B85" s="3">
        <v>84</v>
      </c>
      <c r="C85" s="2" t="s">
        <v>2167</v>
      </c>
      <c r="D85" s="3" t="s">
        <v>2168</v>
      </c>
      <c r="E85" s="3">
        <v>2</v>
      </c>
      <c r="F85" s="3" t="s">
        <v>2001</v>
      </c>
    </row>
    <row r="86" s="2" customFormat="1" spans="1:6">
      <c r="A86" s="3"/>
      <c r="B86" s="3">
        <v>85</v>
      </c>
      <c r="C86" s="2" t="s">
        <v>2169</v>
      </c>
      <c r="D86" s="3" t="s">
        <v>2170</v>
      </c>
      <c r="E86" s="3">
        <v>2</v>
      </c>
      <c r="F86" s="3" t="s">
        <v>2001</v>
      </c>
    </row>
    <row r="87" s="2" customFormat="1" spans="1:6">
      <c r="A87" s="3"/>
      <c r="B87" s="3">
        <v>86</v>
      </c>
      <c r="C87" s="2" t="s">
        <v>2171</v>
      </c>
      <c r="D87" s="3" t="s">
        <v>2172</v>
      </c>
      <c r="E87" s="3">
        <v>1</v>
      </c>
      <c r="F87" s="3" t="s">
        <v>2001</v>
      </c>
    </row>
    <row r="88" s="2" customFormat="1" spans="1:6">
      <c r="A88" s="3"/>
      <c r="B88" s="3">
        <v>87</v>
      </c>
      <c r="C88" s="2" t="s">
        <v>2173</v>
      </c>
      <c r="D88" s="3" t="s">
        <v>2174</v>
      </c>
      <c r="E88" s="3">
        <v>1</v>
      </c>
      <c r="F88" s="3" t="s">
        <v>2001</v>
      </c>
    </row>
    <row r="89" s="2" customFormat="1" spans="1:6">
      <c r="A89" s="3"/>
      <c r="B89" s="3">
        <v>88</v>
      </c>
      <c r="C89" s="2" t="s">
        <v>2175</v>
      </c>
      <c r="D89" s="3" t="s">
        <v>2176</v>
      </c>
      <c r="E89" s="3">
        <v>2</v>
      </c>
      <c r="F89" s="3" t="s">
        <v>2001</v>
      </c>
    </row>
    <row r="90" s="2" customFormat="1" spans="1:6">
      <c r="A90" s="3"/>
      <c r="B90" s="3">
        <v>89</v>
      </c>
      <c r="C90" s="2" t="s">
        <v>2177</v>
      </c>
      <c r="D90" s="3" t="s">
        <v>2178</v>
      </c>
      <c r="E90" s="3">
        <v>6</v>
      </c>
      <c r="F90" s="3" t="s">
        <v>2001</v>
      </c>
    </row>
    <row r="91" s="2" customFormat="1" spans="1:6">
      <c r="A91" s="3"/>
      <c r="B91" s="3">
        <v>90</v>
      </c>
      <c r="C91" s="2" t="s">
        <v>2179</v>
      </c>
      <c r="D91" s="3" t="s">
        <v>2180</v>
      </c>
      <c r="E91" s="3">
        <v>2</v>
      </c>
      <c r="F91" s="3" t="s">
        <v>2001</v>
      </c>
    </row>
    <row r="92" s="2" customFormat="1" spans="1:6">
      <c r="A92" s="3"/>
      <c r="B92" s="3">
        <v>91</v>
      </c>
      <c r="C92" s="2" t="s">
        <v>2181</v>
      </c>
      <c r="D92" s="3" t="s">
        <v>2182</v>
      </c>
      <c r="E92" s="3">
        <v>3</v>
      </c>
      <c r="F92" s="3" t="s">
        <v>2001</v>
      </c>
    </row>
    <row r="93" s="2" customFormat="1" spans="1:6">
      <c r="A93" s="3"/>
      <c r="B93" s="3">
        <v>92</v>
      </c>
      <c r="C93" s="2" t="s">
        <v>2183</v>
      </c>
      <c r="D93" s="3" t="s">
        <v>2184</v>
      </c>
      <c r="E93" s="3">
        <v>2</v>
      </c>
      <c r="F93" s="3" t="s">
        <v>2001</v>
      </c>
    </row>
    <row r="94" s="2" customFormat="1" spans="1:6">
      <c r="A94" s="3"/>
      <c r="B94" s="3">
        <v>93</v>
      </c>
      <c r="C94" s="2" t="s">
        <v>2185</v>
      </c>
      <c r="D94" s="3" t="s">
        <v>2186</v>
      </c>
      <c r="E94" s="3">
        <v>2</v>
      </c>
      <c r="F94" s="3" t="s">
        <v>2001</v>
      </c>
    </row>
    <row r="95" s="2" customFormat="1" spans="1:6">
      <c r="A95" s="3"/>
      <c r="B95" s="3">
        <v>94</v>
      </c>
      <c r="C95" s="2" t="s">
        <v>2187</v>
      </c>
      <c r="D95" s="3" t="s">
        <v>2188</v>
      </c>
      <c r="E95" s="3">
        <v>1</v>
      </c>
      <c r="F95" s="3" t="s">
        <v>2001</v>
      </c>
    </row>
    <row r="96" s="2" customFormat="1" spans="1:6">
      <c r="A96" s="3"/>
      <c r="B96" s="3">
        <v>95</v>
      </c>
      <c r="C96" s="2" t="s">
        <v>2189</v>
      </c>
      <c r="D96" s="3" t="s">
        <v>2190</v>
      </c>
      <c r="E96" s="3">
        <v>97</v>
      </c>
      <c r="F96" s="3" t="s">
        <v>2001</v>
      </c>
    </row>
    <row r="97" s="2" customFormat="1" spans="1:6">
      <c r="A97" s="3"/>
      <c r="B97" s="3">
        <v>96</v>
      </c>
      <c r="C97" s="2" t="s">
        <v>2191</v>
      </c>
      <c r="D97" s="3" t="s">
        <v>2192</v>
      </c>
      <c r="E97" s="3">
        <v>3</v>
      </c>
      <c r="F97" s="3" t="s">
        <v>2001</v>
      </c>
    </row>
    <row r="98" s="2" customFormat="1" spans="1:6">
      <c r="A98" s="3"/>
      <c r="B98" s="3">
        <v>97</v>
      </c>
      <c r="C98" s="2" t="s">
        <v>2193</v>
      </c>
      <c r="D98" s="3" t="s">
        <v>2194</v>
      </c>
      <c r="E98" s="3">
        <v>1</v>
      </c>
      <c r="F98" s="3" t="s">
        <v>2001</v>
      </c>
    </row>
    <row r="99" s="2" customFormat="1" spans="1:6">
      <c r="A99" s="3"/>
      <c r="B99" s="3">
        <v>98</v>
      </c>
      <c r="C99" s="2" t="s">
        <v>2195</v>
      </c>
      <c r="D99" s="3" t="s">
        <v>2196</v>
      </c>
      <c r="E99" s="3">
        <v>5</v>
      </c>
      <c r="F99" s="3" t="s">
        <v>2001</v>
      </c>
    </row>
    <row r="100" s="2" customFormat="1" spans="1:6">
      <c r="A100" s="3"/>
      <c r="B100" s="3">
        <v>99</v>
      </c>
      <c r="C100" s="2" t="s">
        <v>2197</v>
      </c>
      <c r="D100" s="3" t="s">
        <v>2198</v>
      </c>
      <c r="E100" s="3">
        <v>5</v>
      </c>
      <c r="F100" s="3" t="s">
        <v>2001</v>
      </c>
    </row>
    <row r="101" s="2" customFormat="1" spans="1:6">
      <c r="A101" s="3"/>
      <c r="B101" s="3">
        <v>100</v>
      </c>
      <c r="C101" s="2" t="s">
        <v>2199</v>
      </c>
      <c r="D101" s="3" t="s">
        <v>2200</v>
      </c>
      <c r="E101" s="3">
        <v>3</v>
      </c>
      <c r="F101" s="3" t="s">
        <v>2001</v>
      </c>
    </row>
    <row r="102" s="2" customFormat="1" spans="1:6">
      <c r="A102" s="3"/>
      <c r="B102" s="3">
        <v>101</v>
      </c>
      <c r="C102" s="2" t="s">
        <v>2201</v>
      </c>
      <c r="D102" s="3" t="s">
        <v>2202</v>
      </c>
      <c r="E102" s="3">
        <v>2</v>
      </c>
      <c r="F102" s="3" t="s">
        <v>2001</v>
      </c>
    </row>
    <row r="103" s="2" customFormat="1" spans="1:6">
      <c r="A103" s="3"/>
      <c r="B103" s="3">
        <v>102</v>
      </c>
      <c r="C103" s="2" t="s">
        <v>2203</v>
      </c>
      <c r="D103" s="3" t="s">
        <v>2204</v>
      </c>
      <c r="E103" s="3">
        <v>4</v>
      </c>
      <c r="F103" s="3" t="s">
        <v>2001</v>
      </c>
    </row>
    <row r="104" s="2" customFormat="1" spans="1:6">
      <c r="A104" s="3"/>
      <c r="B104" s="3">
        <v>103</v>
      </c>
      <c r="C104" s="2" t="s">
        <v>2205</v>
      </c>
      <c r="D104" s="3" t="s">
        <v>2206</v>
      </c>
      <c r="E104" s="3">
        <v>4</v>
      </c>
      <c r="F104" s="3" t="s">
        <v>2001</v>
      </c>
    </row>
    <row r="105" s="2" customFormat="1" spans="1:6">
      <c r="A105" s="3"/>
      <c r="B105" s="3">
        <v>104</v>
      </c>
      <c r="C105" s="2" t="s">
        <v>2207</v>
      </c>
      <c r="D105" s="3" t="s">
        <v>2208</v>
      </c>
      <c r="E105" s="3">
        <v>2</v>
      </c>
      <c r="F105" s="3" t="s">
        <v>2001</v>
      </c>
    </row>
    <row r="106" s="2" customFormat="1" spans="1:6">
      <c r="A106" s="3"/>
      <c r="B106" s="3">
        <v>105</v>
      </c>
      <c r="C106" s="2" t="s">
        <v>2209</v>
      </c>
      <c r="D106" s="3" t="s">
        <v>2210</v>
      </c>
      <c r="E106" s="3">
        <v>5</v>
      </c>
      <c r="F106" s="3" t="s">
        <v>2001</v>
      </c>
    </row>
    <row r="107" s="2" customFormat="1" spans="1:6">
      <c r="A107" s="3"/>
      <c r="B107" s="3">
        <v>106</v>
      </c>
      <c r="C107" s="2" t="s">
        <v>2211</v>
      </c>
      <c r="D107" s="3" t="s">
        <v>2212</v>
      </c>
      <c r="E107" s="3">
        <v>1</v>
      </c>
      <c r="F107" s="3" t="s">
        <v>2001</v>
      </c>
    </row>
    <row r="108" s="2" customFormat="1" spans="1:6">
      <c r="A108" s="3"/>
      <c r="B108" s="3">
        <v>107</v>
      </c>
      <c r="C108" s="2" t="s">
        <v>2213</v>
      </c>
      <c r="D108" s="3" t="s">
        <v>2214</v>
      </c>
      <c r="E108" s="3">
        <v>5</v>
      </c>
      <c r="F108" s="3" t="s">
        <v>2001</v>
      </c>
    </row>
    <row r="109" s="2" customFormat="1" spans="1:6">
      <c r="A109" s="3"/>
      <c r="B109" s="3">
        <v>108</v>
      </c>
      <c r="C109" s="2" t="s">
        <v>2215</v>
      </c>
      <c r="D109" s="3" t="s">
        <v>2216</v>
      </c>
      <c r="E109" s="3">
        <v>2</v>
      </c>
      <c r="F109" s="3" t="s">
        <v>2001</v>
      </c>
    </row>
    <row r="110" s="2" customFormat="1" spans="1:6">
      <c r="A110" s="3"/>
      <c r="B110" s="3">
        <v>109</v>
      </c>
      <c r="C110" s="2" t="s">
        <v>2217</v>
      </c>
      <c r="D110" s="3" t="s">
        <v>2218</v>
      </c>
      <c r="E110" s="3">
        <v>4</v>
      </c>
      <c r="F110" s="3" t="s">
        <v>2001</v>
      </c>
    </row>
    <row r="111" s="2" customFormat="1" spans="1:6">
      <c r="A111" s="3"/>
      <c r="B111" s="3">
        <v>110</v>
      </c>
      <c r="C111" s="2" t="s">
        <v>2219</v>
      </c>
      <c r="D111" s="3" t="s">
        <v>2220</v>
      </c>
      <c r="E111" s="3">
        <v>1</v>
      </c>
      <c r="F111" s="3" t="s">
        <v>2001</v>
      </c>
    </row>
    <row r="112" s="2" customFormat="1" spans="1:6">
      <c r="A112" s="3"/>
      <c r="B112" s="3">
        <v>111</v>
      </c>
      <c r="C112" s="2" t="s">
        <v>2221</v>
      </c>
      <c r="D112" s="3" t="s">
        <v>2222</v>
      </c>
      <c r="E112" s="3">
        <v>2</v>
      </c>
      <c r="F112" s="3" t="s">
        <v>2001</v>
      </c>
    </row>
    <row r="113" s="2" customFormat="1" spans="1:6">
      <c r="A113" s="3"/>
      <c r="B113" s="3">
        <v>112</v>
      </c>
      <c r="C113" s="2" t="s">
        <v>2223</v>
      </c>
      <c r="D113" s="3" t="s">
        <v>2224</v>
      </c>
      <c r="E113" s="3">
        <v>1</v>
      </c>
      <c r="F113" s="3" t="s">
        <v>2001</v>
      </c>
    </row>
    <row r="114" s="2" customFormat="1" spans="1:6">
      <c r="A114" s="3"/>
      <c r="B114" s="3">
        <v>113</v>
      </c>
      <c r="C114" s="2" t="s">
        <v>2225</v>
      </c>
      <c r="D114" s="3" t="s">
        <v>2226</v>
      </c>
      <c r="E114" s="3">
        <v>2</v>
      </c>
      <c r="F114" s="3" t="s">
        <v>2001</v>
      </c>
    </row>
    <row r="115" s="2" customFormat="1" spans="1:6">
      <c r="A115" s="3"/>
      <c r="B115" s="3">
        <v>114</v>
      </c>
      <c r="C115" s="2" t="s">
        <v>2227</v>
      </c>
      <c r="D115" s="3" t="s">
        <v>2228</v>
      </c>
      <c r="E115" s="3">
        <v>4</v>
      </c>
      <c r="F115" s="3" t="s">
        <v>2001</v>
      </c>
    </row>
    <row r="116" s="2" customFormat="1" spans="1:6">
      <c r="A116" s="3"/>
      <c r="B116" s="3">
        <v>115</v>
      </c>
      <c r="C116" s="2" t="s">
        <v>2229</v>
      </c>
      <c r="D116" s="3" t="s">
        <v>2230</v>
      </c>
      <c r="E116" s="3">
        <v>2</v>
      </c>
      <c r="F116" s="3" t="s">
        <v>2001</v>
      </c>
    </row>
    <row r="117" s="2" customFormat="1" spans="1:6">
      <c r="A117" s="3"/>
      <c r="B117" s="3">
        <v>116</v>
      </c>
      <c r="C117" s="2" t="s">
        <v>2231</v>
      </c>
      <c r="D117" s="3" t="s">
        <v>2232</v>
      </c>
      <c r="E117" s="3">
        <v>1</v>
      </c>
      <c r="F117" s="3" t="s">
        <v>2001</v>
      </c>
    </row>
    <row r="118" s="2" customFormat="1" spans="1:6">
      <c r="A118" s="3"/>
      <c r="B118" s="3">
        <v>117</v>
      </c>
      <c r="C118" s="2" t="s">
        <v>2233</v>
      </c>
      <c r="D118" s="3" t="s">
        <v>2234</v>
      </c>
      <c r="E118" s="3">
        <v>4</v>
      </c>
      <c r="F118" s="3" t="s">
        <v>2001</v>
      </c>
    </row>
    <row r="119" s="2" customFormat="1" spans="1:6">
      <c r="A119" s="3"/>
      <c r="B119" s="3">
        <v>118</v>
      </c>
      <c r="C119" s="2" t="s">
        <v>2235</v>
      </c>
      <c r="D119" s="3" t="s">
        <v>2236</v>
      </c>
      <c r="E119" s="3">
        <v>5</v>
      </c>
      <c r="F119" s="3" t="s">
        <v>2001</v>
      </c>
    </row>
    <row r="120" s="2" customFormat="1" spans="1:6">
      <c r="A120" s="3"/>
      <c r="B120" s="3">
        <v>119</v>
      </c>
      <c r="C120" s="2" t="s">
        <v>2237</v>
      </c>
      <c r="D120" s="3" t="s">
        <v>2238</v>
      </c>
      <c r="E120" s="3">
        <v>5</v>
      </c>
      <c r="F120" s="3" t="s">
        <v>2001</v>
      </c>
    </row>
    <row r="121" s="2" customFormat="1" spans="1:6">
      <c r="A121" s="3"/>
      <c r="B121" s="3">
        <v>120</v>
      </c>
      <c r="C121" s="2" t="s">
        <v>2239</v>
      </c>
      <c r="D121" s="3" t="s">
        <v>2240</v>
      </c>
      <c r="E121" s="3">
        <v>-1</v>
      </c>
      <c r="F121" s="3" t="s">
        <v>2001</v>
      </c>
    </row>
    <row r="122" s="2" customFormat="1" spans="1:6">
      <c r="A122" s="3"/>
      <c r="B122" s="3">
        <v>121</v>
      </c>
      <c r="C122" s="2" t="s">
        <v>2241</v>
      </c>
      <c r="D122" s="3" t="s">
        <v>2242</v>
      </c>
      <c r="E122" s="3">
        <v>-1</v>
      </c>
      <c r="F122" s="3" t="s">
        <v>2001</v>
      </c>
    </row>
    <row r="123" s="2" customFormat="1" spans="1:6">
      <c r="A123" s="3"/>
      <c r="B123" s="3">
        <v>122</v>
      </c>
      <c r="C123" s="2" t="s">
        <v>2243</v>
      </c>
      <c r="D123" s="3" t="s">
        <v>2244</v>
      </c>
      <c r="E123" s="3">
        <v>1</v>
      </c>
      <c r="F123" s="3" t="s">
        <v>2001</v>
      </c>
    </row>
    <row r="124" s="2" customFormat="1" spans="1:6">
      <c r="A124" s="3"/>
      <c r="B124" s="3">
        <v>123</v>
      </c>
      <c r="C124" s="2" t="s">
        <v>2245</v>
      </c>
      <c r="D124" s="3" t="s">
        <v>2246</v>
      </c>
      <c r="E124" s="3">
        <v>3</v>
      </c>
      <c r="F124" s="3" t="s">
        <v>2001</v>
      </c>
    </row>
    <row r="125" s="2" customFormat="1" spans="1:6">
      <c r="A125" s="3"/>
      <c r="B125" s="3">
        <v>124</v>
      </c>
      <c r="C125" s="2" t="s">
        <v>2247</v>
      </c>
      <c r="D125" s="3" t="s">
        <v>2248</v>
      </c>
      <c r="E125" s="3">
        <v>10</v>
      </c>
      <c r="F125" s="3" t="s">
        <v>2001</v>
      </c>
    </row>
    <row r="126" s="2" customFormat="1" spans="1:6">
      <c r="A126" s="3"/>
      <c r="B126" s="3">
        <v>125</v>
      </c>
      <c r="C126" s="2" t="s">
        <v>2249</v>
      </c>
      <c r="D126" s="3" t="s">
        <v>2250</v>
      </c>
      <c r="E126" s="3">
        <v>1</v>
      </c>
      <c r="F126" s="3" t="s">
        <v>2001</v>
      </c>
    </row>
    <row r="127" s="2" customFormat="1" spans="1:6">
      <c r="A127" s="3"/>
      <c r="B127" s="3">
        <v>126</v>
      </c>
      <c r="C127" s="2" t="s">
        <v>2251</v>
      </c>
      <c r="D127" s="3" t="s">
        <v>2252</v>
      </c>
      <c r="E127" s="3">
        <v>1</v>
      </c>
      <c r="F127" s="3" t="s">
        <v>2001</v>
      </c>
    </row>
    <row r="128" s="2" customFormat="1" spans="1:6">
      <c r="A128" s="3"/>
      <c r="B128" s="3">
        <v>127</v>
      </c>
      <c r="C128" s="2" t="s">
        <v>2253</v>
      </c>
      <c r="D128" s="3" t="s">
        <v>2254</v>
      </c>
      <c r="E128" s="3">
        <v>1</v>
      </c>
      <c r="F128" s="3" t="s">
        <v>2001</v>
      </c>
    </row>
    <row r="129" s="2" customFormat="1" spans="1:6">
      <c r="A129" s="3"/>
      <c r="B129" s="3">
        <v>128</v>
      </c>
      <c r="C129" s="2" t="s">
        <v>2255</v>
      </c>
      <c r="D129" s="3" t="s">
        <v>2256</v>
      </c>
      <c r="E129" s="3">
        <v>1</v>
      </c>
      <c r="F129" s="3" t="s">
        <v>2001</v>
      </c>
    </row>
    <row r="130" s="2" customFormat="1" spans="1:6">
      <c r="A130" s="3"/>
      <c r="B130" s="3">
        <v>129</v>
      </c>
      <c r="C130" s="2" t="s">
        <v>2257</v>
      </c>
      <c r="D130" s="3" t="s">
        <v>2258</v>
      </c>
      <c r="E130" s="3">
        <v>1</v>
      </c>
      <c r="F130" s="3" t="s">
        <v>2001</v>
      </c>
    </row>
    <row r="131" s="2" customFormat="1" spans="1:6">
      <c r="A131" s="3"/>
      <c r="B131" s="3">
        <v>130</v>
      </c>
      <c r="C131" s="2" t="s">
        <v>2259</v>
      </c>
      <c r="D131" s="3" t="s">
        <v>2260</v>
      </c>
      <c r="E131" s="3">
        <v>3</v>
      </c>
      <c r="F131" s="3" t="s">
        <v>2001</v>
      </c>
    </row>
    <row r="132" s="2" customFormat="1" spans="1:6">
      <c r="A132" s="3"/>
      <c r="B132" s="3">
        <v>131</v>
      </c>
      <c r="C132" s="2" t="s">
        <v>2261</v>
      </c>
      <c r="D132" s="3" t="s">
        <v>2262</v>
      </c>
      <c r="E132" s="3">
        <v>8</v>
      </c>
      <c r="F132" s="3" t="s">
        <v>2001</v>
      </c>
    </row>
    <row r="133" s="2" customFormat="1" spans="1:6">
      <c r="A133" s="3"/>
      <c r="B133" s="3">
        <v>132</v>
      </c>
      <c r="C133" s="2" t="s">
        <v>2263</v>
      </c>
      <c r="D133" s="3" t="s">
        <v>2264</v>
      </c>
      <c r="E133" s="3">
        <v>2</v>
      </c>
      <c r="F133" s="3" t="s">
        <v>2001</v>
      </c>
    </row>
    <row r="134" s="2" customFormat="1" spans="1:6">
      <c r="A134" s="3"/>
      <c r="B134" s="3">
        <v>133</v>
      </c>
      <c r="C134" s="2" t="s">
        <v>2265</v>
      </c>
      <c r="D134" s="3" t="s">
        <v>2266</v>
      </c>
      <c r="E134" s="3">
        <v>3</v>
      </c>
      <c r="F134" s="3" t="s">
        <v>2001</v>
      </c>
    </row>
    <row r="135" s="2" customFormat="1" spans="1:6">
      <c r="A135" s="3"/>
      <c r="B135" s="3">
        <v>134</v>
      </c>
      <c r="C135" s="2" t="s">
        <v>2267</v>
      </c>
      <c r="D135" s="3" t="s">
        <v>2268</v>
      </c>
      <c r="E135" s="3">
        <v>9</v>
      </c>
      <c r="F135" s="3" t="s">
        <v>2001</v>
      </c>
    </row>
    <row r="136" s="2" customFormat="1" spans="1:6">
      <c r="A136" s="3"/>
      <c r="B136" s="3">
        <v>135</v>
      </c>
      <c r="C136" s="2" t="s">
        <v>2269</v>
      </c>
      <c r="D136" s="3" t="s">
        <v>2270</v>
      </c>
      <c r="E136" s="3">
        <v>9</v>
      </c>
      <c r="F136" s="3" t="s">
        <v>2001</v>
      </c>
    </row>
    <row r="137" s="2" customFormat="1" spans="1:6">
      <c r="A137" s="3"/>
      <c r="B137" s="3">
        <v>136</v>
      </c>
      <c r="C137" s="2" t="s">
        <v>2271</v>
      </c>
      <c r="D137" s="3" t="s">
        <v>2272</v>
      </c>
      <c r="E137" s="3">
        <v>1</v>
      </c>
      <c r="F137" s="3" t="s">
        <v>2001</v>
      </c>
    </row>
    <row r="138" s="2" customFormat="1" spans="1:6">
      <c r="A138" s="3"/>
      <c r="B138" s="3">
        <v>137</v>
      </c>
      <c r="C138" s="2" t="s">
        <v>2273</v>
      </c>
      <c r="D138" s="3" t="s">
        <v>2274</v>
      </c>
      <c r="E138" s="3">
        <v>3</v>
      </c>
      <c r="F138" s="3" t="s">
        <v>2001</v>
      </c>
    </row>
    <row r="139" s="2" customFormat="1" spans="1:6">
      <c r="A139" s="3"/>
      <c r="B139" s="3">
        <v>138</v>
      </c>
      <c r="C139" s="2" t="s">
        <v>2275</v>
      </c>
      <c r="D139" s="3" t="s">
        <v>2276</v>
      </c>
      <c r="E139" s="3">
        <v>2</v>
      </c>
      <c r="F139" s="3" t="s">
        <v>2001</v>
      </c>
    </row>
    <row r="140" s="2" customFormat="1" spans="1:6">
      <c r="A140" s="3"/>
      <c r="B140" s="3">
        <v>139</v>
      </c>
      <c r="C140" s="2" t="s">
        <v>2277</v>
      </c>
      <c r="D140" s="3" t="s">
        <v>2278</v>
      </c>
      <c r="E140" s="3">
        <v>5</v>
      </c>
      <c r="F140" s="3" t="s">
        <v>2001</v>
      </c>
    </row>
    <row r="141" s="2" customFormat="1" spans="1:6">
      <c r="A141" s="3"/>
      <c r="B141" s="3">
        <v>140</v>
      </c>
      <c r="C141" s="2" t="s">
        <v>2279</v>
      </c>
      <c r="D141" s="3" t="s">
        <v>2280</v>
      </c>
      <c r="E141" s="3">
        <v>1</v>
      </c>
      <c r="F141" s="3" t="s">
        <v>2001</v>
      </c>
    </row>
    <row r="142" s="2" customFormat="1" spans="1:6">
      <c r="A142" s="3"/>
      <c r="B142" s="3">
        <v>141</v>
      </c>
      <c r="C142" s="2" t="s">
        <v>2281</v>
      </c>
      <c r="D142" s="3" t="s">
        <v>2282</v>
      </c>
      <c r="E142" s="3">
        <v>9</v>
      </c>
      <c r="F142" s="3" t="s">
        <v>2001</v>
      </c>
    </row>
    <row r="143" s="2" customFormat="1" spans="1:6">
      <c r="A143" s="3"/>
      <c r="B143" s="3">
        <v>142</v>
      </c>
      <c r="C143" s="2" t="s">
        <v>2283</v>
      </c>
      <c r="D143" s="3" t="s">
        <v>2284</v>
      </c>
      <c r="E143" s="3">
        <v>5</v>
      </c>
      <c r="F143" s="3" t="s">
        <v>2001</v>
      </c>
    </row>
    <row r="144" s="2" customFormat="1" spans="1:6">
      <c r="A144" s="3"/>
      <c r="B144" s="3">
        <v>143</v>
      </c>
      <c r="C144" s="2" t="s">
        <v>2285</v>
      </c>
      <c r="D144" s="3" t="s">
        <v>2286</v>
      </c>
      <c r="E144" s="3">
        <v>7</v>
      </c>
      <c r="F144" s="3" t="s">
        <v>2001</v>
      </c>
    </row>
    <row r="145" s="2" customFormat="1" spans="1:6">
      <c r="A145" s="3"/>
      <c r="B145" s="3">
        <v>144</v>
      </c>
      <c r="C145" s="2" t="s">
        <v>2287</v>
      </c>
      <c r="D145" s="3" t="s">
        <v>2288</v>
      </c>
      <c r="E145" s="3">
        <v>3</v>
      </c>
      <c r="F145" s="3" t="s">
        <v>2001</v>
      </c>
    </row>
    <row r="146" s="2" customFormat="1" spans="1:6">
      <c r="A146" s="3"/>
      <c r="B146" s="3">
        <v>145</v>
      </c>
      <c r="C146" s="2" t="s">
        <v>2289</v>
      </c>
      <c r="D146" s="3" t="s">
        <v>2290</v>
      </c>
      <c r="E146" s="3">
        <v>4</v>
      </c>
      <c r="F146" s="3" t="s">
        <v>2001</v>
      </c>
    </row>
    <row r="147" s="2" customFormat="1" spans="1:6">
      <c r="A147" s="3"/>
      <c r="B147" s="3">
        <v>146</v>
      </c>
      <c r="C147" s="2" t="s">
        <v>2291</v>
      </c>
      <c r="D147" s="3" t="s">
        <v>2292</v>
      </c>
      <c r="E147" s="3">
        <v>12</v>
      </c>
      <c r="F147" s="3" t="s">
        <v>2001</v>
      </c>
    </row>
    <row r="148" s="2" customFormat="1" spans="1:6">
      <c r="A148" s="3"/>
      <c r="B148" s="3">
        <v>147</v>
      </c>
      <c r="C148" s="2" t="s">
        <v>2293</v>
      </c>
      <c r="D148" s="3" t="s">
        <v>2294</v>
      </c>
      <c r="E148" s="3">
        <v>36</v>
      </c>
      <c r="F148" s="3" t="s">
        <v>2001</v>
      </c>
    </row>
    <row r="149" s="2" customFormat="1" spans="1:6">
      <c r="A149" s="3"/>
      <c r="B149" s="3">
        <v>148</v>
      </c>
      <c r="C149" s="2" t="s">
        <v>2295</v>
      </c>
      <c r="D149" s="3" t="s">
        <v>2296</v>
      </c>
      <c r="E149" s="3">
        <v>5</v>
      </c>
      <c r="F149" s="3" t="s">
        <v>2001</v>
      </c>
    </row>
    <row r="150" s="2" customFormat="1" spans="1:6">
      <c r="A150" s="3"/>
      <c r="B150" s="3">
        <v>149</v>
      </c>
      <c r="C150" s="2" t="s">
        <v>2297</v>
      </c>
      <c r="D150" s="3" t="s">
        <v>2298</v>
      </c>
      <c r="E150" s="3">
        <v>3</v>
      </c>
      <c r="F150" s="3" t="s">
        <v>2001</v>
      </c>
    </row>
    <row r="151" s="2" customFormat="1" spans="1:6">
      <c r="A151" s="3"/>
      <c r="B151" s="3">
        <v>150</v>
      </c>
      <c r="C151" s="2" t="s">
        <v>2299</v>
      </c>
      <c r="D151" s="3" t="s">
        <v>2300</v>
      </c>
      <c r="E151" s="3">
        <v>3</v>
      </c>
      <c r="F151" s="3" t="s">
        <v>2001</v>
      </c>
    </row>
    <row r="152" s="2" customFormat="1" spans="1:6">
      <c r="A152" s="3"/>
      <c r="B152" s="3">
        <v>151</v>
      </c>
      <c r="C152" s="2" t="s">
        <v>2301</v>
      </c>
      <c r="D152" s="3" t="s">
        <v>2302</v>
      </c>
      <c r="E152" s="3">
        <v>3</v>
      </c>
      <c r="F152" s="3" t="s">
        <v>2001</v>
      </c>
    </row>
    <row r="153" s="2" customFormat="1" spans="1:6">
      <c r="A153" s="3"/>
      <c r="B153" s="3">
        <v>152</v>
      </c>
      <c r="C153" s="2" t="s">
        <v>2303</v>
      </c>
      <c r="D153" s="3" t="s">
        <v>2304</v>
      </c>
      <c r="E153" s="3">
        <v>2</v>
      </c>
      <c r="F153" s="3" t="s">
        <v>2001</v>
      </c>
    </row>
    <row r="154" s="2" customFormat="1" spans="1:6">
      <c r="A154" s="3"/>
      <c r="B154" s="3">
        <v>153</v>
      </c>
      <c r="C154" s="2" t="s">
        <v>2305</v>
      </c>
      <c r="D154" s="3" t="s">
        <v>2306</v>
      </c>
      <c r="E154" s="3">
        <v>3</v>
      </c>
      <c r="F154" s="3" t="s">
        <v>2001</v>
      </c>
    </row>
    <row r="155" s="2" customFormat="1" spans="1:6">
      <c r="A155" s="3"/>
      <c r="B155" s="3">
        <v>154</v>
      </c>
      <c r="C155" s="2" t="s">
        <v>2307</v>
      </c>
      <c r="D155" s="3" t="s">
        <v>2308</v>
      </c>
      <c r="E155" s="3">
        <v>2</v>
      </c>
      <c r="F155" s="3" t="s">
        <v>2001</v>
      </c>
    </row>
    <row r="156" s="2" customFormat="1" spans="1:6">
      <c r="A156" s="3"/>
      <c r="B156" s="3">
        <v>155</v>
      </c>
      <c r="C156" s="2" t="s">
        <v>2309</v>
      </c>
      <c r="D156" s="3" t="s">
        <v>2310</v>
      </c>
      <c r="E156" s="3">
        <v>5</v>
      </c>
      <c r="F156" s="3" t="s">
        <v>2001</v>
      </c>
    </row>
    <row r="157" s="2" customFormat="1" spans="1:6">
      <c r="A157" s="3"/>
      <c r="B157" s="3">
        <v>156</v>
      </c>
      <c r="C157" s="2" t="s">
        <v>2311</v>
      </c>
      <c r="D157" s="3" t="s">
        <v>2312</v>
      </c>
      <c r="E157" s="3">
        <v>1</v>
      </c>
      <c r="F157" s="3" t="s">
        <v>2001</v>
      </c>
    </row>
    <row r="158" s="2" customFormat="1" spans="1:6">
      <c r="A158" s="3"/>
      <c r="B158" s="3">
        <v>157</v>
      </c>
      <c r="C158" s="2" t="s">
        <v>2313</v>
      </c>
      <c r="D158" s="3" t="s">
        <v>2314</v>
      </c>
      <c r="E158" s="3">
        <v>2</v>
      </c>
      <c r="F158" s="3" t="s">
        <v>2001</v>
      </c>
    </row>
    <row r="159" s="2" customFormat="1" spans="1:6">
      <c r="A159" s="3"/>
      <c r="B159" s="3">
        <v>158</v>
      </c>
      <c r="C159" s="2" t="s">
        <v>2315</v>
      </c>
      <c r="D159" s="3" t="s">
        <v>2316</v>
      </c>
      <c r="E159" s="3">
        <v>2</v>
      </c>
      <c r="F159" s="3" t="s">
        <v>2001</v>
      </c>
    </row>
    <row r="160" s="2" customFormat="1" spans="1:6">
      <c r="A160" s="3"/>
      <c r="B160" s="3">
        <v>159</v>
      </c>
      <c r="C160" s="2" t="s">
        <v>2317</v>
      </c>
      <c r="D160" s="3" t="s">
        <v>2318</v>
      </c>
      <c r="E160" s="3">
        <v>2</v>
      </c>
      <c r="F160" s="3" t="s">
        <v>2001</v>
      </c>
    </row>
    <row r="161" s="2" customFormat="1" spans="1:6">
      <c r="A161" s="3"/>
      <c r="B161" s="3">
        <v>160</v>
      </c>
      <c r="C161" s="2" t="s">
        <v>2319</v>
      </c>
      <c r="D161" s="3" t="s">
        <v>2320</v>
      </c>
      <c r="E161" s="3">
        <v>1</v>
      </c>
      <c r="F161" s="3" t="s">
        <v>2001</v>
      </c>
    </row>
    <row r="162" s="2" customFormat="1" spans="1:6">
      <c r="A162" s="3"/>
      <c r="B162" s="3">
        <v>161</v>
      </c>
      <c r="C162" s="2" t="s">
        <v>2321</v>
      </c>
      <c r="D162" s="3" t="s">
        <v>2322</v>
      </c>
      <c r="E162" s="3">
        <v>1</v>
      </c>
      <c r="F162" s="3" t="s">
        <v>2001</v>
      </c>
    </row>
    <row r="163" s="2" customFormat="1" spans="1:6">
      <c r="A163" s="3"/>
      <c r="B163" s="3">
        <v>162</v>
      </c>
      <c r="C163" s="2" t="s">
        <v>2323</v>
      </c>
      <c r="D163" s="3" t="s">
        <v>2324</v>
      </c>
      <c r="E163" s="3">
        <v>2</v>
      </c>
      <c r="F163" s="3" t="s">
        <v>2001</v>
      </c>
    </row>
    <row r="164" s="2" customFormat="1" spans="1:6">
      <c r="A164" s="3"/>
      <c r="B164" s="3">
        <v>163</v>
      </c>
      <c r="C164" s="2" t="s">
        <v>2325</v>
      </c>
      <c r="D164" s="3" t="s">
        <v>2326</v>
      </c>
      <c r="E164" s="3">
        <v>2</v>
      </c>
      <c r="F164" s="3" t="s">
        <v>2001</v>
      </c>
    </row>
    <row r="165" s="2" customFormat="1" spans="1:6">
      <c r="A165" s="3"/>
      <c r="B165" s="3">
        <v>164</v>
      </c>
      <c r="C165" s="2" t="s">
        <v>2327</v>
      </c>
      <c r="D165" s="3" t="s">
        <v>2328</v>
      </c>
      <c r="E165" s="3">
        <v>2</v>
      </c>
      <c r="F165" s="3" t="s">
        <v>2001</v>
      </c>
    </row>
    <row r="166" s="2" customFormat="1" spans="1:6">
      <c r="A166" s="3"/>
      <c r="B166" s="3">
        <v>165</v>
      </c>
      <c r="C166" s="2" t="s">
        <v>2329</v>
      </c>
      <c r="D166" s="3" t="s">
        <v>2330</v>
      </c>
      <c r="E166" s="3">
        <v>3</v>
      </c>
      <c r="F166" s="3" t="s">
        <v>2001</v>
      </c>
    </row>
    <row r="167" s="2" customFormat="1" spans="1:6">
      <c r="A167" s="3"/>
      <c r="B167" s="3">
        <v>166</v>
      </c>
      <c r="C167" s="2" t="s">
        <v>2331</v>
      </c>
      <c r="D167" s="3" t="s">
        <v>2332</v>
      </c>
      <c r="E167" s="3">
        <v>1</v>
      </c>
      <c r="F167" s="3" t="s">
        <v>2001</v>
      </c>
    </row>
    <row r="168" s="2" customFormat="1" spans="1:6">
      <c r="A168" s="3"/>
      <c r="B168" s="3">
        <v>167</v>
      </c>
      <c r="C168" s="2" t="s">
        <v>2333</v>
      </c>
      <c r="D168" s="3" t="s">
        <v>2334</v>
      </c>
      <c r="E168" s="3">
        <v>4</v>
      </c>
      <c r="F168" s="3" t="s">
        <v>2001</v>
      </c>
    </row>
    <row r="169" s="2" customFormat="1" spans="1:6">
      <c r="A169" s="3"/>
      <c r="B169" s="3">
        <v>168</v>
      </c>
      <c r="C169" s="2" t="s">
        <v>2335</v>
      </c>
      <c r="D169" s="3" t="s">
        <v>2336</v>
      </c>
      <c r="E169" s="3">
        <v>1</v>
      </c>
      <c r="F169" s="3" t="s">
        <v>2001</v>
      </c>
    </row>
    <row r="170" s="2" customFormat="1" spans="1:6">
      <c r="A170" s="3"/>
      <c r="B170" s="3">
        <v>169</v>
      </c>
      <c r="C170" s="2" t="s">
        <v>2337</v>
      </c>
      <c r="D170" s="3" t="s">
        <v>2338</v>
      </c>
      <c r="E170" s="3">
        <v>6</v>
      </c>
      <c r="F170" s="3" t="s">
        <v>2001</v>
      </c>
    </row>
    <row r="171" s="2" customFormat="1" spans="1:6">
      <c r="A171" s="3"/>
      <c r="B171" s="3">
        <v>170</v>
      </c>
      <c r="C171" s="2" t="s">
        <v>2339</v>
      </c>
      <c r="D171" s="3" t="s">
        <v>2340</v>
      </c>
      <c r="E171" s="3">
        <v>3</v>
      </c>
      <c r="F171" s="3" t="s">
        <v>2001</v>
      </c>
    </row>
    <row r="172" s="2" customFormat="1" spans="1:6">
      <c r="A172" s="3"/>
      <c r="B172" s="3">
        <v>171</v>
      </c>
      <c r="C172" s="2" t="s">
        <v>2341</v>
      </c>
      <c r="D172" s="3" t="s">
        <v>2342</v>
      </c>
      <c r="E172" s="3">
        <v>6</v>
      </c>
      <c r="F172" s="3" t="s">
        <v>2001</v>
      </c>
    </row>
    <row r="173" s="2" customFormat="1" spans="1:6">
      <c r="A173" s="3"/>
      <c r="B173" s="3">
        <v>172</v>
      </c>
      <c r="C173" s="2" t="s">
        <v>2343</v>
      </c>
      <c r="D173" s="3" t="s">
        <v>2344</v>
      </c>
      <c r="E173" s="3">
        <v>2</v>
      </c>
      <c r="F173" s="3" t="s">
        <v>2001</v>
      </c>
    </row>
    <row r="174" s="2" customFormat="1" spans="1:6">
      <c r="A174" s="3"/>
      <c r="B174" s="3">
        <v>173</v>
      </c>
      <c r="C174" s="2" t="s">
        <v>2345</v>
      </c>
      <c r="D174" s="3" t="s">
        <v>2346</v>
      </c>
      <c r="E174" s="3">
        <v>4</v>
      </c>
      <c r="F174" s="3" t="s">
        <v>2001</v>
      </c>
    </row>
    <row r="175" s="2" customFormat="1" spans="1:6">
      <c r="A175" s="3"/>
      <c r="B175" s="3">
        <v>174</v>
      </c>
      <c r="C175" s="2" t="s">
        <v>2347</v>
      </c>
      <c r="D175" s="3" t="s">
        <v>2348</v>
      </c>
      <c r="E175" s="3">
        <v>5</v>
      </c>
      <c r="F175" s="3" t="s">
        <v>2001</v>
      </c>
    </row>
    <row r="176" s="2" customFormat="1" spans="1:6">
      <c r="A176" s="3"/>
      <c r="B176" s="3">
        <v>175</v>
      </c>
      <c r="C176" s="2" t="s">
        <v>2349</v>
      </c>
      <c r="D176" s="3" t="s">
        <v>2350</v>
      </c>
      <c r="E176" s="3">
        <v>8</v>
      </c>
      <c r="F176" s="3" t="s">
        <v>2001</v>
      </c>
    </row>
    <row r="177" s="2" customFormat="1" spans="1:6">
      <c r="A177" s="3"/>
      <c r="B177" s="3">
        <v>176</v>
      </c>
      <c r="C177" s="2" t="s">
        <v>2351</v>
      </c>
      <c r="D177" s="3" t="s">
        <v>2352</v>
      </c>
      <c r="E177" s="3">
        <v>2</v>
      </c>
      <c r="F177" s="3" t="s">
        <v>2001</v>
      </c>
    </row>
    <row r="178" s="2" customFormat="1" spans="1:6">
      <c r="A178" s="3"/>
      <c r="B178" s="3">
        <v>177</v>
      </c>
      <c r="C178" s="2" t="s">
        <v>2353</v>
      </c>
      <c r="D178" s="3" t="s">
        <v>2354</v>
      </c>
      <c r="E178" s="3">
        <v>1</v>
      </c>
      <c r="F178" s="3" t="s">
        <v>2001</v>
      </c>
    </row>
    <row r="179" s="2" customFormat="1" spans="1:6">
      <c r="A179" s="3"/>
      <c r="B179" s="3">
        <v>178</v>
      </c>
      <c r="C179" s="2" t="s">
        <v>2355</v>
      </c>
      <c r="D179" s="3" t="s">
        <v>2356</v>
      </c>
      <c r="E179" s="3">
        <v>10</v>
      </c>
      <c r="F179" s="3" t="s">
        <v>2001</v>
      </c>
    </row>
    <row r="180" s="2" customFormat="1" spans="1:6">
      <c r="A180" s="3"/>
      <c r="B180" s="3">
        <v>179</v>
      </c>
      <c r="C180" s="2" t="s">
        <v>2357</v>
      </c>
      <c r="D180" s="3" t="s">
        <v>2358</v>
      </c>
      <c r="E180" s="3">
        <v>15</v>
      </c>
      <c r="F180" s="3" t="s">
        <v>2001</v>
      </c>
    </row>
    <row r="181" s="2" customFormat="1" spans="1:6">
      <c r="A181" s="3"/>
      <c r="B181" s="3">
        <v>180</v>
      </c>
      <c r="C181" s="2" t="s">
        <v>2359</v>
      </c>
      <c r="D181" s="3" t="s">
        <v>2360</v>
      </c>
      <c r="E181" s="3">
        <v>3</v>
      </c>
      <c r="F181" s="3" t="s">
        <v>2001</v>
      </c>
    </row>
    <row r="182" s="2" customFormat="1" spans="1:6">
      <c r="A182" s="3"/>
      <c r="B182" s="3">
        <v>181</v>
      </c>
      <c r="C182" s="2" t="s">
        <v>2361</v>
      </c>
      <c r="D182" s="3" t="s">
        <v>2362</v>
      </c>
      <c r="E182" s="3">
        <v>4</v>
      </c>
      <c r="F182" s="3" t="s">
        <v>2001</v>
      </c>
    </row>
    <row r="183" s="2" customFormat="1" spans="1:6">
      <c r="A183" s="3"/>
      <c r="B183" s="3">
        <v>182</v>
      </c>
      <c r="C183" s="2" t="s">
        <v>2363</v>
      </c>
      <c r="D183" s="3" t="s">
        <v>2364</v>
      </c>
      <c r="E183" s="3">
        <v>18</v>
      </c>
      <c r="F183" s="3" t="s">
        <v>2001</v>
      </c>
    </row>
    <row r="184" s="2" customFormat="1" spans="1:6">
      <c r="A184" s="3"/>
      <c r="B184" s="3">
        <v>183</v>
      </c>
      <c r="C184" s="2" t="s">
        <v>2365</v>
      </c>
      <c r="D184" s="3" t="s">
        <v>2366</v>
      </c>
      <c r="E184" s="3">
        <v>1</v>
      </c>
      <c r="F184" s="3" t="s">
        <v>2001</v>
      </c>
    </row>
    <row r="185" s="2" customFormat="1" spans="1:6">
      <c r="A185" s="3"/>
      <c r="B185" s="3">
        <v>184</v>
      </c>
      <c r="C185" s="2" t="s">
        <v>2367</v>
      </c>
      <c r="D185" s="3" t="s">
        <v>2368</v>
      </c>
      <c r="E185" s="3">
        <v>20</v>
      </c>
      <c r="F185" s="3" t="s">
        <v>2001</v>
      </c>
    </row>
    <row r="186" s="2" customFormat="1" spans="1:6">
      <c r="A186" s="3"/>
      <c r="B186" s="3">
        <v>185</v>
      </c>
      <c r="C186" s="2" t="s">
        <v>2369</v>
      </c>
      <c r="D186" s="3" t="s">
        <v>2370</v>
      </c>
      <c r="E186" s="3">
        <v>25</v>
      </c>
      <c r="F186" s="3" t="s">
        <v>2001</v>
      </c>
    </row>
    <row r="187" s="2" customFormat="1" spans="1:6">
      <c r="A187" s="3"/>
      <c r="B187" s="3">
        <v>186</v>
      </c>
      <c r="C187" s="2" t="s">
        <v>2371</v>
      </c>
      <c r="D187" s="3" t="s">
        <v>2372</v>
      </c>
      <c r="E187" s="3">
        <v>31</v>
      </c>
      <c r="F187" s="3" t="s">
        <v>2001</v>
      </c>
    </row>
    <row r="188" s="2" customFormat="1" spans="1:6">
      <c r="A188" s="3"/>
      <c r="B188" s="3">
        <v>187</v>
      </c>
      <c r="C188" s="2" t="s">
        <v>2373</v>
      </c>
      <c r="D188" s="3" t="s">
        <v>2374</v>
      </c>
      <c r="E188" s="3">
        <v>1</v>
      </c>
      <c r="F188" s="3" t="s">
        <v>2001</v>
      </c>
    </row>
    <row r="189" s="2" customFormat="1" spans="1:6">
      <c r="A189" s="3"/>
      <c r="B189" s="3">
        <v>188</v>
      </c>
      <c r="C189" s="2" t="s">
        <v>2375</v>
      </c>
      <c r="D189" s="3" t="s">
        <v>2376</v>
      </c>
      <c r="E189" s="3">
        <v>2</v>
      </c>
      <c r="F189" s="3" t="s">
        <v>2001</v>
      </c>
    </row>
    <row r="190" s="2" customFormat="1" spans="1:6">
      <c r="A190" s="3"/>
      <c r="B190" s="3">
        <v>189</v>
      </c>
      <c r="C190" s="2" t="s">
        <v>2377</v>
      </c>
      <c r="D190" s="3" t="s">
        <v>2378</v>
      </c>
      <c r="E190" s="3">
        <v>2</v>
      </c>
      <c r="F190" s="3" t="s">
        <v>2001</v>
      </c>
    </row>
    <row r="191" s="2" customFormat="1" spans="1:6">
      <c r="A191" s="3"/>
      <c r="B191" s="3">
        <v>190</v>
      </c>
      <c r="C191" s="2" t="s">
        <v>2379</v>
      </c>
      <c r="D191" s="3" t="s">
        <v>2380</v>
      </c>
      <c r="E191" s="3">
        <v>4</v>
      </c>
      <c r="F191" s="3" t="s">
        <v>2001</v>
      </c>
    </row>
    <row r="192" s="2" customFormat="1" spans="1:6">
      <c r="A192" s="3"/>
      <c r="B192" s="3">
        <v>191</v>
      </c>
      <c r="C192" s="2" t="s">
        <v>2381</v>
      </c>
      <c r="D192" s="3" t="s">
        <v>2382</v>
      </c>
      <c r="E192" s="3">
        <v>5</v>
      </c>
      <c r="F192" s="3" t="s">
        <v>2001</v>
      </c>
    </row>
    <row r="193" s="2" customFormat="1" spans="1:6">
      <c r="A193" s="3"/>
      <c r="B193" s="3">
        <v>192</v>
      </c>
      <c r="C193" s="2" t="s">
        <v>2383</v>
      </c>
      <c r="D193" s="3" t="s">
        <v>2384</v>
      </c>
      <c r="E193" s="3">
        <v>3</v>
      </c>
      <c r="F193" s="3" t="s">
        <v>2001</v>
      </c>
    </row>
    <row r="194" s="2" customFormat="1" spans="1:6">
      <c r="A194" s="3"/>
      <c r="B194" s="3">
        <v>193</v>
      </c>
      <c r="C194" s="2" t="s">
        <v>2385</v>
      </c>
      <c r="D194" s="3" t="s">
        <v>2386</v>
      </c>
      <c r="E194" s="3">
        <v>4</v>
      </c>
      <c r="F194" s="3" t="s">
        <v>2001</v>
      </c>
    </row>
    <row r="195" s="2" customFormat="1" spans="1:6">
      <c r="A195" s="3"/>
      <c r="B195" s="3">
        <v>194</v>
      </c>
      <c r="C195" s="2" t="s">
        <v>2387</v>
      </c>
      <c r="D195" s="3" t="s">
        <v>2388</v>
      </c>
      <c r="E195" s="3">
        <v>1</v>
      </c>
      <c r="F195" s="3" t="s">
        <v>2001</v>
      </c>
    </row>
    <row r="196" s="2" customFormat="1" spans="1:6">
      <c r="A196" s="3"/>
      <c r="B196" s="3">
        <v>195</v>
      </c>
      <c r="C196" s="2" t="s">
        <v>2389</v>
      </c>
      <c r="D196" s="3" t="s">
        <v>2390</v>
      </c>
      <c r="E196" s="3">
        <v>2</v>
      </c>
      <c r="F196" s="3" t="s">
        <v>2001</v>
      </c>
    </row>
    <row r="197" s="2" customFormat="1" spans="1:6">
      <c r="A197" s="3"/>
      <c r="B197" s="3">
        <v>196</v>
      </c>
      <c r="C197" s="2" t="s">
        <v>2391</v>
      </c>
      <c r="D197" s="3" t="s">
        <v>2392</v>
      </c>
      <c r="E197" s="3">
        <v>2</v>
      </c>
      <c r="F197" s="3" t="s">
        <v>2001</v>
      </c>
    </row>
    <row r="198" s="2" customFormat="1" spans="1:6">
      <c r="A198" s="3"/>
      <c r="B198" s="3">
        <v>197</v>
      </c>
      <c r="C198" s="2" t="s">
        <v>2393</v>
      </c>
      <c r="D198" s="3" t="s">
        <v>2394</v>
      </c>
      <c r="E198" s="3">
        <v>1</v>
      </c>
      <c r="F198" s="3" t="s">
        <v>2001</v>
      </c>
    </row>
    <row r="199" s="2" customFormat="1" spans="1:6">
      <c r="A199" s="3"/>
      <c r="B199" s="3">
        <v>198</v>
      </c>
      <c r="C199" s="2" t="s">
        <v>2395</v>
      </c>
      <c r="D199" s="3" t="s">
        <v>2396</v>
      </c>
      <c r="E199" s="3">
        <v>4</v>
      </c>
      <c r="F199" s="3" t="s">
        <v>2001</v>
      </c>
    </row>
    <row r="200" s="2" customFormat="1" spans="1:6">
      <c r="A200" s="3"/>
      <c r="B200" s="3">
        <v>199</v>
      </c>
      <c r="C200" s="2" t="s">
        <v>2397</v>
      </c>
      <c r="D200" s="3" t="s">
        <v>2398</v>
      </c>
      <c r="E200" s="3">
        <v>5</v>
      </c>
      <c r="F200" s="3" t="s">
        <v>2001</v>
      </c>
    </row>
    <row r="201" s="2" customFormat="1" spans="1:6">
      <c r="A201" s="3"/>
      <c r="B201" s="3">
        <v>200</v>
      </c>
      <c r="C201" s="2" t="s">
        <v>2399</v>
      </c>
      <c r="D201" s="3" t="s">
        <v>2400</v>
      </c>
      <c r="E201" s="3">
        <v>2</v>
      </c>
      <c r="F201" s="3" t="s">
        <v>2001</v>
      </c>
    </row>
    <row r="202" s="2" customFormat="1" spans="1:6">
      <c r="A202" s="3"/>
      <c r="B202" s="3">
        <v>201</v>
      </c>
      <c r="C202" s="2" t="s">
        <v>2401</v>
      </c>
      <c r="D202" s="3" t="s">
        <v>2402</v>
      </c>
      <c r="E202" s="3">
        <v>5</v>
      </c>
      <c r="F202" s="3" t="s">
        <v>2001</v>
      </c>
    </row>
    <row r="203" s="2" customFormat="1" spans="1:6">
      <c r="A203" s="3"/>
      <c r="B203" s="3">
        <v>202</v>
      </c>
      <c r="C203" s="2" t="s">
        <v>2403</v>
      </c>
      <c r="D203" s="3" t="s">
        <v>2404</v>
      </c>
      <c r="E203" s="3">
        <v>2</v>
      </c>
      <c r="F203" s="3" t="s">
        <v>2001</v>
      </c>
    </row>
    <row r="204" s="2" customFormat="1" spans="1:6">
      <c r="A204" s="3"/>
      <c r="B204" s="3">
        <v>203</v>
      </c>
      <c r="C204" s="2" t="s">
        <v>2405</v>
      </c>
      <c r="D204" s="3" t="s">
        <v>2406</v>
      </c>
      <c r="E204" s="3">
        <v>5</v>
      </c>
      <c r="F204" s="3" t="s">
        <v>2001</v>
      </c>
    </row>
    <row r="205" s="2" customFormat="1" spans="1:6">
      <c r="A205" s="3"/>
      <c r="B205" s="3">
        <v>204</v>
      </c>
      <c r="C205" s="2" t="s">
        <v>2407</v>
      </c>
      <c r="D205" s="3" t="s">
        <v>2408</v>
      </c>
      <c r="E205" s="3">
        <v>5</v>
      </c>
      <c r="F205" s="3" t="s">
        <v>2001</v>
      </c>
    </row>
    <row r="206" s="2" customFormat="1" spans="1:6">
      <c r="A206" s="3"/>
      <c r="B206" s="3">
        <v>205</v>
      </c>
      <c r="C206" s="2" t="s">
        <v>2409</v>
      </c>
      <c r="D206" s="3" t="s">
        <v>2410</v>
      </c>
      <c r="E206" s="3">
        <v>34</v>
      </c>
      <c r="F206" s="3" t="s">
        <v>2001</v>
      </c>
    </row>
    <row r="207" s="2" customFormat="1" spans="1:6">
      <c r="A207" s="3"/>
      <c r="B207" s="3">
        <v>206</v>
      </c>
      <c r="C207" s="2" t="s">
        <v>2411</v>
      </c>
      <c r="D207" s="3" t="s">
        <v>2412</v>
      </c>
      <c r="E207" s="3">
        <v>20</v>
      </c>
      <c r="F207" s="3" t="s">
        <v>2001</v>
      </c>
    </row>
    <row r="208" s="2" customFormat="1" spans="1:6">
      <c r="A208" s="3"/>
      <c r="B208" s="3">
        <v>207</v>
      </c>
      <c r="C208" s="2" t="s">
        <v>2413</v>
      </c>
      <c r="D208" s="3" t="s">
        <v>2414</v>
      </c>
      <c r="E208" s="3">
        <v>6</v>
      </c>
      <c r="F208" s="3" t="s">
        <v>2001</v>
      </c>
    </row>
    <row r="209" s="2" customFormat="1" spans="1:6">
      <c r="A209" s="3"/>
      <c r="B209" s="3">
        <v>208</v>
      </c>
      <c r="C209" s="2" t="s">
        <v>2415</v>
      </c>
      <c r="D209" s="3" t="s">
        <v>2416</v>
      </c>
      <c r="E209" s="3">
        <v>2</v>
      </c>
      <c r="F209" s="3" t="s">
        <v>2001</v>
      </c>
    </row>
    <row r="210" s="2" customFormat="1" spans="1:6">
      <c r="A210" s="3"/>
      <c r="B210" s="3">
        <v>209</v>
      </c>
      <c r="C210" s="2" t="s">
        <v>2417</v>
      </c>
      <c r="D210" s="3" t="s">
        <v>2418</v>
      </c>
      <c r="E210" s="3">
        <v>20</v>
      </c>
      <c r="F210" s="3" t="s">
        <v>2001</v>
      </c>
    </row>
    <row r="211" s="2" customFormat="1" spans="1:6">
      <c r="A211" s="3"/>
      <c r="B211" s="3">
        <v>210</v>
      </c>
      <c r="C211" s="2" t="s">
        <v>2419</v>
      </c>
      <c r="D211" s="3" t="s">
        <v>2420</v>
      </c>
      <c r="E211" s="3">
        <v>10</v>
      </c>
      <c r="F211" s="3" t="s">
        <v>2001</v>
      </c>
    </row>
    <row r="212" s="2" customFormat="1" spans="1:6">
      <c r="A212" s="3"/>
      <c r="B212" s="3">
        <v>211</v>
      </c>
      <c r="C212" s="2" t="s">
        <v>2421</v>
      </c>
      <c r="D212" s="3" t="s">
        <v>2422</v>
      </c>
      <c r="E212" s="3">
        <v>2</v>
      </c>
      <c r="F212" s="3" t="s">
        <v>2001</v>
      </c>
    </row>
    <row r="213" s="2" customFormat="1" spans="1:6">
      <c r="A213" s="3"/>
      <c r="B213" s="3">
        <v>212</v>
      </c>
      <c r="C213" s="2" t="s">
        <v>2423</v>
      </c>
      <c r="D213" s="3" t="s">
        <v>2424</v>
      </c>
      <c r="E213" s="3">
        <v>42</v>
      </c>
      <c r="F213" s="3" t="s">
        <v>2001</v>
      </c>
    </row>
    <row r="214" s="2" customFormat="1" spans="1:6">
      <c r="A214" s="3"/>
      <c r="B214" s="3">
        <v>213</v>
      </c>
      <c r="C214" s="2" t="s">
        <v>2425</v>
      </c>
      <c r="D214" s="3" t="s">
        <v>2426</v>
      </c>
      <c r="E214" s="3">
        <v>34</v>
      </c>
      <c r="F214" s="3" t="s">
        <v>2001</v>
      </c>
    </row>
    <row r="215" s="2" customFormat="1" spans="1:6">
      <c r="A215" s="3"/>
      <c r="B215" s="3">
        <v>214</v>
      </c>
      <c r="C215" s="2" t="s">
        <v>2427</v>
      </c>
      <c r="D215" s="3" t="s">
        <v>2428</v>
      </c>
      <c r="E215" s="3">
        <v>34</v>
      </c>
      <c r="F215" s="3" t="s">
        <v>2001</v>
      </c>
    </row>
    <row r="216" s="2" customFormat="1" spans="1:6">
      <c r="A216" s="3"/>
      <c r="B216" s="3">
        <v>215</v>
      </c>
      <c r="C216" s="2" t="s">
        <v>2429</v>
      </c>
      <c r="D216" s="3" t="s">
        <v>2430</v>
      </c>
      <c r="E216" s="3">
        <v>8</v>
      </c>
      <c r="F216" s="3" t="s">
        <v>2001</v>
      </c>
    </row>
    <row r="217" s="2" customFormat="1" spans="1:6">
      <c r="A217" s="3"/>
      <c r="B217" s="3">
        <v>216</v>
      </c>
      <c r="C217" s="2" t="s">
        <v>2431</v>
      </c>
      <c r="D217" s="3" t="s">
        <v>2432</v>
      </c>
      <c r="E217" s="3">
        <v>44</v>
      </c>
      <c r="F217" s="3" t="s">
        <v>2001</v>
      </c>
    </row>
    <row r="218" s="2" customFormat="1" spans="1:6">
      <c r="A218" s="3"/>
      <c r="B218" s="3">
        <v>217</v>
      </c>
      <c r="C218" s="2" t="s">
        <v>2433</v>
      </c>
      <c r="D218" s="3" t="s">
        <v>2434</v>
      </c>
      <c r="E218" s="3">
        <v>42</v>
      </c>
      <c r="F218" s="3" t="s">
        <v>2001</v>
      </c>
    </row>
    <row r="219" s="2" customFormat="1" spans="1:6">
      <c r="A219" s="3"/>
      <c r="B219" s="3">
        <v>218</v>
      </c>
      <c r="C219" s="2" t="s">
        <v>2435</v>
      </c>
      <c r="D219" s="3" t="s">
        <v>2436</v>
      </c>
      <c r="E219" s="3">
        <v>16</v>
      </c>
      <c r="F219" s="3" t="s">
        <v>2001</v>
      </c>
    </row>
    <row r="220" s="2" customFormat="1" spans="1:6">
      <c r="A220" s="3"/>
      <c r="B220" s="3">
        <v>219</v>
      </c>
      <c r="C220" s="2" t="s">
        <v>2437</v>
      </c>
      <c r="D220" s="3" t="s">
        <v>2438</v>
      </c>
      <c r="E220" s="3">
        <v>20</v>
      </c>
      <c r="F220" s="3" t="s">
        <v>2001</v>
      </c>
    </row>
    <row r="221" s="2" customFormat="1" spans="1:6">
      <c r="A221" s="3"/>
      <c r="B221" s="3">
        <v>220</v>
      </c>
      <c r="C221" s="2" t="s">
        <v>2439</v>
      </c>
      <c r="D221" s="3" t="s">
        <v>2440</v>
      </c>
      <c r="E221" s="3">
        <v>11</v>
      </c>
      <c r="F221" s="3" t="s">
        <v>2001</v>
      </c>
    </row>
    <row r="222" s="2" customFormat="1" spans="1:6">
      <c r="A222" s="3"/>
      <c r="B222" s="3">
        <v>221</v>
      </c>
      <c r="C222" s="2" t="s">
        <v>2441</v>
      </c>
      <c r="D222" s="3" t="s">
        <v>2442</v>
      </c>
      <c r="E222" s="3">
        <v>11</v>
      </c>
      <c r="F222" s="3" t="s">
        <v>2001</v>
      </c>
    </row>
    <row r="223" s="2" customFormat="1" spans="1:6">
      <c r="A223" s="3"/>
      <c r="B223" s="3">
        <v>222</v>
      </c>
      <c r="C223" s="2" t="s">
        <v>2443</v>
      </c>
      <c r="D223" s="3" t="s">
        <v>2444</v>
      </c>
      <c r="E223" s="3">
        <v>11</v>
      </c>
      <c r="F223" s="3" t="s">
        <v>2001</v>
      </c>
    </row>
    <row r="224" s="2" customFormat="1" spans="1:6">
      <c r="A224" s="3"/>
      <c r="B224" s="3">
        <v>223</v>
      </c>
      <c r="C224" s="2" t="s">
        <v>2445</v>
      </c>
      <c r="D224" s="3" t="s">
        <v>2446</v>
      </c>
      <c r="E224" s="3">
        <v>12</v>
      </c>
      <c r="F224" s="3" t="s">
        <v>2001</v>
      </c>
    </row>
    <row r="225" s="2" customFormat="1" spans="1:6">
      <c r="A225" s="3"/>
      <c r="B225" s="3">
        <v>224</v>
      </c>
      <c r="C225" s="2" t="s">
        <v>2447</v>
      </c>
      <c r="D225" s="3" t="s">
        <v>2448</v>
      </c>
      <c r="E225" s="3">
        <v>7</v>
      </c>
      <c r="F225" s="3" t="s">
        <v>2001</v>
      </c>
    </row>
    <row r="226" s="2" customFormat="1" spans="1:6">
      <c r="A226" s="3"/>
      <c r="B226" s="3">
        <v>225</v>
      </c>
      <c r="C226" s="2" t="s">
        <v>2449</v>
      </c>
      <c r="D226" s="3" t="s">
        <v>2450</v>
      </c>
      <c r="E226" s="3">
        <v>7</v>
      </c>
      <c r="F226" s="3" t="s">
        <v>2001</v>
      </c>
    </row>
    <row r="227" s="2" customFormat="1" spans="1:6">
      <c r="A227" s="3"/>
      <c r="B227" s="3">
        <v>226</v>
      </c>
      <c r="C227" s="2" t="s">
        <v>2451</v>
      </c>
      <c r="D227" s="3" t="s">
        <v>2452</v>
      </c>
      <c r="E227" s="3">
        <v>4</v>
      </c>
      <c r="F227" s="3" t="s">
        <v>2001</v>
      </c>
    </row>
    <row r="228" s="2" customFormat="1" spans="1:6">
      <c r="A228" s="3"/>
      <c r="B228" s="3">
        <v>227</v>
      </c>
      <c r="C228" s="2" t="s">
        <v>2453</v>
      </c>
      <c r="D228" s="3" t="s">
        <v>2454</v>
      </c>
      <c r="E228" s="3">
        <v>12</v>
      </c>
      <c r="F228" s="3" t="s">
        <v>2001</v>
      </c>
    </row>
    <row r="229" s="2" customFormat="1" spans="1:6">
      <c r="A229" s="3"/>
      <c r="B229" s="3">
        <v>228</v>
      </c>
      <c r="C229" s="2" t="s">
        <v>2455</v>
      </c>
      <c r="D229" s="3" t="s">
        <v>2456</v>
      </c>
      <c r="E229" s="3">
        <v>7</v>
      </c>
      <c r="F229" s="3" t="s">
        <v>2001</v>
      </c>
    </row>
    <row r="230" s="2" customFormat="1" spans="1:6">
      <c r="A230" s="3"/>
      <c r="B230" s="3">
        <v>229</v>
      </c>
      <c r="C230" s="2" t="s">
        <v>2457</v>
      </c>
      <c r="D230" s="3" t="s">
        <v>2458</v>
      </c>
      <c r="E230" s="3">
        <v>13</v>
      </c>
      <c r="F230" s="3" t="s">
        <v>2001</v>
      </c>
    </row>
    <row r="231" s="2" customFormat="1" spans="1:6">
      <c r="A231" s="3"/>
      <c r="B231" s="3">
        <v>230</v>
      </c>
      <c r="C231" s="2" t="s">
        <v>2459</v>
      </c>
      <c r="D231" s="3" t="s">
        <v>2460</v>
      </c>
      <c r="E231" s="3">
        <v>10</v>
      </c>
      <c r="F231" s="3" t="s">
        <v>2001</v>
      </c>
    </row>
    <row r="232" s="2" customFormat="1" spans="1:6">
      <c r="A232" s="3"/>
      <c r="B232" s="3">
        <v>231</v>
      </c>
      <c r="C232" s="2" t="s">
        <v>2461</v>
      </c>
      <c r="D232" s="3" t="s">
        <v>2462</v>
      </c>
      <c r="E232" s="3">
        <v>15</v>
      </c>
      <c r="F232" s="3" t="s">
        <v>2001</v>
      </c>
    </row>
    <row r="233" s="2" customFormat="1" spans="1:6">
      <c r="A233" s="3"/>
      <c r="B233" s="3">
        <v>232</v>
      </c>
      <c r="C233" s="2" t="s">
        <v>2463</v>
      </c>
      <c r="D233" s="3" t="s">
        <v>2464</v>
      </c>
      <c r="E233" s="3">
        <v>1</v>
      </c>
      <c r="F233" s="3" t="s">
        <v>2001</v>
      </c>
    </row>
    <row r="234" s="2" customFormat="1" spans="1:6">
      <c r="A234" s="3"/>
      <c r="B234" s="3">
        <v>233</v>
      </c>
      <c r="C234" s="2" t="s">
        <v>2465</v>
      </c>
      <c r="D234" s="3" t="s">
        <v>2466</v>
      </c>
      <c r="E234" s="3">
        <v>1</v>
      </c>
      <c r="F234" s="3" t="s">
        <v>2001</v>
      </c>
    </row>
    <row r="235" s="2" customFormat="1" spans="1:6">
      <c r="A235" s="3"/>
      <c r="B235" s="3">
        <v>234</v>
      </c>
      <c r="C235" s="2" t="s">
        <v>2467</v>
      </c>
      <c r="D235" s="3" t="s">
        <v>2468</v>
      </c>
      <c r="E235" s="3">
        <v>1</v>
      </c>
      <c r="F235" s="3" t="s">
        <v>2001</v>
      </c>
    </row>
    <row r="236" s="2" customFormat="1" spans="1:6">
      <c r="A236" s="3"/>
      <c r="B236" s="3">
        <v>235</v>
      </c>
      <c r="C236" s="2" t="s">
        <v>2469</v>
      </c>
      <c r="D236" s="3" t="s">
        <v>2470</v>
      </c>
      <c r="E236" s="3">
        <v>3</v>
      </c>
      <c r="F236" s="3" t="s">
        <v>2001</v>
      </c>
    </row>
    <row r="237" s="2" customFormat="1" spans="1:6">
      <c r="A237" s="3"/>
      <c r="B237" s="3">
        <v>236</v>
      </c>
      <c r="C237" s="2" t="s">
        <v>2471</v>
      </c>
      <c r="D237" s="3" t="s">
        <v>2472</v>
      </c>
      <c r="E237" s="3">
        <v>3</v>
      </c>
      <c r="F237" s="3" t="s">
        <v>2001</v>
      </c>
    </row>
    <row r="238" s="2" customFormat="1" spans="1:6">
      <c r="A238" s="3"/>
      <c r="B238" s="3">
        <v>237</v>
      </c>
      <c r="C238" s="2" t="s">
        <v>2473</v>
      </c>
      <c r="D238" s="3" t="s">
        <v>2474</v>
      </c>
      <c r="E238" s="3">
        <v>25</v>
      </c>
      <c r="F238" s="3" t="s">
        <v>2001</v>
      </c>
    </row>
    <row r="239" s="2" customFormat="1" spans="1:6">
      <c r="A239" s="3"/>
      <c r="B239" s="3">
        <v>238</v>
      </c>
      <c r="C239" s="2" t="s">
        <v>2475</v>
      </c>
      <c r="D239" s="3" t="s">
        <v>2476</v>
      </c>
      <c r="E239" s="3">
        <v>20</v>
      </c>
      <c r="F239" s="3" t="s">
        <v>2001</v>
      </c>
    </row>
    <row r="240" s="2" customFormat="1" spans="1:6">
      <c r="A240" s="3"/>
      <c r="B240" s="3">
        <v>239</v>
      </c>
      <c r="C240" s="2" t="s">
        <v>2477</v>
      </c>
      <c r="D240" s="3" t="s">
        <v>2478</v>
      </c>
      <c r="E240" s="3">
        <v>25</v>
      </c>
      <c r="F240" s="3" t="s">
        <v>2001</v>
      </c>
    </row>
    <row r="241" s="2" customFormat="1" spans="1:6">
      <c r="A241" s="3"/>
      <c r="B241" s="3">
        <v>240</v>
      </c>
      <c r="C241" s="2" t="s">
        <v>2479</v>
      </c>
      <c r="D241" s="3" t="s">
        <v>2480</v>
      </c>
      <c r="E241" s="3">
        <v>24</v>
      </c>
      <c r="F241" s="3" t="s">
        <v>2001</v>
      </c>
    </row>
    <row r="242" s="2" customFormat="1" spans="1:6">
      <c r="A242" s="3"/>
      <c r="B242" s="3">
        <v>241</v>
      </c>
      <c r="C242" s="2" t="s">
        <v>2481</v>
      </c>
      <c r="D242" s="3" t="s">
        <v>2482</v>
      </c>
      <c r="E242" s="3">
        <v>21</v>
      </c>
      <c r="F242" s="3" t="s">
        <v>2001</v>
      </c>
    </row>
    <row r="243" s="2" customFormat="1" spans="1:6">
      <c r="A243" s="3"/>
      <c r="B243" s="3">
        <v>242</v>
      </c>
      <c r="C243" s="2" t="s">
        <v>2483</v>
      </c>
      <c r="D243" s="3" t="s">
        <v>2484</v>
      </c>
      <c r="E243" s="3">
        <v>16</v>
      </c>
      <c r="F243" s="3" t="s">
        <v>2001</v>
      </c>
    </row>
    <row r="244" s="2" customFormat="1" spans="1:6">
      <c r="A244" s="3"/>
      <c r="B244" s="3">
        <v>243</v>
      </c>
      <c r="C244" s="2" t="s">
        <v>2485</v>
      </c>
      <c r="D244" s="3" t="s">
        <v>2486</v>
      </c>
      <c r="E244" s="3">
        <v>15</v>
      </c>
      <c r="F244" s="3" t="s">
        <v>2001</v>
      </c>
    </row>
    <row r="245" s="2" customFormat="1" spans="1:6">
      <c r="A245" s="3"/>
      <c r="B245" s="3">
        <v>244</v>
      </c>
      <c r="C245" s="2" t="s">
        <v>2487</v>
      </c>
      <c r="D245" s="3" t="s">
        <v>2488</v>
      </c>
      <c r="E245" s="3">
        <v>22</v>
      </c>
      <c r="F245" s="3" t="s">
        <v>2001</v>
      </c>
    </row>
    <row r="246" s="2" customFormat="1" spans="1:6">
      <c r="A246" s="3"/>
      <c r="B246" s="3">
        <v>245</v>
      </c>
      <c r="C246" s="2" t="s">
        <v>2489</v>
      </c>
      <c r="D246" s="3" t="s">
        <v>2490</v>
      </c>
      <c r="E246" s="3">
        <v>26</v>
      </c>
      <c r="F246" s="3" t="s">
        <v>2001</v>
      </c>
    </row>
    <row r="247" s="2" customFormat="1" spans="1:6">
      <c r="A247" s="3"/>
      <c r="B247" s="3">
        <v>246</v>
      </c>
      <c r="C247" s="2" t="s">
        <v>2491</v>
      </c>
      <c r="D247" s="3" t="s">
        <v>2492</v>
      </c>
      <c r="E247" s="3">
        <v>18</v>
      </c>
      <c r="F247" s="3" t="s">
        <v>2001</v>
      </c>
    </row>
    <row r="248" s="2" customFormat="1" spans="1:6">
      <c r="A248" s="3"/>
      <c r="B248" s="3">
        <v>247</v>
      </c>
      <c r="C248" s="2" t="s">
        <v>2493</v>
      </c>
      <c r="D248" s="3" t="s">
        <v>2494</v>
      </c>
      <c r="E248" s="3">
        <v>9</v>
      </c>
      <c r="F248" s="3" t="s">
        <v>2001</v>
      </c>
    </row>
    <row r="249" s="2" customFormat="1" spans="1:6">
      <c r="A249" s="3"/>
      <c r="B249" s="3">
        <v>248</v>
      </c>
      <c r="C249" s="2" t="s">
        <v>2495</v>
      </c>
      <c r="D249" s="3" t="s">
        <v>2496</v>
      </c>
      <c r="E249" s="3">
        <v>12</v>
      </c>
      <c r="F249" s="3" t="s">
        <v>2001</v>
      </c>
    </row>
    <row r="250" s="2" customFormat="1" spans="1:6">
      <c r="A250" s="3"/>
      <c r="B250" s="3">
        <v>249</v>
      </c>
      <c r="C250" s="2" t="s">
        <v>2497</v>
      </c>
      <c r="D250" s="3" t="s">
        <v>2498</v>
      </c>
      <c r="E250" s="3">
        <v>10</v>
      </c>
      <c r="F250" s="3" t="s">
        <v>2001</v>
      </c>
    </row>
    <row r="251" s="2" customFormat="1" spans="1:6">
      <c r="A251" s="3"/>
      <c r="B251" s="3">
        <v>250</v>
      </c>
      <c r="C251" s="2" t="s">
        <v>2499</v>
      </c>
      <c r="D251" s="3" t="s">
        <v>2500</v>
      </c>
      <c r="E251" s="3">
        <v>11</v>
      </c>
      <c r="F251" s="3" t="s">
        <v>2001</v>
      </c>
    </row>
    <row r="252" s="2" customFormat="1" spans="1:6">
      <c r="A252" s="3"/>
      <c r="B252" s="3">
        <v>251</v>
      </c>
      <c r="C252" s="2" t="s">
        <v>2501</v>
      </c>
      <c r="D252" s="3" t="s">
        <v>2502</v>
      </c>
      <c r="E252" s="3">
        <v>15</v>
      </c>
      <c r="F252" s="3" t="s">
        <v>2001</v>
      </c>
    </row>
    <row r="253" s="2" customFormat="1" spans="1:6">
      <c r="A253" s="3"/>
      <c r="B253" s="3">
        <v>252</v>
      </c>
      <c r="C253" s="2" t="s">
        <v>2503</v>
      </c>
      <c r="D253" s="3" t="s">
        <v>2504</v>
      </c>
      <c r="E253" s="3">
        <v>10</v>
      </c>
      <c r="F253" s="3" t="s">
        <v>2001</v>
      </c>
    </row>
    <row r="254" s="2" customFormat="1" spans="1:6">
      <c r="A254" s="3"/>
      <c r="B254" s="3">
        <v>253</v>
      </c>
      <c r="C254" s="2" t="s">
        <v>2505</v>
      </c>
      <c r="D254" s="3" t="s">
        <v>2506</v>
      </c>
      <c r="E254" s="3">
        <v>6</v>
      </c>
      <c r="F254" s="3" t="s">
        <v>2001</v>
      </c>
    </row>
    <row r="255" s="2" customFormat="1" spans="1:6">
      <c r="A255" s="3"/>
      <c r="B255" s="3">
        <v>254</v>
      </c>
      <c r="C255" s="2" t="s">
        <v>2507</v>
      </c>
      <c r="D255" s="3" t="s">
        <v>2508</v>
      </c>
      <c r="E255" s="3">
        <v>6</v>
      </c>
      <c r="F255" s="3" t="s">
        <v>2001</v>
      </c>
    </row>
    <row r="256" s="2" customFormat="1" spans="1:6">
      <c r="A256" s="3"/>
      <c r="B256" s="3">
        <v>255</v>
      </c>
      <c r="C256" s="2" t="s">
        <v>2509</v>
      </c>
      <c r="D256" s="3" t="s">
        <v>2510</v>
      </c>
      <c r="E256" s="3">
        <v>4</v>
      </c>
      <c r="F256" s="3" t="s">
        <v>2001</v>
      </c>
    </row>
    <row r="257" s="2" customFormat="1" spans="1:6">
      <c r="A257" s="3"/>
      <c r="B257" s="3">
        <v>256</v>
      </c>
      <c r="C257" s="2" t="s">
        <v>2511</v>
      </c>
      <c r="D257" s="3" t="s">
        <v>2512</v>
      </c>
      <c r="E257" s="3">
        <v>2</v>
      </c>
      <c r="F257" s="3" t="s">
        <v>2001</v>
      </c>
    </row>
    <row r="258" s="2" customFormat="1" spans="1:6">
      <c r="A258" s="3"/>
      <c r="B258" s="3">
        <v>257</v>
      </c>
      <c r="C258" s="2" t="s">
        <v>2513</v>
      </c>
      <c r="D258" s="3" t="s">
        <v>2514</v>
      </c>
      <c r="E258" s="3">
        <v>4</v>
      </c>
      <c r="F258" s="3" t="s">
        <v>2001</v>
      </c>
    </row>
    <row r="259" s="2" customFormat="1" spans="1:6">
      <c r="A259" s="3"/>
      <c r="B259" s="3">
        <v>258</v>
      </c>
      <c r="C259" s="2" t="s">
        <v>2515</v>
      </c>
      <c r="D259" s="3" t="s">
        <v>2516</v>
      </c>
      <c r="E259" s="3">
        <v>8</v>
      </c>
      <c r="F259" s="3" t="s">
        <v>2001</v>
      </c>
    </row>
    <row r="260" s="2" customFormat="1" spans="1:6">
      <c r="A260" s="3"/>
      <c r="B260" s="3">
        <v>259</v>
      </c>
      <c r="C260" s="2" t="s">
        <v>2517</v>
      </c>
      <c r="D260" s="3" t="s">
        <v>2518</v>
      </c>
      <c r="E260" s="3">
        <v>4</v>
      </c>
      <c r="F260" s="3" t="s">
        <v>2001</v>
      </c>
    </row>
    <row r="261" s="2" customFormat="1" spans="1:6">
      <c r="A261" s="3"/>
      <c r="B261" s="3">
        <v>260</v>
      </c>
      <c r="C261" s="2" t="s">
        <v>2519</v>
      </c>
      <c r="D261" s="3" t="s">
        <v>2520</v>
      </c>
      <c r="E261" s="3">
        <v>4</v>
      </c>
      <c r="F261" s="3" t="s">
        <v>2001</v>
      </c>
    </row>
    <row r="262" s="2" customFormat="1" spans="1:6">
      <c r="A262" s="3"/>
      <c r="B262" s="3">
        <v>261</v>
      </c>
      <c r="C262" s="2" t="s">
        <v>2521</v>
      </c>
      <c r="D262" s="3" t="s">
        <v>2522</v>
      </c>
      <c r="E262" s="3">
        <v>4</v>
      </c>
      <c r="F262" s="3" t="s">
        <v>2001</v>
      </c>
    </row>
    <row r="263" s="2" customFormat="1" spans="1:6">
      <c r="A263" s="3"/>
      <c r="B263" s="3">
        <v>262</v>
      </c>
      <c r="C263" s="2" t="s">
        <v>2523</v>
      </c>
      <c r="D263" s="3" t="s">
        <v>2524</v>
      </c>
      <c r="E263" s="3">
        <v>4</v>
      </c>
      <c r="F263" s="3" t="s">
        <v>2001</v>
      </c>
    </row>
    <row r="264" s="2" customFormat="1" spans="1:6">
      <c r="A264" s="3"/>
      <c r="B264" s="3">
        <v>263</v>
      </c>
      <c r="C264" s="2" t="s">
        <v>2525</v>
      </c>
      <c r="D264" s="3" t="s">
        <v>2526</v>
      </c>
      <c r="E264" s="3">
        <v>4</v>
      </c>
      <c r="F264" s="3" t="s">
        <v>2001</v>
      </c>
    </row>
    <row r="265" s="2" customFormat="1" spans="1:6">
      <c r="A265" s="3"/>
      <c r="B265" s="3">
        <v>264</v>
      </c>
      <c r="C265" s="2" t="s">
        <v>2527</v>
      </c>
      <c r="D265" s="3" t="s">
        <v>2528</v>
      </c>
      <c r="E265" s="3">
        <v>4</v>
      </c>
      <c r="F265" s="3" t="s">
        <v>2001</v>
      </c>
    </row>
    <row r="266" s="2" customFormat="1" spans="1:6">
      <c r="A266" s="3"/>
      <c r="B266" s="3">
        <v>265</v>
      </c>
      <c r="C266" s="2" t="s">
        <v>2529</v>
      </c>
      <c r="D266" s="3" t="s">
        <v>2530</v>
      </c>
      <c r="E266" s="3">
        <v>4</v>
      </c>
      <c r="F266" s="3" t="s">
        <v>2001</v>
      </c>
    </row>
    <row r="267" s="2" customFormat="1" spans="1:6">
      <c r="A267" s="3"/>
      <c r="B267" s="3">
        <v>266</v>
      </c>
      <c r="C267" s="2" t="s">
        <v>2531</v>
      </c>
      <c r="D267" s="3" t="s">
        <v>2532</v>
      </c>
      <c r="E267" s="3">
        <v>4</v>
      </c>
      <c r="F267" s="3" t="s">
        <v>2001</v>
      </c>
    </row>
    <row r="268" s="2" customFormat="1" spans="1:6">
      <c r="A268" s="3"/>
      <c r="B268" s="3">
        <v>267</v>
      </c>
      <c r="C268" s="2" t="s">
        <v>2533</v>
      </c>
      <c r="D268" s="3" t="s">
        <v>2534</v>
      </c>
      <c r="E268" s="3">
        <v>8</v>
      </c>
      <c r="F268" s="3" t="s">
        <v>2001</v>
      </c>
    </row>
    <row r="269" s="2" customFormat="1" spans="1:6">
      <c r="A269" s="3"/>
      <c r="B269" s="3">
        <v>268</v>
      </c>
      <c r="C269" s="2" t="s">
        <v>2535</v>
      </c>
      <c r="D269" s="3" t="s">
        <v>2536</v>
      </c>
      <c r="E269" s="3">
        <v>8</v>
      </c>
      <c r="F269" s="3" t="s">
        <v>2001</v>
      </c>
    </row>
    <row r="270" s="2" customFormat="1" spans="1:6">
      <c r="A270" s="3"/>
      <c r="B270" s="3">
        <v>269</v>
      </c>
      <c r="C270" s="2" t="s">
        <v>2537</v>
      </c>
      <c r="D270" s="3" t="s">
        <v>2538</v>
      </c>
      <c r="E270" s="3">
        <v>8</v>
      </c>
      <c r="F270" s="3" t="s">
        <v>2001</v>
      </c>
    </row>
    <row r="271" s="2" customFormat="1" spans="1:6">
      <c r="A271" s="3"/>
      <c r="B271" s="3">
        <v>270</v>
      </c>
      <c r="C271" s="2" t="s">
        <v>2539</v>
      </c>
      <c r="D271" s="3" t="s">
        <v>2540</v>
      </c>
      <c r="E271" s="3">
        <v>5</v>
      </c>
      <c r="F271" s="3" t="s">
        <v>2001</v>
      </c>
    </row>
    <row r="272" s="2" customFormat="1" spans="1:6">
      <c r="A272" s="3"/>
      <c r="B272" s="3">
        <v>271</v>
      </c>
      <c r="C272" s="2" t="s">
        <v>2541</v>
      </c>
      <c r="D272" s="3" t="s">
        <v>2542</v>
      </c>
      <c r="E272" s="3">
        <v>4</v>
      </c>
      <c r="F272" s="3" t="s">
        <v>2001</v>
      </c>
    </row>
    <row r="273" s="2" customFormat="1" spans="1:6">
      <c r="A273" s="3"/>
      <c r="B273" s="3">
        <v>272</v>
      </c>
      <c r="C273" s="2" t="s">
        <v>2543</v>
      </c>
      <c r="D273" s="3" t="s">
        <v>2544</v>
      </c>
      <c r="E273" s="3">
        <v>4</v>
      </c>
      <c r="F273" s="3" t="s">
        <v>2001</v>
      </c>
    </row>
    <row r="274" s="2" customFormat="1" spans="1:6">
      <c r="A274" s="3"/>
      <c r="B274" s="3">
        <v>273</v>
      </c>
      <c r="C274" s="2" t="s">
        <v>2545</v>
      </c>
      <c r="D274" s="3" t="s">
        <v>2546</v>
      </c>
      <c r="E274" s="3">
        <v>2</v>
      </c>
      <c r="F274" s="3" t="s">
        <v>2001</v>
      </c>
    </row>
    <row r="275" s="2" customFormat="1" spans="1:6">
      <c r="A275" s="3"/>
      <c r="B275" s="3">
        <v>274</v>
      </c>
      <c r="C275" s="2" t="s">
        <v>2547</v>
      </c>
      <c r="D275" s="3" t="s">
        <v>2548</v>
      </c>
      <c r="E275" s="3">
        <v>8</v>
      </c>
      <c r="F275" s="3" t="s">
        <v>2001</v>
      </c>
    </row>
    <row r="276" s="2" customFormat="1" spans="1:6">
      <c r="A276" s="3"/>
      <c r="B276" s="3">
        <v>275</v>
      </c>
      <c r="C276" s="2" t="s">
        <v>2549</v>
      </c>
      <c r="D276" s="3" t="s">
        <v>2550</v>
      </c>
      <c r="E276" s="3">
        <v>4</v>
      </c>
      <c r="F276" s="3" t="s">
        <v>2001</v>
      </c>
    </row>
    <row r="277" s="2" customFormat="1" spans="1:6">
      <c r="A277" s="3"/>
      <c r="B277" s="3">
        <v>276</v>
      </c>
      <c r="C277" s="2" t="s">
        <v>2551</v>
      </c>
      <c r="D277" s="3" t="s">
        <v>2552</v>
      </c>
      <c r="E277" s="3">
        <v>4</v>
      </c>
      <c r="F277" s="3" t="s">
        <v>2001</v>
      </c>
    </row>
    <row r="278" s="2" customFormat="1" spans="1:6">
      <c r="A278" s="3"/>
      <c r="B278" s="3">
        <v>277</v>
      </c>
      <c r="C278" s="2" t="s">
        <v>2553</v>
      </c>
      <c r="D278" s="3" t="s">
        <v>2554</v>
      </c>
      <c r="E278" s="3">
        <v>4</v>
      </c>
      <c r="F278" s="3" t="s">
        <v>2001</v>
      </c>
    </row>
    <row r="279" s="2" customFormat="1" spans="1:6">
      <c r="A279" s="3"/>
      <c r="B279" s="3">
        <v>278</v>
      </c>
      <c r="C279" s="2" t="s">
        <v>2555</v>
      </c>
      <c r="D279" s="3" t="s">
        <v>2556</v>
      </c>
      <c r="E279" s="3">
        <v>4</v>
      </c>
      <c r="F279" s="3" t="s">
        <v>2001</v>
      </c>
    </row>
    <row r="280" s="2" customFormat="1" spans="1:6">
      <c r="A280" s="3"/>
      <c r="B280" s="3">
        <v>279</v>
      </c>
      <c r="C280" s="2" t="s">
        <v>2557</v>
      </c>
      <c r="D280" s="3" t="s">
        <v>2558</v>
      </c>
      <c r="E280" s="3">
        <v>4</v>
      </c>
      <c r="F280" s="3" t="s">
        <v>2001</v>
      </c>
    </row>
    <row r="281" s="2" customFormat="1" spans="1:6">
      <c r="A281" s="3"/>
      <c r="B281" s="3">
        <v>280</v>
      </c>
      <c r="C281" s="2" t="s">
        <v>2559</v>
      </c>
      <c r="D281" s="3" t="s">
        <v>2560</v>
      </c>
      <c r="E281" s="3">
        <v>2</v>
      </c>
      <c r="F281" s="3" t="s">
        <v>2001</v>
      </c>
    </row>
    <row r="282" s="2" customFormat="1" spans="1:6">
      <c r="A282" s="3"/>
      <c r="B282" s="3">
        <v>281</v>
      </c>
      <c r="C282" s="2" t="s">
        <v>2561</v>
      </c>
      <c r="D282" s="3" t="s">
        <v>2562</v>
      </c>
      <c r="E282" s="3">
        <v>4</v>
      </c>
      <c r="F282" s="3" t="s">
        <v>2001</v>
      </c>
    </row>
    <row r="283" s="2" customFormat="1" spans="1:6">
      <c r="A283" s="3"/>
      <c r="B283" s="3">
        <v>282</v>
      </c>
      <c r="C283" s="2" t="s">
        <v>2563</v>
      </c>
      <c r="D283" s="3" t="s">
        <v>2564</v>
      </c>
      <c r="E283" s="3">
        <v>4</v>
      </c>
      <c r="F283" s="3" t="s">
        <v>2001</v>
      </c>
    </row>
    <row r="284" s="2" customFormat="1" spans="1:6">
      <c r="A284" s="3"/>
      <c r="B284" s="3">
        <v>283</v>
      </c>
      <c r="C284" s="2" t="s">
        <v>2565</v>
      </c>
      <c r="D284" s="3" t="s">
        <v>2566</v>
      </c>
      <c r="E284" s="3">
        <v>2</v>
      </c>
      <c r="F284" s="3" t="s">
        <v>2001</v>
      </c>
    </row>
    <row r="285" s="2" customFormat="1" spans="1:6">
      <c r="A285" s="3"/>
      <c r="B285" s="3">
        <v>284</v>
      </c>
      <c r="C285" s="2" t="s">
        <v>2567</v>
      </c>
      <c r="D285" s="3" t="s">
        <v>2568</v>
      </c>
      <c r="E285" s="3">
        <v>10</v>
      </c>
      <c r="F285" s="3" t="s">
        <v>2001</v>
      </c>
    </row>
    <row r="286" s="2" customFormat="1" spans="1:6">
      <c r="A286" s="3"/>
      <c r="B286" s="3">
        <v>285</v>
      </c>
      <c r="C286" s="2" t="s">
        <v>2569</v>
      </c>
      <c r="D286" s="3" t="s">
        <v>2570</v>
      </c>
      <c r="E286" s="3">
        <v>3</v>
      </c>
      <c r="F286" s="3" t="s">
        <v>2001</v>
      </c>
    </row>
    <row r="287" s="2" customFormat="1" spans="1:6">
      <c r="A287" s="3"/>
      <c r="B287" s="3">
        <v>286</v>
      </c>
      <c r="C287" s="2" t="s">
        <v>2571</v>
      </c>
      <c r="D287" s="3" t="s">
        <v>2572</v>
      </c>
      <c r="E287" s="3">
        <v>1</v>
      </c>
      <c r="F287" s="3" t="s">
        <v>2001</v>
      </c>
    </row>
    <row r="288" s="2" customFormat="1" spans="1:6">
      <c r="A288" s="3"/>
      <c r="B288" s="3">
        <v>287</v>
      </c>
      <c r="C288" s="2" t="s">
        <v>2573</v>
      </c>
      <c r="D288" s="3" t="s">
        <v>2574</v>
      </c>
      <c r="E288" s="3">
        <v>1</v>
      </c>
      <c r="F288" s="3" t="s">
        <v>2001</v>
      </c>
    </row>
    <row r="289" s="2" customFormat="1" spans="1:6">
      <c r="A289" s="3"/>
      <c r="B289" s="3">
        <v>288</v>
      </c>
      <c r="C289" s="2" t="s">
        <v>2575</v>
      </c>
      <c r="D289" s="3" t="s">
        <v>2576</v>
      </c>
      <c r="E289" s="3">
        <v>20</v>
      </c>
      <c r="F289" s="3" t="s">
        <v>2001</v>
      </c>
    </row>
    <row r="290" s="2" customFormat="1" spans="1:6">
      <c r="A290" s="3"/>
      <c r="B290" s="3">
        <v>289</v>
      </c>
      <c r="C290" s="2" t="s">
        <v>2577</v>
      </c>
      <c r="D290" s="3" t="s">
        <v>2578</v>
      </c>
      <c r="E290" s="3">
        <v>21</v>
      </c>
      <c r="F290" s="3" t="s">
        <v>2001</v>
      </c>
    </row>
    <row r="291" s="2" customFormat="1" spans="1:6">
      <c r="A291" s="3"/>
      <c r="B291" s="3">
        <v>290</v>
      </c>
      <c r="C291" s="2" t="s">
        <v>113</v>
      </c>
      <c r="D291" s="3" t="s">
        <v>2579</v>
      </c>
      <c r="E291" s="3">
        <v>19</v>
      </c>
      <c r="F291" s="3" t="s">
        <v>2001</v>
      </c>
    </row>
    <row r="292" s="2" customFormat="1" spans="1:6">
      <c r="A292" s="3"/>
      <c r="B292" s="3">
        <v>291</v>
      </c>
      <c r="C292" s="2" t="s">
        <v>2580</v>
      </c>
      <c r="D292" s="3" t="s">
        <v>2581</v>
      </c>
      <c r="E292" s="3">
        <v>21</v>
      </c>
      <c r="F292" s="3" t="s">
        <v>2001</v>
      </c>
    </row>
    <row r="293" s="2" customFormat="1" spans="1:6">
      <c r="A293" s="3"/>
      <c r="B293" s="3">
        <v>292</v>
      </c>
      <c r="C293" s="2" t="s">
        <v>2582</v>
      </c>
      <c r="D293" s="3" t="s">
        <v>2583</v>
      </c>
      <c r="E293" s="3">
        <v>11</v>
      </c>
      <c r="F293" s="3" t="s">
        <v>2001</v>
      </c>
    </row>
    <row r="294" s="2" customFormat="1" spans="1:6">
      <c r="A294" s="3"/>
      <c r="B294" s="3">
        <v>293</v>
      </c>
      <c r="C294" s="2" t="s">
        <v>2584</v>
      </c>
      <c r="D294" s="3" t="s">
        <v>2585</v>
      </c>
      <c r="E294" s="3">
        <v>18</v>
      </c>
      <c r="F294" s="3" t="s">
        <v>2001</v>
      </c>
    </row>
    <row r="295" s="2" customFormat="1" spans="1:6">
      <c r="A295" s="3"/>
      <c r="B295" s="3">
        <v>294</v>
      </c>
      <c r="C295" s="2" t="s">
        <v>2586</v>
      </c>
      <c r="D295" s="3" t="s">
        <v>2587</v>
      </c>
      <c r="E295" s="3">
        <v>6</v>
      </c>
      <c r="F295" s="3" t="s">
        <v>2001</v>
      </c>
    </row>
    <row r="296" s="2" customFormat="1" spans="1:6">
      <c r="A296" s="3"/>
      <c r="B296" s="3">
        <v>295</v>
      </c>
      <c r="C296" s="2" t="s">
        <v>2588</v>
      </c>
      <c r="D296" s="3" t="s">
        <v>2589</v>
      </c>
      <c r="E296" s="3">
        <v>35</v>
      </c>
      <c r="F296" s="3" t="s">
        <v>2001</v>
      </c>
    </row>
    <row r="297" s="2" customFormat="1" spans="1:6">
      <c r="A297" s="3"/>
      <c r="B297" s="3">
        <v>296</v>
      </c>
      <c r="C297" s="2" t="s">
        <v>2590</v>
      </c>
      <c r="D297" s="3" t="s">
        <v>2591</v>
      </c>
      <c r="E297" s="3">
        <v>12</v>
      </c>
      <c r="F297" s="3" t="s">
        <v>2001</v>
      </c>
    </row>
    <row r="298" s="2" customFormat="1" spans="1:6">
      <c r="A298" s="3"/>
      <c r="B298" s="3">
        <v>297</v>
      </c>
      <c r="C298" s="2" t="s">
        <v>2592</v>
      </c>
      <c r="D298" s="3" t="s">
        <v>2593</v>
      </c>
      <c r="E298" s="3">
        <v>1</v>
      </c>
      <c r="F298" s="3" t="s">
        <v>2001</v>
      </c>
    </row>
    <row r="299" s="2" customFormat="1" spans="1:6">
      <c r="A299" s="3"/>
      <c r="B299" s="3">
        <v>298</v>
      </c>
      <c r="C299" s="2" t="s">
        <v>2594</v>
      </c>
      <c r="D299" s="3" t="s">
        <v>2595</v>
      </c>
      <c r="E299" s="3">
        <v>1</v>
      </c>
      <c r="F299" s="3" t="s">
        <v>2001</v>
      </c>
    </row>
    <row r="300" s="2" customFormat="1" spans="1:6">
      <c r="A300" s="3"/>
      <c r="B300" s="3">
        <v>299</v>
      </c>
      <c r="C300" s="2" t="s">
        <v>2596</v>
      </c>
      <c r="D300" s="3" t="s">
        <v>2597</v>
      </c>
      <c r="E300" s="3">
        <v>1</v>
      </c>
      <c r="F300" s="3" t="s">
        <v>2001</v>
      </c>
    </row>
    <row r="301" s="2" customFormat="1" spans="1:6">
      <c r="A301" s="3"/>
      <c r="B301" s="3">
        <v>300</v>
      </c>
      <c r="C301" s="2" t="s">
        <v>2598</v>
      </c>
      <c r="D301" s="3" t="s">
        <v>2599</v>
      </c>
      <c r="E301" s="3">
        <v>1</v>
      </c>
      <c r="F301" s="3" t="s">
        <v>2001</v>
      </c>
    </row>
    <row r="302" s="2" customFormat="1" spans="1:6">
      <c r="A302" s="3"/>
      <c r="B302" s="3">
        <v>301</v>
      </c>
      <c r="C302" s="2" t="s">
        <v>2600</v>
      </c>
      <c r="D302" s="3" t="s">
        <v>2601</v>
      </c>
      <c r="E302" s="3">
        <v>1</v>
      </c>
      <c r="F302" s="3" t="s">
        <v>2001</v>
      </c>
    </row>
    <row r="303" s="2" customFormat="1" spans="1:6">
      <c r="A303" s="3"/>
      <c r="B303" s="3">
        <v>302</v>
      </c>
      <c r="C303" s="2" t="s">
        <v>2602</v>
      </c>
      <c r="D303" s="3" t="s">
        <v>2603</v>
      </c>
      <c r="E303" s="3">
        <v>1</v>
      </c>
      <c r="F303" s="3" t="s">
        <v>2001</v>
      </c>
    </row>
    <row r="304" s="2" customFormat="1" spans="1:6">
      <c r="A304" s="3"/>
      <c r="B304" s="3">
        <v>303</v>
      </c>
      <c r="C304" s="2" t="s">
        <v>2604</v>
      </c>
      <c r="D304" s="3" t="s">
        <v>2605</v>
      </c>
      <c r="E304" s="3">
        <v>16</v>
      </c>
      <c r="F304" s="3" t="s">
        <v>2016</v>
      </c>
    </row>
    <row r="305" s="2" customFormat="1" spans="1:6">
      <c r="A305" s="3"/>
      <c r="B305" s="3">
        <v>304</v>
      </c>
      <c r="C305" s="2" t="s">
        <v>2606</v>
      </c>
      <c r="D305" s="3" t="s">
        <v>2607</v>
      </c>
      <c r="E305" s="3">
        <v>38</v>
      </c>
      <c r="F305" s="3" t="s">
        <v>2016</v>
      </c>
    </row>
    <row r="306" s="2" customFormat="1" spans="1:6">
      <c r="A306" s="3"/>
      <c r="B306" s="3">
        <v>305</v>
      </c>
      <c r="C306" s="2" t="s">
        <v>2608</v>
      </c>
      <c r="D306" s="3" t="s">
        <v>2609</v>
      </c>
      <c r="E306" s="3">
        <v>24</v>
      </c>
      <c r="F306" s="3" t="s">
        <v>2001</v>
      </c>
    </row>
    <row r="307" s="2" customFormat="1" spans="1:6">
      <c r="A307" s="3"/>
      <c r="B307" s="3">
        <v>306</v>
      </c>
      <c r="C307" s="2" t="s">
        <v>2610</v>
      </c>
      <c r="D307" s="3" t="s">
        <v>2611</v>
      </c>
      <c r="E307" s="3">
        <v>2</v>
      </c>
      <c r="F307" s="3" t="s">
        <v>2001</v>
      </c>
    </row>
    <row r="308" s="2" customFormat="1" spans="1:6">
      <c r="A308" s="3"/>
      <c r="B308" s="3">
        <v>307</v>
      </c>
      <c r="C308" s="2" t="s">
        <v>2612</v>
      </c>
      <c r="D308" s="3" t="s">
        <v>2613</v>
      </c>
      <c r="E308" s="3">
        <v>3</v>
      </c>
      <c r="F308" s="3" t="s">
        <v>2001</v>
      </c>
    </row>
    <row r="309" s="2" customFormat="1" spans="1:6">
      <c r="A309" s="3"/>
      <c r="B309" s="3">
        <v>308</v>
      </c>
      <c r="C309" s="2" t="s">
        <v>2614</v>
      </c>
      <c r="D309" s="3" t="s">
        <v>2615</v>
      </c>
      <c r="E309" s="3">
        <v>2</v>
      </c>
      <c r="F309" s="3" t="s">
        <v>2001</v>
      </c>
    </row>
    <row r="310" s="2" customFormat="1" spans="1:6">
      <c r="A310" s="3"/>
      <c r="B310" s="3">
        <v>309</v>
      </c>
      <c r="C310" s="2" t="s">
        <v>2616</v>
      </c>
      <c r="D310" s="3" t="s">
        <v>2617</v>
      </c>
      <c r="E310" s="3">
        <v>4</v>
      </c>
      <c r="F310" s="3" t="s">
        <v>2001</v>
      </c>
    </row>
    <row r="311" s="2" customFormat="1" spans="1:6">
      <c r="A311" s="3"/>
      <c r="B311" s="3">
        <v>310</v>
      </c>
      <c r="C311" s="2" t="s">
        <v>2618</v>
      </c>
      <c r="D311" s="3" t="s">
        <v>2619</v>
      </c>
      <c r="E311" s="3">
        <v>4</v>
      </c>
      <c r="F311" s="3" t="s">
        <v>2001</v>
      </c>
    </row>
    <row r="312" s="2" customFormat="1" spans="1:6">
      <c r="A312" s="3"/>
      <c r="B312" s="3">
        <v>311</v>
      </c>
      <c r="C312" s="2" t="s">
        <v>2620</v>
      </c>
      <c r="D312" s="3" t="s">
        <v>2621</v>
      </c>
      <c r="E312" s="3">
        <v>2</v>
      </c>
      <c r="F312" s="3" t="s">
        <v>2001</v>
      </c>
    </row>
    <row r="313" s="2" customFormat="1" spans="1:6">
      <c r="A313" s="3"/>
      <c r="B313" s="3">
        <v>312</v>
      </c>
      <c r="C313" s="2" t="s">
        <v>2622</v>
      </c>
      <c r="D313" s="3" t="s">
        <v>2623</v>
      </c>
      <c r="E313" s="3">
        <v>4</v>
      </c>
      <c r="F313" s="3" t="s">
        <v>2001</v>
      </c>
    </row>
    <row r="314" s="2" customFormat="1" spans="1:6">
      <c r="A314" s="3"/>
      <c r="B314" s="3">
        <v>313</v>
      </c>
      <c r="C314" s="2" t="s">
        <v>2624</v>
      </c>
      <c r="D314" s="3" t="s">
        <v>2625</v>
      </c>
      <c r="E314" s="3">
        <v>2</v>
      </c>
      <c r="F314" s="3" t="s">
        <v>2001</v>
      </c>
    </row>
    <row r="315" s="2" customFormat="1" spans="1:6">
      <c r="A315" s="3"/>
      <c r="B315" s="3">
        <v>314</v>
      </c>
      <c r="C315" s="2" t="s">
        <v>2626</v>
      </c>
      <c r="D315" s="3" t="s">
        <v>2627</v>
      </c>
      <c r="E315" s="3">
        <v>6</v>
      </c>
      <c r="F315" s="3" t="s">
        <v>2001</v>
      </c>
    </row>
    <row r="316" s="2" customFormat="1" spans="1:6">
      <c r="A316" s="3"/>
      <c r="B316" s="3">
        <v>315</v>
      </c>
      <c r="C316" s="2" t="s">
        <v>2628</v>
      </c>
      <c r="D316" s="3" t="s">
        <v>2629</v>
      </c>
      <c r="E316" s="3">
        <v>7</v>
      </c>
      <c r="F316" s="3" t="s">
        <v>2001</v>
      </c>
    </row>
    <row r="317" s="2" customFormat="1" spans="1:6">
      <c r="A317" s="3"/>
      <c r="B317" s="3">
        <v>316</v>
      </c>
      <c r="C317" s="2" t="s">
        <v>2630</v>
      </c>
      <c r="D317" s="3" t="s">
        <v>2631</v>
      </c>
      <c r="E317" s="3">
        <v>3</v>
      </c>
      <c r="F317" s="3" t="s">
        <v>2001</v>
      </c>
    </row>
    <row r="318" s="2" customFormat="1" spans="1:6">
      <c r="A318" s="3"/>
      <c r="B318" s="3">
        <v>317</v>
      </c>
      <c r="C318" s="2" t="s">
        <v>2632</v>
      </c>
      <c r="D318" s="3" t="s">
        <v>2633</v>
      </c>
      <c r="E318" s="3">
        <v>4</v>
      </c>
      <c r="F318" s="3" t="s">
        <v>2001</v>
      </c>
    </row>
    <row r="319" s="2" customFormat="1" spans="1:6">
      <c r="A319" s="3"/>
      <c r="B319" s="3">
        <v>318</v>
      </c>
      <c r="C319" s="2" t="s">
        <v>2634</v>
      </c>
      <c r="D319" s="3" t="s">
        <v>2635</v>
      </c>
      <c r="E319" s="3">
        <v>7</v>
      </c>
      <c r="F319" s="3" t="s">
        <v>2001</v>
      </c>
    </row>
    <row r="320" s="2" customFormat="1" spans="1:6">
      <c r="A320" s="3"/>
      <c r="B320" s="3">
        <v>319</v>
      </c>
      <c r="C320" s="2" t="s">
        <v>2636</v>
      </c>
      <c r="D320" s="3" t="s">
        <v>2637</v>
      </c>
      <c r="E320" s="3">
        <v>7</v>
      </c>
      <c r="F320" s="3" t="s">
        <v>2001</v>
      </c>
    </row>
    <row r="321" s="2" customFormat="1" spans="1:6">
      <c r="A321" s="3"/>
      <c r="B321" s="3">
        <v>320</v>
      </c>
      <c r="C321" s="2" t="s">
        <v>2638</v>
      </c>
      <c r="D321" s="3" t="s">
        <v>2639</v>
      </c>
      <c r="E321" s="3">
        <v>6</v>
      </c>
      <c r="F321" s="3" t="s">
        <v>2001</v>
      </c>
    </row>
    <row r="322" s="2" customFormat="1" spans="1:6">
      <c r="A322" s="3"/>
      <c r="B322" s="3">
        <v>321</v>
      </c>
      <c r="C322" s="2" t="s">
        <v>2640</v>
      </c>
      <c r="D322" s="3" t="s">
        <v>2641</v>
      </c>
      <c r="E322" s="3">
        <v>4</v>
      </c>
      <c r="F322" s="3" t="s">
        <v>2001</v>
      </c>
    </row>
    <row r="323" s="2" customFormat="1" spans="1:6">
      <c r="A323" s="3"/>
      <c r="B323" s="3">
        <v>322</v>
      </c>
      <c r="C323" s="2" t="s">
        <v>2642</v>
      </c>
      <c r="D323" s="3" t="s">
        <v>2643</v>
      </c>
      <c r="E323" s="3">
        <v>5</v>
      </c>
      <c r="F323" s="3" t="s">
        <v>2001</v>
      </c>
    </row>
    <row r="324" s="2" customFormat="1" spans="1:6">
      <c r="A324" s="3"/>
      <c r="B324" s="3">
        <v>323</v>
      </c>
      <c r="C324" s="2" t="s">
        <v>2644</v>
      </c>
      <c r="D324" s="3" t="s">
        <v>2645</v>
      </c>
      <c r="E324" s="3">
        <v>5</v>
      </c>
      <c r="F324" s="3" t="s">
        <v>2001</v>
      </c>
    </row>
    <row r="325" s="2" customFormat="1" spans="1:6">
      <c r="A325" s="3"/>
      <c r="B325" s="3">
        <v>324</v>
      </c>
      <c r="C325" s="2" t="s">
        <v>2646</v>
      </c>
      <c r="D325" s="3" t="s">
        <v>2647</v>
      </c>
      <c r="E325" s="3">
        <v>5</v>
      </c>
      <c r="F325" s="3" t="s">
        <v>2001</v>
      </c>
    </row>
    <row r="326" s="2" customFormat="1" spans="1:6">
      <c r="A326" s="3"/>
      <c r="B326" s="3">
        <v>325</v>
      </c>
      <c r="C326" s="2" t="s">
        <v>2648</v>
      </c>
      <c r="D326" s="3" t="s">
        <v>2649</v>
      </c>
      <c r="E326" s="3">
        <v>5</v>
      </c>
      <c r="F326" s="3" t="s">
        <v>2001</v>
      </c>
    </row>
    <row r="327" s="2" customFormat="1" spans="1:6">
      <c r="A327" s="3"/>
      <c r="B327" s="3">
        <v>326</v>
      </c>
      <c r="C327" s="2" t="s">
        <v>2650</v>
      </c>
      <c r="D327" s="3" t="s">
        <v>2651</v>
      </c>
      <c r="E327" s="3">
        <v>2</v>
      </c>
      <c r="F327" s="3" t="s">
        <v>2001</v>
      </c>
    </row>
    <row r="328" s="2" customFormat="1" spans="1:6">
      <c r="A328" s="3"/>
      <c r="B328" s="3">
        <v>327</v>
      </c>
      <c r="C328" s="2" t="s">
        <v>2652</v>
      </c>
      <c r="D328" s="3" t="s">
        <v>2653</v>
      </c>
      <c r="E328" s="3">
        <v>5</v>
      </c>
      <c r="F328" s="3" t="s">
        <v>2001</v>
      </c>
    </row>
    <row r="329" s="2" customFormat="1" spans="1:6">
      <c r="A329" s="3"/>
      <c r="B329" s="3">
        <v>328</v>
      </c>
      <c r="C329" s="2" t="s">
        <v>2654</v>
      </c>
      <c r="D329" s="3" t="s">
        <v>2655</v>
      </c>
      <c r="E329" s="3">
        <v>4</v>
      </c>
      <c r="F329" s="3" t="s">
        <v>2001</v>
      </c>
    </row>
    <row r="330" s="2" customFormat="1" spans="1:6">
      <c r="A330" s="3"/>
      <c r="B330" s="3">
        <v>329</v>
      </c>
      <c r="C330" s="2" t="s">
        <v>2656</v>
      </c>
      <c r="D330" s="3" t="s">
        <v>2657</v>
      </c>
      <c r="E330" s="3">
        <v>4</v>
      </c>
      <c r="F330" s="3" t="s">
        <v>2001</v>
      </c>
    </row>
    <row r="331" s="2" customFormat="1" spans="1:6">
      <c r="A331" s="3"/>
      <c r="B331" s="3">
        <v>330</v>
      </c>
      <c r="C331" s="2" t="s">
        <v>2658</v>
      </c>
      <c r="D331" s="3" t="s">
        <v>2659</v>
      </c>
      <c r="E331" s="3">
        <v>2</v>
      </c>
      <c r="F331" s="3" t="s">
        <v>2001</v>
      </c>
    </row>
    <row r="332" s="2" customFormat="1" spans="1:6">
      <c r="A332" s="3"/>
      <c r="B332" s="3">
        <v>331</v>
      </c>
      <c r="C332" s="2" t="s">
        <v>2660</v>
      </c>
      <c r="D332" s="3" t="s">
        <v>2661</v>
      </c>
      <c r="E332" s="3">
        <v>4</v>
      </c>
      <c r="F332" s="3" t="s">
        <v>2001</v>
      </c>
    </row>
    <row r="333" s="2" customFormat="1" spans="1:6">
      <c r="A333" s="3"/>
      <c r="B333" s="3">
        <v>332</v>
      </c>
      <c r="C333" s="2" t="s">
        <v>2662</v>
      </c>
      <c r="D333" s="3" t="s">
        <v>2663</v>
      </c>
      <c r="E333" s="3">
        <v>6</v>
      </c>
      <c r="F333" s="3" t="s">
        <v>2001</v>
      </c>
    </row>
    <row r="334" s="2" customFormat="1" spans="1:6">
      <c r="A334" s="3"/>
      <c r="B334" s="3">
        <v>333</v>
      </c>
      <c r="C334" s="2" t="s">
        <v>2664</v>
      </c>
      <c r="D334" s="3" t="s">
        <v>2665</v>
      </c>
      <c r="E334" s="3">
        <v>6</v>
      </c>
      <c r="F334" s="3" t="s">
        <v>2001</v>
      </c>
    </row>
    <row r="335" s="2" customFormat="1" spans="1:6">
      <c r="A335" s="3"/>
      <c r="B335" s="3">
        <v>334</v>
      </c>
      <c r="C335" s="2" t="s">
        <v>2666</v>
      </c>
      <c r="D335" s="3" t="s">
        <v>2667</v>
      </c>
      <c r="E335" s="3">
        <v>5</v>
      </c>
      <c r="F335" s="3" t="s">
        <v>2001</v>
      </c>
    </row>
    <row r="336" s="2" customFormat="1" spans="1:6">
      <c r="A336" s="3"/>
      <c r="B336" s="3">
        <v>335</v>
      </c>
      <c r="C336" s="2" t="s">
        <v>2668</v>
      </c>
      <c r="D336" s="3" t="s">
        <v>2669</v>
      </c>
      <c r="E336" s="3">
        <v>3</v>
      </c>
      <c r="F336" s="3" t="s">
        <v>2001</v>
      </c>
    </row>
    <row r="337" s="2" customFormat="1" spans="1:6">
      <c r="A337" s="3"/>
      <c r="B337" s="3">
        <v>336</v>
      </c>
      <c r="C337" s="2" t="s">
        <v>2670</v>
      </c>
      <c r="D337" s="3" t="s">
        <v>2671</v>
      </c>
      <c r="E337" s="3">
        <v>3</v>
      </c>
      <c r="F337" s="3" t="s">
        <v>2001</v>
      </c>
    </row>
    <row r="338" s="2" customFormat="1" spans="1:6">
      <c r="A338" s="3"/>
      <c r="B338" s="3">
        <v>337</v>
      </c>
      <c r="C338" s="2" t="s">
        <v>2672</v>
      </c>
      <c r="D338" s="3" t="s">
        <v>2673</v>
      </c>
      <c r="E338" s="3">
        <v>1</v>
      </c>
      <c r="F338" s="3" t="s">
        <v>2001</v>
      </c>
    </row>
    <row r="339" s="2" customFormat="1" spans="1:6">
      <c r="A339" s="3"/>
      <c r="B339" s="3">
        <v>338</v>
      </c>
      <c r="C339" s="2" t="s">
        <v>2674</v>
      </c>
      <c r="D339" s="3" t="s">
        <v>2675</v>
      </c>
      <c r="E339" s="3">
        <v>2</v>
      </c>
      <c r="F339" s="3" t="s">
        <v>2001</v>
      </c>
    </row>
    <row r="340" s="2" customFormat="1" spans="1:6">
      <c r="A340" s="3"/>
      <c r="B340" s="3">
        <v>339</v>
      </c>
      <c r="C340" s="2" t="s">
        <v>2676</v>
      </c>
      <c r="D340" s="3" t="s">
        <v>2677</v>
      </c>
      <c r="E340" s="3">
        <v>7</v>
      </c>
      <c r="F340" s="3" t="s">
        <v>2001</v>
      </c>
    </row>
    <row r="341" s="2" customFormat="1" spans="1:6">
      <c r="A341" s="3"/>
      <c r="B341" s="3">
        <v>340</v>
      </c>
      <c r="C341" s="2" t="s">
        <v>2678</v>
      </c>
      <c r="D341" s="3" t="s">
        <v>2679</v>
      </c>
      <c r="E341" s="3">
        <v>3</v>
      </c>
      <c r="F341" s="3" t="s">
        <v>2001</v>
      </c>
    </row>
    <row r="342" s="2" customFormat="1" spans="1:6">
      <c r="A342" s="3"/>
      <c r="B342" s="3">
        <v>341</v>
      </c>
      <c r="C342" s="2" t="s">
        <v>2680</v>
      </c>
      <c r="D342" s="3" t="s">
        <v>2681</v>
      </c>
      <c r="E342" s="3">
        <v>7</v>
      </c>
      <c r="F342" s="3" t="s">
        <v>2001</v>
      </c>
    </row>
    <row r="343" s="2" customFormat="1" spans="1:6">
      <c r="A343" s="3"/>
      <c r="B343" s="3">
        <v>342</v>
      </c>
      <c r="C343" s="2" t="s">
        <v>2682</v>
      </c>
      <c r="D343" s="3" t="s">
        <v>2683</v>
      </c>
      <c r="E343" s="3">
        <v>5</v>
      </c>
      <c r="F343" s="3" t="s">
        <v>2001</v>
      </c>
    </row>
    <row r="344" s="2" customFormat="1" spans="1:6">
      <c r="A344" s="3"/>
      <c r="B344" s="3">
        <v>343</v>
      </c>
      <c r="C344" s="2" t="s">
        <v>2684</v>
      </c>
      <c r="D344" s="3" t="s">
        <v>2685</v>
      </c>
      <c r="E344" s="3">
        <v>3</v>
      </c>
      <c r="F344" s="3" t="s">
        <v>2001</v>
      </c>
    </row>
    <row r="345" s="2" customFormat="1" spans="1:6">
      <c r="A345" s="3"/>
      <c r="B345" s="3">
        <v>344</v>
      </c>
      <c r="C345" s="2" t="s">
        <v>2686</v>
      </c>
      <c r="D345" s="3" t="s">
        <v>2687</v>
      </c>
      <c r="E345" s="3">
        <v>1</v>
      </c>
      <c r="F345" s="3" t="s">
        <v>2001</v>
      </c>
    </row>
    <row r="346" s="2" customFormat="1" spans="1:6">
      <c r="A346" s="3"/>
      <c r="B346" s="3">
        <v>345</v>
      </c>
      <c r="C346" s="2" t="s">
        <v>2688</v>
      </c>
      <c r="D346" s="3" t="s">
        <v>2689</v>
      </c>
      <c r="E346" s="3">
        <v>8</v>
      </c>
      <c r="F346" s="3" t="s">
        <v>2001</v>
      </c>
    </row>
    <row r="347" s="2" customFormat="1" spans="1:6">
      <c r="A347" s="3"/>
      <c r="B347" s="3">
        <v>346</v>
      </c>
      <c r="C347" s="2" t="s">
        <v>2690</v>
      </c>
      <c r="D347" s="3" t="s">
        <v>2691</v>
      </c>
      <c r="E347" s="3">
        <v>3</v>
      </c>
      <c r="F347" s="3" t="s">
        <v>2001</v>
      </c>
    </row>
    <row r="348" s="2" customFormat="1" spans="1:6">
      <c r="A348" s="3"/>
      <c r="B348" s="3">
        <v>347</v>
      </c>
      <c r="C348" s="2" t="s">
        <v>2692</v>
      </c>
      <c r="D348" s="3" t="s">
        <v>2693</v>
      </c>
      <c r="E348" s="3">
        <v>10</v>
      </c>
      <c r="F348" s="3" t="s">
        <v>2001</v>
      </c>
    </row>
    <row r="349" s="2" customFormat="1" spans="1:6">
      <c r="A349" s="3"/>
      <c r="B349" s="3">
        <v>348</v>
      </c>
      <c r="C349" s="2" t="s">
        <v>2694</v>
      </c>
      <c r="D349" s="3" t="s">
        <v>2695</v>
      </c>
      <c r="E349" s="3">
        <v>3</v>
      </c>
      <c r="F349" s="3" t="s">
        <v>2001</v>
      </c>
    </row>
    <row r="350" s="2" customFormat="1" spans="1:6">
      <c r="A350" s="3"/>
      <c r="B350" s="3">
        <v>349</v>
      </c>
      <c r="C350" s="2" t="s">
        <v>2696</v>
      </c>
      <c r="D350" s="3" t="s">
        <v>2697</v>
      </c>
      <c r="E350" s="3">
        <v>8</v>
      </c>
      <c r="F350" s="3" t="s">
        <v>2001</v>
      </c>
    </row>
    <row r="351" s="2" customFormat="1" spans="1:6">
      <c r="A351" s="3"/>
      <c r="B351" s="3">
        <v>350</v>
      </c>
      <c r="C351" s="2" t="s">
        <v>2698</v>
      </c>
      <c r="D351" s="3" t="s">
        <v>2699</v>
      </c>
      <c r="E351" s="3">
        <v>6</v>
      </c>
      <c r="F351" s="3" t="s">
        <v>2001</v>
      </c>
    </row>
    <row r="352" s="2" customFormat="1" spans="1:6">
      <c r="A352" s="3"/>
      <c r="B352" s="3">
        <v>351</v>
      </c>
      <c r="C352" s="2" t="s">
        <v>2700</v>
      </c>
      <c r="D352" s="3" t="s">
        <v>2701</v>
      </c>
      <c r="E352" s="3">
        <v>9</v>
      </c>
      <c r="F352" s="3" t="s">
        <v>2001</v>
      </c>
    </row>
    <row r="353" s="2" customFormat="1" spans="1:6">
      <c r="A353" s="3"/>
      <c r="B353" s="3">
        <v>352</v>
      </c>
      <c r="C353" s="2" t="s">
        <v>2702</v>
      </c>
      <c r="D353" s="3" t="s">
        <v>2703</v>
      </c>
      <c r="E353" s="3">
        <v>6</v>
      </c>
      <c r="F353" s="3" t="s">
        <v>2001</v>
      </c>
    </row>
    <row r="354" s="2" customFormat="1" spans="1:6">
      <c r="A354" s="3"/>
      <c r="B354" s="3">
        <v>353</v>
      </c>
      <c r="C354" s="2" t="s">
        <v>2704</v>
      </c>
      <c r="D354" s="3" t="s">
        <v>2705</v>
      </c>
      <c r="E354" s="3">
        <v>5</v>
      </c>
      <c r="F354" s="3" t="s">
        <v>2001</v>
      </c>
    </row>
    <row r="355" s="2" customFormat="1" spans="1:6">
      <c r="A355" s="3"/>
      <c r="B355" s="3">
        <v>354</v>
      </c>
      <c r="C355" s="2" t="s">
        <v>2706</v>
      </c>
      <c r="D355" s="3" t="s">
        <v>2707</v>
      </c>
      <c r="E355" s="3">
        <v>3</v>
      </c>
      <c r="F355" s="3" t="s">
        <v>2001</v>
      </c>
    </row>
    <row r="356" s="2" customFormat="1" spans="1:6">
      <c r="A356" s="3"/>
      <c r="B356" s="3">
        <v>355</v>
      </c>
      <c r="C356" s="2" t="s">
        <v>2708</v>
      </c>
      <c r="D356" s="3" t="s">
        <v>2709</v>
      </c>
      <c r="E356" s="3">
        <v>14</v>
      </c>
      <c r="F356" s="3" t="s">
        <v>2001</v>
      </c>
    </row>
    <row r="357" s="2" customFormat="1" spans="1:6">
      <c r="A357" s="3"/>
      <c r="B357" s="3">
        <v>356</v>
      </c>
      <c r="C357" s="2" t="s">
        <v>2710</v>
      </c>
      <c r="D357" s="3" t="s">
        <v>2711</v>
      </c>
      <c r="E357" s="3">
        <v>1</v>
      </c>
      <c r="F357" s="3" t="s">
        <v>2001</v>
      </c>
    </row>
    <row r="358" s="2" customFormat="1" spans="1:6">
      <c r="A358" s="3"/>
      <c r="B358" s="3">
        <v>357</v>
      </c>
      <c r="C358" s="2" t="s">
        <v>2712</v>
      </c>
      <c r="D358" s="3" t="s">
        <v>2713</v>
      </c>
      <c r="E358" s="3">
        <v>10</v>
      </c>
      <c r="F358" s="3" t="s">
        <v>2001</v>
      </c>
    </row>
    <row r="359" s="2" customFormat="1" spans="1:6">
      <c r="A359" s="3"/>
      <c r="B359" s="3">
        <v>358</v>
      </c>
      <c r="C359" s="2" t="s">
        <v>2714</v>
      </c>
      <c r="D359" s="3" t="s">
        <v>2715</v>
      </c>
      <c r="E359" s="3">
        <v>8</v>
      </c>
      <c r="F359" s="3" t="s">
        <v>2001</v>
      </c>
    </row>
    <row r="360" s="2" customFormat="1" spans="1:6">
      <c r="A360" s="3"/>
      <c r="B360" s="3">
        <v>359</v>
      </c>
      <c r="C360" s="2" t="s">
        <v>2716</v>
      </c>
      <c r="D360" s="3" t="s">
        <v>2717</v>
      </c>
      <c r="E360" s="3">
        <v>50</v>
      </c>
      <c r="F360" s="3" t="s">
        <v>2001</v>
      </c>
    </row>
    <row r="361" s="2" customFormat="1" spans="1:6">
      <c r="A361" s="3"/>
      <c r="B361" s="3">
        <v>360</v>
      </c>
      <c r="C361" s="2" t="s">
        <v>2718</v>
      </c>
      <c r="D361" s="3" t="s">
        <v>2719</v>
      </c>
      <c r="E361" s="3">
        <v>5</v>
      </c>
      <c r="F361" s="3" t="s">
        <v>2001</v>
      </c>
    </row>
    <row r="362" s="2" customFormat="1" spans="1:6">
      <c r="A362" s="3"/>
      <c r="B362" s="3">
        <v>361</v>
      </c>
      <c r="C362" s="2" t="s">
        <v>2720</v>
      </c>
      <c r="D362" s="3" t="s">
        <v>2721</v>
      </c>
      <c r="E362" s="3">
        <v>8</v>
      </c>
      <c r="F362" s="3" t="s">
        <v>2001</v>
      </c>
    </row>
    <row r="363" s="2" customFormat="1" spans="1:6">
      <c r="A363" s="3"/>
      <c r="B363" s="3">
        <v>362</v>
      </c>
      <c r="C363" s="2" t="s">
        <v>2722</v>
      </c>
      <c r="D363" s="3" t="s">
        <v>2723</v>
      </c>
      <c r="E363" s="3">
        <v>5</v>
      </c>
      <c r="F363" s="3" t="s">
        <v>2001</v>
      </c>
    </row>
    <row r="364" s="2" customFormat="1" spans="1:6">
      <c r="A364" s="3"/>
      <c r="B364" s="3">
        <v>363</v>
      </c>
      <c r="C364" s="2" t="s">
        <v>2724</v>
      </c>
      <c r="D364" s="3" t="s">
        <v>2725</v>
      </c>
      <c r="E364" s="3">
        <v>3</v>
      </c>
      <c r="F364" s="3" t="s">
        <v>2001</v>
      </c>
    </row>
    <row r="365" s="2" customFormat="1" spans="1:6">
      <c r="A365" s="3"/>
      <c r="B365" s="3">
        <v>364</v>
      </c>
      <c r="C365" s="2" t="s">
        <v>2726</v>
      </c>
      <c r="D365" s="3" t="s">
        <v>2727</v>
      </c>
      <c r="E365" s="3">
        <v>6</v>
      </c>
      <c r="F365" s="3" t="s">
        <v>2001</v>
      </c>
    </row>
    <row r="366" s="2" customFormat="1" spans="1:6">
      <c r="A366" s="3"/>
      <c r="B366" s="3">
        <v>365</v>
      </c>
      <c r="C366" s="2" t="s">
        <v>2728</v>
      </c>
      <c r="D366" s="3" t="s">
        <v>2729</v>
      </c>
      <c r="E366" s="3">
        <v>6</v>
      </c>
      <c r="F366" s="3" t="s">
        <v>2001</v>
      </c>
    </row>
    <row r="367" s="2" customFormat="1" spans="1:6">
      <c r="A367" s="3"/>
      <c r="B367" s="3">
        <v>366</v>
      </c>
      <c r="C367" s="2" t="s">
        <v>2730</v>
      </c>
      <c r="D367" s="3" t="s">
        <v>2731</v>
      </c>
      <c r="E367" s="3">
        <v>1</v>
      </c>
      <c r="F367" s="3" t="s">
        <v>2001</v>
      </c>
    </row>
    <row r="368" s="2" customFormat="1" spans="1:6">
      <c r="A368" s="3"/>
      <c r="B368" s="3">
        <v>367</v>
      </c>
      <c r="C368" s="2" t="s">
        <v>2732</v>
      </c>
      <c r="D368" s="3" t="s">
        <v>2733</v>
      </c>
      <c r="E368" s="3">
        <v>9</v>
      </c>
      <c r="F368" s="3" t="s">
        <v>2001</v>
      </c>
    </row>
    <row r="369" s="2" customFormat="1" spans="1:6">
      <c r="A369" s="3"/>
      <c r="B369" s="3">
        <v>368</v>
      </c>
      <c r="C369" s="2" t="s">
        <v>2734</v>
      </c>
      <c r="D369" s="3" t="s">
        <v>2735</v>
      </c>
      <c r="E369" s="3">
        <v>1</v>
      </c>
      <c r="F369" s="3" t="s">
        <v>2001</v>
      </c>
    </row>
    <row r="370" s="2" customFormat="1" spans="1:6">
      <c r="A370" s="3"/>
      <c r="B370" s="3">
        <v>369</v>
      </c>
      <c r="C370" s="2" t="s">
        <v>2736</v>
      </c>
      <c r="D370" s="3" t="s">
        <v>2737</v>
      </c>
      <c r="E370" s="3">
        <v>2</v>
      </c>
      <c r="F370" s="3" t="s">
        <v>2001</v>
      </c>
    </row>
    <row r="371" s="2" customFormat="1" spans="1:6">
      <c r="A371" s="3"/>
      <c r="B371" s="3">
        <v>370</v>
      </c>
      <c r="C371" s="2" t="s">
        <v>2738</v>
      </c>
      <c r="D371" s="3" t="s">
        <v>2739</v>
      </c>
      <c r="E371" s="3">
        <v>10</v>
      </c>
      <c r="F371" s="3" t="s">
        <v>2001</v>
      </c>
    </row>
    <row r="372" s="2" customFormat="1" spans="1:6">
      <c r="A372" s="3"/>
      <c r="B372" s="3">
        <v>371</v>
      </c>
      <c r="C372" s="2" t="s">
        <v>2740</v>
      </c>
      <c r="D372" s="3" t="s">
        <v>2741</v>
      </c>
      <c r="E372" s="3">
        <v>3</v>
      </c>
      <c r="F372" s="3" t="s">
        <v>2001</v>
      </c>
    </row>
    <row r="373" s="2" customFormat="1" spans="1:6">
      <c r="A373" s="3"/>
      <c r="B373" s="3">
        <v>372</v>
      </c>
      <c r="C373" s="2" t="s">
        <v>2742</v>
      </c>
      <c r="D373" s="3" t="s">
        <v>2743</v>
      </c>
      <c r="E373" s="3">
        <v>20</v>
      </c>
      <c r="F373" s="3" t="s">
        <v>2001</v>
      </c>
    </row>
    <row r="374" s="2" customFormat="1" spans="1:6">
      <c r="A374" s="3"/>
      <c r="B374" s="3">
        <v>373</v>
      </c>
      <c r="C374" s="2" t="s">
        <v>2744</v>
      </c>
      <c r="D374" s="3" t="s">
        <v>2745</v>
      </c>
      <c r="E374" s="3">
        <v>10</v>
      </c>
      <c r="F374" s="3" t="s">
        <v>2001</v>
      </c>
    </row>
    <row r="375" s="2" customFormat="1" spans="1:6">
      <c r="A375" s="3"/>
      <c r="B375" s="3">
        <v>374</v>
      </c>
      <c r="C375" s="2" t="s">
        <v>2746</v>
      </c>
      <c r="D375" s="3" t="s">
        <v>2747</v>
      </c>
      <c r="E375" s="3">
        <v>16</v>
      </c>
      <c r="F375" s="3" t="s">
        <v>2001</v>
      </c>
    </row>
    <row r="376" s="2" customFormat="1" spans="1:6">
      <c r="A376" s="3"/>
      <c r="B376" s="3">
        <v>375</v>
      </c>
      <c r="C376" s="2" t="s">
        <v>2748</v>
      </c>
      <c r="D376" s="3" t="s">
        <v>2749</v>
      </c>
      <c r="E376" s="3">
        <v>20</v>
      </c>
      <c r="F376" s="3" t="s">
        <v>2001</v>
      </c>
    </row>
    <row r="377" s="2" customFormat="1" spans="1:6">
      <c r="A377" s="3"/>
      <c r="B377" s="3">
        <v>376</v>
      </c>
      <c r="C377" s="2" t="s">
        <v>2750</v>
      </c>
      <c r="D377" s="3" t="s">
        <v>2751</v>
      </c>
      <c r="E377" s="3">
        <v>20</v>
      </c>
      <c r="F377" s="3" t="s">
        <v>2001</v>
      </c>
    </row>
    <row r="378" s="2" customFormat="1" spans="1:6">
      <c r="A378" s="3"/>
      <c r="B378" s="3">
        <v>377</v>
      </c>
      <c r="C378" s="2" t="s">
        <v>2752</v>
      </c>
      <c r="D378" s="3" t="s">
        <v>2753</v>
      </c>
      <c r="E378" s="3">
        <v>20</v>
      </c>
      <c r="F378" s="3" t="s">
        <v>2001</v>
      </c>
    </row>
    <row r="379" s="2" customFormat="1" spans="1:6">
      <c r="A379" s="3"/>
      <c r="B379" s="3">
        <v>378</v>
      </c>
      <c r="C379" s="2" t="s">
        <v>2754</v>
      </c>
      <c r="D379" s="3" t="s">
        <v>2755</v>
      </c>
      <c r="E379" s="3">
        <v>12</v>
      </c>
      <c r="F379" s="3" t="s">
        <v>2001</v>
      </c>
    </row>
    <row r="380" s="2" customFormat="1" spans="1:6">
      <c r="A380" s="3"/>
      <c r="B380" s="3">
        <v>379</v>
      </c>
      <c r="C380" s="2" t="s">
        <v>2756</v>
      </c>
      <c r="D380" s="3" t="s">
        <v>2757</v>
      </c>
      <c r="E380" s="3">
        <v>12</v>
      </c>
      <c r="F380" s="3" t="s">
        <v>2001</v>
      </c>
    </row>
    <row r="381" s="2" customFormat="1" spans="1:6">
      <c r="A381" s="3"/>
      <c r="B381" s="3">
        <v>380</v>
      </c>
      <c r="C381" s="2" t="s">
        <v>2758</v>
      </c>
      <c r="D381" s="3" t="s">
        <v>2759</v>
      </c>
      <c r="E381" s="3">
        <v>41</v>
      </c>
      <c r="F381" s="3" t="s">
        <v>2001</v>
      </c>
    </row>
    <row r="382" s="2" customFormat="1" spans="1:6">
      <c r="A382" s="3"/>
      <c r="B382" s="3">
        <v>381</v>
      </c>
      <c r="C382" s="2" t="s">
        <v>2760</v>
      </c>
      <c r="D382" s="3" t="s">
        <v>2761</v>
      </c>
      <c r="E382" s="3">
        <v>8</v>
      </c>
      <c r="F382" s="3" t="s">
        <v>2001</v>
      </c>
    </row>
    <row r="383" s="2" customFormat="1" spans="1:6">
      <c r="A383" s="3"/>
      <c r="B383" s="3">
        <v>382</v>
      </c>
      <c r="C383" s="2" t="s">
        <v>2762</v>
      </c>
      <c r="D383" s="3" t="s">
        <v>2763</v>
      </c>
      <c r="E383" s="3">
        <v>20</v>
      </c>
      <c r="F383" s="3" t="s">
        <v>2001</v>
      </c>
    </row>
    <row r="384" s="2" customFormat="1" spans="1:6">
      <c r="A384" s="3"/>
      <c r="B384" s="3">
        <v>383</v>
      </c>
      <c r="C384" s="2" t="s">
        <v>2764</v>
      </c>
      <c r="D384" s="3" t="s">
        <v>2765</v>
      </c>
      <c r="E384" s="3">
        <v>4</v>
      </c>
      <c r="F384" s="3" t="s">
        <v>2016</v>
      </c>
    </row>
    <row r="385" s="2" customFormat="1" spans="1:6">
      <c r="A385" s="3"/>
      <c r="B385" s="3">
        <v>384</v>
      </c>
      <c r="C385" s="2" t="s">
        <v>2766</v>
      </c>
      <c r="D385" s="3" t="s">
        <v>2767</v>
      </c>
      <c r="E385" s="3">
        <v>4</v>
      </c>
      <c r="F385" s="3" t="s">
        <v>2001</v>
      </c>
    </row>
    <row r="386" s="2" customFormat="1" spans="1:6">
      <c r="A386" s="3"/>
      <c r="B386" s="3">
        <v>385</v>
      </c>
      <c r="C386" s="2" t="s">
        <v>2768</v>
      </c>
      <c r="D386" s="3" t="s">
        <v>2769</v>
      </c>
      <c r="E386" s="3">
        <v>4</v>
      </c>
      <c r="F386" s="3" t="s">
        <v>2001</v>
      </c>
    </row>
    <row r="387" s="2" customFormat="1" spans="1:6">
      <c r="A387" s="3"/>
      <c r="B387" s="3">
        <v>386</v>
      </c>
      <c r="C387" s="2" t="s">
        <v>2770</v>
      </c>
      <c r="D387" s="3" t="s">
        <v>2771</v>
      </c>
      <c r="E387" s="3">
        <v>4</v>
      </c>
      <c r="F387" s="3" t="s">
        <v>2001</v>
      </c>
    </row>
    <row r="388" s="2" customFormat="1" spans="1:6">
      <c r="A388" s="3"/>
      <c r="B388" s="3">
        <v>387</v>
      </c>
      <c r="C388" s="2" t="s">
        <v>2772</v>
      </c>
      <c r="D388" s="3" t="s">
        <v>2773</v>
      </c>
      <c r="E388" s="3">
        <v>4</v>
      </c>
      <c r="F388" s="3" t="s">
        <v>2001</v>
      </c>
    </row>
    <row r="389" s="2" customFormat="1" spans="1:6">
      <c r="A389" s="3"/>
      <c r="B389" s="3">
        <v>388</v>
      </c>
      <c r="C389" s="2" t="s">
        <v>2774</v>
      </c>
      <c r="D389" s="3" t="s">
        <v>2775</v>
      </c>
      <c r="E389" s="3">
        <v>4</v>
      </c>
      <c r="F389" s="3" t="s">
        <v>2001</v>
      </c>
    </row>
    <row r="390" s="2" customFormat="1" spans="1:6">
      <c r="A390" s="3"/>
      <c r="B390" s="3">
        <v>389</v>
      </c>
      <c r="C390" s="2" t="s">
        <v>2776</v>
      </c>
      <c r="D390" s="3" t="s">
        <v>2777</v>
      </c>
      <c r="E390" s="3">
        <v>8</v>
      </c>
      <c r="F390" s="3" t="s">
        <v>2001</v>
      </c>
    </row>
    <row r="391" s="2" customFormat="1" spans="1:6">
      <c r="A391" s="3"/>
      <c r="B391" s="3">
        <v>390</v>
      </c>
      <c r="C391" s="2" t="s">
        <v>2778</v>
      </c>
      <c r="D391" s="3" t="s">
        <v>2779</v>
      </c>
      <c r="E391" s="3">
        <v>8</v>
      </c>
      <c r="F391" s="3" t="s">
        <v>2001</v>
      </c>
    </row>
    <row r="392" s="2" customFormat="1" spans="1:6">
      <c r="A392" s="3"/>
      <c r="B392" s="3">
        <v>391</v>
      </c>
      <c r="C392" s="2" t="s">
        <v>2780</v>
      </c>
      <c r="D392" s="3" t="s">
        <v>2781</v>
      </c>
      <c r="E392" s="3">
        <v>4</v>
      </c>
      <c r="F392" s="3" t="s">
        <v>2001</v>
      </c>
    </row>
    <row r="393" s="2" customFormat="1" spans="1:6">
      <c r="A393" s="3"/>
      <c r="B393" s="3">
        <v>392</v>
      </c>
      <c r="C393" s="2" t="s">
        <v>2782</v>
      </c>
      <c r="D393" s="3" t="s">
        <v>2783</v>
      </c>
      <c r="E393" s="3">
        <v>50</v>
      </c>
      <c r="F393" s="3" t="s">
        <v>2001</v>
      </c>
    </row>
    <row r="394" s="2" customFormat="1" spans="1:6">
      <c r="A394" s="3"/>
      <c r="B394" s="3">
        <v>393</v>
      </c>
      <c r="C394" s="2" t="s">
        <v>2784</v>
      </c>
      <c r="D394" s="3" t="s">
        <v>2785</v>
      </c>
      <c r="E394" s="3">
        <v>50</v>
      </c>
      <c r="F394" s="3" t="s">
        <v>2001</v>
      </c>
    </row>
    <row r="395" s="2" customFormat="1" spans="1:6">
      <c r="A395" s="3"/>
      <c r="B395" s="3">
        <v>394</v>
      </c>
      <c r="C395" s="2" t="s">
        <v>2786</v>
      </c>
      <c r="D395" s="3" t="s">
        <v>2787</v>
      </c>
      <c r="E395" s="3">
        <v>25</v>
      </c>
      <c r="F395" s="3" t="s">
        <v>2001</v>
      </c>
    </row>
    <row r="396" s="2" customFormat="1" spans="1:6">
      <c r="A396" s="3"/>
      <c r="B396" s="3">
        <v>395</v>
      </c>
      <c r="C396" s="2" t="s">
        <v>2788</v>
      </c>
      <c r="D396" s="3" t="s">
        <v>2789</v>
      </c>
      <c r="E396" s="3">
        <v>1</v>
      </c>
      <c r="F396" s="3" t="s">
        <v>2001</v>
      </c>
    </row>
    <row r="397" s="2" customFormat="1" spans="1:6">
      <c r="A397" s="3"/>
      <c r="B397" s="3">
        <v>396</v>
      </c>
      <c r="C397" s="2" t="s">
        <v>2790</v>
      </c>
      <c r="D397" s="3" t="s">
        <v>2791</v>
      </c>
      <c r="E397" s="3">
        <v>13</v>
      </c>
      <c r="F397" s="3" t="s">
        <v>2792</v>
      </c>
    </row>
    <row r="398" s="2" customFormat="1" spans="1:6">
      <c r="A398" s="3"/>
      <c r="B398" s="3">
        <v>397</v>
      </c>
      <c r="C398" s="2" t="s">
        <v>2793</v>
      </c>
      <c r="D398" s="3" t="s">
        <v>2794</v>
      </c>
      <c r="E398" s="3">
        <v>4</v>
      </c>
      <c r="F398" s="3" t="s">
        <v>2001</v>
      </c>
    </row>
    <row r="399" s="2" customFormat="1" spans="1:6">
      <c r="A399" s="3"/>
      <c r="B399" s="3">
        <v>398</v>
      </c>
      <c r="C399" s="2" t="s">
        <v>2795</v>
      </c>
      <c r="D399" s="3" t="s">
        <v>2796</v>
      </c>
      <c r="E399" s="3">
        <v>2</v>
      </c>
      <c r="F399" s="3" t="s">
        <v>2001</v>
      </c>
    </row>
    <row r="400" s="2" customFormat="1" spans="1:6">
      <c r="A400" s="3"/>
      <c r="B400" s="3">
        <v>399</v>
      </c>
      <c r="C400" s="2" t="s">
        <v>2797</v>
      </c>
      <c r="D400" s="3" t="s">
        <v>2798</v>
      </c>
      <c r="E400" s="3">
        <v>2</v>
      </c>
      <c r="F400" s="3" t="s">
        <v>2001</v>
      </c>
    </row>
    <row r="401" s="2" customFormat="1" spans="1:6">
      <c r="A401" s="3"/>
      <c r="B401" s="3">
        <v>400</v>
      </c>
      <c r="C401" s="2" t="s">
        <v>2799</v>
      </c>
      <c r="D401" s="3" t="s">
        <v>2800</v>
      </c>
      <c r="E401" s="3">
        <v>2</v>
      </c>
      <c r="F401" s="3" t="s">
        <v>2001</v>
      </c>
    </row>
    <row r="402" s="2" customFormat="1" spans="1:6">
      <c r="A402" s="3"/>
      <c r="B402" s="3">
        <v>401</v>
      </c>
      <c r="C402" s="2" t="s">
        <v>2801</v>
      </c>
      <c r="D402" s="3" t="s">
        <v>2802</v>
      </c>
      <c r="E402" s="3">
        <v>2</v>
      </c>
      <c r="F402" s="3" t="s">
        <v>2001</v>
      </c>
    </row>
    <row r="403" s="2" customFormat="1" spans="1:6">
      <c r="A403" s="3"/>
      <c r="B403" s="3">
        <v>402</v>
      </c>
      <c r="C403" s="2" t="s">
        <v>2803</v>
      </c>
      <c r="D403" s="3" t="s">
        <v>2804</v>
      </c>
      <c r="E403" s="3">
        <v>2</v>
      </c>
      <c r="F403" s="3" t="s">
        <v>2001</v>
      </c>
    </row>
    <row r="404" s="2" customFormat="1" spans="1:6">
      <c r="A404" s="3"/>
      <c r="B404" s="3">
        <v>403</v>
      </c>
      <c r="C404" s="2" t="s">
        <v>2805</v>
      </c>
      <c r="D404" s="3" t="s">
        <v>2806</v>
      </c>
      <c r="E404" s="3">
        <v>2</v>
      </c>
      <c r="F404" s="3" t="s">
        <v>2001</v>
      </c>
    </row>
    <row r="405" s="2" customFormat="1" spans="1:6">
      <c r="A405" s="3"/>
      <c r="B405" s="3">
        <v>404</v>
      </c>
      <c r="C405" s="2" t="s">
        <v>2807</v>
      </c>
      <c r="D405" s="3" t="s">
        <v>2808</v>
      </c>
      <c r="E405" s="3">
        <v>2</v>
      </c>
      <c r="F405" s="3" t="s">
        <v>2001</v>
      </c>
    </row>
    <row r="406" s="2" customFormat="1" spans="1:6">
      <c r="A406" s="3"/>
      <c r="B406" s="3">
        <v>405</v>
      </c>
      <c r="C406" s="2" t="s">
        <v>2809</v>
      </c>
      <c r="D406" s="3" t="s">
        <v>2810</v>
      </c>
      <c r="E406" s="3">
        <v>2</v>
      </c>
      <c r="F406" s="3" t="s">
        <v>2001</v>
      </c>
    </row>
    <row r="407" s="2" customFormat="1" spans="1:6">
      <c r="A407" s="3"/>
      <c r="B407" s="3">
        <v>406</v>
      </c>
      <c r="C407" s="2" t="s">
        <v>2811</v>
      </c>
      <c r="D407" s="3" t="s">
        <v>2812</v>
      </c>
      <c r="E407" s="3">
        <v>2</v>
      </c>
      <c r="F407" s="3" t="s">
        <v>2001</v>
      </c>
    </row>
    <row r="408" s="2" customFormat="1" spans="1:6">
      <c r="A408" s="3"/>
      <c r="B408" s="3">
        <v>407</v>
      </c>
      <c r="C408" s="2" t="s">
        <v>2813</v>
      </c>
      <c r="D408" s="3" t="s">
        <v>2814</v>
      </c>
      <c r="E408" s="3">
        <v>2</v>
      </c>
      <c r="F408" s="3" t="s">
        <v>2001</v>
      </c>
    </row>
    <row r="409" s="2" customFormat="1" spans="1:6">
      <c r="A409" s="3"/>
      <c r="B409" s="3">
        <v>408</v>
      </c>
      <c r="C409" s="2" t="s">
        <v>2815</v>
      </c>
      <c r="D409" s="3" t="s">
        <v>2816</v>
      </c>
      <c r="E409" s="3">
        <v>2</v>
      </c>
      <c r="F409" s="3" t="s">
        <v>2001</v>
      </c>
    </row>
    <row r="410" s="2" customFormat="1" spans="1:6">
      <c r="A410" s="3"/>
      <c r="B410" s="3">
        <v>409</v>
      </c>
      <c r="C410" s="2" t="s">
        <v>2817</v>
      </c>
      <c r="D410" s="3" t="s">
        <v>2818</v>
      </c>
      <c r="E410" s="3">
        <v>2</v>
      </c>
      <c r="F410" s="3" t="s">
        <v>2001</v>
      </c>
    </row>
    <row r="411" s="2" customFormat="1" spans="1:6">
      <c r="A411" s="3"/>
      <c r="B411" s="3">
        <v>410</v>
      </c>
      <c r="C411" s="2" t="s">
        <v>2819</v>
      </c>
      <c r="D411" s="3" t="s">
        <v>2820</v>
      </c>
      <c r="E411" s="3">
        <v>2</v>
      </c>
      <c r="F411" s="3" t="s">
        <v>2001</v>
      </c>
    </row>
    <row r="412" s="2" customFormat="1" spans="1:6">
      <c r="A412" s="3"/>
      <c r="B412" s="3">
        <v>411</v>
      </c>
      <c r="C412" s="2" t="s">
        <v>2821</v>
      </c>
      <c r="D412" s="3" t="s">
        <v>2822</v>
      </c>
      <c r="E412" s="3">
        <v>2</v>
      </c>
      <c r="F412" s="3" t="s">
        <v>2001</v>
      </c>
    </row>
    <row r="413" s="2" customFormat="1" spans="1:6">
      <c r="A413" s="3"/>
      <c r="B413" s="3">
        <v>412</v>
      </c>
      <c r="C413" s="2" t="s">
        <v>2823</v>
      </c>
      <c r="D413" s="3" t="s">
        <v>2824</v>
      </c>
      <c r="E413" s="3">
        <v>2</v>
      </c>
      <c r="F413" s="3" t="s">
        <v>2001</v>
      </c>
    </row>
    <row r="414" s="2" customFormat="1" spans="1:6">
      <c r="A414" s="3"/>
      <c r="B414" s="3">
        <v>413</v>
      </c>
      <c r="C414" s="2" t="s">
        <v>2825</v>
      </c>
      <c r="D414" s="3" t="s">
        <v>2826</v>
      </c>
      <c r="E414" s="3">
        <v>2</v>
      </c>
      <c r="F414" s="3" t="s">
        <v>2001</v>
      </c>
    </row>
    <row r="415" s="2" customFormat="1" spans="1:6">
      <c r="A415" s="3"/>
      <c r="B415" s="3">
        <v>414</v>
      </c>
      <c r="C415" s="2" t="s">
        <v>2827</v>
      </c>
      <c r="D415" s="3" t="s">
        <v>2828</v>
      </c>
      <c r="E415" s="3">
        <v>2</v>
      </c>
      <c r="F415" s="3" t="s">
        <v>2001</v>
      </c>
    </row>
    <row r="416" s="2" customFormat="1" spans="1:6">
      <c r="A416" s="3"/>
      <c r="B416" s="3">
        <v>415</v>
      </c>
      <c r="C416" s="2" t="s">
        <v>2829</v>
      </c>
      <c r="D416" s="3" t="s">
        <v>2830</v>
      </c>
      <c r="E416" s="3">
        <v>2</v>
      </c>
      <c r="F416" s="3" t="s">
        <v>2001</v>
      </c>
    </row>
    <row r="417" s="2" customFormat="1" spans="1:6">
      <c r="A417" s="3"/>
      <c r="B417" s="3">
        <v>416</v>
      </c>
      <c r="C417" s="2" t="s">
        <v>2831</v>
      </c>
      <c r="D417" s="3" t="s">
        <v>2832</v>
      </c>
      <c r="E417" s="3">
        <v>1</v>
      </c>
      <c r="F417" s="3" t="s">
        <v>2792</v>
      </c>
    </row>
    <row r="418" s="2" customFormat="1" spans="1:6">
      <c r="A418" s="3"/>
      <c r="B418" s="3">
        <v>417</v>
      </c>
      <c r="C418" s="2" t="s">
        <v>2833</v>
      </c>
      <c r="D418" s="3" t="s">
        <v>2834</v>
      </c>
      <c r="E418" s="3">
        <v>1</v>
      </c>
      <c r="F418" s="3" t="s">
        <v>2001</v>
      </c>
    </row>
    <row r="419" s="2" customFormat="1" spans="1:6">
      <c r="A419" s="3"/>
      <c r="B419" s="3">
        <v>418</v>
      </c>
      <c r="C419" s="2" t="s">
        <v>2835</v>
      </c>
      <c r="D419" s="3" t="s">
        <v>2836</v>
      </c>
      <c r="E419" s="3">
        <v>12</v>
      </c>
      <c r="F419" s="3" t="s">
        <v>2001</v>
      </c>
    </row>
    <row r="420" s="2" customFormat="1" spans="1:6">
      <c r="A420" s="3"/>
      <c r="B420" s="3">
        <v>419</v>
      </c>
      <c r="C420" s="2" t="s">
        <v>2837</v>
      </c>
      <c r="D420" s="3" t="s">
        <v>2838</v>
      </c>
      <c r="E420" s="3">
        <v>12</v>
      </c>
      <c r="F420" s="3" t="s">
        <v>2001</v>
      </c>
    </row>
    <row r="421" s="2" customFormat="1" spans="1:6">
      <c r="A421" s="3"/>
      <c r="B421" s="3">
        <v>420</v>
      </c>
      <c r="C421" s="2" t="s">
        <v>2839</v>
      </c>
      <c r="D421" s="3" t="s">
        <v>2840</v>
      </c>
      <c r="E421" s="3">
        <v>26</v>
      </c>
      <c r="F421" s="3" t="s">
        <v>2001</v>
      </c>
    </row>
    <row r="422" s="2" customFormat="1" spans="1:6">
      <c r="A422" s="3"/>
      <c r="B422" s="3">
        <v>421</v>
      </c>
      <c r="C422" s="2" t="s">
        <v>2841</v>
      </c>
      <c r="D422" s="3" t="s">
        <v>2842</v>
      </c>
      <c r="E422" s="3">
        <v>17</v>
      </c>
      <c r="F422" s="3" t="s">
        <v>2001</v>
      </c>
    </row>
    <row r="423" s="2" customFormat="1" spans="1:6">
      <c r="A423" s="3"/>
      <c r="B423" s="3">
        <v>422</v>
      </c>
      <c r="C423" s="2" t="s">
        <v>2843</v>
      </c>
      <c r="D423" s="3" t="s">
        <v>2844</v>
      </c>
      <c r="E423" s="3">
        <v>19</v>
      </c>
      <c r="F423" s="3" t="s">
        <v>2001</v>
      </c>
    </row>
    <row r="424" s="2" customFormat="1" spans="1:6">
      <c r="A424" s="3"/>
      <c r="B424" s="3">
        <v>423</v>
      </c>
      <c r="C424" s="2" t="s">
        <v>2845</v>
      </c>
      <c r="D424" s="3" t="s">
        <v>2846</v>
      </c>
      <c r="E424" s="3">
        <v>9</v>
      </c>
      <c r="F424" s="3" t="s">
        <v>2001</v>
      </c>
    </row>
    <row r="425" s="2" customFormat="1" spans="1:6">
      <c r="A425" s="3"/>
      <c r="B425" s="3">
        <v>424</v>
      </c>
      <c r="C425" s="2" t="s">
        <v>2847</v>
      </c>
      <c r="D425" s="3" t="s">
        <v>2848</v>
      </c>
      <c r="E425" s="3">
        <v>5</v>
      </c>
      <c r="F425" s="3" t="s">
        <v>2001</v>
      </c>
    </row>
    <row r="426" s="2" customFormat="1" spans="1:6">
      <c r="A426" s="3"/>
      <c r="B426" s="3">
        <v>425</v>
      </c>
      <c r="C426" s="2" t="s">
        <v>2849</v>
      </c>
      <c r="D426" s="3" t="s">
        <v>2850</v>
      </c>
      <c r="E426" s="3">
        <v>2</v>
      </c>
      <c r="F426" s="3" t="s">
        <v>2001</v>
      </c>
    </row>
    <row r="427" s="2" customFormat="1" spans="1:6">
      <c r="A427" s="3"/>
      <c r="B427" s="3">
        <v>426</v>
      </c>
      <c r="C427" s="2" t="s">
        <v>2851</v>
      </c>
      <c r="D427" s="3" t="s">
        <v>2852</v>
      </c>
      <c r="E427" s="3">
        <v>10</v>
      </c>
      <c r="F427" s="3" t="s">
        <v>2001</v>
      </c>
    </row>
    <row r="428" s="2" customFormat="1" spans="1:6">
      <c r="A428" s="3"/>
      <c r="B428" s="3">
        <v>427</v>
      </c>
      <c r="C428" s="2" t="s">
        <v>2853</v>
      </c>
      <c r="D428" s="3" t="s">
        <v>2854</v>
      </c>
      <c r="E428" s="3">
        <v>1</v>
      </c>
      <c r="F428" s="3" t="s">
        <v>2001</v>
      </c>
    </row>
    <row r="429" s="2" customFormat="1" spans="1:6">
      <c r="A429" s="3"/>
      <c r="B429" s="3">
        <v>428</v>
      </c>
      <c r="C429" s="2" t="s">
        <v>2855</v>
      </c>
      <c r="D429" s="3" t="s">
        <v>2856</v>
      </c>
      <c r="E429" s="3">
        <v>2</v>
      </c>
      <c r="F429" s="3" t="s">
        <v>2001</v>
      </c>
    </row>
    <row r="430" s="2" customFormat="1" spans="1:6">
      <c r="A430" s="3"/>
      <c r="B430" s="3">
        <v>429</v>
      </c>
      <c r="C430" s="2" t="s">
        <v>2857</v>
      </c>
      <c r="D430" s="3" t="s">
        <v>2858</v>
      </c>
      <c r="E430" s="3">
        <v>1</v>
      </c>
      <c r="F430" s="3" t="s">
        <v>2001</v>
      </c>
    </row>
    <row r="431" s="2" customFormat="1" spans="1:6">
      <c r="A431" s="3"/>
      <c r="B431" s="3">
        <v>430</v>
      </c>
      <c r="C431" s="2" t="s">
        <v>2859</v>
      </c>
      <c r="D431" s="3" t="s">
        <v>2860</v>
      </c>
      <c r="E431" s="3">
        <v>16</v>
      </c>
      <c r="F431" s="3" t="s">
        <v>2001</v>
      </c>
    </row>
    <row r="432" s="2" customFormat="1" spans="1:6">
      <c r="A432" s="3"/>
      <c r="B432" s="3">
        <v>431</v>
      </c>
      <c r="C432" s="2" t="s">
        <v>2861</v>
      </c>
      <c r="D432" s="3" t="s">
        <v>2862</v>
      </c>
      <c r="E432" s="3">
        <v>7</v>
      </c>
      <c r="F432" s="3" t="s">
        <v>2001</v>
      </c>
    </row>
    <row r="433" s="2" customFormat="1" spans="1:6">
      <c r="A433" s="3"/>
      <c r="B433" s="3">
        <v>432</v>
      </c>
      <c r="C433" s="2" t="s">
        <v>2863</v>
      </c>
      <c r="D433" s="3" t="s">
        <v>2864</v>
      </c>
      <c r="E433" s="3">
        <v>8</v>
      </c>
      <c r="F433" s="3" t="s">
        <v>2001</v>
      </c>
    </row>
    <row r="434" s="2" customFormat="1" spans="1:6">
      <c r="A434" s="3"/>
      <c r="B434" s="3">
        <v>433</v>
      </c>
      <c r="C434" s="2" t="s">
        <v>2865</v>
      </c>
      <c r="D434" s="3" t="s">
        <v>2866</v>
      </c>
      <c r="E434" s="3">
        <v>1</v>
      </c>
      <c r="F434" s="3" t="s">
        <v>2001</v>
      </c>
    </row>
    <row r="435" s="2" customFormat="1" spans="1:6">
      <c r="A435" s="3"/>
      <c r="B435" s="3">
        <v>434</v>
      </c>
      <c r="C435" s="2" t="s">
        <v>2867</v>
      </c>
      <c r="D435" s="3" t="s">
        <v>2868</v>
      </c>
      <c r="E435" s="3">
        <v>6</v>
      </c>
      <c r="F435" s="3" t="s">
        <v>2001</v>
      </c>
    </row>
    <row r="436" s="2" customFormat="1" spans="1:6">
      <c r="A436" s="3"/>
      <c r="B436" s="3">
        <v>435</v>
      </c>
      <c r="C436" s="2" t="s">
        <v>2869</v>
      </c>
      <c r="D436" s="3" t="s">
        <v>2870</v>
      </c>
      <c r="E436" s="3">
        <v>2</v>
      </c>
      <c r="F436" s="3" t="s">
        <v>2001</v>
      </c>
    </row>
    <row r="437" s="2" customFormat="1" spans="1:6">
      <c r="A437" s="3"/>
      <c r="B437" s="3">
        <v>436</v>
      </c>
      <c r="C437" s="2" t="s">
        <v>2871</v>
      </c>
      <c r="D437" s="3" t="s">
        <v>2872</v>
      </c>
      <c r="E437" s="3">
        <v>6</v>
      </c>
      <c r="F437" s="3" t="s">
        <v>2001</v>
      </c>
    </row>
    <row r="438" s="2" customFormat="1" spans="1:6">
      <c r="A438" s="3"/>
      <c r="B438" s="3">
        <v>437</v>
      </c>
      <c r="C438" s="2" t="s">
        <v>2873</v>
      </c>
      <c r="D438" s="3" t="s">
        <v>2874</v>
      </c>
      <c r="E438" s="3">
        <v>8</v>
      </c>
      <c r="F438" s="3" t="s">
        <v>2001</v>
      </c>
    </row>
    <row r="439" s="2" customFormat="1" spans="1:6">
      <c r="A439" s="3"/>
      <c r="B439" s="3">
        <v>438</v>
      </c>
      <c r="C439" s="2" t="s">
        <v>2875</v>
      </c>
      <c r="D439" s="3" t="s">
        <v>2876</v>
      </c>
      <c r="E439" s="3">
        <v>2</v>
      </c>
      <c r="F439" s="3" t="s">
        <v>2001</v>
      </c>
    </row>
    <row r="440" s="2" customFormat="1" spans="1:6">
      <c r="A440" s="3"/>
      <c r="B440" s="3">
        <v>439</v>
      </c>
      <c r="C440" s="2" t="s">
        <v>2877</v>
      </c>
      <c r="D440" s="3" t="s">
        <v>2878</v>
      </c>
      <c r="E440" s="3">
        <v>17</v>
      </c>
      <c r="F440" s="3" t="s">
        <v>2001</v>
      </c>
    </row>
    <row r="441" s="2" customFormat="1" spans="1:6">
      <c r="A441" s="3"/>
      <c r="B441" s="3">
        <v>440</v>
      </c>
      <c r="C441" s="2" t="s">
        <v>2879</v>
      </c>
      <c r="D441" s="3" t="s">
        <v>2880</v>
      </c>
      <c r="E441" s="3">
        <v>10</v>
      </c>
      <c r="F441" s="3" t="s">
        <v>2001</v>
      </c>
    </row>
    <row r="442" s="2" customFormat="1" spans="1:6">
      <c r="A442" s="3"/>
      <c r="B442" s="3">
        <v>441</v>
      </c>
      <c r="C442" s="2" t="s">
        <v>2881</v>
      </c>
      <c r="D442" s="3" t="s">
        <v>2882</v>
      </c>
      <c r="E442" s="3">
        <v>6</v>
      </c>
      <c r="F442" s="3" t="s">
        <v>2001</v>
      </c>
    </row>
    <row r="443" s="2" customFormat="1" spans="1:6">
      <c r="A443" s="3"/>
      <c r="B443" s="3">
        <v>442</v>
      </c>
      <c r="C443" s="2" t="s">
        <v>2883</v>
      </c>
      <c r="D443" s="3" t="s">
        <v>2884</v>
      </c>
      <c r="E443" s="3">
        <v>14</v>
      </c>
      <c r="F443" s="3" t="s">
        <v>2001</v>
      </c>
    </row>
    <row r="444" s="2" customFormat="1" spans="1:6">
      <c r="A444" s="3"/>
      <c r="B444" s="3">
        <v>443</v>
      </c>
      <c r="C444" s="2" t="s">
        <v>2885</v>
      </c>
      <c r="D444" s="3" t="s">
        <v>2886</v>
      </c>
      <c r="E444" s="3">
        <v>9</v>
      </c>
      <c r="F444" s="3" t="s">
        <v>2001</v>
      </c>
    </row>
    <row r="445" s="2" customFormat="1" spans="1:6">
      <c r="A445" s="3"/>
      <c r="B445" s="3">
        <v>444</v>
      </c>
      <c r="C445" s="2" t="s">
        <v>2887</v>
      </c>
      <c r="D445" s="3" t="s">
        <v>2888</v>
      </c>
      <c r="E445" s="3">
        <v>10</v>
      </c>
      <c r="F445" s="3"/>
    </row>
    <row r="446" s="2" customFormat="1" spans="1:6">
      <c r="A446" s="3"/>
      <c r="B446" s="3">
        <v>445</v>
      </c>
      <c r="C446" s="2" t="s">
        <v>2889</v>
      </c>
      <c r="D446" s="3" t="s">
        <v>2890</v>
      </c>
      <c r="E446" s="3">
        <v>2</v>
      </c>
      <c r="F446" s="3" t="s">
        <v>2001</v>
      </c>
    </row>
    <row r="447" s="2" customFormat="1" spans="1:6">
      <c r="A447" s="3"/>
      <c r="B447" s="3">
        <v>446</v>
      </c>
      <c r="C447" s="2" t="s">
        <v>2891</v>
      </c>
      <c r="D447" s="3" t="s">
        <v>2892</v>
      </c>
      <c r="E447" s="3">
        <v>4</v>
      </c>
      <c r="F447" s="3" t="s">
        <v>2001</v>
      </c>
    </row>
    <row r="448" s="2" customFormat="1" spans="1:6">
      <c r="A448" s="3"/>
      <c r="B448" s="3">
        <v>447</v>
      </c>
      <c r="C448" s="2" t="s">
        <v>2893</v>
      </c>
      <c r="D448" s="3" t="s">
        <v>2894</v>
      </c>
      <c r="E448" s="3">
        <v>4</v>
      </c>
      <c r="F448" s="3" t="s">
        <v>2001</v>
      </c>
    </row>
    <row r="449" s="2" customFormat="1" spans="1:6">
      <c r="A449" s="3"/>
      <c r="B449" s="3">
        <v>448</v>
      </c>
      <c r="C449" s="2" t="s">
        <v>2895</v>
      </c>
      <c r="D449" s="3" t="s">
        <v>2896</v>
      </c>
      <c r="E449" s="3">
        <v>4</v>
      </c>
      <c r="F449" s="3" t="s">
        <v>2001</v>
      </c>
    </row>
    <row r="450" s="2" customFormat="1" spans="1:6">
      <c r="A450" s="3"/>
      <c r="B450" s="3">
        <v>449</v>
      </c>
      <c r="C450" s="2" t="s">
        <v>2897</v>
      </c>
      <c r="D450" s="3" t="s">
        <v>2898</v>
      </c>
      <c r="E450" s="3">
        <v>4</v>
      </c>
      <c r="F450" s="3" t="s">
        <v>2001</v>
      </c>
    </row>
    <row r="451" s="2" customFormat="1" spans="1:6">
      <c r="A451" s="3"/>
      <c r="B451" s="3">
        <v>450</v>
      </c>
      <c r="C451" s="2" t="s">
        <v>2899</v>
      </c>
      <c r="D451" s="3" t="s">
        <v>2900</v>
      </c>
      <c r="E451" s="3">
        <v>6</v>
      </c>
      <c r="F451" s="3" t="s">
        <v>2001</v>
      </c>
    </row>
    <row r="452" s="2" customFormat="1" spans="1:6">
      <c r="A452" s="3"/>
      <c r="B452" s="3">
        <v>451</v>
      </c>
      <c r="C452" s="2" t="s">
        <v>2901</v>
      </c>
      <c r="D452" s="3" t="s">
        <v>2902</v>
      </c>
      <c r="E452" s="3">
        <v>8</v>
      </c>
      <c r="F452" s="3" t="s">
        <v>2001</v>
      </c>
    </row>
    <row r="453" s="2" customFormat="1" spans="1:6">
      <c r="A453" s="3"/>
      <c r="B453" s="3">
        <v>452</v>
      </c>
      <c r="C453" s="2" t="s">
        <v>2903</v>
      </c>
      <c r="D453" s="3" t="s">
        <v>2904</v>
      </c>
      <c r="E453" s="3">
        <v>4</v>
      </c>
      <c r="F453" s="3" t="s">
        <v>2001</v>
      </c>
    </row>
    <row r="454" s="2" customFormat="1" spans="1:6">
      <c r="A454" s="3"/>
      <c r="B454" s="3">
        <v>453</v>
      </c>
      <c r="C454" s="2" t="s">
        <v>2905</v>
      </c>
      <c r="D454" s="3" t="s">
        <v>2906</v>
      </c>
      <c r="E454" s="3">
        <v>4</v>
      </c>
      <c r="F454" s="3" t="s">
        <v>2001</v>
      </c>
    </row>
    <row r="455" s="2" customFormat="1" spans="1:6">
      <c r="A455" s="3"/>
      <c r="B455" s="3">
        <v>454</v>
      </c>
      <c r="C455" s="2" t="s">
        <v>2907</v>
      </c>
      <c r="D455" s="3" t="s">
        <v>2908</v>
      </c>
      <c r="E455" s="3">
        <v>4</v>
      </c>
      <c r="F455" s="3" t="s">
        <v>2001</v>
      </c>
    </row>
    <row r="456" s="2" customFormat="1" spans="1:6">
      <c r="A456" s="3"/>
      <c r="B456" s="3">
        <v>455</v>
      </c>
      <c r="C456" s="2" t="s">
        <v>2909</v>
      </c>
      <c r="D456" s="3" t="s">
        <v>2910</v>
      </c>
      <c r="E456" s="3">
        <v>4</v>
      </c>
      <c r="F456" s="3" t="s">
        <v>2001</v>
      </c>
    </row>
    <row r="457" s="2" customFormat="1" spans="1:6">
      <c r="A457" s="3"/>
      <c r="B457" s="3">
        <v>456</v>
      </c>
      <c r="C457" s="2" t="s">
        <v>2911</v>
      </c>
      <c r="D457" s="3" t="s">
        <v>2912</v>
      </c>
      <c r="E457" s="3">
        <v>4</v>
      </c>
      <c r="F457" s="3" t="s">
        <v>2001</v>
      </c>
    </row>
    <row r="458" s="2" customFormat="1" spans="1:6">
      <c r="A458" s="3"/>
      <c r="B458" s="3">
        <v>457</v>
      </c>
      <c r="C458" s="2" t="s">
        <v>2913</v>
      </c>
      <c r="D458" s="3" t="s">
        <v>2914</v>
      </c>
      <c r="E458" s="3">
        <v>4</v>
      </c>
      <c r="F458" s="3" t="s">
        <v>2001</v>
      </c>
    </row>
    <row r="459" s="2" customFormat="1" spans="1:6">
      <c r="A459" s="3"/>
      <c r="B459" s="3">
        <v>458</v>
      </c>
      <c r="C459" s="2" t="s">
        <v>2915</v>
      </c>
      <c r="D459" s="3" t="s">
        <v>2916</v>
      </c>
      <c r="E459" s="3">
        <v>4</v>
      </c>
      <c r="F459" s="3" t="s">
        <v>2001</v>
      </c>
    </row>
    <row r="460" s="2" customFormat="1" spans="1:6">
      <c r="A460" s="3"/>
      <c r="B460" s="3">
        <v>459</v>
      </c>
      <c r="C460" s="2" t="s">
        <v>2917</v>
      </c>
      <c r="D460" s="3" t="s">
        <v>2918</v>
      </c>
      <c r="E460" s="3">
        <v>2</v>
      </c>
      <c r="F460" s="3" t="s">
        <v>2001</v>
      </c>
    </row>
    <row r="461" s="2" customFormat="1" spans="1:6">
      <c r="A461" s="3"/>
      <c r="B461" s="3">
        <v>460</v>
      </c>
      <c r="C461" s="2" t="s">
        <v>2919</v>
      </c>
      <c r="D461" s="3" t="s">
        <v>2920</v>
      </c>
      <c r="E461" s="3">
        <v>4</v>
      </c>
      <c r="F461" s="3" t="s">
        <v>2001</v>
      </c>
    </row>
    <row r="462" s="2" customFormat="1" spans="1:6">
      <c r="A462" s="3"/>
      <c r="B462" s="3">
        <v>461</v>
      </c>
      <c r="C462" s="2" t="s">
        <v>2921</v>
      </c>
      <c r="D462" s="3" t="s">
        <v>2922</v>
      </c>
      <c r="E462" s="3">
        <v>4</v>
      </c>
      <c r="F462" s="3" t="s">
        <v>2001</v>
      </c>
    </row>
    <row r="463" s="2" customFormat="1" spans="1:6">
      <c r="A463" s="3"/>
      <c r="B463" s="3">
        <v>462</v>
      </c>
      <c r="C463" s="2" t="s">
        <v>2923</v>
      </c>
      <c r="D463" s="3" t="s">
        <v>2924</v>
      </c>
      <c r="E463" s="3">
        <v>4</v>
      </c>
      <c r="F463" s="3" t="s">
        <v>2001</v>
      </c>
    </row>
    <row r="464" s="2" customFormat="1" spans="1:6">
      <c r="A464" s="3"/>
      <c r="B464" s="3">
        <v>463</v>
      </c>
      <c r="C464" s="2" t="s">
        <v>2925</v>
      </c>
      <c r="D464" s="3" t="s">
        <v>2926</v>
      </c>
      <c r="E464" s="3">
        <v>4</v>
      </c>
      <c r="F464" s="3" t="s">
        <v>2001</v>
      </c>
    </row>
    <row r="465" s="2" customFormat="1" spans="1:6">
      <c r="A465" s="3"/>
      <c r="B465" s="3">
        <v>464</v>
      </c>
      <c r="C465" s="2" t="s">
        <v>2927</v>
      </c>
      <c r="D465" s="3" t="s">
        <v>2928</v>
      </c>
      <c r="E465" s="3">
        <v>1</v>
      </c>
      <c r="F465" s="3" t="s">
        <v>2001</v>
      </c>
    </row>
    <row r="466" s="2" customFormat="1" spans="1:6">
      <c r="A466" s="3"/>
      <c r="B466" s="3">
        <v>465</v>
      </c>
      <c r="C466" s="2" t="s">
        <v>2929</v>
      </c>
      <c r="D466" s="3" t="s">
        <v>2930</v>
      </c>
      <c r="E466" s="3">
        <v>1</v>
      </c>
      <c r="F466" s="3" t="s">
        <v>2001</v>
      </c>
    </row>
    <row r="467" s="2" customFormat="1" spans="1:6">
      <c r="A467" s="3"/>
      <c r="B467" s="3">
        <v>466</v>
      </c>
      <c r="C467" s="2" t="s">
        <v>2931</v>
      </c>
      <c r="D467" s="3" t="s">
        <v>2932</v>
      </c>
      <c r="E467" s="3">
        <v>1</v>
      </c>
      <c r="F467" s="3" t="s">
        <v>2001</v>
      </c>
    </row>
    <row r="468" s="2" customFormat="1" spans="1:6">
      <c r="A468" s="3"/>
      <c r="B468" s="3">
        <v>467</v>
      </c>
      <c r="C468" s="2" t="s">
        <v>2933</v>
      </c>
      <c r="D468" s="3" t="s">
        <v>2934</v>
      </c>
      <c r="E468" s="3">
        <v>1</v>
      </c>
      <c r="F468" s="3" t="s">
        <v>2001</v>
      </c>
    </row>
    <row r="469" s="2" customFormat="1" spans="1:6">
      <c r="A469" s="3"/>
      <c r="B469" s="3">
        <v>468</v>
      </c>
      <c r="C469" s="2" t="s">
        <v>2935</v>
      </c>
      <c r="D469" s="3" t="s">
        <v>2936</v>
      </c>
      <c r="E469" s="3">
        <v>1</v>
      </c>
      <c r="F469" s="3" t="s">
        <v>2001</v>
      </c>
    </row>
    <row r="470" s="2" customFormat="1" spans="1:6">
      <c r="A470" s="3"/>
      <c r="B470" s="3">
        <v>469</v>
      </c>
      <c r="C470" s="2" t="s">
        <v>2937</v>
      </c>
      <c r="D470" s="3" t="s">
        <v>2938</v>
      </c>
      <c r="E470" s="3">
        <v>1</v>
      </c>
      <c r="F470" s="3" t="s">
        <v>2001</v>
      </c>
    </row>
    <row r="471" s="2" customFormat="1" spans="1:6">
      <c r="A471" s="3"/>
      <c r="B471" s="3">
        <v>470</v>
      </c>
      <c r="C471" s="2" t="s">
        <v>2939</v>
      </c>
      <c r="D471" s="3" t="s">
        <v>2940</v>
      </c>
      <c r="E471" s="3">
        <v>1</v>
      </c>
      <c r="F471" s="3" t="s">
        <v>2001</v>
      </c>
    </row>
    <row r="472" s="2" customFormat="1" spans="1:6">
      <c r="A472" s="3"/>
      <c r="B472" s="3">
        <v>471</v>
      </c>
      <c r="C472" s="2" t="s">
        <v>2941</v>
      </c>
      <c r="D472" s="3" t="s">
        <v>2942</v>
      </c>
      <c r="E472" s="3">
        <v>1</v>
      </c>
      <c r="F472" s="3" t="s">
        <v>2001</v>
      </c>
    </row>
    <row r="473" s="2" customFormat="1" spans="1:6">
      <c r="A473" s="3"/>
      <c r="B473" s="3">
        <v>472</v>
      </c>
      <c r="C473" s="2" t="s">
        <v>2943</v>
      </c>
      <c r="D473" s="3" t="s">
        <v>2944</v>
      </c>
      <c r="E473" s="3">
        <v>1</v>
      </c>
      <c r="F473" s="3" t="s">
        <v>2001</v>
      </c>
    </row>
    <row r="474" s="2" customFormat="1" spans="1:6">
      <c r="A474" s="3"/>
      <c r="B474" s="3">
        <v>473</v>
      </c>
      <c r="C474" s="2" t="s">
        <v>2945</v>
      </c>
      <c r="D474" s="3" t="s">
        <v>2946</v>
      </c>
      <c r="E474" s="3">
        <v>1</v>
      </c>
      <c r="F474" s="3" t="s">
        <v>2001</v>
      </c>
    </row>
    <row r="475" s="2" customFormat="1" spans="1:6">
      <c r="A475" s="3"/>
      <c r="B475" s="3">
        <v>474</v>
      </c>
      <c r="C475" s="2" t="s">
        <v>2947</v>
      </c>
      <c r="D475" s="3" t="s">
        <v>2948</v>
      </c>
      <c r="E475" s="3">
        <v>2</v>
      </c>
      <c r="F475" s="3" t="s">
        <v>2001</v>
      </c>
    </row>
    <row r="476" s="2" customFormat="1" spans="1:6">
      <c r="A476" s="3"/>
      <c r="B476" s="3">
        <v>475</v>
      </c>
      <c r="C476" s="2" t="s">
        <v>2949</v>
      </c>
      <c r="D476" s="3" t="s">
        <v>2950</v>
      </c>
      <c r="E476" s="3">
        <v>1</v>
      </c>
      <c r="F476" s="3" t="s">
        <v>2001</v>
      </c>
    </row>
    <row r="477" s="2" customFormat="1" spans="1:6">
      <c r="A477" s="3"/>
      <c r="B477" s="3">
        <v>476</v>
      </c>
      <c r="C477" s="2" t="s">
        <v>2951</v>
      </c>
      <c r="D477" s="3" t="s">
        <v>2952</v>
      </c>
      <c r="E477" s="3">
        <v>1</v>
      </c>
      <c r="F477" s="3" t="s">
        <v>2001</v>
      </c>
    </row>
    <row r="478" s="2" customFormat="1" spans="1:6">
      <c r="A478" s="3"/>
      <c r="B478" s="3">
        <v>477</v>
      </c>
      <c r="C478" s="2" t="s">
        <v>2953</v>
      </c>
      <c r="D478" s="3" t="s">
        <v>2954</v>
      </c>
      <c r="E478" s="3">
        <v>1</v>
      </c>
      <c r="F478" s="3" t="s">
        <v>2001</v>
      </c>
    </row>
    <row r="479" s="2" customFormat="1" spans="1:6">
      <c r="A479" s="3"/>
      <c r="B479" s="3">
        <v>478</v>
      </c>
      <c r="C479" s="2" t="s">
        <v>2955</v>
      </c>
      <c r="D479" s="3" t="s">
        <v>2956</v>
      </c>
      <c r="E479" s="3">
        <v>1</v>
      </c>
      <c r="F479" s="3" t="s">
        <v>2001</v>
      </c>
    </row>
    <row r="480" s="2" customFormat="1" spans="1:6">
      <c r="A480" s="3"/>
      <c r="B480" s="3">
        <v>479</v>
      </c>
      <c r="C480" s="2" t="s">
        <v>2957</v>
      </c>
      <c r="D480" s="3" t="s">
        <v>2958</v>
      </c>
      <c r="E480" s="3">
        <v>1</v>
      </c>
      <c r="F480" s="3" t="s">
        <v>2001</v>
      </c>
    </row>
    <row r="481" s="2" customFormat="1" spans="1:6">
      <c r="A481" s="3"/>
      <c r="B481" s="3">
        <v>480</v>
      </c>
      <c r="C481" s="2" t="s">
        <v>2959</v>
      </c>
      <c r="D481" s="3" t="s">
        <v>2960</v>
      </c>
      <c r="E481" s="3">
        <v>1</v>
      </c>
      <c r="F481" s="3" t="s">
        <v>2001</v>
      </c>
    </row>
    <row r="482" s="2" customFormat="1" spans="1:6">
      <c r="A482" s="3"/>
      <c r="B482" s="3">
        <v>481</v>
      </c>
      <c r="C482" s="2" t="s">
        <v>2961</v>
      </c>
      <c r="D482" s="3" t="s">
        <v>2962</v>
      </c>
      <c r="E482" s="3">
        <v>15</v>
      </c>
      <c r="F482" s="3" t="s">
        <v>2001</v>
      </c>
    </row>
    <row r="483" s="2" customFormat="1" spans="1:6">
      <c r="A483" s="3"/>
      <c r="B483" s="3">
        <v>482</v>
      </c>
      <c r="C483" s="2" t="s">
        <v>2963</v>
      </c>
      <c r="D483" s="3" t="s">
        <v>2964</v>
      </c>
      <c r="E483" s="3">
        <v>22</v>
      </c>
      <c r="F483" s="3" t="s">
        <v>2001</v>
      </c>
    </row>
    <row r="484" s="2" customFormat="1" spans="1:6">
      <c r="A484" s="3"/>
      <c r="B484" s="3">
        <v>483</v>
      </c>
      <c r="C484" s="2" t="s">
        <v>2965</v>
      </c>
      <c r="D484" s="3" t="s">
        <v>2966</v>
      </c>
      <c r="E484" s="3">
        <v>1</v>
      </c>
      <c r="F484" s="3" t="s">
        <v>2001</v>
      </c>
    </row>
    <row r="485" s="2" customFormat="1" spans="1:6">
      <c r="A485" s="3"/>
      <c r="B485" s="3">
        <v>484</v>
      </c>
      <c r="C485" s="2" t="s">
        <v>2967</v>
      </c>
      <c r="D485" s="3" t="s">
        <v>2968</v>
      </c>
      <c r="E485" s="3">
        <v>1</v>
      </c>
      <c r="F485" s="3" t="s">
        <v>2001</v>
      </c>
    </row>
    <row r="486" s="2" customFormat="1" spans="1:6">
      <c r="A486" s="3"/>
      <c r="B486" s="3">
        <v>485</v>
      </c>
      <c r="C486" s="2" t="s">
        <v>2969</v>
      </c>
      <c r="D486" s="3" t="s">
        <v>2970</v>
      </c>
      <c r="E486" s="3">
        <v>5</v>
      </c>
      <c r="F486" s="3" t="s">
        <v>2001</v>
      </c>
    </row>
    <row r="487" s="2" customFormat="1" spans="1:6">
      <c r="A487" s="3"/>
      <c r="B487" s="3">
        <v>486</v>
      </c>
      <c r="C487" s="2" t="s">
        <v>2971</v>
      </c>
      <c r="D487" s="3" t="s">
        <v>2972</v>
      </c>
      <c r="E487" s="3">
        <v>26</v>
      </c>
      <c r="F487" s="3" t="s">
        <v>2001</v>
      </c>
    </row>
    <row r="488" s="2" customFormat="1" spans="1:6">
      <c r="A488" s="3"/>
      <c r="B488" s="3">
        <v>487</v>
      </c>
      <c r="C488" s="2" t="s">
        <v>2973</v>
      </c>
      <c r="D488" s="3" t="s">
        <v>2974</v>
      </c>
      <c r="E488" s="3">
        <v>20</v>
      </c>
      <c r="F488" s="3" t="s">
        <v>2001</v>
      </c>
    </row>
    <row r="489" s="2" customFormat="1" spans="1:6">
      <c r="A489" s="3"/>
      <c r="B489" s="3">
        <v>488</v>
      </c>
      <c r="C489" s="2" t="s">
        <v>2975</v>
      </c>
      <c r="D489" s="3" t="s">
        <v>2976</v>
      </c>
      <c r="E489" s="3">
        <v>4</v>
      </c>
      <c r="F489" s="3" t="s">
        <v>2001</v>
      </c>
    </row>
    <row r="490" s="2" customFormat="1" spans="1:6">
      <c r="A490" s="3"/>
      <c r="B490" s="3">
        <v>489</v>
      </c>
      <c r="C490" s="2" t="s">
        <v>2977</v>
      </c>
      <c r="D490" s="3" t="s">
        <v>2978</v>
      </c>
      <c r="E490" s="3">
        <v>12</v>
      </c>
      <c r="F490" s="3" t="s">
        <v>2001</v>
      </c>
    </row>
    <row r="491" s="2" customFormat="1" spans="1:6">
      <c r="A491" s="3"/>
      <c r="B491" s="3">
        <v>490</v>
      </c>
      <c r="C491" s="2" t="s">
        <v>2979</v>
      </c>
      <c r="D491" s="3" t="s">
        <v>2980</v>
      </c>
      <c r="E491" s="3">
        <v>35</v>
      </c>
      <c r="F491" s="3" t="s">
        <v>2001</v>
      </c>
    </row>
    <row r="492" s="2" customFormat="1" spans="1:6">
      <c r="A492" s="3"/>
      <c r="B492" s="3">
        <v>491</v>
      </c>
      <c r="C492" s="2" t="s">
        <v>2981</v>
      </c>
      <c r="D492" s="3" t="s">
        <v>2982</v>
      </c>
      <c r="E492" s="6">
        <v>1000</v>
      </c>
      <c r="F492" s="3" t="s">
        <v>2001</v>
      </c>
    </row>
    <row r="493" s="2" customFormat="1" spans="1:6">
      <c r="A493" s="3"/>
      <c r="B493" s="3">
        <v>492</v>
      </c>
      <c r="C493" s="2" t="s">
        <v>2983</v>
      </c>
      <c r="D493" s="3" t="s">
        <v>2984</v>
      </c>
      <c r="E493" s="3">
        <v>10</v>
      </c>
      <c r="F493" s="3" t="s">
        <v>2001</v>
      </c>
    </row>
    <row r="494" s="2" customFormat="1" spans="1:6">
      <c r="A494" s="3"/>
      <c r="B494" s="3">
        <v>493</v>
      </c>
      <c r="C494" s="2" t="s">
        <v>2985</v>
      </c>
      <c r="D494" s="3" t="s">
        <v>2986</v>
      </c>
      <c r="E494" s="3">
        <v>5</v>
      </c>
      <c r="F494" s="3" t="s">
        <v>2001</v>
      </c>
    </row>
    <row r="495" s="2" customFormat="1" spans="1:6">
      <c r="A495" s="3"/>
      <c r="B495" s="3">
        <v>494</v>
      </c>
      <c r="C495" s="2" t="s">
        <v>2987</v>
      </c>
      <c r="D495" s="3" t="s">
        <v>2988</v>
      </c>
      <c r="E495" s="3">
        <v>3</v>
      </c>
      <c r="F495" s="3" t="s">
        <v>2001</v>
      </c>
    </row>
    <row r="496" s="2" customFormat="1" spans="1:6">
      <c r="A496" s="3"/>
      <c r="B496" s="3">
        <v>495</v>
      </c>
      <c r="C496" s="2" t="s">
        <v>2989</v>
      </c>
      <c r="D496" s="3" t="s">
        <v>2990</v>
      </c>
      <c r="E496" s="3">
        <v>2</v>
      </c>
      <c r="F496" s="3" t="s">
        <v>2001</v>
      </c>
    </row>
    <row r="497" s="2" customFormat="1" spans="1:6">
      <c r="A497" s="3"/>
      <c r="B497" s="3">
        <v>496</v>
      </c>
      <c r="C497" s="2" t="s">
        <v>2991</v>
      </c>
      <c r="D497" s="3" t="s">
        <v>2992</v>
      </c>
      <c r="E497" s="3">
        <v>2</v>
      </c>
      <c r="F497" s="3" t="s">
        <v>2001</v>
      </c>
    </row>
    <row r="498" s="2" customFormat="1" spans="1:6">
      <c r="A498" s="3"/>
      <c r="B498" s="3">
        <v>497</v>
      </c>
      <c r="C498" s="2" t="s">
        <v>2993</v>
      </c>
      <c r="D498" s="3" t="s">
        <v>2994</v>
      </c>
      <c r="E498" s="3">
        <v>6</v>
      </c>
      <c r="F498" s="3" t="s">
        <v>2001</v>
      </c>
    </row>
    <row r="499" s="2" customFormat="1" spans="1:6">
      <c r="A499" s="3"/>
      <c r="B499" s="3">
        <v>498</v>
      </c>
      <c r="C499" s="2" t="s">
        <v>2995</v>
      </c>
      <c r="D499" s="3" t="s">
        <v>2996</v>
      </c>
      <c r="E499" s="3">
        <v>2</v>
      </c>
      <c r="F499" s="3" t="s">
        <v>2001</v>
      </c>
    </row>
    <row r="500" s="2" customFormat="1" spans="1:6">
      <c r="A500" s="3"/>
      <c r="B500" s="3">
        <v>499</v>
      </c>
      <c r="C500" s="2" t="s">
        <v>2997</v>
      </c>
      <c r="D500" s="3" t="s">
        <v>2998</v>
      </c>
      <c r="E500" s="3">
        <v>1</v>
      </c>
      <c r="F500" s="3" t="s">
        <v>2001</v>
      </c>
    </row>
    <row r="501" s="2" customFormat="1" spans="1:6">
      <c r="A501" s="3"/>
      <c r="B501" s="3">
        <v>500</v>
      </c>
      <c r="C501" s="2" t="s">
        <v>2999</v>
      </c>
      <c r="D501" s="3" t="s">
        <v>3000</v>
      </c>
      <c r="E501" s="3">
        <v>9</v>
      </c>
      <c r="F501" s="3" t="s">
        <v>2001</v>
      </c>
    </row>
    <row r="502" s="2" customFormat="1" spans="1:6">
      <c r="A502" s="3"/>
      <c r="B502" s="3">
        <v>501</v>
      </c>
      <c r="C502" s="2" t="s">
        <v>3001</v>
      </c>
      <c r="D502" s="3" t="s">
        <v>3002</v>
      </c>
      <c r="E502" s="3">
        <v>5</v>
      </c>
      <c r="F502" s="3" t="s">
        <v>2001</v>
      </c>
    </row>
    <row r="503" s="2" customFormat="1" spans="1:6">
      <c r="A503" s="3"/>
      <c r="B503" s="3">
        <v>502</v>
      </c>
      <c r="C503" s="2" t="s">
        <v>3003</v>
      </c>
      <c r="D503" s="3" t="s">
        <v>3004</v>
      </c>
      <c r="E503" s="3">
        <v>9</v>
      </c>
      <c r="F503" s="3" t="s">
        <v>2001</v>
      </c>
    </row>
    <row r="504" s="2" customFormat="1" spans="1:6">
      <c r="A504" s="3"/>
      <c r="B504" s="3">
        <v>503</v>
      </c>
      <c r="C504" s="2" t="s">
        <v>3005</v>
      </c>
      <c r="D504" s="3" t="s">
        <v>3006</v>
      </c>
      <c r="E504" s="3">
        <v>9</v>
      </c>
      <c r="F504" s="3" t="s">
        <v>2001</v>
      </c>
    </row>
    <row r="505" s="2" customFormat="1" spans="1:6">
      <c r="A505" s="3"/>
      <c r="B505" s="3">
        <v>504</v>
      </c>
      <c r="C505" s="2" t="s">
        <v>3007</v>
      </c>
      <c r="D505" s="3" t="s">
        <v>3008</v>
      </c>
      <c r="E505" s="3">
        <v>13</v>
      </c>
      <c r="F505" s="3" t="s">
        <v>2001</v>
      </c>
    </row>
    <row r="506" s="2" customFormat="1" spans="1:6">
      <c r="A506" s="3"/>
      <c r="B506" s="3">
        <v>505</v>
      </c>
      <c r="C506" s="2" t="s">
        <v>3009</v>
      </c>
      <c r="D506" s="3" t="s">
        <v>3010</v>
      </c>
      <c r="E506" s="3">
        <v>341</v>
      </c>
      <c r="F506" s="3" t="s">
        <v>2001</v>
      </c>
    </row>
    <row r="507" s="2" customFormat="1" spans="1:6">
      <c r="A507" s="3"/>
      <c r="B507" s="3">
        <v>506</v>
      </c>
      <c r="C507" s="2" t="s">
        <v>3011</v>
      </c>
      <c r="D507" s="3" t="s">
        <v>3012</v>
      </c>
      <c r="E507" s="3">
        <v>1</v>
      </c>
      <c r="F507" s="3" t="s">
        <v>2001</v>
      </c>
    </row>
    <row r="508" s="2" customFormat="1" spans="1:6">
      <c r="A508" s="3"/>
      <c r="B508" s="3">
        <v>507</v>
      </c>
      <c r="C508" s="2" t="s">
        <v>3013</v>
      </c>
      <c r="D508" s="3" t="s">
        <v>3014</v>
      </c>
      <c r="E508" s="3">
        <v>50</v>
      </c>
      <c r="F508" s="3"/>
    </row>
    <row r="509" s="2" customFormat="1" spans="1:6">
      <c r="A509" s="3"/>
      <c r="B509" s="3">
        <v>508</v>
      </c>
      <c r="C509" s="2" t="s">
        <v>3015</v>
      </c>
      <c r="D509" s="3" t="s">
        <v>3016</v>
      </c>
      <c r="E509" s="3">
        <v>50</v>
      </c>
      <c r="F509" s="3" t="s">
        <v>2001</v>
      </c>
    </row>
    <row r="510" s="2" customFormat="1" spans="1:6">
      <c r="A510" s="3"/>
      <c r="B510" s="3">
        <v>509</v>
      </c>
      <c r="C510" s="2" t="s">
        <v>3017</v>
      </c>
      <c r="D510" s="3" t="s">
        <v>3018</v>
      </c>
      <c r="E510" s="3">
        <v>50</v>
      </c>
      <c r="F510" s="3" t="s">
        <v>2001</v>
      </c>
    </row>
    <row r="511" s="2" customFormat="1" spans="1:6">
      <c r="A511" s="3"/>
      <c r="B511" s="3">
        <v>510</v>
      </c>
      <c r="C511" s="2" t="s">
        <v>3019</v>
      </c>
      <c r="D511" s="3" t="s">
        <v>3020</v>
      </c>
      <c r="E511" s="3">
        <v>1</v>
      </c>
      <c r="F511" s="3" t="s">
        <v>2001</v>
      </c>
    </row>
    <row r="512" s="2" customFormat="1" spans="1:6">
      <c r="A512" s="3"/>
      <c r="B512" s="3">
        <v>511</v>
      </c>
      <c r="C512" s="2" t="s">
        <v>3021</v>
      </c>
      <c r="D512" s="3" t="s">
        <v>3022</v>
      </c>
      <c r="E512" s="3">
        <v>1</v>
      </c>
      <c r="F512" s="3" t="s">
        <v>2001</v>
      </c>
    </row>
    <row r="513" s="2" customFormat="1" spans="1:6">
      <c r="A513" s="3"/>
      <c r="B513" s="3">
        <v>512</v>
      </c>
      <c r="C513" s="2" t="s">
        <v>3023</v>
      </c>
      <c r="D513" s="3" t="s">
        <v>3024</v>
      </c>
      <c r="E513" s="3">
        <v>18</v>
      </c>
      <c r="F513" s="3" t="s">
        <v>2001</v>
      </c>
    </row>
    <row r="514" s="2" customFormat="1" spans="1:6">
      <c r="A514" s="3"/>
      <c r="B514" s="3">
        <v>513</v>
      </c>
      <c r="C514" s="2" t="s">
        <v>3025</v>
      </c>
      <c r="D514" s="3" t="s">
        <v>3026</v>
      </c>
      <c r="E514" s="3">
        <v>1</v>
      </c>
      <c r="F514" s="3" t="s">
        <v>2001</v>
      </c>
    </row>
    <row r="515" s="2" customFormat="1" spans="1:6">
      <c r="A515" s="3"/>
      <c r="B515" s="3">
        <v>514</v>
      </c>
      <c r="C515" s="2" t="s">
        <v>3027</v>
      </c>
      <c r="D515" s="3" t="s">
        <v>3028</v>
      </c>
      <c r="E515" s="3">
        <v>10</v>
      </c>
      <c r="F515" s="3" t="s">
        <v>2001</v>
      </c>
    </row>
    <row r="516" s="2" customFormat="1" spans="1:6">
      <c r="A516" s="3"/>
      <c r="B516" s="3">
        <v>515</v>
      </c>
      <c r="C516" s="2" t="s">
        <v>3029</v>
      </c>
      <c r="D516" s="3" t="s">
        <v>3030</v>
      </c>
      <c r="E516" s="3">
        <v>5</v>
      </c>
      <c r="F516" s="3" t="s">
        <v>2001</v>
      </c>
    </row>
    <row r="517" s="2" customFormat="1" spans="1:6">
      <c r="A517" s="3"/>
      <c r="B517" s="3">
        <v>516</v>
      </c>
      <c r="C517" s="2" t="s">
        <v>3031</v>
      </c>
      <c r="D517" s="3" t="s">
        <v>3032</v>
      </c>
      <c r="E517" s="3">
        <v>26</v>
      </c>
      <c r="F517" s="3" t="s">
        <v>2001</v>
      </c>
    </row>
    <row r="518" s="2" customFormat="1" spans="1:6">
      <c r="A518" s="3"/>
      <c r="B518" s="3">
        <v>517</v>
      </c>
      <c r="C518" s="2" t="s">
        <v>3033</v>
      </c>
      <c r="D518" s="3" t="s">
        <v>3034</v>
      </c>
      <c r="E518" s="3">
        <v>12</v>
      </c>
      <c r="F518" s="3" t="s">
        <v>2001</v>
      </c>
    </row>
    <row r="519" s="2" customFormat="1" spans="1:6">
      <c r="A519" s="3"/>
      <c r="B519" s="3">
        <v>518</v>
      </c>
      <c r="C519" s="2" t="s">
        <v>3035</v>
      </c>
      <c r="D519" s="3" t="s">
        <v>3036</v>
      </c>
      <c r="E519" s="3">
        <v>19</v>
      </c>
      <c r="F519" s="3" t="s">
        <v>2001</v>
      </c>
    </row>
    <row r="520" s="2" customFormat="1" spans="1:6">
      <c r="A520" s="3"/>
      <c r="B520" s="3">
        <v>519</v>
      </c>
      <c r="C520" s="2" t="s">
        <v>3037</v>
      </c>
      <c r="D520" s="3" t="s">
        <v>3038</v>
      </c>
      <c r="E520" s="3">
        <v>14</v>
      </c>
      <c r="F520" s="3" t="s">
        <v>2792</v>
      </c>
    </row>
    <row r="521" s="2" customFormat="1" spans="1:6">
      <c r="A521" s="3"/>
      <c r="B521" s="3">
        <v>520</v>
      </c>
      <c r="C521" s="2" t="s">
        <v>3039</v>
      </c>
      <c r="D521" s="3" t="s">
        <v>3040</v>
      </c>
      <c r="E521" s="3">
        <v>4</v>
      </c>
      <c r="F521" s="3" t="s">
        <v>2001</v>
      </c>
    </row>
    <row r="522" s="2" customFormat="1" spans="1:6">
      <c r="A522" s="3"/>
      <c r="B522" s="3">
        <v>521</v>
      </c>
      <c r="C522" s="2" t="s">
        <v>3041</v>
      </c>
      <c r="D522" s="3" t="s">
        <v>3042</v>
      </c>
      <c r="E522" s="3">
        <v>49</v>
      </c>
      <c r="F522" s="3" t="s">
        <v>2001</v>
      </c>
    </row>
    <row r="523" s="2" customFormat="1" spans="1:6">
      <c r="A523" s="3"/>
      <c r="B523" s="3">
        <v>522</v>
      </c>
      <c r="C523" s="2" t="s">
        <v>3043</v>
      </c>
      <c r="D523" s="3" t="s">
        <v>3044</v>
      </c>
      <c r="E523" s="3">
        <v>10</v>
      </c>
      <c r="F523" s="3" t="s">
        <v>2001</v>
      </c>
    </row>
    <row r="524" s="2" customFormat="1" spans="1:6">
      <c r="A524" s="3"/>
      <c r="B524" s="3">
        <v>523</v>
      </c>
      <c r="C524" s="2" t="s">
        <v>3045</v>
      </c>
      <c r="D524" s="3" t="s">
        <v>3046</v>
      </c>
      <c r="E524" s="3">
        <v>3</v>
      </c>
      <c r="F524" s="3" t="s">
        <v>3047</v>
      </c>
    </row>
    <row r="525" s="2" customFormat="1" spans="1:6">
      <c r="A525" s="3"/>
      <c r="B525" s="3">
        <v>524</v>
      </c>
      <c r="C525" s="2" t="s">
        <v>102</v>
      </c>
      <c r="D525" s="3" t="s">
        <v>3048</v>
      </c>
      <c r="E525" s="3">
        <v>25</v>
      </c>
      <c r="F525" s="3" t="s">
        <v>2001</v>
      </c>
    </row>
    <row r="526" s="2" customFormat="1" spans="1:6">
      <c r="A526" s="3"/>
      <c r="B526" s="3">
        <v>525</v>
      </c>
      <c r="C526" s="2" t="s">
        <v>3049</v>
      </c>
      <c r="D526" s="3" t="s">
        <v>3050</v>
      </c>
      <c r="E526" s="3">
        <v>1</v>
      </c>
      <c r="F526" s="3" t="s">
        <v>2001</v>
      </c>
    </row>
    <row r="527" s="2" customFormat="1" spans="1:6">
      <c r="A527" s="3"/>
      <c r="B527" s="3">
        <v>526</v>
      </c>
      <c r="C527" s="2" t="s">
        <v>105</v>
      </c>
      <c r="D527" s="3" t="s">
        <v>3051</v>
      </c>
      <c r="E527" s="3">
        <v>4</v>
      </c>
      <c r="F527" s="3" t="s">
        <v>2792</v>
      </c>
    </row>
    <row r="528" s="2" customFormat="1" spans="1:6">
      <c r="A528" s="3"/>
      <c r="B528" s="3">
        <v>527</v>
      </c>
      <c r="C528" s="2" t="s">
        <v>84</v>
      </c>
      <c r="D528" s="3" t="s">
        <v>3052</v>
      </c>
      <c r="E528" s="3">
        <v>8</v>
      </c>
      <c r="F528" s="3" t="s">
        <v>2001</v>
      </c>
    </row>
    <row r="529" s="2" customFormat="1" spans="1:6">
      <c r="A529" s="3"/>
      <c r="B529" s="3">
        <v>528</v>
      </c>
      <c r="C529" s="2" t="s">
        <v>3053</v>
      </c>
      <c r="D529" s="3" t="s">
        <v>3054</v>
      </c>
      <c r="E529" s="3">
        <v>1</v>
      </c>
      <c r="F529" s="3" t="s">
        <v>2001</v>
      </c>
    </row>
    <row r="530" s="2" customFormat="1" spans="1:6">
      <c r="A530" s="3"/>
      <c r="B530" s="3">
        <v>529</v>
      </c>
      <c r="C530" s="2" t="s">
        <v>3055</v>
      </c>
      <c r="D530" s="3" t="s">
        <v>3056</v>
      </c>
      <c r="E530" s="3">
        <v>6</v>
      </c>
      <c r="F530" s="3" t="s">
        <v>2001</v>
      </c>
    </row>
    <row r="531" s="2" customFormat="1" spans="1:6">
      <c r="A531" s="3"/>
      <c r="B531" s="3">
        <v>530</v>
      </c>
      <c r="C531" s="2" t="s">
        <v>3057</v>
      </c>
      <c r="D531" s="3" t="s">
        <v>3058</v>
      </c>
      <c r="E531" s="3">
        <v>2</v>
      </c>
      <c r="F531" s="3" t="s">
        <v>2001</v>
      </c>
    </row>
    <row r="532" s="2" customFormat="1" spans="1:6">
      <c r="A532" s="3"/>
      <c r="B532" s="3">
        <v>531</v>
      </c>
      <c r="C532" s="2" t="s">
        <v>3059</v>
      </c>
      <c r="D532" s="3" t="s">
        <v>3060</v>
      </c>
      <c r="E532" s="3">
        <v>2</v>
      </c>
      <c r="F532" s="3" t="s">
        <v>2001</v>
      </c>
    </row>
    <row r="533" s="2" customFormat="1" spans="1:6">
      <c r="A533" s="3"/>
      <c r="B533" s="3">
        <v>532</v>
      </c>
      <c r="C533" s="2" t="s">
        <v>3061</v>
      </c>
      <c r="D533" s="3" t="s">
        <v>3062</v>
      </c>
      <c r="E533" s="3">
        <v>2</v>
      </c>
      <c r="F533" s="3" t="s">
        <v>2001</v>
      </c>
    </row>
    <row r="534" s="2" customFormat="1" spans="1:6">
      <c r="A534" s="3"/>
      <c r="B534" s="3">
        <v>533</v>
      </c>
      <c r="C534" s="2" t="s">
        <v>3063</v>
      </c>
      <c r="D534" s="3" t="s">
        <v>3064</v>
      </c>
      <c r="E534" s="3">
        <v>2</v>
      </c>
      <c r="F534" s="3" t="s">
        <v>2001</v>
      </c>
    </row>
    <row r="535" s="2" customFormat="1" spans="1:6">
      <c r="A535" s="3"/>
      <c r="B535" s="3">
        <v>534</v>
      </c>
      <c r="C535" s="2" t="s">
        <v>3065</v>
      </c>
      <c r="D535" s="3" t="s">
        <v>3066</v>
      </c>
      <c r="E535" s="3">
        <v>2</v>
      </c>
      <c r="F535" s="3" t="s">
        <v>2001</v>
      </c>
    </row>
    <row r="536" s="2" customFormat="1" spans="1:6">
      <c r="A536" s="3"/>
      <c r="B536" s="3">
        <v>535</v>
      </c>
      <c r="C536" s="2" t="s">
        <v>3067</v>
      </c>
      <c r="D536" s="3" t="s">
        <v>3068</v>
      </c>
      <c r="E536" s="3">
        <v>2</v>
      </c>
      <c r="F536" s="3" t="s">
        <v>2001</v>
      </c>
    </row>
    <row r="537" s="2" customFormat="1" spans="1:6">
      <c r="A537" s="3"/>
      <c r="B537" s="3">
        <v>536</v>
      </c>
      <c r="C537" s="2" t="s">
        <v>3069</v>
      </c>
      <c r="D537" s="3" t="s">
        <v>3070</v>
      </c>
      <c r="E537" s="3">
        <v>4</v>
      </c>
      <c r="F537" s="3" t="s">
        <v>2001</v>
      </c>
    </row>
    <row r="538" s="2" customFormat="1" spans="1:6">
      <c r="A538" s="3"/>
      <c r="B538" s="3">
        <v>537</v>
      </c>
      <c r="C538" s="2" t="s">
        <v>3071</v>
      </c>
      <c r="D538" s="3" t="s">
        <v>3072</v>
      </c>
      <c r="E538" s="3">
        <v>2</v>
      </c>
      <c r="F538" s="3" t="s">
        <v>2001</v>
      </c>
    </row>
    <row r="539" s="2" customFormat="1" spans="1:6">
      <c r="A539" s="3"/>
      <c r="B539" s="3">
        <v>538</v>
      </c>
      <c r="C539" s="2" t="s">
        <v>3073</v>
      </c>
      <c r="D539" s="3" t="s">
        <v>3074</v>
      </c>
      <c r="E539" s="3">
        <v>2</v>
      </c>
      <c r="F539" s="3" t="s">
        <v>2001</v>
      </c>
    </row>
    <row r="540" s="2" customFormat="1" spans="1:6">
      <c r="A540" s="3"/>
      <c r="B540" s="3">
        <v>539</v>
      </c>
      <c r="C540" s="2" t="s">
        <v>3075</v>
      </c>
      <c r="D540" s="3" t="s">
        <v>3076</v>
      </c>
      <c r="E540" s="3">
        <v>4</v>
      </c>
      <c r="F540" s="3" t="s">
        <v>2001</v>
      </c>
    </row>
    <row r="541" s="2" customFormat="1" spans="1:6">
      <c r="A541" s="3"/>
      <c r="B541" s="3">
        <v>540</v>
      </c>
      <c r="C541" s="2" t="s">
        <v>3077</v>
      </c>
      <c r="D541" s="3" t="s">
        <v>3078</v>
      </c>
      <c r="E541" s="3">
        <v>2</v>
      </c>
      <c r="F541" s="3" t="s">
        <v>2001</v>
      </c>
    </row>
    <row r="542" s="2" customFormat="1" spans="1:6">
      <c r="A542" s="3"/>
      <c r="B542" s="3">
        <v>541</v>
      </c>
      <c r="C542" s="2" t="s">
        <v>3079</v>
      </c>
      <c r="D542" s="3" t="s">
        <v>3080</v>
      </c>
      <c r="E542" s="3">
        <v>2</v>
      </c>
      <c r="F542" s="3" t="s">
        <v>2001</v>
      </c>
    </row>
    <row r="543" s="2" customFormat="1" spans="1:6">
      <c r="A543" s="3"/>
      <c r="B543" s="3">
        <v>542</v>
      </c>
      <c r="C543" s="2" t="s">
        <v>3081</v>
      </c>
      <c r="D543" s="3" t="s">
        <v>3082</v>
      </c>
      <c r="E543" s="3">
        <v>1</v>
      </c>
      <c r="F543" s="3" t="s">
        <v>2001</v>
      </c>
    </row>
    <row r="544" s="2" customFormat="1" spans="1:6">
      <c r="A544" s="3"/>
      <c r="B544" s="3">
        <v>543</v>
      </c>
      <c r="C544" s="2" t="s">
        <v>3083</v>
      </c>
      <c r="D544" s="3" t="s">
        <v>3084</v>
      </c>
      <c r="E544" s="3">
        <v>1</v>
      </c>
      <c r="F544" s="3" t="s">
        <v>2001</v>
      </c>
    </row>
    <row r="545" s="2" customFormat="1" spans="1:6">
      <c r="A545" s="3"/>
      <c r="B545" s="3">
        <v>544</v>
      </c>
      <c r="C545" s="2" t="s">
        <v>3085</v>
      </c>
      <c r="D545" s="3" t="s">
        <v>3086</v>
      </c>
      <c r="E545" s="3">
        <v>1</v>
      </c>
      <c r="F545" s="3" t="s">
        <v>2001</v>
      </c>
    </row>
    <row r="546" s="2" customFormat="1" spans="1:6">
      <c r="A546" s="3"/>
      <c r="B546" s="3">
        <v>545</v>
      </c>
      <c r="C546" s="2" t="s">
        <v>3087</v>
      </c>
      <c r="D546" s="3" t="s">
        <v>3088</v>
      </c>
      <c r="E546" s="3">
        <v>1</v>
      </c>
      <c r="F546" s="3" t="s">
        <v>2001</v>
      </c>
    </row>
    <row r="547" s="2" customFormat="1" spans="1:6">
      <c r="A547" s="3"/>
      <c r="B547" s="3">
        <v>546</v>
      </c>
      <c r="C547" s="2" t="s">
        <v>3089</v>
      </c>
      <c r="D547" s="3" t="s">
        <v>3090</v>
      </c>
      <c r="E547" s="3">
        <v>1</v>
      </c>
      <c r="F547" s="3" t="s">
        <v>2001</v>
      </c>
    </row>
    <row r="548" s="2" customFormat="1" spans="1:6">
      <c r="A548" s="3"/>
      <c r="B548" s="3">
        <v>547</v>
      </c>
      <c r="C548" s="2" t="s">
        <v>3091</v>
      </c>
      <c r="D548" s="3" t="s">
        <v>3092</v>
      </c>
      <c r="E548" s="3">
        <v>1</v>
      </c>
      <c r="F548" s="3" t="s">
        <v>2001</v>
      </c>
    </row>
    <row r="549" s="2" customFormat="1" spans="1:6">
      <c r="A549" s="3"/>
      <c r="B549" s="3">
        <v>548</v>
      </c>
      <c r="C549" s="2" t="s">
        <v>3093</v>
      </c>
      <c r="D549" s="3" t="s">
        <v>3094</v>
      </c>
      <c r="E549" s="3">
        <v>2</v>
      </c>
      <c r="F549" s="3" t="s">
        <v>2001</v>
      </c>
    </row>
    <row r="550" s="2" customFormat="1" spans="1:6">
      <c r="A550" s="3"/>
      <c r="B550" s="3">
        <v>549</v>
      </c>
      <c r="C550" s="2" t="s">
        <v>3095</v>
      </c>
      <c r="D550" s="3" t="s">
        <v>3096</v>
      </c>
      <c r="E550" s="3">
        <v>2</v>
      </c>
      <c r="F550" s="3" t="s">
        <v>2001</v>
      </c>
    </row>
    <row r="551" s="2" customFormat="1" spans="1:6">
      <c r="A551" s="3"/>
      <c r="B551" s="3">
        <v>550</v>
      </c>
      <c r="C551" s="2" t="s">
        <v>3097</v>
      </c>
      <c r="D551" s="3" t="s">
        <v>3098</v>
      </c>
      <c r="E551" s="3">
        <v>1</v>
      </c>
      <c r="F551" s="3" t="s">
        <v>2001</v>
      </c>
    </row>
    <row r="552" s="2" customFormat="1" spans="1:6">
      <c r="A552" s="3"/>
      <c r="B552" s="3">
        <v>551</v>
      </c>
      <c r="C552" s="2" t="s">
        <v>3099</v>
      </c>
      <c r="D552" s="3" t="s">
        <v>3100</v>
      </c>
      <c r="E552" s="3">
        <v>1</v>
      </c>
      <c r="F552" s="3" t="s">
        <v>2001</v>
      </c>
    </row>
    <row r="553" s="2" customFormat="1" spans="1:6">
      <c r="A553" s="3"/>
      <c r="B553" s="3">
        <v>552</v>
      </c>
      <c r="C553" s="2" t="s">
        <v>3101</v>
      </c>
      <c r="D553" s="3" t="s">
        <v>3102</v>
      </c>
      <c r="E553" s="3">
        <v>1</v>
      </c>
      <c r="F553" s="3" t="s">
        <v>2001</v>
      </c>
    </row>
    <row r="554" s="2" customFormat="1" spans="1:6">
      <c r="A554" s="3"/>
      <c r="B554" s="3">
        <v>553</v>
      </c>
      <c r="C554" s="2" t="s">
        <v>3103</v>
      </c>
      <c r="D554" s="3" t="s">
        <v>3104</v>
      </c>
      <c r="E554" s="3">
        <v>1</v>
      </c>
      <c r="F554" s="3" t="s">
        <v>2001</v>
      </c>
    </row>
    <row r="555" s="2" customFormat="1" spans="1:6">
      <c r="A555" s="3"/>
      <c r="B555" s="3">
        <v>554</v>
      </c>
      <c r="C555" s="2" t="s">
        <v>3105</v>
      </c>
      <c r="D555" s="3" t="s">
        <v>3106</v>
      </c>
      <c r="E555" s="3">
        <v>2</v>
      </c>
      <c r="F555" s="3" t="s">
        <v>2001</v>
      </c>
    </row>
    <row r="556" s="2" customFormat="1" spans="1:6">
      <c r="A556" s="3"/>
      <c r="B556" s="3">
        <v>555</v>
      </c>
      <c r="C556" s="2" t="s">
        <v>3107</v>
      </c>
      <c r="D556" s="3" t="s">
        <v>3108</v>
      </c>
      <c r="E556" s="3">
        <v>2</v>
      </c>
      <c r="F556" s="3" t="s">
        <v>2001</v>
      </c>
    </row>
    <row r="557" s="2" customFormat="1" spans="1:6">
      <c r="A557" s="3"/>
      <c r="B557" s="3">
        <v>556</v>
      </c>
      <c r="C557" s="2" t="s">
        <v>3109</v>
      </c>
      <c r="D557" s="3" t="s">
        <v>3110</v>
      </c>
      <c r="E557" s="3">
        <v>1</v>
      </c>
      <c r="F557" s="3" t="s">
        <v>2001</v>
      </c>
    </row>
    <row r="558" s="2" customFormat="1" spans="1:6">
      <c r="A558" s="3"/>
      <c r="B558" s="3">
        <v>557</v>
      </c>
      <c r="C558" s="2" t="s">
        <v>3111</v>
      </c>
      <c r="D558" s="3" t="s">
        <v>3112</v>
      </c>
      <c r="E558" s="3">
        <v>1</v>
      </c>
      <c r="F558" s="3" t="s">
        <v>2001</v>
      </c>
    </row>
    <row r="559" s="2" customFormat="1" spans="1:6">
      <c r="A559" s="3"/>
      <c r="B559" s="3">
        <v>558</v>
      </c>
      <c r="C559" s="2" t="s">
        <v>3113</v>
      </c>
      <c r="D559" s="3" t="s">
        <v>3114</v>
      </c>
      <c r="E559" s="3">
        <v>1</v>
      </c>
      <c r="F559" s="3" t="s">
        <v>2001</v>
      </c>
    </row>
    <row r="560" s="2" customFormat="1" spans="1:6">
      <c r="A560" s="3"/>
      <c r="B560" s="3">
        <v>559</v>
      </c>
      <c r="C560" s="2" t="s">
        <v>3115</v>
      </c>
      <c r="D560" s="3" t="s">
        <v>3116</v>
      </c>
      <c r="E560" s="3">
        <v>1</v>
      </c>
      <c r="F560" s="3" t="s">
        <v>2001</v>
      </c>
    </row>
    <row r="561" s="2" customFormat="1" spans="1:6">
      <c r="A561" s="3"/>
      <c r="B561" s="3">
        <v>560</v>
      </c>
      <c r="C561" s="2" t="s">
        <v>3117</v>
      </c>
      <c r="D561" s="3" t="s">
        <v>3118</v>
      </c>
      <c r="E561" s="3">
        <v>1</v>
      </c>
      <c r="F561" s="3" t="s">
        <v>2001</v>
      </c>
    </row>
    <row r="562" s="2" customFormat="1" spans="1:6">
      <c r="A562" s="3"/>
      <c r="B562" s="3">
        <v>561</v>
      </c>
      <c r="C562" s="2" t="s">
        <v>3119</v>
      </c>
      <c r="D562" s="3" t="s">
        <v>3120</v>
      </c>
      <c r="E562" s="3">
        <v>1</v>
      </c>
      <c r="F562" s="3" t="s">
        <v>2001</v>
      </c>
    </row>
    <row r="563" s="2" customFormat="1" spans="1:6">
      <c r="A563" s="3"/>
      <c r="B563" s="3">
        <v>562</v>
      </c>
      <c r="C563" s="2" t="s">
        <v>3121</v>
      </c>
      <c r="D563" s="3" t="s">
        <v>3122</v>
      </c>
      <c r="E563" s="3">
        <v>1</v>
      </c>
      <c r="F563" s="3" t="s">
        <v>2001</v>
      </c>
    </row>
    <row r="564" s="2" customFormat="1" spans="1:6">
      <c r="A564" s="3"/>
      <c r="B564" s="3">
        <v>563</v>
      </c>
      <c r="C564" s="2" t="s">
        <v>3123</v>
      </c>
      <c r="D564" s="3" t="s">
        <v>3124</v>
      </c>
      <c r="E564" s="3">
        <v>1</v>
      </c>
      <c r="F564" s="3" t="s">
        <v>2001</v>
      </c>
    </row>
    <row r="565" s="2" customFormat="1" spans="1:6">
      <c r="A565" s="3"/>
      <c r="B565" s="3">
        <v>564</v>
      </c>
      <c r="C565" s="2" t="s">
        <v>3125</v>
      </c>
      <c r="D565" s="3" t="s">
        <v>3126</v>
      </c>
      <c r="E565" s="3">
        <v>2</v>
      </c>
      <c r="F565" s="3" t="s">
        <v>2001</v>
      </c>
    </row>
    <row r="566" s="2" customFormat="1" spans="1:6">
      <c r="A566" s="3"/>
      <c r="B566" s="3">
        <v>565</v>
      </c>
      <c r="C566" s="2" t="s">
        <v>3127</v>
      </c>
      <c r="D566" s="3" t="s">
        <v>3128</v>
      </c>
      <c r="E566" s="3">
        <v>2</v>
      </c>
      <c r="F566" s="3" t="s">
        <v>2001</v>
      </c>
    </row>
    <row r="567" s="2" customFormat="1" spans="1:6">
      <c r="A567" s="3"/>
      <c r="B567" s="3">
        <v>566</v>
      </c>
      <c r="C567" s="2" t="s">
        <v>3129</v>
      </c>
      <c r="D567" s="3" t="s">
        <v>3130</v>
      </c>
      <c r="E567" s="3">
        <v>2</v>
      </c>
      <c r="F567" s="3" t="s">
        <v>2001</v>
      </c>
    </row>
    <row r="568" s="2" customFormat="1" spans="1:6">
      <c r="A568" s="3"/>
      <c r="B568" s="3">
        <v>567</v>
      </c>
      <c r="C568" s="2" t="s">
        <v>3131</v>
      </c>
      <c r="D568" s="3" t="s">
        <v>3132</v>
      </c>
      <c r="E568" s="3">
        <v>2</v>
      </c>
      <c r="F568" s="3" t="s">
        <v>2001</v>
      </c>
    </row>
    <row r="569" s="2" customFormat="1" spans="1:6">
      <c r="A569" s="3"/>
      <c r="B569" s="3">
        <v>568</v>
      </c>
      <c r="C569" s="2" t="s">
        <v>3133</v>
      </c>
      <c r="D569" s="3" t="s">
        <v>3134</v>
      </c>
      <c r="E569" s="3">
        <v>1</v>
      </c>
      <c r="F569" s="3" t="s">
        <v>2001</v>
      </c>
    </row>
    <row r="570" s="2" customFormat="1" spans="1:6">
      <c r="A570" s="3"/>
      <c r="B570" s="3">
        <v>569</v>
      </c>
      <c r="C570" s="2" t="s">
        <v>3135</v>
      </c>
      <c r="D570" s="3" t="s">
        <v>3136</v>
      </c>
      <c r="E570" s="3">
        <v>1</v>
      </c>
      <c r="F570" s="3" t="s">
        <v>2001</v>
      </c>
    </row>
    <row r="571" s="2" customFormat="1" spans="1:6">
      <c r="A571" s="3"/>
      <c r="B571" s="3">
        <v>570</v>
      </c>
      <c r="C571" s="2" t="s">
        <v>3137</v>
      </c>
      <c r="D571" s="3" t="s">
        <v>3138</v>
      </c>
      <c r="E571" s="3">
        <v>2</v>
      </c>
      <c r="F571" s="3" t="s">
        <v>2001</v>
      </c>
    </row>
    <row r="572" s="2" customFormat="1" spans="1:6">
      <c r="A572" s="3"/>
      <c r="B572" s="3">
        <v>571</v>
      </c>
      <c r="C572" s="2" t="s">
        <v>128</v>
      </c>
      <c r="D572" s="3" t="s">
        <v>3139</v>
      </c>
      <c r="E572" s="3">
        <v>3</v>
      </c>
      <c r="F572" s="3" t="s">
        <v>2001</v>
      </c>
    </row>
    <row r="573" s="2" customFormat="1" spans="1:6">
      <c r="A573" s="3"/>
      <c r="B573" s="3">
        <v>572</v>
      </c>
      <c r="C573" s="2" t="s">
        <v>3140</v>
      </c>
      <c r="D573" s="3" t="s">
        <v>3141</v>
      </c>
      <c r="E573" s="3">
        <v>3</v>
      </c>
      <c r="F573" s="3" t="s">
        <v>2001</v>
      </c>
    </row>
    <row r="574" s="2" customFormat="1" spans="1:6">
      <c r="A574" s="3"/>
      <c r="B574" s="3">
        <v>573</v>
      </c>
      <c r="C574" s="2" t="s">
        <v>3142</v>
      </c>
      <c r="D574" s="3" t="s">
        <v>3143</v>
      </c>
      <c r="E574" s="3">
        <v>3</v>
      </c>
      <c r="F574" s="3" t="s">
        <v>2001</v>
      </c>
    </row>
    <row r="575" s="2" customFormat="1" spans="1:6">
      <c r="A575" s="3"/>
      <c r="B575" s="3">
        <v>574</v>
      </c>
      <c r="C575" s="2" t="s">
        <v>3144</v>
      </c>
      <c r="D575" s="3" t="s">
        <v>3145</v>
      </c>
      <c r="E575" s="3">
        <v>13</v>
      </c>
      <c r="F575" s="3" t="s">
        <v>2001</v>
      </c>
    </row>
    <row r="576" s="2" customFormat="1" spans="1:6">
      <c r="A576" s="3"/>
      <c r="B576" s="3">
        <v>575</v>
      </c>
      <c r="C576" s="2" t="s">
        <v>3146</v>
      </c>
      <c r="D576" s="3" t="s">
        <v>3147</v>
      </c>
      <c r="E576" s="3">
        <v>2</v>
      </c>
      <c r="F576" s="3" t="s">
        <v>2001</v>
      </c>
    </row>
    <row r="577" s="2" customFormat="1" spans="1:6">
      <c r="A577" s="3"/>
      <c r="B577" s="3">
        <v>576</v>
      </c>
      <c r="C577" s="2" t="s">
        <v>3148</v>
      </c>
      <c r="D577" s="3" t="s">
        <v>3149</v>
      </c>
      <c r="E577" s="3">
        <v>13</v>
      </c>
      <c r="F577" s="3" t="s">
        <v>2001</v>
      </c>
    </row>
    <row r="578" s="2" customFormat="1" spans="1:6">
      <c r="A578" s="3"/>
      <c r="B578" s="3">
        <v>577</v>
      </c>
      <c r="C578" s="2" t="s">
        <v>3150</v>
      </c>
      <c r="D578" s="3" t="s">
        <v>3151</v>
      </c>
      <c r="E578" s="3">
        <v>14</v>
      </c>
      <c r="F578" s="3" t="s">
        <v>2001</v>
      </c>
    </row>
    <row r="579" s="2" customFormat="1" spans="1:6">
      <c r="A579" s="3"/>
      <c r="B579" s="3">
        <v>578</v>
      </c>
      <c r="C579" s="2" t="s">
        <v>3152</v>
      </c>
      <c r="D579" s="3" t="s">
        <v>3153</v>
      </c>
      <c r="E579" s="3">
        <v>2</v>
      </c>
      <c r="F579" s="3" t="s">
        <v>2001</v>
      </c>
    </row>
    <row r="580" s="2" customFormat="1" spans="1:6">
      <c r="A580" s="3"/>
      <c r="B580" s="3">
        <v>579</v>
      </c>
      <c r="C580" s="2" t="s">
        <v>3154</v>
      </c>
      <c r="D580" s="3" t="s">
        <v>3155</v>
      </c>
      <c r="E580" s="3">
        <v>12</v>
      </c>
      <c r="F580" s="3" t="s">
        <v>2001</v>
      </c>
    </row>
    <row r="581" s="2" customFormat="1" spans="1:6">
      <c r="A581" s="3"/>
      <c r="B581" s="3">
        <v>580</v>
      </c>
      <c r="C581" s="2" t="s">
        <v>3156</v>
      </c>
      <c r="D581" s="3" t="s">
        <v>3157</v>
      </c>
      <c r="E581" s="3">
        <v>4</v>
      </c>
      <c r="F581" s="3" t="s">
        <v>2001</v>
      </c>
    </row>
    <row r="582" s="2" customFormat="1" spans="1:6">
      <c r="A582" s="3"/>
      <c r="B582" s="3">
        <v>581</v>
      </c>
      <c r="C582" s="2" t="s">
        <v>122</v>
      </c>
      <c r="D582" s="3" t="s">
        <v>3158</v>
      </c>
      <c r="E582" s="3">
        <v>20</v>
      </c>
      <c r="F582" s="3" t="s">
        <v>2001</v>
      </c>
    </row>
    <row r="583" s="2" customFormat="1" spans="1:6">
      <c r="A583" s="3"/>
      <c r="B583" s="3">
        <v>582</v>
      </c>
      <c r="C583" s="2" t="s">
        <v>123</v>
      </c>
      <c r="D583" s="3" t="s">
        <v>3159</v>
      </c>
      <c r="E583" s="3">
        <v>51</v>
      </c>
      <c r="F583" s="3" t="s">
        <v>2001</v>
      </c>
    </row>
    <row r="584" s="2" customFormat="1" spans="1:6">
      <c r="A584" s="3"/>
      <c r="B584" s="3">
        <v>583</v>
      </c>
      <c r="C584" s="2" t="s">
        <v>120</v>
      </c>
      <c r="D584" s="3" t="s">
        <v>3160</v>
      </c>
      <c r="E584" s="3">
        <v>28</v>
      </c>
      <c r="F584" s="3" t="s">
        <v>2001</v>
      </c>
    </row>
    <row r="585" s="2" customFormat="1" spans="1:6">
      <c r="A585" s="3"/>
      <c r="B585" s="3">
        <v>584</v>
      </c>
      <c r="C585" s="2" t="s">
        <v>3161</v>
      </c>
      <c r="D585" s="3" t="s">
        <v>3162</v>
      </c>
      <c r="E585" s="3">
        <v>1</v>
      </c>
      <c r="F585" s="3" t="s">
        <v>2001</v>
      </c>
    </row>
    <row r="586" s="2" customFormat="1" spans="1:6">
      <c r="A586" s="3"/>
      <c r="B586" s="3">
        <v>585</v>
      </c>
      <c r="C586" s="2" t="s">
        <v>3163</v>
      </c>
      <c r="D586" s="3" t="s">
        <v>3164</v>
      </c>
      <c r="E586" s="3">
        <v>416</v>
      </c>
      <c r="F586" s="3"/>
    </row>
    <row r="587" s="2" customFormat="1" spans="1:6">
      <c r="A587" s="3"/>
      <c r="B587" s="3">
        <v>586</v>
      </c>
      <c r="C587" s="2" t="s">
        <v>3165</v>
      </c>
      <c r="D587" s="3" t="s">
        <v>3166</v>
      </c>
      <c r="E587" s="3">
        <v>4</v>
      </c>
      <c r="F587" s="3" t="s">
        <v>2001</v>
      </c>
    </row>
    <row r="588" s="2" customFormat="1" spans="1:6">
      <c r="A588" s="3"/>
      <c r="B588" s="3">
        <v>587</v>
      </c>
      <c r="C588" s="2" t="s">
        <v>3167</v>
      </c>
      <c r="D588" s="3" t="s">
        <v>3168</v>
      </c>
      <c r="E588" s="3">
        <v>2</v>
      </c>
      <c r="F588" s="3"/>
    </row>
    <row r="589" s="2" customFormat="1" spans="1:6">
      <c r="A589" s="3"/>
      <c r="B589" s="3">
        <v>588</v>
      </c>
      <c r="C589" s="2" t="s">
        <v>3169</v>
      </c>
      <c r="D589" s="3" t="s">
        <v>3170</v>
      </c>
      <c r="E589" s="3">
        <v>1</v>
      </c>
      <c r="F589" s="3"/>
    </row>
    <row r="590" s="2" customFormat="1" spans="1:6">
      <c r="A590" s="3"/>
      <c r="B590" s="3">
        <v>589</v>
      </c>
      <c r="C590" s="2" t="s">
        <v>3171</v>
      </c>
      <c r="D590" s="3" t="s">
        <v>3172</v>
      </c>
      <c r="E590" s="3">
        <v>-4</v>
      </c>
      <c r="F590" s="3" t="s">
        <v>2792</v>
      </c>
    </row>
    <row r="591" s="2" customFormat="1" spans="1:6">
      <c r="A591" s="3"/>
      <c r="B591" s="3">
        <v>590</v>
      </c>
      <c r="C591" s="2" t="s">
        <v>3171</v>
      </c>
      <c r="D591" s="3" t="s">
        <v>3173</v>
      </c>
      <c r="E591" s="3">
        <v>4</v>
      </c>
      <c r="F591" s="3"/>
    </row>
    <row r="592" s="2" customFormat="1" spans="1:6">
      <c r="A592" s="3"/>
      <c r="B592" s="3">
        <v>591</v>
      </c>
      <c r="C592" s="2" t="s">
        <v>3174</v>
      </c>
      <c r="D592" s="3" t="s">
        <v>3175</v>
      </c>
      <c r="E592" s="3">
        <v>30</v>
      </c>
      <c r="F592" s="3"/>
    </row>
    <row r="593" s="2" customFormat="1" spans="1:6">
      <c r="A593" s="3"/>
      <c r="B593" s="3">
        <v>592</v>
      </c>
      <c r="C593" s="2" t="s">
        <v>3176</v>
      </c>
      <c r="D593" s="3" t="s">
        <v>3177</v>
      </c>
      <c r="E593" s="3">
        <v>3</v>
      </c>
      <c r="F593" s="3"/>
    </row>
    <row r="594" s="2" customFormat="1" spans="1:6">
      <c r="A594" s="3"/>
      <c r="B594" s="3">
        <v>593</v>
      </c>
      <c r="C594" s="2" t="s">
        <v>3178</v>
      </c>
      <c r="D594" s="3" t="s">
        <v>3179</v>
      </c>
      <c r="E594" s="3">
        <v>28</v>
      </c>
      <c r="F594" s="3"/>
    </row>
    <row r="595" s="2" customFormat="1" spans="1:6">
      <c r="A595" s="3"/>
      <c r="B595" s="3">
        <v>594</v>
      </c>
      <c r="C595" s="2" t="s">
        <v>3180</v>
      </c>
      <c r="D595" s="3" t="s">
        <v>3181</v>
      </c>
      <c r="E595" s="3">
        <v>13</v>
      </c>
      <c r="F595" s="3"/>
    </row>
    <row r="596" s="2" customFormat="1" spans="1:6">
      <c r="A596" s="3"/>
      <c r="B596" s="3">
        <v>595</v>
      </c>
      <c r="C596" s="2" t="s">
        <v>3182</v>
      </c>
      <c r="D596" s="3" t="s">
        <v>3183</v>
      </c>
      <c r="E596" s="3">
        <v>18</v>
      </c>
      <c r="F596" s="3"/>
    </row>
    <row r="597" s="2" customFormat="1" spans="1:6">
      <c r="A597" s="3"/>
      <c r="B597" s="3">
        <v>596</v>
      </c>
      <c r="C597" s="2" t="s">
        <v>3184</v>
      </c>
      <c r="D597" s="3" t="s">
        <v>3185</v>
      </c>
      <c r="E597" s="3">
        <v>12</v>
      </c>
      <c r="F597" s="3"/>
    </row>
    <row r="598" s="2" customFormat="1" spans="1:6">
      <c r="A598" s="3"/>
      <c r="B598" s="3">
        <v>597</v>
      </c>
      <c r="C598" s="2" t="s">
        <v>3186</v>
      </c>
      <c r="D598" s="3" t="s">
        <v>3187</v>
      </c>
      <c r="E598" s="3">
        <v>8</v>
      </c>
      <c r="F598" s="3" t="s">
        <v>2792</v>
      </c>
    </row>
    <row r="599" s="2" customFormat="1" spans="1:6">
      <c r="A599" s="3"/>
      <c r="B599" s="3">
        <v>598</v>
      </c>
      <c r="C599" s="2" t="s">
        <v>3188</v>
      </c>
      <c r="D599" s="3" t="s">
        <v>3189</v>
      </c>
      <c r="E599" s="3">
        <v>10</v>
      </c>
      <c r="F599" s="3"/>
    </row>
    <row r="600" s="2" customFormat="1" spans="1:6">
      <c r="A600" s="3"/>
      <c r="B600" s="3">
        <v>599</v>
      </c>
      <c r="C600" s="2" t="s">
        <v>3190</v>
      </c>
      <c r="D600" s="3" t="s">
        <v>3191</v>
      </c>
      <c r="E600" s="3">
        <v>9</v>
      </c>
      <c r="F600" s="3"/>
    </row>
    <row r="601" s="2" customFormat="1" spans="1:6">
      <c r="A601" s="3"/>
      <c r="B601" s="3">
        <v>600</v>
      </c>
      <c r="C601" s="2" t="s">
        <v>3192</v>
      </c>
      <c r="D601" s="3" t="s">
        <v>3193</v>
      </c>
      <c r="E601" s="3">
        <v>4</v>
      </c>
      <c r="F601" s="3"/>
    </row>
    <row r="602" s="2" customFormat="1" spans="1:6">
      <c r="A602" s="3"/>
      <c r="B602" s="3">
        <v>601</v>
      </c>
      <c r="C602" s="2" t="s">
        <v>3194</v>
      </c>
      <c r="D602" s="3" t="s">
        <v>3195</v>
      </c>
      <c r="E602" s="3">
        <v>4</v>
      </c>
      <c r="F602" s="3"/>
    </row>
    <row r="603" s="2" customFormat="1" spans="1:6">
      <c r="A603" s="3"/>
      <c r="B603" s="3">
        <v>602</v>
      </c>
      <c r="C603" s="2" t="s">
        <v>3196</v>
      </c>
      <c r="D603" s="3" t="s">
        <v>3197</v>
      </c>
      <c r="E603" s="3">
        <v>6</v>
      </c>
      <c r="F603" s="3"/>
    </row>
    <row r="604" s="2" customFormat="1" spans="1:6">
      <c r="A604" s="3"/>
      <c r="B604" s="3">
        <v>603</v>
      </c>
      <c r="C604" s="2" t="s">
        <v>3198</v>
      </c>
      <c r="D604" s="3" t="s">
        <v>3199</v>
      </c>
      <c r="E604" s="3">
        <v>4</v>
      </c>
      <c r="F604" s="3"/>
    </row>
    <row r="605" s="2" customFormat="1" spans="1:6">
      <c r="A605" s="3"/>
      <c r="B605" s="3">
        <v>604</v>
      </c>
      <c r="C605" s="2" t="s">
        <v>3200</v>
      </c>
      <c r="D605" s="3" t="s">
        <v>3201</v>
      </c>
      <c r="E605" s="3">
        <v>2</v>
      </c>
      <c r="F605" s="3"/>
    </row>
    <row r="606" s="2" customFormat="1" spans="1:6">
      <c r="A606" s="3"/>
      <c r="B606" s="3">
        <v>605</v>
      </c>
      <c r="C606" s="2" t="s">
        <v>3202</v>
      </c>
      <c r="D606" s="3" t="s">
        <v>3203</v>
      </c>
      <c r="E606" s="3">
        <v>1</v>
      </c>
      <c r="F606" s="3"/>
    </row>
    <row r="607" s="2" customFormat="1" spans="1:6">
      <c r="A607" s="3"/>
      <c r="B607" s="3">
        <v>606</v>
      </c>
      <c r="C607" s="2" t="s">
        <v>3204</v>
      </c>
      <c r="D607" s="3" t="s">
        <v>3205</v>
      </c>
      <c r="E607" s="3">
        <v>1</v>
      </c>
      <c r="F607" s="3"/>
    </row>
    <row r="608" s="2" customFormat="1" spans="1:6">
      <c r="A608" s="3"/>
      <c r="B608" s="3">
        <v>607</v>
      </c>
      <c r="C608" s="2" t="s">
        <v>3206</v>
      </c>
      <c r="D608" s="3" t="s">
        <v>3207</v>
      </c>
      <c r="E608" s="3">
        <v>1</v>
      </c>
      <c r="F608" s="3"/>
    </row>
    <row r="609" s="2" customFormat="1" spans="1:6">
      <c r="A609" s="3"/>
      <c r="B609" s="3">
        <v>608</v>
      </c>
      <c r="C609" s="2" t="s">
        <v>3208</v>
      </c>
      <c r="D609" s="3" t="s">
        <v>3209</v>
      </c>
      <c r="E609" s="3">
        <v>1</v>
      </c>
      <c r="F609" s="3"/>
    </row>
    <row r="610" s="2" customFormat="1" spans="1:6">
      <c r="A610" s="3"/>
      <c r="B610" s="3">
        <v>609</v>
      </c>
      <c r="C610" s="2" t="s">
        <v>3210</v>
      </c>
      <c r="D610" s="3" t="s">
        <v>3211</v>
      </c>
      <c r="E610" s="3">
        <v>12</v>
      </c>
      <c r="F610" s="3"/>
    </row>
    <row r="611" s="2" customFormat="1" spans="1:6">
      <c r="A611" s="3"/>
      <c r="B611" s="3">
        <v>610</v>
      </c>
      <c r="C611" s="2" t="s">
        <v>3212</v>
      </c>
      <c r="D611" s="3" t="s">
        <v>3213</v>
      </c>
      <c r="E611" s="3">
        <v>3</v>
      </c>
      <c r="F611" s="3" t="s">
        <v>2792</v>
      </c>
    </row>
    <row r="612" s="2" customFormat="1" spans="1:6">
      <c r="A612" s="3"/>
      <c r="B612" s="3">
        <v>611</v>
      </c>
      <c r="C612" s="2" t="s">
        <v>3214</v>
      </c>
      <c r="D612" s="3" t="s">
        <v>3215</v>
      </c>
      <c r="E612" s="3">
        <v>10</v>
      </c>
      <c r="F612" s="3"/>
    </row>
    <row r="613" s="2" customFormat="1" spans="1:6">
      <c r="A613" s="3"/>
      <c r="B613" s="3">
        <v>612</v>
      </c>
      <c r="C613" s="2" t="s">
        <v>3216</v>
      </c>
      <c r="D613" s="3" t="s">
        <v>3217</v>
      </c>
      <c r="E613" s="3">
        <v>7</v>
      </c>
      <c r="F613" s="3"/>
    </row>
    <row r="614" s="2" customFormat="1" spans="1:6">
      <c r="A614" s="3"/>
      <c r="B614" s="3">
        <v>613</v>
      </c>
      <c r="C614" s="2" t="s">
        <v>3218</v>
      </c>
      <c r="D614" s="3" t="s">
        <v>3219</v>
      </c>
      <c r="E614" s="3">
        <v>1</v>
      </c>
      <c r="F614" s="3"/>
    </row>
    <row r="615" s="2" customFormat="1" spans="1:6">
      <c r="A615" s="3"/>
      <c r="B615" s="3">
        <v>614</v>
      </c>
      <c r="C615" s="2" t="s">
        <v>3220</v>
      </c>
      <c r="D615" s="3" t="s">
        <v>3221</v>
      </c>
      <c r="E615" s="3">
        <v>2</v>
      </c>
      <c r="F615" s="3"/>
    </row>
    <row r="616" s="2" customFormat="1" spans="1:6">
      <c r="A616" s="3"/>
      <c r="B616" s="3">
        <v>615</v>
      </c>
      <c r="C616" s="2" t="s">
        <v>3222</v>
      </c>
      <c r="D616" s="3" t="s">
        <v>3223</v>
      </c>
      <c r="E616" s="3">
        <v>1</v>
      </c>
      <c r="F616" s="3"/>
    </row>
    <row r="617" s="2" customFormat="1" spans="1:6">
      <c r="A617" s="3"/>
      <c r="B617" s="3">
        <v>616</v>
      </c>
      <c r="C617" s="2" t="s">
        <v>3224</v>
      </c>
      <c r="D617" s="3" t="s">
        <v>3225</v>
      </c>
      <c r="E617" s="3">
        <v>1</v>
      </c>
      <c r="F617" s="3"/>
    </row>
    <row r="618" s="2" customFormat="1" spans="1:6">
      <c r="A618" s="3"/>
      <c r="B618" s="3">
        <v>617</v>
      </c>
      <c r="C618" s="2" t="s">
        <v>3226</v>
      </c>
      <c r="D618" s="3" t="s">
        <v>3227</v>
      </c>
      <c r="E618" s="3">
        <v>2</v>
      </c>
      <c r="F618" s="3" t="s">
        <v>2792</v>
      </c>
    </row>
    <row r="619" s="2" customFormat="1" spans="1:6">
      <c r="A619" s="3"/>
      <c r="B619" s="3">
        <v>618</v>
      </c>
      <c r="C619" s="2" t="s">
        <v>3228</v>
      </c>
      <c r="D619" s="3" t="s">
        <v>3229</v>
      </c>
      <c r="E619" s="3">
        <v>2</v>
      </c>
      <c r="F619" s="3" t="s">
        <v>2001</v>
      </c>
    </row>
    <row r="620" s="2" customFormat="1" spans="1:6">
      <c r="A620" s="3"/>
      <c r="B620" s="3">
        <v>619</v>
      </c>
      <c r="C620" s="2" t="s">
        <v>3230</v>
      </c>
      <c r="D620" s="3" t="s">
        <v>3231</v>
      </c>
      <c r="E620" s="3">
        <v>2</v>
      </c>
      <c r="F620" s="3" t="s">
        <v>2001</v>
      </c>
    </row>
    <row r="621" s="2" customFormat="1" spans="1:6">
      <c r="A621" s="3"/>
      <c r="B621" s="3">
        <v>620</v>
      </c>
      <c r="C621" s="2" t="s">
        <v>3232</v>
      </c>
      <c r="D621" s="3" t="s">
        <v>3233</v>
      </c>
      <c r="E621" s="3">
        <v>2</v>
      </c>
      <c r="F621" s="3" t="s">
        <v>2001</v>
      </c>
    </row>
    <row r="622" s="2" customFormat="1" spans="1:6">
      <c r="A622" s="3"/>
      <c r="B622" s="3">
        <v>621</v>
      </c>
      <c r="C622" s="2" t="s">
        <v>3234</v>
      </c>
      <c r="D622" s="3" t="s">
        <v>3235</v>
      </c>
      <c r="E622" s="3">
        <v>10</v>
      </c>
      <c r="F622" s="3" t="s">
        <v>2001</v>
      </c>
    </row>
    <row r="623" s="2" customFormat="1" spans="1:6">
      <c r="A623" s="3"/>
      <c r="B623" s="3">
        <v>622</v>
      </c>
      <c r="C623" s="2" t="s">
        <v>3236</v>
      </c>
      <c r="D623" s="3" t="s">
        <v>3237</v>
      </c>
      <c r="E623" s="3">
        <v>9</v>
      </c>
      <c r="F623" s="3" t="s">
        <v>2001</v>
      </c>
    </row>
    <row r="624" s="2" customFormat="1" spans="1:6">
      <c r="A624" s="3"/>
      <c r="B624" s="3">
        <v>623</v>
      </c>
      <c r="C624" s="2" t="s">
        <v>3238</v>
      </c>
      <c r="D624" s="3" t="s">
        <v>3239</v>
      </c>
      <c r="E624" s="3">
        <v>1</v>
      </c>
      <c r="F624" s="3" t="s">
        <v>2001</v>
      </c>
    </row>
    <row r="625" s="2" customFormat="1" spans="1:6">
      <c r="A625" s="3"/>
      <c r="B625" s="3">
        <v>624</v>
      </c>
      <c r="C625" s="2" t="s">
        <v>3240</v>
      </c>
      <c r="D625" s="3" t="s">
        <v>3241</v>
      </c>
      <c r="E625" s="3">
        <v>1</v>
      </c>
      <c r="F625" s="3" t="s">
        <v>2001</v>
      </c>
    </row>
    <row r="626" s="2" customFormat="1" spans="1:6">
      <c r="A626" s="3"/>
      <c r="B626" s="3">
        <v>625</v>
      </c>
      <c r="C626" s="2" t="s">
        <v>3242</v>
      </c>
      <c r="D626" s="3" t="s">
        <v>3243</v>
      </c>
      <c r="E626" s="3">
        <v>9</v>
      </c>
      <c r="F626" s="3" t="s">
        <v>2001</v>
      </c>
    </row>
    <row r="627" s="2" customFormat="1" spans="1:6">
      <c r="A627" s="3"/>
      <c r="B627" s="3">
        <v>626</v>
      </c>
      <c r="C627" s="2" t="s">
        <v>3244</v>
      </c>
      <c r="D627" s="3" t="s">
        <v>3245</v>
      </c>
      <c r="E627" s="3">
        <v>9</v>
      </c>
      <c r="F627" s="3" t="s">
        <v>2001</v>
      </c>
    </row>
    <row r="628" s="2" customFormat="1" spans="1:6">
      <c r="A628" s="3"/>
      <c r="B628" s="3">
        <v>627</v>
      </c>
      <c r="C628" s="2" t="s">
        <v>3246</v>
      </c>
      <c r="D628" s="3" t="s">
        <v>3247</v>
      </c>
      <c r="E628" s="3">
        <v>31</v>
      </c>
      <c r="F628" s="3" t="s">
        <v>2792</v>
      </c>
    </row>
    <row r="629" s="2" customFormat="1" spans="1:6">
      <c r="A629" s="3"/>
      <c r="B629" s="3">
        <v>628</v>
      </c>
      <c r="C629" s="2" t="s">
        <v>3248</v>
      </c>
      <c r="D629" s="3" t="s">
        <v>3249</v>
      </c>
      <c r="E629" s="3">
        <v>18</v>
      </c>
      <c r="F629" s="3" t="s">
        <v>2001</v>
      </c>
    </row>
    <row r="630" s="2" customFormat="1" spans="1:6">
      <c r="A630" s="3"/>
      <c r="B630" s="3">
        <v>629</v>
      </c>
      <c r="C630" s="2" t="s">
        <v>3250</v>
      </c>
      <c r="D630" s="3" t="s">
        <v>3251</v>
      </c>
      <c r="E630" s="3">
        <v>2</v>
      </c>
      <c r="F630" s="3" t="s">
        <v>2001</v>
      </c>
    </row>
    <row r="631" s="2" customFormat="1" spans="1:6">
      <c r="A631" s="3"/>
      <c r="B631" s="3">
        <v>630</v>
      </c>
      <c r="C631" s="2" t="s">
        <v>3252</v>
      </c>
      <c r="D631" s="3" t="s">
        <v>3253</v>
      </c>
      <c r="E631" s="3">
        <v>2</v>
      </c>
      <c r="F631" s="3" t="s">
        <v>2001</v>
      </c>
    </row>
    <row r="632" s="2" customFormat="1" spans="1:6">
      <c r="A632" s="3"/>
      <c r="B632" s="3">
        <v>631</v>
      </c>
      <c r="C632" s="2" t="s">
        <v>3254</v>
      </c>
      <c r="D632" s="3" t="s">
        <v>3255</v>
      </c>
      <c r="E632" s="3">
        <v>1</v>
      </c>
      <c r="F632" s="3" t="s">
        <v>2001</v>
      </c>
    </row>
    <row r="633" s="2" customFormat="1" spans="1:6">
      <c r="A633" s="3"/>
      <c r="B633" s="3">
        <v>632</v>
      </c>
      <c r="C633" s="2" t="s">
        <v>3256</v>
      </c>
      <c r="D633" s="3" t="s">
        <v>3257</v>
      </c>
      <c r="E633" s="3">
        <v>1</v>
      </c>
      <c r="F633" s="3" t="s">
        <v>2016</v>
      </c>
    </row>
    <row r="634" s="2" customFormat="1" spans="1:6">
      <c r="A634" s="3"/>
      <c r="B634" s="3">
        <v>633</v>
      </c>
      <c r="C634" s="2" t="s">
        <v>3258</v>
      </c>
      <c r="D634" s="3" t="s">
        <v>3259</v>
      </c>
      <c r="E634" s="3">
        <v>1</v>
      </c>
      <c r="F634" s="3"/>
    </row>
    <row r="635" s="2" customFormat="1" spans="1:6">
      <c r="A635" s="3"/>
      <c r="B635" s="3">
        <v>634</v>
      </c>
      <c r="C635" s="2" t="s">
        <v>3260</v>
      </c>
      <c r="D635" s="3" t="s">
        <v>3261</v>
      </c>
      <c r="E635" s="3">
        <v>6</v>
      </c>
      <c r="F635" s="3" t="s">
        <v>2001</v>
      </c>
    </row>
    <row r="636" s="2" customFormat="1" spans="1:6">
      <c r="A636" s="3"/>
      <c r="B636" s="3">
        <v>635</v>
      </c>
      <c r="C636" s="2" t="s">
        <v>3262</v>
      </c>
      <c r="D636" s="3" t="s">
        <v>3263</v>
      </c>
      <c r="E636" s="3">
        <v>9</v>
      </c>
      <c r="F636" s="3" t="s">
        <v>2001</v>
      </c>
    </row>
    <row r="637" s="2" customFormat="1" spans="1:6">
      <c r="A637" s="3"/>
      <c r="B637" s="3">
        <v>636</v>
      </c>
      <c r="C637" s="2" t="s">
        <v>3264</v>
      </c>
      <c r="D637" s="3" t="s">
        <v>3265</v>
      </c>
      <c r="E637" s="3">
        <v>13</v>
      </c>
      <c r="F637" s="3" t="s">
        <v>2001</v>
      </c>
    </row>
    <row r="638" s="2" customFormat="1" spans="1:6">
      <c r="A638" s="3"/>
      <c r="B638" s="3">
        <v>637</v>
      </c>
      <c r="C638" s="2" t="s">
        <v>3266</v>
      </c>
      <c r="D638" s="3" t="s">
        <v>3267</v>
      </c>
      <c r="E638" s="3">
        <v>8</v>
      </c>
      <c r="F638" s="3" t="s">
        <v>2001</v>
      </c>
    </row>
    <row r="639" s="2" customFormat="1" spans="1:6">
      <c r="A639" s="3"/>
      <c r="B639" s="3">
        <v>638</v>
      </c>
      <c r="C639" s="2" t="s">
        <v>3268</v>
      </c>
      <c r="D639" s="3" t="s">
        <v>3269</v>
      </c>
      <c r="E639" s="3">
        <v>3</v>
      </c>
      <c r="F639" s="3" t="s">
        <v>2001</v>
      </c>
    </row>
    <row r="640" s="2" customFormat="1" spans="1:6">
      <c r="A640" s="3"/>
      <c r="B640" s="3">
        <v>639</v>
      </c>
      <c r="C640" s="2" t="s">
        <v>3270</v>
      </c>
      <c r="D640" s="3" t="s">
        <v>3271</v>
      </c>
      <c r="E640" s="3">
        <v>3</v>
      </c>
      <c r="F640" s="3" t="s">
        <v>2001</v>
      </c>
    </row>
    <row r="641" s="2" customFormat="1" spans="1:6">
      <c r="A641" s="3"/>
      <c r="B641" s="3">
        <v>640</v>
      </c>
      <c r="C641" s="2" t="s">
        <v>3272</v>
      </c>
      <c r="D641" s="3" t="s">
        <v>3273</v>
      </c>
      <c r="E641" s="3">
        <v>5</v>
      </c>
      <c r="F641" s="3" t="s">
        <v>2016</v>
      </c>
    </row>
    <row r="642" s="2" customFormat="1" spans="1:6">
      <c r="A642" s="3"/>
      <c r="B642" s="3">
        <v>641</v>
      </c>
      <c r="C642" s="2" t="s">
        <v>111</v>
      </c>
      <c r="D642" s="3" t="s">
        <v>3274</v>
      </c>
      <c r="E642" s="3">
        <v>13</v>
      </c>
      <c r="F642" s="3" t="s">
        <v>2792</v>
      </c>
    </row>
    <row r="643" s="2" customFormat="1" spans="1:6">
      <c r="A643" s="3"/>
      <c r="B643" s="3">
        <v>642</v>
      </c>
      <c r="C643" s="2" t="s">
        <v>3275</v>
      </c>
      <c r="D643" s="3" t="s">
        <v>3276</v>
      </c>
      <c r="E643" s="3">
        <v>12</v>
      </c>
      <c r="F643" s="3" t="s">
        <v>2792</v>
      </c>
    </row>
    <row r="644" s="2" customFormat="1" spans="1:6">
      <c r="A644" s="3"/>
      <c r="B644" s="3">
        <v>643</v>
      </c>
      <c r="C644" s="2" t="s">
        <v>3277</v>
      </c>
      <c r="D644" s="3" t="s">
        <v>3278</v>
      </c>
      <c r="E644" s="3">
        <v>3</v>
      </c>
      <c r="F644" s="3" t="s">
        <v>2792</v>
      </c>
    </row>
    <row r="645" s="2" customFormat="1" spans="1:6">
      <c r="A645" s="3"/>
      <c r="B645" s="3">
        <v>644</v>
      </c>
      <c r="C645" s="2" t="s">
        <v>3279</v>
      </c>
      <c r="D645" s="3" t="s">
        <v>3280</v>
      </c>
      <c r="E645" s="3">
        <v>30</v>
      </c>
      <c r="F645" s="3" t="s">
        <v>2792</v>
      </c>
    </row>
    <row r="646" s="2" customFormat="1" spans="1:6">
      <c r="A646" s="3"/>
      <c r="B646" s="3">
        <v>645</v>
      </c>
      <c r="C646" s="2" t="s">
        <v>3281</v>
      </c>
      <c r="D646" s="3" t="s">
        <v>3282</v>
      </c>
      <c r="E646" s="3">
        <v>28</v>
      </c>
      <c r="F646" s="3" t="s">
        <v>2792</v>
      </c>
    </row>
    <row r="647" s="2" customFormat="1" spans="1:6">
      <c r="A647" s="3"/>
      <c r="B647" s="3">
        <v>646</v>
      </c>
      <c r="C647" s="2" t="s">
        <v>3283</v>
      </c>
      <c r="D647" s="3" t="s">
        <v>3284</v>
      </c>
      <c r="E647" s="3">
        <v>12</v>
      </c>
      <c r="F647" s="3" t="s">
        <v>2001</v>
      </c>
    </row>
    <row r="648" s="2" customFormat="1" spans="1:6">
      <c r="A648" s="3"/>
      <c r="B648" s="3">
        <v>647</v>
      </c>
      <c r="C648" s="2" t="s">
        <v>3285</v>
      </c>
      <c r="D648" s="3" t="s">
        <v>3286</v>
      </c>
      <c r="E648" s="3">
        <v>13</v>
      </c>
      <c r="F648" s="3" t="s">
        <v>2792</v>
      </c>
    </row>
    <row r="649" s="2" customFormat="1" spans="1:6">
      <c r="A649" s="3"/>
      <c r="B649" s="3">
        <v>648</v>
      </c>
      <c r="C649" s="2" t="s">
        <v>3287</v>
      </c>
      <c r="D649" s="3" t="s">
        <v>3288</v>
      </c>
      <c r="E649" s="3">
        <v>9</v>
      </c>
      <c r="F649" s="3" t="s">
        <v>2792</v>
      </c>
    </row>
    <row r="650" s="2" customFormat="1" spans="1:6">
      <c r="A650" s="3"/>
      <c r="B650" s="3">
        <v>649</v>
      </c>
      <c r="C650" s="2" t="s">
        <v>3289</v>
      </c>
      <c r="D650" s="3" t="s">
        <v>3290</v>
      </c>
      <c r="E650" s="3">
        <v>5</v>
      </c>
      <c r="F650" s="3" t="s">
        <v>2001</v>
      </c>
    </row>
    <row r="651" s="2" customFormat="1" spans="1:6">
      <c r="A651" s="3"/>
      <c r="B651" s="3">
        <v>650</v>
      </c>
      <c r="C651" s="2" t="s">
        <v>3291</v>
      </c>
      <c r="D651" s="3" t="s">
        <v>3292</v>
      </c>
      <c r="E651" s="3">
        <v>23</v>
      </c>
      <c r="F651" s="3" t="s">
        <v>2001</v>
      </c>
    </row>
    <row r="652" s="2" customFormat="1" spans="1:6">
      <c r="A652" s="3"/>
      <c r="B652" s="3">
        <v>651</v>
      </c>
      <c r="C652" s="2" t="s">
        <v>115</v>
      </c>
      <c r="D652" s="3" t="s">
        <v>3293</v>
      </c>
      <c r="E652" s="3">
        <v>16</v>
      </c>
      <c r="F652" s="3" t="s">
        <v>2792</v>
      </c>
    </row>
    <row r="653" s="2" customFormat="1" spans="1:6">
      <c r="A653" s="3"/>
      <c r="B653" s="3">
        <v>652</v>
      </c>
      <c r="C653" s="2" t="s">
        <v>98</v>
      </c>
      <c r="D653" s="3" t="s">
        <v>3294</v>
      </c>
      <c r="E653" s="3">
        <v>3</v>
      </c>
      <c r="F653" s="3" t="s">
        <v>2001</v>
      </c>
    </row>
    <row r="654" s="2" customFormat="1" spans="1:6">
      <c r="A654" s="3"/>
      <c r="B654" s="3">
        <v>653</v>
      </c>
      <c r="C654" s="2" t="s">
        <v>117</v>
      </c>
      <c r="D654" s="3" t="s">
        <v>3295</v>
      </c>
      <c r="E654" s="3">
        <v>5</v>
      </c>
      <c r="F654" s="3" t="s">
        <v>2001</v>
      </c>
    </row>
    <row r="655" s="2" customFormat="1" spans="1:6">
      <c r="A655" s="3"/>
      <c r="B655" s="3">
        <v>654</v>
      </c>
      <c r="C655" s="2" t="s">
        <v>3296</v>
      </c>
      <c r="D655" s="3" t="s">
        <v>3297</v>
      </c>
      <c r="E655" s="3">
        <v>21</v>
      </c>
      <c r="F655" s="3" t="s">
        <v>2001</v>
      </c>
    </row>
    <row r="656" s="2" customFormat="1" spans="1:6">
      <c r="A656" s="3"/>
      <c r="B656" s="3">
        <v>655</v>
      </c>
      <c r="C656" s="2" t="s">
        <v>3298</v>
      </c>
      <c r="D656" s="3" t="s">
        <v>3299</v>
      </c>
      <c r="E656" s="3">
        <v>4</v>
      </c>
      <c r="F656" s="3" t="s">
        <v>2001</v>
      </c>
    </row>
    <row r="657" s="2" customFormat="1" spans="1:7">
      <c r="A657" s="3"/>
      <c r="B657" s="3">
        <v>656</v>
      </c>
      <c r="C657" s="2" t="s">
        <v>3300</v>
      </c>
      <c r="D657" s="3" t="s">
        <v>3301</v>
      </c>
      <c r="E657" s="3">
        <v>3</v>
      </c>
      <c r="F657" s="3" t="s">
        <v>3302</v>
      </c>
      <c r="G657" s="2" t="s">
        <v>3303</v>
      </c>
    </row>
    <row r="658" s="2" customFormat="1" spans="1:7">
      <c r="A658" s="3"/>
      <c r="B658" s="3">
        <v>657</v>
      </c>
      <c r="C658" s="2" t="s">
        <v>3304</v>
      </c>
      <c r="D658" s="3" t="s">
        <v>3305</v>
      </c>
      <c r="E658" s="3">
        <v>-2</v>
      </c>
      <c r="F658" s="3" t="s">
        <v>2792</v>
      </c>
    </row>
    <row r="659" s="2" customFormat="1" spans="1:7">
      <c r="A659" s="3"/>
      <c r="B659" s="3">
        <v>658</v>
      </c>
      <c r="C659" s="2" t="s">
        <v>3306</v>
      </c>
      <c r="D659" s="3" t="s">
        <v>3307</v>
      </c>
      <c r="E659" s="3">
        <v>4</v>
      </c>
      <c r="F659" s="3" t="s">
        <v>2016</v>
      </c>
    </row>
    <row r="660" s="2" customFormat="1" spans="1:7">
      <c r="A660" s="3"/>
      <c r="B660" s="3">
        <v>659</v>
      </c>
      <c r="C660" s="2" t="s">
        <v>3308</v>
      </c>
      <c r="D660" s="3" t="s">
        <v>3309</v>
      </c>
      <c r="E660" s="3">
        <v>24</v>
      </c>
      <c r="F660" s="3" t="s">
        <v>2001</v>
      </c>
    </row>
    <row r="661" s="2" customFormat="1" spans="1:7">
      <c r="A661" s="3"/>
      <c r="B661" s="3">
        <v>660</v>
      </c>
      <c r="C661" s="2" t="s">
        <v>3310</v>
      </c>
      <c r="D661" s="3" t="s">
        <v>3311</v>
      </c>
      <c r="E661" s="3">
        <v>6</v>
      </c>
      <c r="F661" s="3" t="s">
        <v>2016</v>
      </c>
    </row>
    <row r="662" s="2" customFormat="1" spans="1:7">
      <c r="A662" s="3"/>
      <c r="B662" s="3">
        <v>661</v>
      </c>
      <c r="C662" s="2" t="s">
        <v>3312</v>
      </c>
      <c r="D662" s="3" t="s">
        <v>3313</v>
      </c>
      <c r="E662" s="3">
        <v>50</v>
      </c>
      <c r="F662" s="3" t="s">
        <v>2001</v>
      </c>
    </row>
    <row r="663" s="2" customFormat="1" spans="1:7">
      <c r="A663" s="3"/>
      <c r="B663" s="3">
        <v>662</v>
      </c>
      <c r="C663" s="2" t="s">
        <v>3314</v>
      </c>
      <c r="D663" s="3" t="s">
        <v>3315</v>
      </c>
      <c r="E663" s="3">
        <v>50</v>
      </c>
      <c r="F663" s="3" t="s">
        <v>2001</v>
      </c>
    </row>
    <row r="664" s="2" customFormat="1" spans="1:7">
      <c r="A664" s="3"/>
      <c r="B664" s="3">
        <v>663</v>
      </c>
      <c r="C664" s="2" t="s">
        <v>3316</v>
      </c>
      <c r="D664" s="3" t="s">
        <v>3317</v>
      </c>
      <c r="E664" s="3">
        <v>100</v>
      </c>
      <c r="F664" s="3" t="s">
        <v>2001</v>
      </c>
    </row>
    <row r="665" s="2" customFormat="1" spans="1:7">
      <c r="A665" s="3"/>
      <c r="B665" s="3">
        <v>664</v>
      </c>
      <c r="C665" s="2" t="s">
        <v>3318</v>
      </c>
      <c r="D665" s="3" t="s">
        <v>3319</v>
      </c>
      <c r="E665" s="3">
        <v>100</v>
      </c>
      <c r="F665" s="3" t="s">
        <v>2001</v>
      </c>
    </row>
    <row r="666" s="2" customFormat="1" spans="1:7">
      <c r="A666" s="3"/>
      <c r="B666" s="3">
        <v>665</v>
      </c>
      <c r="C666" s="2" t="s">
        <v>3320</v>
      </c>
      <c r="D666" s="3" t="s">
        <v>3321</v>
      </c>
      <c r="E666" s="3">
        <v>50</v>
      </c>
      <c r="F666" s="3" t="s">
        <v>2001</v>
      </c>
    </row>
    <row r="667" s="2" customFormat="1" spans="1:7">
      <c r="A667" s="3"/>
      <c r="B667" s="3">
        <v>666</v>
      </c>
      <c r="C667" s="2" t="s">
        <v>3322</v>
      </c>
      <c r="D667" s="3" t="s">
        <v>3323</v>
      </c>
      <c r="E667" s="3">
        <v>13</v>
      </c>
      <c r="F667" s="3" t="s">
        <v>2001</v>
      </c>
    </row>
    <row r="668" s="2" customFormat="1" spans="1:7">
      <c r="A668" s="3"/>
      <c r="B668" s="3">
        <v>667</v>
      </c>
      <c r="C668" s="2" t="s">
        <v>3324</v>
      </c>
      <c r="D668" s="3" t="s">
        <v>3325</v>
      </c>
      <c r="E668" s="3">
        <v>1</v>
      </c>
      <c r="F668" s="3" t="s">
        <v>2001</v>
      </c>
    </row>
    <row r="669" s="2" customFormat="1" spans="1:7">
      <c r="A669" s="3"/>
      <c r="B669" s="3">
        <v>668</v>
      </c>
      <c r="C669" s="2" t="s">
        <v>3326</v>
      </c>
      <c r="D669" s="3" t="s">
        <v>3327</v>
      </c>
      <c r="E669" s="3">
        <v>1</v>
      </c>
      <c r="F669" s="3" t="s">
        <v>2001</v>
      </c>
    </row>
    <row r="670" s="2" customFormat="1" spans="1:7">
      <c r="A670" s="3"/>
      <c r="B670" s="3">
        <v>669</v>
      </c>
      <c r="C670" s="2" t="s">
        <v>3328</v>
      </c>
      <c r="D670" s="3" t="s">
        <v>3329</v>
      </c>
      <c r="E670" s="3">
        <v>1</v>
      </c>
      <c r="F670" s="3" t="s">
        <v>2001</v>
      </c>
    </row>
    <row r="671" s="2" customFormat="1" spans="1:7">
      <c r="A671" s="3"/>
      <c r="B671" s="3">
        <v>670</v>
      </c>
      <c r="C671" s="2" t="s">
        <v>3330</v>
      </c>
      <c r="D671" s="3" t="s">
        <v>3331</v>
      </c>
      <c r="E671" s="3">
        <v>1</v>
      </c>
      <c r="F671" s="3" t="s">
        <v>2001</v>
      </c>
    </row>
    <row r="672" s="2" customFormat="1" spans="1:7">
      <c r="A672" s="3"/>
      <c r="B672" s="3">
        <v>671</v>
      </c>
      <c r="C672" s="2" t="s">
        <v>3332</v>
      </c>
      <c r="D672" s="3" t="s">
        <v>3333</v>
      </c>
      <c r="E672" s="3">
        <v>1</v>
      </c>
      <c r="F672" s="3" t="s">
        <v>2001</v>
      </c>
    </row>
    <row r="673" s="2" customFormat="1" spans="1:6">
      <c r="A673" s="3"/>
      <c r="B673" s="3">
        <v>672</v>
      </c>
      <c r="C673" s="2" t="s">
        <v>3334</v>
      </c>
      <c r="D673" s="3" t="s">
        <v>3335</v>
      </c>
      <c r="E673" s="3">
        <v>2</v>
      </c>
      <c r="F673" s="3" t="s">
        <v>2001</v>
      </c>
    </row>
    <row r="674" s="2" customFormat="1" spans="1:6">
      <c r="A674" s="3"/>
      <c r="B674" s="3">
        <v>673</v>
      </c>
      <c r="C674" s="2" t="s">
        <v>3336</v>
      </c>
      <c r="D674" s="3" t="s">
        <v>3337</v>
      </c>
      <c r="E674" s="3">
        <v>2</v>
      </c>
      <c r="F674" s="3" t="s">
        <v>2001</v>
      </c>
    </row>
    <row r="675" s="2" customFormat="1" spans="1:6">
      <c r="A675" s="3"/>
      <c r="B675" s="3">
        <v>674</v>
      </c>
      <c r="C675" s="2" t="s">
        <v>3338</v>
      </c>
      <c r="D675" s="3" t="s">
        <v>3339</v>
      </c>
      <c r="E675" s="3">
        <v>4</v>
      </c>
      <c r="F675" s="3" t="s">
        <v>2001</v>
      </c>
    </row>
    <row r="676" s="2" customFormat="1" spans="1:6">
      <c r="A676" s="3"/>
      <c r="B676" s="3">
        <v>675</v>
      </c>
      <c r="C676" s="2" t="s">
        <v>3340</v>
      </c>
      <c r="D676" s="3" t="s">
        <v>3341</v>
      </c>
      <c r="E676" s="3">
        <v>4</v>
      </c>
      <c r="F676" s="3" t="s">
        <v>2001</v>
      </c>
    </row>
    <row r="677" s="2" customFormat="1" spans="1:6">
      <c r="A677" s="3"/>
      <c r="B677" s="3">
        <v>676</v>
      </c>
      <c r="C677" s="2" t="s">
        <v>3342</v>
      </c>
      <c r="D677" s="3" t="s">
        <v>3343</v>
      </c>
      <c r="E677" s="3">
        <v>40</v>
      </c>
      <c r="F677" s="3" t="s">
        <v>2792</v>
      </c>
    </row>
    <row r="678" s="2" customFormat="1" spans="1:6">
      <c r="A678" s="3"/>
      <c r="B678" s="3">
        <v>677</v>
      </c>
      <c r="C678" s="2" t="s">
        <v>3344</v>
      </c>
      <c r="D678" s="3" t="s">
        <v>3345</v>
      </c>
      <c r="E678" s="3">
        <v>200</v>
      </c>
      <c r="F678" s="3"/>
    </row>
    <row r="679" s="2" customFormat="1" spans="1:6">
      <c r="A679" s="3"/>
      <c r="B679" s="3">
        <v>678</v>
      </c>
      <c r="C679" s="2" t="s">
        <v>3346</v>
      </c>
      <c r="D679" s="3" t="s">
        <v>3347</v>
      </c>
      <c r="E679" s="3">
        <v>6</v>
      </c>
      <c r="F679" s="3" t="s">
        <v>2001</v>
      </c>
    </row>
    <row r="680" s="2" customFormat="1" spans="1:6">
      <c r="A680" s="3"/>
      <c r="B680" s="3">
        <v>679</v>
      </c>
      <c r="C680" s="2" t="s">
        <v>3348</v>
      </c>
      <c r="D680" s="3" t="s">
        <v>3349</v>
      </c>
      <c r="E680" s="3">
        <v>2</v>
      </c>
      <c r="F680" s="3" t="s">
        <v>2001</v>
      </c>
    </row>
    <row r="681" s="2" customFormat="1" spans="1:6">
      <c r="A681" s="3"/>
      <c r="B681" s="3">
        <v>680</v>
      </c>
      <c r="C681" s="2" t="s">
        <v>3350</v>
      </c>
      <c r="D681" s="3" t="s">
        <v>3351</v>
      </c>
      <c r="E681" s="3">
        <v>100</v>
      </c>
      <c r="F681" s="3" t="s">
        <v>2001</v>
      </c>
    </row>
    <row r="682" s="2" customFormat="1" spans="1:6">
      <c r="A682" s="3"/>
      <c r="B682" s="3">
        <v>681</v>
      </c>
      <c r="C682" s="2" t="s">
        <v>3352</v>
      </c>
      <c r="D682" s="3" t="s">
        <v>3353</v>
      </c>
      <c r="E682" s="3">
        <v>50</v>
      </c>
      <c r="F682" s="3" t="s">
        <v>2001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6"/>
  <sheetViews>
    <sheetView workbookViewId="0">
      <selection activeCell="D25" sqref="D25"/>
    </sheetView>
  </sheetViews>
  <sheetFormatPr defaultColWidth="9" defaultRowHeight="16.8" outlineLevelCol="6"/>
  <cols>
    <col min="1" max="2" width="12.5446428571429" style="3" customWidth="1"/>
    <col min="3" max="3" width="50.3839285714286" style="2" customWidth="1"/>
    <col min="4" max="6" width="12.5446428571429" style="3" customWidth="1"/>
    <col min="7" max="7" width="27.3482142857143" style="2" customWidth="1"/>
    <col min="8" max="16384" width="9" style="2"/>
  </cols>
  <sheetData>
    <row r="1" s="2" customFormat="1" spans="1:6">
      <c r="A1" s="3"/>
      <c r="B1" s="7" t="s">
        <v>1995</v>
      </c>
      <c r="C1" s="8" t="s">
        <v>1996</v>
      </c>
      <c r="D1" s="7" t="s">
        <v>1997</v>
      </c>
      <c r="E1" s="7" t="s">
        <v>1998</v>
      </c>
      <c r="F1" s="7"/>
    </row>
    <row r="2" s="2" customFormat="1" spans="1:6">
      <c r="A2" s="3"/>
      <c r="B2" s="3">
        <v>1</v>
      </c>
      <c r="C2" s="2" t="s">
        <v>3354</v>
      </c>
      <c r="D2" s="3" t="s">
        <v>3355</v>
      </c>
      <c r="E2" s="3">
        <v>1</v>
      </c>
      <c r="F2" s="3" t="s">
        <v>2016</v>
      </c>
    </row>
    <row r="3" s="2" customFormat="1" spans="1:6">
      <c r="A3" s="3"/>
      <c r="B3" s="3">
        <v>2</v>
      </c>
      <c r="C3" s="2" t="s">
        <v>3356</v>
      </c>
      <c r="D3" s="3" t="s">
        <v>3357</v>
      </c>
      <c r="E3" s="3">
        <v>1</v>
      </c>
      <c r="F3" s="3" t="s">
        <v>2016</v>
      </c>
    </row>
    <row r="4" s="2" customFormat="1" spans="1:6">
      <c r="A4" s="3"/>
      <c r="B4" s="3">
        <v>3</v>
      </c>
      <c r="C4" s="2" t="s">
        <v>3358</v>
      </c>
      <c r="D4" s="3" t="s">
        <v>3359</v>
      </c>
      <c r="E4" s="3">
        <v>1</v>
      </c>
      <c r="F4" s="3" t="s">
        <v>3360</v>
      </c>
    </row>
    <row r="5" s="2" customFormat="1" spans="1:6">
      <c r="A5" s="3"/>
      <c r="B5" s="3">
        <v>4</v>
      </c>
      <c r="C5" s="2" t="s">
        <v>3361</v>
      </c>
      <c r="D5" s="3" t="s">
        <v>3362</v>
      </c>
      <c r="E5" s="3">
        <v>2</v>
      </c>
      <c r="F5" s="3" t="s">
        <v>2016</v>
      </c>
    </row>
    <row r="6" s="2" customFormat="1" spans="1:6">
      <c r="A6" s="3"/>
      <c r="B6" s="3">
        <v>5</v>
      </c>
      <c r="C6" s="2" t="s">
        <v>3363</v>
      </c>
      <c r="D6" s="3" t="s">
        <v>3364</v>
      </c>
      <c r="E6" s="3">
        <v>1</v>
      </c>
      <c r="F6" s="3" t="s">
        <v>2016</v>
      </c>
    </row>
    <row r="7" s="2" customFormat="1" spans="1:6">
      <c r="A7" s="3"/>
      <c r="B7" s="3">
        <v>6</v>
      </c>
      <c r="C7" s="2" t="s">
        <v>3365</v>
      </c>
      <c r="D7" s="3" t="s">
        <v>3366</v>
      </c>
      <c r="E7" s="3">
        <v>2</v>
      </c>
      <c r="F7" s="3" t="s">
        <v>2016</v>
      </c>
    </row>
    <row r="8" s="2" customFormat="1" spans="1:6">
      <c r="A8" s="3"/>
      <c r="B8" s="3">
        <v>7</v>
      </c>
      <c r="C8" s="2" t="s">
        <v>2027</v>
      </c>
      <c r="D8" s="3" t="s">
        <v>2028</v>
      </c>
      <c r="E8" s="3">
        <v>2</v>
      </c>
      <c r="F8" s="3" t="s">
        <v>2001</v>
      </c>
    </row>
    <row r="9" s="2" customFormat="1" spans="1:6">
      <c r="A9" s="3"/>
      <c r="B9" s="3">
        <v>8</v>
      </c>
      <c r="C9" s="2" t="s">
        <v>2035</v>
      </c>
      <c r="D9" s="3" t="s">
        <v>2036</v>
      </c>
      <c r="E9" s="3">
        <v>1</v>
      </c>
      <c r="F9" s="3" t="s">
        <v>2001</v>
      </c>
    </row>
    <row r="10" s="2" customFormat="1" spans="1:6">
      <c r="A10" s="3"/>
      <c r="B10" s="3">
        <v>9</v>
      </c>
      <c r="C10" s="2" t="s">
        <v>3367</v>
      </c>
      <c r="D10" s="3" t="s">
        <v>3368</v>
      </c>
      <c r="E10" s="3">
        <v>1</v>
      </c>
      <c r="F10" s="3" t="s">
        <v>2001</v>
      </c>
    </row>
    <row r="11" s="2" customFormat="1" spans="1:6">
      <c r="A11" s="3"/>
      <c r="B11" s="3">
        <v>10</v>
      </c>
      <c r="C11" s="2" t="s">
        <v>2039</v>
      </c>
      <c r="D11" s="3" t="s">
        <v>2040</v>
      </c>
      <c r="E11" s="3">
        <v>1</v>
      </c>
      <c r="F11" s="3" t="s">
        <v>2001</v>
      </c>
    </row>
    <row r="12" s="2" customFormat="1" spans="1:6">
      <c r="A12" s="3"/>
      <c r="B12" s="3">
        <v>11</v>
      </c>
      <c r="C12" s="2" t="s">
        <v>3369</v>
      </c>
      <c r="D12" s="3" t="s">
        <v>3370</v>
      </c>
      <c r="E12" s="3">
        <v>2</v>
      </c>
      <c r="F12" s="3" t="s">
        <v>2001</v>
      </c>
    </row>
    <row r="13" s="2" customFormat="1" spans="1:6">
      <c r="A13" s="3"/>
      <c r="B13" s="3">
        <v>12</v>
      </c>
      <c r="C13" s="2" t="s">
        <v>2041</v>
      </c>
      <c r="D13" s="3" t="s">
        <v>2042</v>
      </c>
      <c r="E13" s="3">
        <v>2</v>
      </c>
      <c r="F13" s="3" t="s">
        <v>2001</v>
      </c>
    </row>
    <row r="14" s="2" customFormat="1" spans="1:6">
      <c r="A14" s="3"/>
      <c r="B14" s="3">
        <v>13</v>
      </c>
      <c r="C14" s="2" t="s">
        <v>3371</v>
      </c>
      <c r="D14" s="3" t="s">
        <v>3372</v>
      </c>
      <c r="E14" s="3">
        <v>2</v>
      </c>
      <c r="F14" s="3" t="s">
        <v>2001</v>
      </c>
    </row>
    <row r="15" s="2" customFormat="1" spans="1:6">
      <c r="A15" s="3"/>
      <c r="B15" s="3">
        <v>14</v>
      </c>
      <c r="C15" s="2" t="s">
        <v>2043</v>
      </c>
      <c r="D15" s="3" t="s">
        <v>2044</v>
      </c>
      <c r="E15" s="3">
        <v>2</v>
      </c>
      <c r="F15" s="3" t="s">
        <v>2001</v>
      </c>
    </row>
    <row r="16" s="2" customFormat="1" spans="1:6">
      <c r="A16" s="3"/>
      <c r="B16" s="3">
        <v>15</v>
      </c>
      <c r="C16" s="2" t="s">
        <v>2045</v>
      </c>
      <c r="D16" s="3" t="s">
        <v>2046</v>
      </c>
      <c r="E16" s="3">
        <v>1</v>
      </c>
      <c r="F16" s="3" t="s">
        <v>2001</v>
      </c>
    </row>
    <row r="17" s="2" customFormat="1" spans="1:6">
      <c r="A17" s="3"/>
      <c r="B17" s="3">
        <v>16</v>
      </c>
      <c r="C17" s="2" t="s">
        <v>2047</v>
      </c>
      <c r="D17" s="3" t="s">
        <v>2048</v>
      </c>
      <c r="E17" s="3">
        <v>1</v>
      </c>
      <c r="F17" s="3" t="s">
        <v>2001</v>
      </c>
    </row>
    <row r="18" s="2" customFormat="1" spans="1:6">
      <c r="A18" s="3"/>
      <c r="B18" s="3">
        <v>17</v>
      </c>
      <c r="C18" s="2" t="s">
        <v>2049</v>
      </c>
      <c r="D18" s="3" t="s">
        <v>2050</v>
      </c>
      <c r="E18" s="3">
        <v>2</v>
      </c>
      <c r="F18" s="3" t="s">
        <v>2001</v>
      </c>
    </row>
    <row r="19" s="2" customFormat="1" spans="1:6">
      <c r="A19" s="3"/>
      <c r="B19" s="3">
        <v>18</v>
      </c>
      <c r="C19" s="2" t="s">
        <v>2061</v>
      </c>
      <c r="D19" s="3" t="s">
        <v>2062</v>
      </c>
      <c r="E19" s="3">
        <v>2</v>
      </c>
      <c r="F19" s="3" t="s">
        <v>2001</v>
      </c>
    </row>
    <row r="20" s="2" customFormat="1" spans="1:6">
      <c r="A20" s="3"/>
      <c r="B20" s="3">
        <v>19</v>
      </c>
      <c r="C20" s="2" t="s">
        <v>2063</v>
      </c>
      <c r="D20" s="3" t="s">
        <v>2064</v>
      </c>
      <c r="E20" s="3">
        <v>2</v>
      </c>
      <c r="F20" s="3" t="s">
        <v>2001</v>
      </c>
    </row>
    <row r="21" s="2" customFormat="1" spans="1:6">
      <c r="A21" s="3"/>
      <c r="B21" s="3">
        <v>20</v>
      </c>
      <c r="C21" s="2" t="s">
        <v>2073</v>
      </c>
      <c r="D21" s="3" t="s">
        <v>2074</v>
      </c>
      <c r="E21" s="3">
        <v>1</v>
      </c>
      <c r="F21" s="3" t="s">
        <v>2001</v>
      </c>
    </row>
    <row r="22" s="2" customFormat="1" spans="1:6">
      <c r="A22" s="3"/>
      <c r="B22" s="3">
        <v>21</v>
      </c>
      <c r="C22" s="2" t="s">
        <v>3373</v>
      </c>
      <c r="D22" s="3" t="s">
        <v>3374</v>
      </c>
      <c r="E22" s="3">
        <v>1</v>
      </c>
      <c r="F22" s="3" t="s">
        <v>2001</v>
      </c>
    </row>
    <row r="23" s="2" customFormat="1" spans="1:6">
      <c r="A23" s="3"/>
      <c r="B23" s="3">
        <v>22</v>
      </c>
      <c r="C23" s="2" t="s">
        <v>2075</v>
      </c>
      <c r="D23" s="3" t="s">
        <v>2076</v>
      </c>
      <c r="E23" s="3">
        <v>1</v>
      </c>
      <c r="F23" s="3" t="s">
        <v>2001</v>
      </c>
    </row>
    <row r="24" s="2" customFormat="1" spans="1:6">
      <c r="A24" s="3"/>
      <c r="B24" s="3">
        <v>23</v>
      </c>
      <c r="C24" s="2" t="s">
        <v>3375</v>
      </c>
      <c r="D24" s="3" t="s">
        <v>3376</v>
      </c>
      <c r="E24" s="3">
        <v>2</v>
      </c>
      <c r="F24" s="3" t="s">
        <v>2001</v>
      </c>
    </row>
    <row r="25" s="2" customFormat="1" spans="1:6">
      <c r="A25" s="3"/>
      <c r="B25" s="3">
        <v>24</v>
      </c>
      <c r="C25" s="2" t="s">
        <v>3377</v>
      </c>
      <c r="D25" s="3" t="s">
        <v>3378</v>
      </c>
      <c r="E25" s="3">
        <v>2</v>
      </c>
      <c r="F25" s="3" t="s">
        <v>2001</v>
      </c>
    </row>
    <row r="26" s="2" customFormat="1" spans="1:6">
      <c r="A26" s="3"/>
      <c r="B26" s="3">
        <v>25</v>
      </c>
      <c r="C26" s="2" t="s">
        <v>3379</v>
      </c>
      <c r="D26" s="3" t="s">
        <v>3380</v>
      </c>
      <c r="E26" s="3">
        <v>6</v>
      </c>
      <c r="F26" s="3" t="s">
        <v>2001</v>
      </c>
    </row>
    <row r="27" s="2" customFormat="1" spans="1:6">
      <c r="A27" s="3"/>
      <c r="B27" s="3">
        <v>26</v>
      </c>
      <c r="C27" s="2" t="s">
        <v>2087</v>
      </c>
      <c r="D27" s="3" t="s">
        <v>2088</v>
      </c>
      <c r="E27" s="3">
        <v>1</v>
      </c>
      <c r="F27" s="3" t="s">
        <v>2001</v>
      </c>
    </row>
    <row r="28" s="2" customFormat="1" spans="1:6">
      <c r="A28" s="3"/>
      <c r="B28" s="3">
        <v>27</v>
      </c>
      <c r="C28" s="2" t="s">
        <v>2095</v>
      </c>
      <c r="D28" s="3" t="s">
        <v>2096</v>
      </c>
      <c r="E28" s="3">
        <v>1</v>
      </c>
      <c r="F28" s="3" t="s">
        <v>2001</v>
      </c>
    </row>
    <row r="29" s="2" customFormat="1" spans="1:6">
      <c r="A29" s="3"/>
      <c r="B29" s="3">
        <v>28</v>
      </c>
      <c r="C29" s="2" t="s">
        <v>3381</v>
      </c>
      <c r="D29" s="3" t="s">
        <v>3382</v>
      </c>
      <c r="E29" s="3">
        <v>3</v>
      </c>
      <c r="F29" s="3" t="s">
        <v>2001</v>
      </c>
    </row>
    <row r="30" s="2" customFormat="1" spans="1:6">
      <c r="A30" s="3"/>
      <c r="B30" s="3">
        <v>29</v>
      </c>
      <c r="C30" s="2" t="s">
        <v>2103</v>
      </c>
      <c r="D30" s="3" t="s">
        <v>2104</v>
      </c>
      <c r="E30" s="3">
        <v>1</v>
      </c>
      <c r="F30" s="3" t="s">
        <v>2001</v>
      </c>
    </row>
    <row r="31" s="2" customFormat="1" spans="1:6">
      <c r="A31" s="3"/>
      <c r="B31" s="3">
        <v>30</v>
      </c>
      <c r="C31" s="2" t="s">
        <v>2105</v>
      </c>
      <c r="D31" s="3" t="s">
        <v>2106</v>
      </c>
      <c r="E31" s="3">
        <v>3</v>
      </c>
      <c r="F31" s="3" t="s">
        <v>2001</v>
      </c>
    </row>
    <row r="32" s="2" customFormat="1" spans="1:6">
      <c r="A32" s="3"/>
      <c r="B32" s="3">
        <v>31</v>
      </c>
      <c r="C32" s="2" t="s">
        <v>2113</v>
      </c>
      <c r="D32" s="3" t="s">
        <v>2114</v>
      </c>
      <c r="E32" s="3">
        <v>1</v>
      </c>
      <c r="F32" s="3" t="s">
        <v>2001</v>
      </c>
    </row>
    <row r="33" s="2" customFormat="1" spans="1:6">
      <c r="A33" s="3"/>
      <c r="B33" s="3">
        <v>32</v>
      </c>
      <c r="C33" s="2" t="s">
        <v>2119</v>
      </c>
      <c r="D33" s="3" t="s">
        <v>2120</v>
      </c>
      <c r="E33" s="3">
        <v>2</v>
      </c>
      <c r="F33" s="3" t="s">
        <v>2001</v>
      </c>
    </row>
    <row r="34" s="2" customFormat="1" spans="1:6">
      <c r="A34" s="3"/>
      <c r="B34" s="3">
        <v>33</v>
      </c>
      <c r="C34" s="2" t="s">
        <v>3383</v>
      </c>
      <c r="D34" s="3" t="s">
        <v>3384</v>
      </c>
      <c r="E34" s="3">
        <v>3</v>
      </c>
      <c r="F34" s="3" t="s">
        <v>2001</v>
      </c>
    </row>
    <row r="35" s="2" customFormat="1" spans="1:6">
      <c r="A35" s="3"/>
      <c r="B35" s="3">
        <v>34</v>
      </c>
      <c r="C35" s="2" t="s">
        <v>2121</v>
      </c>
      <c r="D35" s="3" t="s">
        <v>2122</v>
      </c>
      <c r="E35" s="3">
        <v>3</v>
      </c>
      <c r="F35" s="3" t="s">
        <v>2001</v>
      </c>
    </row>
    <row r="36" s="2" customFormat="1" spans="1:6">
      <c r="A36" s="3"/>
      <c r="B36" s="3">
        <v>35</v>
      </c>
      <c r="C36" s="2" t="s">
        <v>2123</v>
      </c>
      <c r="D36" s="3" t="s">
        <v>2124</v>
      </c>
      <c r="E36" s="3">
        <v>1</v>
      </c>
      <c r="F36" s="3" t="s">
        <v>2001</v>
      </c>
    </row>
    <row r="37" s="2" customFormat="1" spans="1:6">
      <c r="A37" s="3"/>
      <c r="B37" s="3">
        <v>36</v>
      </c>
      <c r="C37" s="2" t="s">
        <v>2137</v>
      </c>
      <c r="D37" s="3" t="s">
        <v>2138</v>
      </c>
      <c r="E37" s="3">
        <v>3</v>
      </c>
      <c r="F37" s="3" t="s">
        <v>2001</v>
      </c>
    </row>
    <row r="38" s="2" customFormat="1" spans="1:6">
      <c r="A38" s="3"/>
      <c r="B38" s="3">
        <v>37</v>
      </c>
      <c r="C38" s="2" t="s">
        <v>3385</v>
      </c>
      <c r="D38" s="3" t="s">
        <v>3386</v>
      </c>
      <c r="E38" s="3">
        <v>1</v>
      </c>
      <c r="F38" s="3" t="s">
        <v>2001</v>
      </c>
    </row>
    <row r="39" s="2" customFormat="1" spans="1:6">
      <c r="A39" s="3"/>
      <c r="B39" s="3">
        <v>38</v>
      </c>
      <c r="C39" s="2" t="s">
        <v>2147</v>
      </c>
      <c r="D39" s="3" t="s">
        <v>2148</v>
      </c>
      <c r="E39" s="3">
        <v>2</v>
      </c>
      <c r="F39" s="3" t="s">
        <v>2001</v>
      </c>
    </row>
    <row r="40" s="2" customFormat="1" spans="1:6">
      <c r="A40" s="3"/>
      <c r="B40" s="3">
        <v>39</v>
      </c>
      <c r="C40" s="2" t="s">
        <v>2151</v>
      </c>
      <c r="D40" s="3" t="s">
        <v>2152</v>
      </c>
      <c r="E40" s="3">
        <v>1</v>
      </c>
      <c r="F40" s="3" t="s">
        <v>2001</v>
      </c>
    </row>
    <row r="41" s="2" customFormat="1" spans="1:6">
      <c r="A41" s="3"/>
      <c r="B41" s="3">
        <v>40</v>
      </c>
      <c r="C41" s="2" t="s">
        <v>2163</v>
      </c>
      <c r="D41" s="3" t="s">
        <v>2164</v>
      </c>
      <c r="E41" s="3">
        <v>2</v>
      </c>
      <c r="F41" s="3" t="s">
        <v>2001</v>
      </c>
    </row>
    <row r="42" s="2" customFormat="1" spans="1:6">
      <c r="A42" s="3"/>
      <c r="B42" s="3">
        <v>41</v>
      </c>
      <c r="C42" s="2" t="s">
        <v>2165</v>
      </c>
      <c r="D42" s="3" t="s">
        <v>2166</v>
      </c>
      <c r="E42" s="3">
        <v>5</v>
      </c>
      <c r="F42" s="3" t="s">
        <v>2001</v>
      </c>
    </row>
    <row r="43" s="2" customFormat="1" spans="1:6">
      <c r="A43" s="3"/>
      <c r="B43" s="3">
        <v>42</v>
      </c>
      <c r="C43" s="2" t="s">
        <v>2167</v>
      </c>
      <c r="D43" s="3" t="s">
        <v>2168</v>
      </c>
      <c r="E43" s="3">
        <v>2</v>
      </c>
      <c r="F43" s="3" t="s">
        <v>2001</v>
      </c>
    </row>
    <row r="44" s="2" customFormat="1" spans="1:6">
      <c r="A44" s="3"/>
      <c r="B44" s="3">
        <v>43</v>
      </c>
      <c r="C44" s="2" t="s">
        <v>3387</v>
      </c>
      <c r="D44" s="3" t="s">
        <v>3388</v>
      </c>
      <c r="E44" s="3">
        <v>3</v>
      </c>
      <c r="F44" s="3" t="s">
        <v>2001</v>
      </c>
    </row>
    <row r="45" s="2" customFormat="1" spans="1:6">
      <c r="A45" s="3"/>
      <c r="B45" s="3">
        <v>44</v>
      </c>
      <c r="C45" s="2" t="s">
        <v>2173</v>
      </c>
      <c r="D45" s="3" t="s">
        <v>2174</v>
      </c>
      <c r="E45" s="3">
        <v>4</v>
      </c>
      <c r="F45" s="3" t="s">
        <v>2001</v>
      </c>
    </row>
    <row r="46" s="2" customFormat="1" spans="1:6">
      <c r="A46" s="3"/>
      <c r="B46" s="3">
        <v>45</v>
      </c>
      <c r="C46" s="2" t="s">
        <v>3389</v>
      </c>
      <c r="D46" s="3" t="s">
        <v>3390</v>
      </c>
      <c r="E46" s="3">
        <v>3</v>
      </c>
      <c r="F46" s="3" t="s">
        <v>2001</v>
      </c>
    </row>
    <row r="47" s="2" customFormat="1" spans="1:6">
      <c r="A47" s="3"/>
      <c r="B47" s="3">
        <v>46</v>
      </c>
      <c r="C47" s="2" t="s">
        <v>3391</v>
      </c>
      <c r="D47" s="3" t="s">
        <v>3392</v>
      </c>
      <c r="E47" s="3">
        <v>2</v>
      </c>
      <c r="F47" s="3" t="s">
        <v>2001</v>
      </c>
    </row>
    <row r="48" s="2" customFormat="1" spans="1:6">
      <c r="A48" s="3"/>
      <c r="B48" s="3">
        <v>47</v>
      </c>
      <c r="C48" s="2" t="s">
        <v>3393</v>
      </c>
      <c r="D48" s="3" t="s">
        <v>3394</v>
      </c>
      <c r="E48" s="3">
        <v>3</v>
      </c>
      <c r="F48" s="3" t="s">
        <v>2001</v>
      </c>
    </row>
    <row r="49" s="2" customFormat="1" spans="1:6">
      <c r="A49" s="3"/>
      <c r="B49" s="3">
        <v>48</v>
      </c>
      <c r="C49" s="2" t="s">
        <v>2191</v>
      </c>
      <c r="D49" s="3" t="s">
        <v>2192</v>
      </c>
      <c r="E49" s="3">
        <v>6</v>
      </c>
      <c r="F49" s="3" t="s">
        <v>2001</v>
      </c>
    </row>
    <row r="50" s="2" customFormat="1" spans="1:6">
      <c r="A50" s="3"/>
      <c r="B50" s="3">
        <v>49</v>
      </c>
      <c r="C50" s="2" t="s">
        <v>2193</v>
      </c>
      <c r="D50" s="3" t="s">
        <v>2194</v>
      </c>
      <c r="E50" s="3">
        <v>14</v>
      </c>
      <c r="F50" s="3" t="s">
        <v>2001</v>
      </c>
    </row>
    <row r="51" s="2" customFormat="1" spans="1:6">
      <c r="A51" s="3"/>
      <c r="B51" s="3">
        <v>50</v>
      </c>
      <c r="C51" s="2" t="s">
        <v>2199</v>
      </c>
      <c r="D51" s="3" t="s">
        <v>2200</v>
      </c>
      <c r="E51" s="3">
        <v>3</v>
      </c>
      <c r="F51" s="3" t="s">
        <v>2001</v>
      </c>
    </row>
    <row r="52" s="2" customFormat="1" spans="1:6">
      <c r="A52" s="3"/>
      <c r="B52" s="3">
        <v>51</v>
      </c>
      <c r="C52" s="2" t="s">
        <v>2201</v>
      </c>
      <c r="D52" s="3" t="s">
        <v>2202</v>
      </c>
      <c r="E52" s="3">
        <v>4</v>
      </c>
      <c r="F52" s="3" t="s">
        <v>2001</v>
      </c>
    </row>
    <row r="53" s="2" customFormat="1" spans="1:6">
      <c r="A53" s="3"/>
      <c r="B53" s="3">
        <v>52</v>
      </c>
      <c r="C53" s="2" t="s">
        <v>2203</v>
      </c>
      <c r="D53" s="3" t="s">
        <v>2204</v>
      </c>
      <c r="E53" s="3">
        <v>6</v>
      </c>
      <c r="F53" s="3" t="s">
        <v>2001</v>
      </c>
    </row>
    <row r="54" s="2" customFormat="1" spans="1:6">
      <c r="A54" s="3"/>
      <c r="B54" s="3">
        <v>53</v>
      </c>
      <c r="C54" s="2" t="s">
        <v>2205</v>
      </c>
      <c r="D54" s="3" t="s">
        <v>2206</v>
      </c>
      <c r="E54" s="3">
        <v>5</v>
      </c>
      <c r="F54" s="3" t="s">
        <v>2001</v>
      </c>
    </row>
    <row r="55" s="2" customFormat="1" spans="1:6">
      <c r="A55" s="3"/>
      <c r="B55" s="3">
        <v>54</v>
      </c>
      <c r="C55" s="2" t="s">
        <v>2207</v>
      </c>
      <c r="D55" s="3" t="s">
        <v>2208</v>
      </c>
      <c r="E55" s="3">
        <v>6</v>
      </c>
      <c r="F55" s="3" t="s">
        <v>2001</v>
      </c>
    </row>
    <row r="56" s="2" customFormat="1" spans="1:6">
      <c r="A56" s="3"/>
      <c r="B56" s="3">
        <v>55</v>
      </c>
      <c r="C56" s="2" t="s">
        <v>3395</v>
      </c>
      <c r="D56" s="3" t="s">
        <v>3396</v>
      </c>
      <c r="E56" s="3">
        <v>4</v>
      </c>
      <c r="F56" s="3" t="s">
        <v>2001</v>
      </c>
    </row>
    <row r="57" s="2" customFormat="1" spans="1:6">
      <c r="A57" s="3"/>
      <c r="B57" s="3">
        <v>56</v>
      </c>
      <c r="C57" s="2" t="s">
        <v>2213</v>
      </c>
      <c r="D57" s="3" t="s">
        <v>2214</v>
      </c>
      <c r="E57" s="3">
        <v>4</v>
      </c>
      <c r="F57" s="3" t="s">
        <v>2001</v>
      </c>
    </row>
    <row r="58" s="2" customFormat="1" spans="1:6">
      <c r="A58" s="3"/>
      <c r="B58" s="3">
        <v>57</v>
      </c>
      <c r="C58" s="2" t="s">
        <v>2215</v>
      </c>
      <c r="D58" s="3" t="s">
        <v>2216</v>
      </c>
      <c r="E58" s="3">
        <v>6</v>
      </c>
      <c r="F58" s="3" t="s">
        <v>2001</v>
      </c>
    </row>
    <row r="59" s="2" customFormat="1" spans="1:6">
      <c r="A59" s="3"/>
      <c r="B59" s="3">
        <v>58</v>
      </c>
      <c r="C59" s="2" t="s">
        <v>3397</v>
      </c>
      <c r="D59" s="3" t="s">
        <v>3398</v>
      </c>
      <c r="E59" s="3">
        <v>7</v>
      </c>
      <c r="F59" s="3" t="s">
        <v>2001</v>
      </c>
    </row>
    <row r="60" s="2" customFormat="1" spans="1:6">
      <c r="A60" s="3"/>
      <c r="B60" s="3">
        <v>59</v>
      </c>
      <c r="C60" s="2" t="s">
        <v>2221</v>
      </c>
      <c r="D60" s="3" t="s">
        <v>2222</v>
      </c>
      <c r="E60" s="3">
        <v>7</v>
      </c>
      <c r="F60" s="3" t="s">
        <v>2001</v>
      </c>
    </row>
    <row r="61" s="2" customFormat="1" spans="1:6">
      <c r="A61" s="3"/>
      <c r="B61" s="3">
        <v>60</v>
      </c>
      <c r="C61" s="2" t="s">
        <v>2223</v>
      </c>
      <c r="D61" s="3" t="s">
        <v>2224</v>
      </c>
      <c r="E61" s="3">
        <v>6</v>
      </c>
      <c r="F61" s="3" t="s">
        <v>2001</v>
      </c>
    </row>
    <row r="62" s="2" customFormat="1" spans="1:6">
      <c r="A62" s="3"/>
      <c r="B62" s="3">
        <v>61</v>
      </c>
      <c r="C62" s="2" t="s">
        <v>2229</v>
      </c>
      <c r="D62" s="3" t="s">
        <v>2230</v>
      </c>
      <c r="E62" s="3">
        <v>5</v>
      </c>
      <c r="F62" s="3" t="s">
        <v>2001</v>
      </c>
    </row>
    <row r="63" s="2" customFormat="1" spans="1:6">
      <c r="A63" s="3"/>
      <c r="B63" s="3">
        <v>62</v>
      </c>
      <c r="C63" s="2" t="s">
        <v>2231</v>
      </c>
      <c r="D63" s="3" t="s">
        <v>2232</v>
      </c>
      <c r="E63" s="3">
        <v>8</v>
      </c>
      <c r="F63" s="3" t="s">
        <v>2001</v>
      </c>
    </row>
    <row r="64" s="2" customFormat="1" spans="1:6">
      <c r="A64" s="3"/>
      <c r="B64" s="3">
        <v>63</v>
      </c>
      <c r="C64" s="2" t="s">
        <v>2233</v>
      </c>
      <c r="D64" s="3" t="s">
        <v>2234</v>
      </c>
      <c r="E64" s="3">
        <v>6</v>
      </c>
      <c r="F64" s="3" t="s">
        <v>2001</v>
      </c>
    </row>
    <row r="65" s="2" customFormat="1" spans="1:6">
      <c r="A65" s="3"/>
      <c r="B65" s="3">
        <v>64</v>
      </c>
      <c r="C65" s="2" t="s">
        <v>3399</v>
      </c>
      <c r="D65" s="3" t="s">
        <v>3400</v>
      </c>
      <c r="E65" s="3">
        <v>1</v>
      </c>
      <c r="F65" s="3" t="s">
        <v>2001</v>
      </c>
    </row>
    <row r="66" s="2" customFormat="1" spans="1:6">
      <c r="A66" s="3"/>
      <c r="B66" s="3">
        <v>65</v>
      </c>
      <c r="C66" s="2" t="s">
        <v>3401</v>
      </c>
      <c r="D66" s="3" t="s">
        <v>3402</v>
      </c>
      <c r="E66" s="3">
        <v>1</v>
      </c>
      <c r="F66" s="3" t="s">
        <v>2001</v>
      </c>
    </row>
    <row r="67" s="2" customFormat="1" spans="1:6">
      <c r="A67" s="3"/>
      <c r="B67" s="3">
        <v>66</v>
      </c>
      <c r="C67" s="2" t="s">
        <v>2249</v>
      </c>
      <c r="D67" s="3" t="s">
        <v>2250</v>
      </c>
      <c r="E67" s="3">
        <v>2</v>
      </c>
      <c r="F67" s="3" t="s">
        <v>2001</v>
      </c>
    </row>
    <row r="68" s="2" customFormat="1" spans="1:6">
      <c r="A68" s="3"/>
      <c r="B68" s="3">
        <v>67</v>
      </c>
      <c r="C68" s="2" t="s">
        <v>3403</v>
      </c>
      <c r="D68" s="3" t="s">
        <v>3404</v>
      </c>
      <c r="E68" s="3">
        <v>1</v>
      </c>
      <c r="F68" s="3" t="s">
        <v>2001</v>
      </c>
    </row>
    <row r="69" s="2" customFormat="1" spans="1:6">
      <c r="A69" s="3"/>
      <c r="B69" s="3">
        <v>68</v>
      </c>
      <c r="C69" s="2" t="s">
        <v>2253</v>
      </c>
      <c r="D69" s="3" t="s">
        <v>2254</v>
      </c>
      <c r="E69" s="3">
        <v>1</v>
      </c>
      <c r="F69" s="3" t="s">
        <v>2001</v>
      </c>
    </row>
    <row r="70" s="2" customFormat="1" spans="1:6">
      <c r="A70" s="3"/>
      <c r="B70" s="3">
        <v>69</v>
      </c>
      <c r="C70" s="2" t="s">
        <v>3405</v>
      </c>
      <c r="D70" s="3" t="s">
        <v>3406</v>
      </c>
      <c r="E70" s="3">
        <v>2</v>
      </c>
      <c r="F70" s="3" t="s">
        <v>2001</v>
      </c>
    </row>
    <row r="71" s="2" customFormat="1" spans="1:6">
      <c r="A71" s="3"/>
      <c r="B71" s="3">
        <v>70</v>
      </c>
      <c r="C71" s="2" t="s">
        <v>2255</v>
      </c>
      <c r="D71" s="3" t="s">
        <v>2256</v>
      </c>
      <c r="E71" s="3">
        <v>1</v>
      </c>
      <c r="F71" s="3" t="s">
        <v>2001</v>
      </c>
    </row>
    <row r="72" s="2" customFormat="1" spans="1:6">
      <c r="A72" s="3"/>
      <c r="B72" s="3">
        <v>71</v>
      </c>
      <c r="C72" s="2" t="s">
        <v>3407</v>
      </c>
      <c r="D72" s="3" t="s">
        <v>3408</v>
      </c>
      <c r="E72" s="3">
        <v>1</v>
      </c>
      <c r="F72" s="3" t="s">
        <v>2001</v>
      </c>
    </row>
    <row r="73" s="2" customFormat="1" spans="1:6">
      <c r="A73" s="3"/>
      <c r="B73" s="3">
        <v>72</v>
      </c>
      <c r="C73" s="2" t="s">
        <v>3409</v>
      </c>
      <c r="D73" s="3" t="s">
        <v>3410</v>
      </c>
      <c r="E73" s="3">
        <v>1</v>
      </c>
      <c r="F73" s="3" t="s">
        <v>2001</v>
      </c>
    </row>
    <row r="74" s="2" customFormat="1" spans="1:6">
      <c r="A74" s="3"/>
      <c r="B74" s="3">
        <v>73</v>
      </c>
      <c r="C74" s="2" t="s">
        <v>3411</v>
      </c>
      <c r="D74" s="3" t="s">
        <v>3412</v>
      </c>
      <c r="E74" s="3">
        <v>3</v>
      </c>
      <c r="F74" s="3" t="s">
        <v>2001</v>
      </c>
    </row>
    <row r="75" s="2" customFormat="1" spans="1:6">
      <c r="A75" s="3"/>
      <c r="B75" s="3">
        <v>74</v>
      </c>
      <c r="C75" s="2" t="s">
        <v>3413</v>
      </c>
      <c r="D75" s="3" t="s">
        <v>3414</v>
      </c>
      <c r="E75" s="3">
        <v>4</v>
      </c>
      <c r="F75" s="3" t="s">
        <v>2001</v>
      </c>
    </row>
    <row r="76" s="2" customFormat="1" spans="1:6">
      <c r="A76" s="3"/>
      <c r="B76" s="3">
        <v>75</v>
      </c>
      <c r="C76" s="2" t="s">
        <v>3415</v>
      </c>
      <c r="D76" s="3" t="s">
        <v>3416</v>
      </c>
      <c r="E76" s="3">
        <v>4</v>
      </c>
      <c r="F76" s="3" t="s">
        <v>2001</v>
      </c>
    </row>
    <row r="77" s="2" customFormat="1" spans="1:6">
      <c r="A77" s="3"/>
      <c r="B77" s="3">
        <v>76</v>
      </c>
      <c r="C77" s="2" t="s">
        <v>3417</v>
      </c>
      <c r="D77" s="3" t="s">
        <v>3418</v>
      </c>
      <c r="E77" s="3">
        <v>2</v>
      </c>
      <c r="F77" s="3" t="s">
        <v>2001</v>
      </c>
    </row>
    <row r="78" s="2" customFormat="1" spans="1:6">
      <c r="A78" s="3"/>
      <c r="B78" s="3">
        <v>77</v>
      </c>
      <c r="C78" s="2" t="s">
        <v>3419</v>
      </c>
      <c r="D78" s="3" t="s">
        <v>3420</v>
      </c>
      <c r="E78" s="3">
        <v>2</v>
      </c>
      <c r="F78" s="3" t="s">
        <v>2001</v>
      </c>
    </row>
    <row r="79" s="2" customFormat="1" spans="1:6">
      <c r="A79" s="3"/>
      <c r="B79" s="3">
        <v>78</v>
      </c>
      <c r="C79" s="2" t="s">
        <v>3421</v>
      </c>
      <c r="D79" s="3" t="s">
        <v>3422</v>
      </c>
      <c r="E79" s="3">
        <v>4</v>
      </c>
      <c r="F79" s="3" t="s">
        <v>2001</v>
      </c>
    </row>
    <row r="80" s="2" customFormat="1" spans="1:6">
      <c r="A80" s="3"/>
      <c r="B80" s="3">
        <v>79</v>
      </c>
      <c r="C80" s="2" t="s">
        <v>3423</v>
      </c>
      <c r="D80" s="3" t="s">
        <v>3424</v>
      </c>
      <c r="E80" s="3">
        <v>7</v>
      </c>
      <c r="F80" s="3" t="s">
        <v>2001</v>
      </c>
    </row>
    <row r="81" s="2" customFormat="1" spans="1:6">
      <c r="A81" s="3"/>
      <c r="B81" s="3">
        <v>80</v>
      </c>
      <c r="C81" s="2" t="s">
        <v>2259</v>
      </c>
      <c r="D81" s="3" t="s">
        <v>2260</v>
      </c>
      <c r="E81" s="3">
        <v>4</v>
      </c>
      <c r="F81" s="3" t="s">
        <v>2001</v>
      </c>
    </row>
    <row r="82" s="2" customFormat="1" spans="1:6">
      <c r="A82" s="3"/>
      <c r="B82" s="3">
        <v>81</v>
      </c>
      <c r="C82" s="2" t="s">
        <v>2263</v>
      </c>
      <c r="D82" s="3" t="s">
        <v>2264</v>
      </c>
      <c r="E82" s="3">
        <v>1</v>
      </c>
      <c r="F82" s="3" t="s">
        <v>2001</v>
      </c>
    </row>
    <row r="83" s="2" customFormat="1" spans="1:6">
      <c r="A83" s="3"/>
      <c r="B83" s="3">
        <v>82</v>
      </c>
      <c r="C83" s="2" t="s">
        <v>2267</v>
      </c>
      <c r="D83" s="3" t="s">
        <v>2268</v>
      </c>
      <c r="E83" s="3">
        <v>10</v>
      </c>
      <c r="F83" s="3" t="s">
        <v>2001</v>
      </c>
    </row>
    <row r="84" s="2" customFormat="1" spans="1:6">
      <c r="A84" s="3"/>
      <c r="B84" s="3">
        <v>83</v>
      </c>
      <c r="C84" s="2" t="s">
        <v>2269</v>
      </c>
      <c r="D84" s="3" t="s">
        <v>2270</v>
      </c>
      <c r="E84" s="3">
        <v>6</v>
      </c>
      <c r="F84" s="3" t="s">
        <v>2001</v>
      </c>
    </row>
    <row r="85" s="2" customFormat="1" spans="1:6">
      <c r="A85" s="3"/>
      <c r="B85" s="3">
        <v>84</v>
      </c>
      <c r="C85" s="2" t="s">
        <v>2271</v>
      </c>
      <c r="D85" s="3" t="s">
        <v>2272</v>
      </c>
      <c r="E85" s="3">
        <v>9</v>
      </c>
      <c r="F85" s="3" t="s">
        <v>2001</v>
      </c>
    </row>
    <row r="86" s="2" customFormat="1" spans="1:6">
      <c r="A86" s="3"/>
      <c r="B86" s="3">
        <v>85</v>
      </c>
      <c r="C86" s="2" t="s">
        <v>2273</v>
      </c>
      <c r="D86" s="3" t="s">
        <v>2274</v>
      </c>
      <c r="E86" s="3">
        <v>1</v>
      </c>
      <c r="F86" s="3" t="s">
        <v>2001</v>
      </c>
    </row>
    <row r="87" s="2" customFormat="1" spans="1:6">
      <c r="A87" s="3"/>
      <c r="B87" s="3">
        <v>86</v>
      </c>
      <c r="C87" s="2" t="s">
        <v>2275</v>
      </c>
      <c r="D87" s="3" t="s">
        <v>2276</v>
      </c>
      <c r="E87" s="3">
        <v>1</v>
      </c>
      <c r="F87" s="3" t="s">
        <v>2001</v>
      </c>
    </row>
    <row r="88" s="2" customFormat="1" spans="1:6">
      <c r="A88" s="3"/>
      <c r="B88" s="3">
        <v>87</v>
      </c>
      <c r="C88" s="2" t="s">
        <v>2277</v>
      </c>
      <c r="D88" s="3" t="s">
        <v>2278</v>
      </c>
      <c r="E88" s="3">
        <v>6</v>
      </c>
      <c r="F88" s="3" t="s">
        <v>2001</v>
      </c>
    </row>
    <row r="89" s="2" customFormat="1" spans="1:6">
      <c r="A89" s="3"/>
      <c r="B89" s="3">
        <v>88</v>
      </c>
      <c r="C89" s="2" t="s">
        <v>2279</v>
      </c>
      <c r="D89" s="3" t="s">
        <v>2280</v>
      </c>
      <c r="E89" s="3">
        <v>1</v>
      </c>
      <c r="F89" s="3" t="s">
        <v>2001</v>
      </c>
    </row>
    <row r="90" s="2" customFormat="1" spans="1:6">
      <c r="A90" s="3"/>
      <c r="B90" s="3">
        <v>89</v>
      </c>
      <c r="C90" s="2" t="s">
        <v>2281</v>
      </c>
      <c r="D90" s="3" t="s">
        <v>2282</v>
      </c>
      <c r="E90" s="3">
        <v>5</v>
      </c>
      <c r="F90" s="3" t="s">
        <v>2001</v>
      </c>
    </row>
    <row r="91" s="2" customFormat="1" spans="1:6">
      <c r="A91" s="3"/>
      <c r="B91" s="3">
        <v>90</v>
      </c>
      <c r="C91" s="2" t="s">
        <v>2285</v>
      </c>
      <c r="D91" s="3" t="s">
        <v>2286</v>
      </c>
      <c r="E91" s="3">
        <v>4</v>
      </c>
      <c r="F91" s="3" t="s">
        <v>2001</v>
      </c>
    </row>
    <row r="92" s="2" customFormat="1" spans="1:6">
      <c r="A92" s="3"/>
      <c r="B92" s="3">
        <v>91</v>
      </c>
      <c r="C92" s="2" t="s">
        <v>2287</v>
      </c>
      <c r="D92" s="3" t="s">
        <v>2288</v>
      </c>
      <c r="E92" s="3">
        <v>2</v>
      </c>
      <c r="F92" s="3" t="s">
        <v>2001</v>
      </c>
    </row>
    <row r="93" s="2" customFormat="1" spans="1:6">
      <c r="A93" s="3"/>
      <c r="B93" s="3">
        <v>92</v>
      </c>
      <c r="C93" s="2" t="s">
        <v>2289</v>
      </c>
      <c r="D93" s="3" t="s">
        <v>2290</v>
      </c>
      <c r="E93" s="3">
        <v>3</v>
      </c>
      <c r="F93" s="3" t="s">
        <v>2001</v>
      </c>
    </row>
    <row r="94" s="2" customFormat="1" spans="1:6">
      <c r="A94" s="3"/>
      <c r="B94" s="3">
        <v>93</v>
      </c>
      <c r="C94" s="2" t="s">
        <v>2295</v>
      </c>
      <c r="D94" s="3" t="s">
        <v>2296</v>
      </c>
      <c r="E94" s="3">
        <v>6</v>
      </c>
      <c r="F94" s="3" t="s">
        <v>2001</v>
      </c>
    </row>
    <row r="95" s="2" customFormat="1" spans="1:6">
      <c r="A95" s="3"/>
      <c r="B95" s="3">
        <v>94</v>
      </c>
      <c r="C95" s="2" t="s">
        <v>2297</v>
      </c>
      <c r="D95" s="3" t="s">
        <v>2298</v>
      </c>
      <c r="E95" s="3">
        <v>9</v>
      </c>
      <c r="F95" s="3" t="s">
        <v>2001</v>
      </c>
    </row>
    <row r="96" s="2" customFormat="1" spans="1:6">
      <c r="A96" s="3"/>
      <c r="B96" s="3">
        <v>95</v>
      </c>
      <c r="C96" s="2" t="s">
        <v>3425</v>
      </c>
      <c r="D96" s="3" t="s">
        <v>3426</v>
      </c>
      <c r="E96" s="3">
        <v>3</v>
      </c>
      <c r="F96" s="3" t="s">
        <v>2001</v>
      </c>
    </row>
    <row r="97" s="2" customFormat="1" spans="1:6">
      <c r="A97" s="3"/>
      <c r="B97" s="3">
        <v>96</v>
      </c>
      <c r="C97" s="2" t="s">
        <v>2299</v>
      </c>
      <c r="D97" s="3" t="s">
        <v>2300</v>
      </c>
      <c r="E97" s="3">
        <v>3</v>
      </c>
      <c r="F97" s="3" t="s">
        <v>2001</v>
      </c>
    </row>
    <row r="98" s="2" customFormat="1" spans="1:6">
      <c r="A98" s="3"/>
      <c r="B98" s="3">
        <v>97</v>
      </c>
      <c r="C98" s="2" t="s">
        <v>2301</v>
      </c>
      <c r="D98" s="3" t="s">
        <v>2302</v>
      </c>
      <c r="E98" s="3">
        <v>4</v>
      </c>
      <c r="F98" s="3" t="s">
        <v>2001</v>
      </c>
    </row>
    <row r="99" s="2" customFormat="1" spans="1:6">
      <c r="A99" s="3"/>
      <c r="B99" s="3">
        <v>98</v>
      </c>
      <c r="C99" s="2" t="s">
        <v>2303</v>
      </c>
      <c r="D99" s="3" t="s">
        <v>2304</v>
      </c>
      <c r="E99" s="3">
        <v>4</v>
      </c>
      <c r="F99" s="3" t="s">
        <v>2001</v>
      </c>
    </row>
    <row r="100" s="2" customFormat="1" spans="1:6">
      <c r="A100" s="3"/>
      <c r="B100" s="3">
        <v>99</v>
      </c>
      <c r="C100" s="2" t="s">
        <v>2305</v>
      </c>
      <c r="D100" s="3" t="s">
        <v>2306</v>
      </c>
      <c r="E100" s="3">
        <v>7</v>
      </c>
      <c r="F100" s="3" t="s">
        <v>2001</v>
      </c>
    </row>
    <row r="101" s="2" customFormat="1" spans="1:6">
      <c r="A101" s="3"/>
      <c r="B101" s="3">
        <v>100</v>
      </c>
      <c r="C101" s="2" t="s">
        <v>2311</v>
      </c>
      <c r="D101" s="3" t="s">
        <v>2312</v>
      </c>
      <c r="E101" s="3">
        <v>3</v>
      </c>
      <c r="F101" s="3" t="s">
        <v>2001</v>
      </c>
    </row>
    <row r="102" s="2" customFormat="1" spans="1:6">
      <c r="A102" s="3"/>
      <c r="B102" s="3">
        <v>101</v>
      </c>
      <c r="C102" s="2" t="s">
        <v>2335</v>
      </c>
      <c r="D102" s="3" t="s">
        <v>2336</v>
      </c>
      <c r="E102" s="3">
        <v>10</v>
      </c>
      <c r="F102" s="3" t="s">
        <v>2001</v>
      </c>
    </row>
    <row r="103" s="2" customFormat="1" spans="1:6">
      <c r="A103" s="3"/>
      <c r="B103" s="3">
        <v>102</v>
      </c>
      <c r="C103" s="2" t="s">
        <v>2337</v>
      </c>
      <c r="D103" s="3" t="s">
        <v>2338</v>
      </c>
      <c r="E103" s="3">
        <v>8</v>
      </c>
      <c r="F103" s="3" t="s">
        <v>2001</v>
      </c>
    </row>
    <row r="104" s="2" customFormat="1" spans="1:6">
      <c r="A104" s="3"/>
      <c r="B104" s="3">
        <v>103</v>
      </c>
      <c r="C104" s="2" t="s">
        <v>3427</v>
      </c>
      <c r="D104" s="3" t="s">
        <v>3428</v>
      </c>
      <c r="E104" s="3">
        <v>13</v>
      </c>
      <c r="F104" s="3" t="s">
        <v>2001</v>
      </c>
    </row>
    <row r="105" s="2" customFormat="1" spans="1:6">
      <c r="A105" s="3"/>
      <c r="B105" s="3">
        <v>104</v>
      </c>
      <c r="C105" s="2" t="s">
        <v>2341</v>
      </c>
      <c r="D105" s="3" t="s">
        <v>2342</v>
      </c>
      <c r="E105" s="3">
        <v>7</v>
      </c>
      <c r="F105" s="3" t="s">
        <v>2001</v>
      </c>
    </row>
    <row r="106" s="2" customFormat="1" spans="1:6">
      <c r="A106" s="3"/>
      <c r="B106" s="3">
        <v>105</v>
      </c>
      <c r="C106" s="2" t="s">
        <v>2343</v>
      </c>
      <c r="D106" s="3" t="s">
        <v>2344</v>
      </c>
      <c r="E106" s="3">
        <v>12</v>
      </c>
      <c r="F106" s="3" t="s">
        <v>2001</v>
      </c>
    </row>
    <row r="107" s="2" customFormat="1" spans="1:6">
      <c r="A107" s="3"/>
      <c r="B107" s="3">
        <v>106</v>
      </c>
      <c r="C107" s="2" t="s">
        <v>2345</v>
      </c>
      <c r="D107" s="3" t="s">
        <v>2346</v>
      </c>
      <c r="E107" s="3">
        <v>5</v>
      </c>
      <c r="F107" s="3" t="s">
        <v>2001</v>
      </c>
    </row>
    <row r="108" s="2" customFormat="1" spans="1:6">
      <c r="A108" s="3"/>
      <c r="B108" s="3">
        <v>107</v>
      </c>
      <c r="C108" s="2" t="s">
        <v>3429</v>
      </c>
      <c r="D108" s="3" t="s">
        <v>3430</v>
      </c>
      <c r="E108" s="3">
        <v>3</v>
      </c>
      <c r="F108" s="3" t="s">
        <v>2001</v>
      </c>
    </row>
    <row r="109" s="2" customFormat="1" spans="1:6">
      <c r="A109" s="3"/>
      <c r="B109" s="3">
        <v>108</v>
      </c>
      <c r="C109" s="2" t="s">
        <v>3431</v>
      </c>
      <c r="D109" s="3" t="s">
        <v>3432</v>
      </c>
      <c r="E109" s="3">
        <v>9</v>
      </c>
      <c r="F109" s="3" t="s">
        <v>2001</v>
      </c>
    </row>
    <row r="110" s="2" customFormat="1" spans="1:6">
      <c r="A110" s="3"/>
      <c r="B110" s="3">
        <v>109</v>
      </c>
      <c r="C110" s="2" t="s">
        <v>3433</v>
      </c>
      <c r="D110" s="3" t="s">
        <v>3434</v>
      </c>
      <c r="E110" s="3">
        <v>5</v>
      </c>
      <c r="F110" s="3" t="s">
        <v>2001</v>
      </c>
    </row>
    <row r="111" s="2" customFormat="1" spans="1:6">
      <c r="A111" s="3"/>
      <c r="B111" s="3">
        <v>110</v>
      </c>
      <c r="C111" s="2" t="s">
        <v>3435</v>
      </c>
      <c r="D111" s="3" t="s">
        <v>3436</v>
      </c>
      <c r="E111" s="3">
        <v>5</v>
      </c>
      <c r="F111" s="3" t="s">
        <v>2001</v>
      </c>
    </row>
    <row r="112" s="2" customFormat="1" spans="1:6">
      <c r="A112" s="3"/>
      <c r="B112" s="3">
        <v>111</v>
      </c>
      <c r="C112" s="2" t="s">
        <v>3437</v>
      </c>
      <c r="D112" s="3" t="s">
        <v>3438</v>
      </c>
      <c r="E112" s="3">
        <v>20</v>
      </c>
      <c r="F112" s="3" t="s">
        <v>2001</v>
      </c>
    </row>
    <row r="113" s="2" customFormat="1" spans="1:6">
      <c r="A113" s="3"/>
      <c r="B113" s="3">
        <v>112</v>
      </c>
      <c r="C113" s="2" t="s">
        <v>3439</v>
      </c>
      <c r="D113" s="3" t="s">
        <v>3440</v>
      </c>
      <c r="E113" s="3">
        <v>10</v>
      </c>
      <c r="F113" s="3" t="s">
        <v>2001</v>
      </c>
    </row>
    <row r="114" s="2" customFormat="1" spans="1:6">
      <c r="A114" s="3"/>
      <c r="B114" s="3">
        <v>113</v>
      </c>
      <c r="C114" s="2" t="s">
        <v>3441</v>
      </c>
      <c r="D114" s="3" t="s">
        <v>3442</v>
      </c>
      <c r="E114" s="3">
        <v>9</v>
      </c>
      <c r="F114" s="3" t="s">
        <v>2001</v>
      </c>
    </row>
    <row r="115" s="2" customFormat="1" spans="1:6">
      <c r="A115" s="3"/>
      <c r="B115" s="3">
        <v>114</v>
      </c>
      <c r="C115" s="2" t="s">
        <v>3443</v>
      </c>
      <c r="D115" s="3" t="s">
        <v>3444</v>
      </c>
      <c r="E115" s="3">
        <v>4</v>
      </c>
      <c r="F115" s="3" t="s">
        <v>2001</v>
      </c>
    </row>
    <row r="116" s="2" customFormat="1" spans="1:6">
      <c r="A116" s="3"/>
      <c r="B116" s="3">
        <v>115</v>
      </c>
      <c r="C116" s="2" t="s">
        <v>3445</v>
      </c>
      <c r="D116" s="3" t="s">
        <v>3446</v>
      </c>
      <c r="E116" s="3">
        <v>10</v>
      </c>
      <c r="F116" s="3" t="s">
        <v>2001</v>
      </c>
    </row>
    <row r="117" s="2" customFormat="1" spans="1:6">
      <c r="A117" s="3"/>
      <c r="B117" s="3">
        <v>116</v>
      </c>
      <c r="C117" s="2" t="s">
        <v>3447</v>
      </c>
      <c r="D117" s="3" t="s">
        <v>3448</v>
      </c>
      <c r="E117" s="3">
        <v>10</v>
      </c>
      <c r="F117" s="3" t="s">
        <v>2001</v>
      </c>
    </row>
    <row r="118" s="2" customFormat="1" spans="1:6">
      <c r="A118" s="3"/>
      <c r="B118" s="3">
        <v>117</v>
      </c>
      <c r="C118" s="2" t="s">
        <v>2347</v>
      </c>
      <c r="D118" s="3" t="s">
        <v>2348</v>
      </c>
      <c r="E118" s="3">
        <v>9</v>
      </c>
      <c r="F118" s="3" t="s">
        <v>2001</v>
      </c>
    </row>
    <row r="119" s="2" customFormat="1" spans="1:6">
      <c r="A119" s="3"/>
      <c r="B119" s="3">
        <v>118</v>
      </c>
      <c r="C119" s="2" t="s">
        <v>3449</v>
      </c>
      <c r="D119" s="3" t="s">
        <v>3450</v>
      </c>
      <c r="E119" s="3">
        <v>9</v>
      </c>
      <c r="F119" s="3" t="s">
        <v>2001</v>
      </c>
    </row>
    <row r="120" s="2" customFormat="1" spans="1:6">
      <c r="A120" s="3"/>
      <c r="B120" s="3">
        <v>119</v>
      </c>
      <c r="C120" s="2" t="s">
        <v>2349</v>
      </c>
      <c r="D120" s="3" t="s">
        <v>2350</v>
      </c>
      <c r="E120" s="3">
        <v>7</v>
      </c>
      <c r="F120" s="3" t="s">
        <v>2001</v>
      </c>
    </row>
    <row r="121" s="2" customFormat="1" spans="1:6">
      <c r="A121" s="3"/>
      <c r="B121" s="3">
        <v>120</v>
      </c>
      <c r="C121" s="2" t="s">
        <v>2351</v>
      </c>
      <c r="D121" s="3" t="s">
        <v>2352</v>
      </c>
      <c r="E121" s="3">
        <v>8</v>
      </c>
      <c r="F121" s="3" t="s">
        <v>2001</v>
      </c>
    </row>
    <row r="122" s="2" customFormat="1" spans="1:6">
      <c r="A122" s="3"/>
      <c r="B122" s="3">
        <v>121</v>
      </c>
      <c r="C122" s="2" t="s">
        <v>2355</v>
      </c>
      <c r="D122" s="3" t="s">
        <v>2356</v>
      </c>
      <c r="E122" s="3">
        <v>16</v>
      </c>
      <c r="F122" s="3" t="s">
        <v>2001</v>
      </c>
    </row>
    <row r="123" s="2" customFormat="1" spans="1:6">
      <c r="A123" s="3"/>
      <c r="B123" s="3">
        <v>122</v>
      </c>
      <c r="C123" s="2" t="s">
        <v>2357</v>
      </c>
      <c r="D123" s="3" t="s">
        <v>2358</v>
      </c>
      <c r="E123" s="3">
        <v>27</v>
      </c>
      <c r="F123" s="3" t="s">
        <v>2001</v>
      </c>
    </row>
    <row r="124" s="2" customFormat="1" spans="1:6">
      <c r="A124" s="3"/>
      <c r="B124" s="3">
        <v>123</v>
      </c>
      <c r="C124" s="2" t="s">
        <v>3451</v>
      </c>
      <c r="D124" s="3" t="s">
        <v>3452</v>
      </c>
      <c r="E124" s="3">
        <v>9</v>
      </c>
      <c r="F124" s="3" t="s">
        <v>2001</v>
      </c>
    </row>
    <row r="125" s="2" customFormat="1" spans="1:6">
      <c r="A125" s="3"/>
      <c r="B125" s="3">
        <v>124</v>
      </c>
      <c r="C125" s="2" t="s">
        <v>2359</v>
      </c>
      <c r="D125" s="3" t="s">
        <v>2360</v>
      </c>
      <c r="E125" s="3">
        <v>37</v>
      </c>
      <c r="F125" s="3" t="s">
        <v>2001</v>
      </c>
    </row>
    <row r="126" s="2" customFormat="1" spans="1:6">
      <c r="A126" s="3"/>
      <c r="B126" s="3">
        <v>125</v>
      </c>
      <c r="C126" s="2" t="s">
        <v>2361</v>
      </c>
      <c r="D126" s="3" t="s">
        <v>2362</v>
      </c>
      <c r="E126" s="3">
        <v>18</v>
      </c>
      <c r="F126" s="3" t="s">
        <v>2001</v>
      </c>
    </row>
    <row r="127" s="2" customFormat="1" spans="1:6">
      <c r="A127" s="3"/>
      <c r="B127" s="3">
        <v>126</v>
      </c>
      <c r="C127" s="2" t="s">
        <v>2363</v>
      </c>
      <c r="D127" s="3" t="s">
        <v>2364</v>
      </c>
      <c r="E127" s="3">
        <v>24</v>
      </c>
      <c r="F127" s="3" t="s">
        <v>2001</v>
      </c>
    </row>
    <row r="128" s="2" customFormat="1" spans="1:6">
      <c r="A128" s="3"/>
      <c r="B128" s="3">
        <v>127</v>
      </c>
      <c r="C128" s="2" t="s">
        <v>2365</v>
      </c>
      <c r="D128" s="3" t="s">
        <v>2366</v>
      </c>
      <c r="E128" s="3">
        <v>16</v>
      </c>
      <c r="F128" s="3" t="s">
        <v>2001</v>
      </c>
    </row>
    <row r="129" s="2" customFormat="1" spans="1:6">
      <c r="A129" s="3"/>
      <c r="B129" s="3">
        <v>128</v>
      </c>
      <c r="C129" s="2" t="s">
        <v>2367</v>
      </c>
      <c r="D129" s="3" t="s">
        <v>2368</v>
      </c>
      <c r="E129" s="3">
        <v>34</v>
      </c>
      <c r="F129" s="3" t="s">
        <v>2001</v>
      </c>
    </row>
    <row r="130" s="2" customFormat="1" spans="1:6">
      <c r="A130" s="3"/>
      <c r="B130" s="3">
        <v>129</v>
      </c>
      <c r="C130" s="2" t="s">
        <v>2369</v>
      </c>
      <c r="D130" s="3" t="s">
        <v>2370</v>
      </c>
      <c r="E130" s="3">
        <v>49</v>
      </c>
      <c r="F130" s="3" t="s">
        <v>2001</v>
      </c>
    </row>
    <row r="131" s="2" customFormat="1" spans="1:6">
      <c r="A131" s="3"/>
      <c r="B131" s="3">
        <v>130</v>
      </c>
      <c r="C131" s="2" t="s">
        <v>2371</v>
      </c>
      <c r="D131" s="3" t="s">
        <v>2372</v>
      </c>
      <c r="E131" s="3">
        <v>4</v>
      </c>
      <c r="F131" s="3" t="s">
        <v>2001</v>
      </c>
    </row>
    <row r="132" s="2" customFormat="1" spans="1:6">
      <c r="A132" s="3"/>
      <c r="B132" s="3">
        <v>131</v>
      </c>
      <c r="C132" s="2" t="s">
        <v>2373</v>
      </c>
      <c r="D132" s="3" t="s">
        <v>2374</v>
      </c>
      <c r="E132" s="3">
        <v>20</v>
      </c>
      <c r="F132" s="3" t="s">
        <v>2001</v>
      </c>
    </row>
    <row r="133" s="2" customFormat="1" spans="1:6">
      <c r="A133" s="3"/>
      <c r="B133" s="3">
        <v>132</v>
      </c>
      <c r="C133" s="2" t="s">
        <v>2377</v>
      </c>
      <c r="D133" s="3" t="s">
        <v>2378</v>
      </c>
      <c r="E133" s="3">
        <v>3</v>
      </c>
      <c r="F133" s="3" t="s">
        <v>2001</v>
      </c>
    </row>
    <row r="134" s="2" customFormat="1" spans="1:6">
      <c r="A134" s="3"/>
      <c r="B134" s="3">
        <v>133</v>
      </c>
      <c r="C134" s="2" t="s">
        <v>2379</v>
      </c>
      <c r="D134" s="3" t="s">
        <v>2380</v>
      </c>
      <c r="E134" s="3">
        <v>10</v>
      </c>
      <c r="F134" s="3" t="s">
        <v>2001</v>
      </c>
    </row>
    <row r="135" s="2" customFormat="1" spans="1:6">
      <c r="A135" s="3"/>
      <c r="B135" s="3">
        <v>134</v>
      </c>
      <c r="C135" s="2" t="s">
        <v>2385</v>
      </c>
      <c r="D135" s="3" t="s">
        <v>2386</v>
      </c>
      <c r="E135" s="3">
        <v>5</v>
      </c>
      <c r="F135" s="3" t="s">
        <v>2001</v>
      </c>
    </row>
    <row r="136" s="2" customFormat="1" spans="1:6">
      <c r="A136" s="3"/>
      <c r="B136" s="3">
        <v>135</v>
      </c>
      <c r="C136" s="2" t="s">
        <v>3453</v>
      </c>
      <c r="D136" s="3" t="s">
        <v>3454</v>
      </c>
      <c r="E136" s="3">
        <v>10</v>
      </c>
      <c r="F136" s="3" t="s">
        <v>2001</v>
      </c>
    </row>
    <row r="137" s="2" customFormat="1" spans="1:6">
      <c r="A137" s="3"/>
      <c r="B137" s="3">
        <v>136</v>
      </c>
      <c r="C137" s="2" t="s">
        <v>2387</v>
      </c>
      <c r="D137" s="3" t="s">
        <v>2388</v>
      </c>
      <c r="E137" s="3">
        <v>2</v>
      </c>
      <c r="F137" s="3" t="s">
        <v>2001</v>
      </c>
    </row>
    <row r="138" s="2" customFormat="1" spans="1:6">
      <c r="A138" s="3"/>
      <c r="B138" s="3">
        <v>137</v>
      </c>
      <c r="C138" s="2" t="s">
        <v>2391</v>
      </c>
      <c r="D138" s="3" t="s">
        <v>2392</v>
      </c>
      <c r="E138" s="3">
        <v>19</v>
      </c>
      <c r="F138" s="3" t="s">
        <v>2001</v>
      </c>
    </row>
    <row r="139" s="2" customFormat="1" spans="1:6">
      <c r="A139" s="3"/>
      <c r="B139" s="3">
        <v>138</v>
      </c>
      <c r="C139" s="2" t="s">
        <v>2393</v>
      </c>
      <c r="D139" s="3" t="s">
        <v>2394</v>
      </c>
      <c r="E139" s="3">
        <v>18</v>
      </c>
      <c r="F139" s="3" t="s">
        <v>2001</v>
      </c>
    </row>
    <row r="140" s="2" customFormat="1" spans="1:6">
      <c r="A140" s="3"/>
      <c r="B140" s="3">
        <v>139</v>
      </c>
      <c r="C140" s="2" t="s">
        <v>2405</v>
      </c>
      <c r="D140" s="3" t="s">
        <v>2406</v>
      </c>
      <c r="E140" s="3">
        <v>10</v>
      </c>
      <c r="F140" s="3" t="s">
        <v>2001</v>
      </c>
    </row>
    <row r="141" s="2" customFormat="1" spans="1:6">
      <c r="A141" s="3"/>
      <c r="B141" s="3">
        <v>140</v>
      </c>
      <c r="C141" s="2" t="s">
        <v>2407</v>
      </c>
      <c r="D141" s="3" t="s">
        <v>2408</v>
      </c>
      <c r="E141" s="3">
        <v>10</v>
      </c>
      <c r="F141" s="3" t="s">
        <v>2001</v>
      </c>
    </row>
    <row r="142" s="2" customFormat="1" spans="1:6">
      <c r="A142" s="3"/>
      <c r="B142" s="3">
        <v>141</v>
      </c>
      <c r="C142" s="2" t="s">
        <v>3455</v>
      </c>
      <c r="D142" s="3" t="s">
        <v>3456</v>
      </c>
      <c r="E142" s="3">
        <v>5</v>
      </c>
      <c r="F142" s="3" t="s">
        <v>2001</v>
      </c>
    </row>
    <row r="143" s="2" customFormat="1" spans="1:6">
      <c r="A143" s="3"/>
      <c r="B143" s="3">
        <v>142</v>
      </c>
      <c r="C143" s="2" t="s">
        <v>3457</v>
      </c>
      <c r="D143" s="3" t="s">
        <v>3458</v>
      </c>
      <c r="E143" s="3">
        <v>130</v>
      </c>
      <c r="F143" s="3" t="s">
        <v>2001</v>
      </c>
    </row>
    <row r="144" s="2" customFormat="1" spans="1:6">
      <c r="A144" s="3"/>
      <c r="B144" s="3">
        <v>143</v>
      </c>
      <c r="C144" s="2" t="s">
        <v>2409</v>
      </c>
      <c r="D144" s="3" t="s">
        <v>2410</v>
      </c>
      <c r="E144" s="3">
        <v>38</v>
      </c>
      <c r="F144" s="3" t="s">
        <v>2001</v>
      </c>
    </row>
    <row r="145" s="2" customFormat="1" spans="1:6">
      <c r="A145" s="3"/>
      <c r="B145" s="3">
        <v>144</v>
      </c>
      <c r="C145" s="2" t="s">
        <v>3459</v>
      </c>
      <c r="D145" s="3" t="s">
        <v>3460</v>
      </c>
      <c r="E145" s="3">
        <v>6</v>
      </c>
      <c r="F145" s="3" t="s">
        <v>2001</v>
      </c>
    </row>
    <row r="146" s="2" customFormat="1" spans="1:6">
      <c r="A146" s="3"/>
      <c r="B146" s="3">
        <v>145</v>
      </c>
      <c r="C146" s="2" t="s">
        <v>2419</v>
      </c>
      <c r="D146" s="3" t="s">
        <v>2420</v>
      </c>
      <c r="E146" s="3">
        <v>12</v>
      </c>
      <c r="F146" s="3" t="s">
        <v>2001</v>
      </c>
    </row>
    <row r="147" s="2" customFormat="1" spans="1:6">
      <c r="A147" s="3"/>
      <c r="B147" s="3">
        <v>146</v>
      </c>
      <c r="C147" s="2" t="s">
        <v>3461</v>
      </c>
      <c r="D147" s="3" t="s">
        <v>3462</v>
      </c>
      <c r="E147" s="3">
        <v>20</v>
      </c>
      <c r="F147" s="3" t="s">
        <v>2001</v>
      </c>
    </row>
    <row r="148" s="2" customFormat="1" spans="1:6">
      <c r="A148" s="3"/>
      <c r="B148" s="3">
        <v>147</v>
      </c>
      <c r="C148" s="2" t="s">
        <v>2421</v>
      </c>
      <c r="D148" s="3" t="s">
        <v>2422</v>
      </c>
      <c r="E148" s="3">
        <v>38</v>
      </c>
      <c r="F148" s="3" t="s">
        <v>2001</v>
      </c>
    </row>
    <row r="149" s="2" customFormat="1" spans="1:6">
      <c r="A149" s="3"/>
      <c r="B149" s="3">
        <v>148</v>
      </c>
      <c r="C149" s="2" t="s">
        <v>2423</v>
      </c>
      <c r="D149" s="3" t="s">
        <v>2424</v>
      </c>
      <c r="E149" s="3">
        <v>6</v>
      </c>
      <c r="F149" s="3" t="s">
        <v>2001</v>
      </c>
    </row>
    <row r="150" s="2" customFormat="1" spans="1:6">
      <c r="A150" s="3"/>
      <c r="B150" s="3">
        <v>149</v>
      </c>
      <c r="C150" s="2" t="s">
        <v>2425</v>
      </c>
      <c r="D150" s="3" t="s">
        <v>2426</v>
      </c>
      <c r="E150" s="3">
        <v>30</v>
      </c>
      <c r="F150" s="3" t="s">
        <v>2001</v>
      </c>
    </row>
    <row r="151" s="2" customFormat="1" spans="1:6">
      <c r="A151" s="3"/>
      <c r="B151" s="3">
        <v>150</v>
      </c>
      <c r="C151" s="2" t="s">
        <v>3463</v>
      </c>
      <c r="D151" s="3" t="s">
        <v>3464</v>
      </c>
      <c r="E151" s="3">
        <v>11</v>
      </c>
      <c r="F151" s="3" t="s">
        <v>2001</v>
      </c>
    </row>
    <row r="152" s="2" customFormat="1" spans="1:6">
      <c r="A152" s="3"/>
      <c r="B152" s="3">
        <v>151</v>
      </c>
      <c r="C152" s="2" t="s">
        <v>3465</v>
      </c>
      <c r="D152" s="3" t="s">
        <v>3466</v>
      </c>
      <c r="E152" s="3">
        <v>32</v>
      </c>
      <c r="F152" s="3" t="s">
        <v>2001</v>
      </c>
    </row>
    <row r="153" s="2" customFormat="1" spans="1:6">
      <c r="A153" s="3"/>
      <c r="B153" s="3">
        <v>152</v>
      </c>
      <c r="C153" s="2" t="s">
        <v>2427</v>
      </c>
      <c r="D153" s="3" t="s">
        <v>2428</v>
      </c>
      <c r="E153" s="3">
        <v>145</v>
      </c>
      <c r="F153" s="3" t="s">
        <v>2001</v>
      </c>
    </row>
    <row r="154" s="2" customFormat="1" spans="1:6">
      <c r="A154" s="3"/>
      <c r="B154" s="3">
        <v>153</v>
      </c>
      <c r="C154" s="2" t="s">
        <v>2433</v>
      </c>
      <c r="D154" s="3" t="s">
        <v>2434</v>
      </c>
      <c r="E154" s="3">
        <v>20</v>
      </c>
      <c r="F154" s="3" t="s">
        <v>2001</v>
      </c>
    </row>
    <row r="155" s="2" customFormat="1" spans="1:6">
      <c r="A155" s="3"/>
      <c r="B155" s="3">
        <v>154</v>
      </c>
      <c r="C155" s="2" t="s">
        <v>2439</v>
      </c>
      <c r="D155" s="3" t="s">
        <v>2440</v>
      </c>
      <c r="E155" s="3">
        <v>3</v>
      </c>
      <c r="F155" s="3" t="s">
        <v>2001</v>
      </c>
    </row>
    <row r="156" s="2" customFormat="1" spans="1:6">
      <c r="A156" s="3"/>
      <c r="B156" s="3">
        <v>155</v>
      </c>
      <c r="C156" s="2" t="s">
        <v>2441</v>
      </c>
      <c r="D156" s="3" t="s">
        <v>2442</v>
      </c>
      <c r="E156" s="3">
        <v>2</v>
      </c>
      <c r="F156" s="3" t="s">
        <v>2001</v>
      </c>
    </row>
    <row r="157" s="2" customFormat="1" spans="1:6">
      <c r="A157" s="3"/>
      <c r="B157" s="3">
        <v>156</v>
      </c>
      <c r="C157" s="2" t="s">
        <v>2443</v>
      </c>
      <c r="D157" s="3" t="s">
        <v>2444</v>
      </c>
      <c r="E157" s="3">
        <v>5</v>
      </c>
      <c r="F157" s="3" t="s">
        <v>2001</v>
      </c>
    </row>
    <row r="158" s="2" customFormat="1" spans="1:6">
      <c r="A158" s="3"/>
      <c r="B158" s="3">
        <v>157</v>
      </c>
      <c r="C158" s="2" t="s">
        <v>2445</v>
      </c>
      <c r="D158" s="3" t="s">
        <v>2446</v>
      </c>
      <c r="E158" s="3">
        <v>3</v>
      </c>
      <c r="F158" s="3" t="s">
        <v>2001</v>
      </c>
    </row>
    <row r="159" s="2" customFormat="1" spans="1:6">
      <c r="A159" s="3"/>
      <c r="B159" s="3">
        <v>158</v>
      </c>
      <c r="C159" s="2" t="s">
        <v>2449</v>
      </c>
      <c r="D159" s="3" t="s">
        <v>2450</v>
      </c>
      <c r="E159" s="3">
        <v>23</v>
      </c>
      <c r="F159" s="3" t="s">
        <v>2001</v>
      </c>
    </row>
    <row r="160" s="2" customFormat="1" spans="1:6">
      <c r="A160" s="3"/>
      <c r="B160" s="3">
        <v>159</v>
      </c>
      <c r="C160" s="2" t="s">
        <v>2451</v>
      </c>
      <c r="D160" s="3" t="s">
        <v>2452</v>
      </c>
      <c r="E160" s="3">
        <v>2</v>
      </c>
      <c r="F160" s="3" t="s">
        <v>2001</v>
      </c>
    </row>
    <row r="161" s="2" customFormat="1" spans="1:6">
      <c r="A161" s="3"/>
      <c r="B161" s="3">
        <v>160</v>
      </c>
      <c r="C161" s="2" t="s">
        <v>2453</v>
      </c>
      <c r="D161" s="3" t="s">
        <v>2454</v>
      </c>
      <c r="E161" s="3">
        <v>3</v>
      </c>
      <c r="F161" s="3" t="s">
        <v>2001</v>
      </c>
    </row>
    <row r="162" s="2" customFormat="1" spans="1:6">
      <c r="A162" s="3"/>
      <c r="B162" s="3">
        <v>161</v>
      </c>
      <c r="C162" s="2" t="s">
        <v>2457</v>
      </c>
      <c r="D162" s="3" t="s">
        <v>2458</v>
      </c>
      <c r="E162" s="3">
        <v>3</v>
      </c>
      <c r="F162" s="3" t="s">
        <v>2001</v>
      </c>
    </row>
    <row r="163" s="2" customFormat="1" spans="1:6">
      <c r="A163" s="3"/>
      <c r="B163" s="3">
        <v>162</v>
      </c>
      <c r="C163" s="2" t="s">
        <v>2459</v>
      </c>
      <c r="D163" s="3" t="s">
        <v>2460</v>
      </c>
      <c r="E163" s="3">
        <v>3</v>
      </c>
      <c r="F163" s="3" t="s">
        <v>2001</v>
      </c>
    </row>
    <row r="164" s="2" customFormat="1" spans="1:6">
      <c r="A164" s="3"/>
      <c r="B164" s="3">
        <v>163</v>
      </c>
      <c r="C164" s="2" t="s">
        <v>2463</v>
      </c>
      <c r="D164" s="3" t="s">
        <v>2464</v>
      </c>
      <c r="E164" s="3">
        <v>2</v>
      </c>
      <c r="F164" s="3" t="s">
        <v>2001</v>
      </c>
    </row>
    <row r="165" s="2" customFormat="1" spans="1:6">
      <c r="A165" s="3"/>
      <c r="B165" s="3">
        <v>164</v>
      </c>
      <c r="C165" s="2" t="s">
        <v>3467</v>
      </c>
      <c r="D165" s="3" t="s">
        <v>3468</v>
      </c>
      <c r="E165" s="3">
        <v>2</v>
      </c>
      <c r="F165" s="3" t="s">
        <v>2001</v>
      </c>
    </row>
    <row r="166" s="2" customFormat="1" spans="1:6">
      <c r="A166" s="3"/>
      <c r="B166" s="3">
        <v>165</v>
      </c>
      <c r="C166" s="2" t="s">
        <v>2465</v>
      </c>
      <c r="D166" s="3" t="s">
        <v>2466</v>
      </c>
      <c r="E166" s="3">
        <v>4</v>
      </c>
      <c r="F166" s="3" t="s">
        <v>2001</v>
      </c>
    </row>
    <row r="167" s="2" customFormat="1" spans="1:6">
      <c r="A167" s="3"/>
      <c r="B167" s="3">
        <v>166</v>
      </c>
      <c r="C167" s="2" t="s">
        <v>3469</v>
      </c>
      <c r="D167" s="3" t="s">
        <v>3470</v>
      </c>
      <c r="E167" s="3">
        <v>1</v>
      </c>
      <c r="F167" s="3" t="s">
        <v>2001</v>
      </c>
    </row>
    <row r="168" s="2" customFormat="1" spans="1:6">
      <c r="A168" s="3"/>
      <c r="B168" s="3">
        <v>167</v>
      </c>
      <c r="C168" s="2" t="s">
        <v>2473</v>
      </c>
      <c r="D168" s="3" t="s">
        <v>2474</v>
      </c>
      <c r="E168" s="3">
        <v>9</v>
      </c>
      <c r="F168" s="3" t="s">
        <v>2001</v>
      </c>
    </row>
    <row r="169" s="2" customFormat="1" spans="1:6">
      <c r="A169" s="3"/>
      <c r="B169" s="3">
        <v>168</v>
      </c>
      <c r="C169" s="2" t="s">
        <v>2475</v>
      </c>
      <c r="D169" s="3" t="s">
        <v>2476</v>
      </c>
      <c r="E169" s="3">
        <v>12</v>
      </c>
      <c r="F169" s="3" t="s">
        <v>2001</v>
      </c>
    </row>
    <row r="170" s="2" customFormat="1" spans="1:6">
      <c r="A170" s="3"/>
      <c r="B170" s="3">
        <v>169</v>
      </c>
      <c r="C170" s="2" t="s">
        <v>2477</v>
      </c>
      <c r="D170" s="3" t="s">
        <v>2478</v>
      </c>
      <c r="E170" s="3">
        <v>12</v>
      </c>
      <c r="F170" s="3" t="s">
        <v>2001</v>
      </c>
    </row>
    <row r="171" s="2" customFormat="1" spans="1:6">
      <c r="A171" s="3"/>
      <c r="B171" s="3">
        <v>170</v>
      </c>
      <c r="C171" s="2" t="s">
        <v>2479</v>
      </c>
      <c r="D171" s="3" t="s">
        <v>2480</v>
      </c>
      <c r="E171" s="3">
        <v>9</v>
      </c>
      <c r="F171" s="3" t="s">
        <v>2001</v>
      </c>
    </row>
    <row r="172" s="2" customFormat="1" spans="1:6">
      <c r="A172" s="3"/>
      <c r="B172" s="3">
        <v>171</v>
      </c>
      <c r="C172" s="2" t="s">
        <v>2481</v>
      </c>
      <c r="D172" s="3" t="s">
        <v>2482</v>
      </c>
      <c r="E172" s="3">
        <v>14</v>
      </c>
      <c r="F172" s="3" t="s">
        <v>2001</v>
      </c>
    </row>
    <row r="173" s="2" customFormat="1" spans="1:6">
      <c r="A173" s="3"/>
      <c r="B173" s="3">
        <v>172</v>
      </c>
      <c r="C173" s="2" t="s">
        <v>2483</v>
      </c>
      <c r="D173" s="3" t="s">
        <v>2484</v>
      </c>
      <c r="E173" s="3">
        <v>9</v>
      </c>
      <c r="F173" s="3" t="s">
        <v>2001</v>
      </c>
    </row>
    <row r="174" s="2" customFormat="1" spans="1:6">
      <c r="A174" s="3"/>
      <c r="B174" s="3">
        <v>173</v>
      </c>
      <c r="C174" s="2" t="s">
        <v>2485</v>
      </c>
      <c r="D174" s="3" t="s">
        <v>2486</v>
      </c>
      <c r="E174" s="3">
        <v>10</v>
      </c>
      <c r="F174" s="3" t="s">
        <v>2001</v>
      </c>
    </row>
    <row r="175" s="2" customFormat="1" spans="1:6">
      <c r="A175" s="3"/>
      <c r="B175" s="3">
        <v>174</v>
      </c>
      <c r="C175" s="2" t="s">
        <v>2487</v>
      </c>
      <c r="D175" s="3" t="s">
        <v>2488</v>
      </c>
      <c r="E175" s="3">
        <v>13</v>
      </c>
      <c r="F175" s="3" t="s">
        <v>2001</v>
      </c>
    </row>
    <row r="176" s="2" customFormat="1" spans="1:6">
      <c r="A176" s="3"/>
      <c r="B176" s="3">
        <v>175</v>
      </c>
      <c r="C176" s="2" t="s">
        <v>2489</v>
      </c>
      <c r="D176" s="3" t="s">
        <v>2490</v>
      </c>
      <c r="E176" s="3">
        <v>10</v>
      </c>
      <c r="F176" s="3" t="s">
        <v>2001</v>
      </c>
    </row>
    <row r="177" s="2" customFormat="1" spans="1:6">
      <c r="A177" s="3"/>
      <c r="B177" s="3">
        <v>176</v>
      </c>
      <c r="C177" s="2" t="s">
        <v>2491</v>
      </c>
      <c r="D177" s="3" t="s">
        <v>2492</v>
      </c>
      <c r="E177" s="3">
        <v>12</v>
      </c>
      <c r="F177" s="3" t="s">
        <v>2001</v>
      </c>
    </row>
    <row r="178" s="2" customFormat="1" spans="1:6">
      <c r="A178" s="3"/>
      <c r="B178" s="3">
        <v>177</v>
      </c>
      <c r="C178" s="2" t="s">
        <v>2493</v>
      </c>
      <c r="D178" s="3" t="s">
        <v>2494</v>
      </c>
      <c r="E178" s="3">
        <v>4</v>
      </c>
      <c r="F178" s="3" t="s">
        <v>2001</v>
      </c>
    </row>
    <row r="179" s="2" customFormat="1" spans="1:6">
      <c r="A179" s="3"/>
      <c r="B179" s="3">
        <v>178</v>
      </c>
      <c r="C179" s="2" t="s">
        <v>2495</v>
      </c>
      <c r="D179" s="3" t="s">
        <v>2496</v>
      </c>
      <c r="E179" s="3">
        <v>5</v>
      </c>
      <c r="F179" s="3" t="s">
        <v>2001</v>
      </c>
    </row>
    <row r="180" s="2" customFormat="1" spans="1:6">
      <c r="A180" s="3"/>
      <c r="B180" s="3">
        <v>179</v>
      </c>
      <c r="C180" s="2" t="s">
        <v>2497</v>
      </c>
      <c r="D180" s="3" t="s">
        <v>2498</v>
      </c>
      <c r="E180" s="3">
        <v>3</v>
      </c>
      <c r="F180" s="3" t="s">
        <v>2001</v>
      </c>
    </row>
    <row r="181" s="2" customFormat="1" spans="1:6">
      <c r="A181" s="3"/>
      <c r="B181" s="3">
        <v>180</v>
      </c>
      <c r="C181" s="2" t="s">
        <v>2499</v>
      </c>
      <c r="D181" s="3" t="s">
        <v>2500</v>
      </c>
      <c r="E181" s="3">
        <v>6</v>
      </c>
      <c r="F181" s="3" t="s">
        <v>2001</v>
      </c>
    </row>
    <row r="182" s="2" customFormat="1" spans="1:6">
      <c r="A182" s="3"/>
      <c r="B182" s="3">
        <v>181</v>
      </c>
      <c r="C182" s="2" t="s">
        <v>2501</v>
      </c>
      <c r="D182" s="3" t="s">
        <v>2502</v>
      </c>
      <c r="E182" s="3">
        <v>5</v>
      </c>
      <c r="F182" s="3" t="s">
        <v>2001</v>
      </c>
    </row>
    <row r="183" s="2" customFormat="1" spans="1:6">
      <c r="A183" s="3"/>
      <c r="B183" s="3">
        <v>182</v>
      </c>
      <c r="C183" s="2" t="s">
        <v>2503</v>
      </c>
      <c r="D183" s="3" t="s">
        <v>2504</v>
      </c>
      <c r="E183" s="3">
        <v>7</v>
      </c>
      <c r="F183" s="3" t="s">
        <v>2001</v>
      </c>
    </row>
    <row r="184" s="2" customFormat="1" spans="1:6">
      <c r="A184" s="3"/>
      <c r="B184" s="3">
        <v>183</v>
      </c>
      <c r="C184" s="2" t="s">
        <v>2505</v>
      </c>
      <c r="D184" s="3" t="s">
        <v>2506</v>
      </c>
      <c r="E184" s="3">
        <v>2</v>
      </c>
      <c r="F184" s="3" t="s">
        <v>2001</v>
      </c>
    </row>
    <row r="185" s="2" customFormat="1" spans="1:6">
      <c r="A185" s="3"/>
      <c r="B185" s="3">
        <v>184</v>
      </c>
      <c r="C185" s="2" t="s">
        <v>3471</v>
      </c>
      <c r="D185" s="3" t="s">
        <v>3472</v>
      </c>
      <c r="E185" s="3">
        <v>4</v>
      </c>
      <c r="F185" s="3" t="s">
        <v>2001</v>
      </c>
    </row>
    <row r="186" s="2" customFormat="1" spans="1:6">
      <c r="A186" s="3"/>
      <c r="B186" s="3">
        <v>185</v>
      </c>
      <c r="C186" s="2" t="s">
        <v>3473</v>
      </c>
      <c r="D186" s="3" t="s">
        <v>3474</v>
      </c>
      <c r="E186" s="3">
        <v>4</v>
      </c>
      <c r="F186" s="3" t="s">
        <v>2001</v>
      </c>
    </row>
    <row r="187" s="2" customFormat="1" spans="1:6">
      <c r="A187" s="3"/>
      <c r="B187" s="3">
        <v>186</v>
      </c>
      <c r="C187" s="2" t="s">
        <v>2507</v>
      </c>
      <c r="D187" s="3" t="s">
        <v>2508</v>
      </c>
      <c r="E187" s="3">
        <v>4</v>
      </c>
      <c r="F187" s="3" t="s">
        <v>2001</v>
      </c>
    </row>
    <row r="188" s="2" customFormat="1" spans="1:6">
      <c r="A188" s="3"/>
      <c r="B188" s="3">
        <v>187</v>
      </c>
      <c r="C188" s="2" t="s">
        <v>2511</v>
      </c>
      <c r="D188" s="3" t="s">
        <v>2512</v>
      </c>
      <c r="E188" s="3">
        <v>4</v>
      </c>
      <c r="F188" s="3" t="s">
        <v>2001</v>
      </c>
    </row>
    <row r="189" s="2" customFormat="1" spans="1:6">
      <c r="A189" s="3"/>
      <c r="B189" s="3">
        <v>188</v>
      </c>
      <c r="C189" s="2" t="s">
        <v>2513</v>
      </c>
      <c r="D189" s="3" t="s">
        <v>2514</v>
      </c>
      <c r="E189" s="3">
        <v>4</v>
      </c>
      <c r="F189" s="3" t="s">
        <v>2001</v>
      </c>
    </row>
    <row r="190" s="2" customFormat="1" spans="1:6">
      <c r="A190" s="3"/>
      <c r="B190" s="3">
        <v>189</v>
      </c>
      <c r="C190" s="2" t="s">
        <v>2515</v>
      </c>
      <c r="D190" s="3" t="s">
        <v>2516</v>
      </c>
      <c r="E190" s="3">
        <v>4</v>
      </c>
      <c r="F190" s="3" t="s">
        <v>2001</v>
      </c>
    </row>
    <row r="191" s="2" customFormat="1" spans="1:6">
      <c r="A191" s="3"/>
      <c r="B191" s="3">
        <v>190</v>
      </c>
      <c r="C191" s="2" t="s">
        <v>2519</v>
      </c>
      <c r="D191" s="3" t="s">
        <v>2520</v>
      </c>
      <c r="E191" s="3">
        <v>8</v>
      </c>
      <c r="F191" s="3" t="s">
        <v>2001</v>
      </c>
    </row>
    <row r="192" s="2" customFormat="1" spans="1:6">
      <c r="A192" s="3"/>
      <c r="B192" s="3">
        <v>191</v>
      </c>
      <c r="C192" s="2" t="s">
        <v>2521</v>
      </c>
      <c r="D192" s="3" t="s">
        <v>2522</v>
      </c>
      <c r="E192" s="3">
        <v>4</v>
      </c>
      <c r="F192" s="3" t="s">
        <v>2001</v>
      </c>
    </row>
    <row r="193" s="2" customFormat="1" spans="1:6">
      <c r="A193" s="3"/>
      <c r="B193" s="3">
        <v>192</v>
      </c>
      <c r="C193" s="2" t="s">
        <v>2525</v>
      </c>
      <c r="D193" s="3" t="s">
        <v>2526</v>
      </c>
      <c r="E193" s="3">
        <v>4</v>
      </c>
      <c r="F193" s="3" t="s">
        <v>2001</v>
      </c>
    </row>
    <row r="194" s="2" customFormat="1" spans="1:6">
      <c r="A194" s="3"/>
      <c r="B194" s="3">
        <v>193</v>
      </c>
      <c r="C194" s="2" t="s">
        <v>2527</v>
      </c>
      <c r="D194" s="3" t="s">
        <v>2528</v>
      </c>
      <c r="E194" s="3">
        <v>8</v>
      </c>
      <c r="F194" s="3" t="s">
        <v>2001</v>
      </c>
    </row>
    <row r="195" s="2" customFormat="1" spans="1:6">
      <c r="A195" s="3"/>
      <c r="B195" s="3">
        <v>194</v>
      </c>
      <c r="C195" s="2" t="s">
        <v>2529</v>
      </c>
      <c r="D195" s="3" t="s">
        <v>2530</v>
      </c>
      <c r="E195" s="3">
        <v>4</v>
      </c>
      <c r="F195" s="3" t="s">
        <v>2001</v>
      </c>
    </row>
    <row r="196" s="2" customFormat="1" spans="1:6">
      <c r="A196" s="3"/>
      <c r="B196" s="3">
        <v>195</v>
      </c>
      <c r="C196" s="2" t="s">
        <v>2531</v>
      </c>
      <c r="D196" s="3" t="s">
        <v>2532</v>
      </c>
      <c r="E196" s="3">
        <v>2</v>
      </c>
      <c r="F196" s="3" t="s">
        <v>2001</v>
      </c>
    </row>
    <row r="197" s="2" customFormat="1" spans="1:6">
      <c r="A197" s="3"/>
      <c r="B197" s="3">
        <v>196</v>
      </c>
      <c r="C197" s="2" t="s">
        <v>2533</v>
      </c>
      <c r="D197" s="3" t="s">
        <v>2534</v>
      </c>
      <c r="E197" s="3">
        <v>8</v>
      </c>
      <c r="F197" s="3" t="s">
        <v>2001</v>
      </c>
    </row>
    <row r="198" s="2" customFormat="1" spans="1:6">
      <c r="A198" s="3"/>
      <c r="B198" s="3">
        <v>197</v>
      </c>
      <c r="C198" s="2" t="s">
        <v>2535</v>
      </c>
      <c r="D198" s="3" t="s">
        <v>2536</v>
      </c>
      <c r="E198" s="3">
        <v>4</v>
      </c>
      <c r="F198" s="3" t="s">
        <v>2001</v>
      </c>
    </row>
    <row r="199" s="2" customFormat="1" spans="1:6">
      <c r="A199" s="3"/>
      <c r="B199" s="3">
        <v>198</v>
      </c>
      <c r="C199" s="2" t="s">
        <v>2537</v>
      </c>
      <c r="D199" s="3" t="s">
        <v>2538</v>
      </c>
      <c r="E199" s="3">
        <v>8</v>
      </c>
      <c r="F199" s="3" t="s">
        <v>2001</v>
      </c>
    </row>
    <row r="200" s="2" customFormat="1" spans="1:6">
      <c r="A200" s="3"/>
      <c r="B200" s="3">
        <v>199</v>
      </c>
      <c r="C200" s="2" t="s">
        <v>3475</v>
      </c>
      <c r="D200" s="3" t="s">
        <v>3476</v>
      </c>
      <c r="E200" s="3">
        <v>4</v>
      </c>
      <c r="F200" s="3" t="s">
        <v>2001</v>
      </c>
    </row>
    <row r="201" s="2" customFormat="1" spans="1:6">
      <c r="A201" s="3"/>
      <c r="B201" s="3">
        <v>200</v>
      </c>
      <c r="C201" s="2" t="s">
        <v>2539</v>
      </c>
      <c r="D201" s="3" t="s">
        <v>2540</v>
      </c>
      <c r="E201" s="3">
        <v>4</v>
      </c>
      <c r="F201" s="3" t="s">
        <v>2001</v>
      </c>
    </row>
    <row r="202" s="2" customFormat="1" spans="1:6">
      <c r="A202" s="3"/>
      <c r="B202" s="3">
        <v>201</v>
      </c>
      <c r="C202" s="2" t="s">
        <v>2541</v>
      </c>
      <c r="D202" s="3" t="s">
        <v>2542</v>
      </c>
      <c r="E202" s="3">
        <v>8</v>
      </c>
      <c r="F202" s="3" t="s">
        <v>2001</v>
      </c>
    </row>
    <row r="203" s="2" customFormat="1" spans="1:6">
      <c r="A203" s="3"/>
      <c r="B203" s="3">
        <v>202</v>
      </c>
      <c r="C203" s="2" t="s">
        <v>2543</v>
      </c>
      <c r="D203" s="3" t="s">
        <v>2544</v>
      </c>
      <c r="E203" s="3">
        <v>2</v>
      </c>
      <c r="F203" s="3" t="s">
        <v>2001</v>
      </c>
    </row>
    <row r="204" s="2" customFormat="1" spans="1:6">
      <c r="A204" s="3"/>
      <c r="B204" s="3">
        <v>203</v>
      </c>
      <c r="C204" s="2" t="s">
        <v>2545</v>
      </c>
      <c r="D204" s="3" t="s">
        <v>2546</v>
      </c>
      <c r="E204" s="3">
        <v>2</v>
      </c>
      <c r="F204" s="3" t="s">
        <v>2001</v>
      </c>
    </row>
    <row r="205" s="2" customFormat="1" spans="1:6">
      <c r="A205" s="3"/>
      <c r="B205" s="3">
        <v>204</v>
      </c>
      <c r="C205" s="2" t="s">
        <v>2547</v>
      </c>
      <c r="D205" s="3" t="s">
        <v>2548</v>
      </c>
      <c r="E205" s="3">
        <v>6</v>
      </c>
      <c r="F205" s="3" t="s">
        <v>2001</v>
      </c>
    </row>
    <row r="206" s="2" customFormat="1" spans="1:6">
      <c r="A206" s="3"/>
      <c r="B206" s="3">
        <v>205</v>
      </c>
      <c r="C206" s="2" t="s">
        <v>2549</v>
      </c>
      <c r="D206" s="3" t="s">
        <v>2550</v>
      </c>
      <c r="E206" s="3">
        <v>4</v>
      </c>
      <c r="F206" s="3" t="s">
        <v>2001</v>
      </c>
    </row>
    <row r="207" s="2" customFormat="1" spans="1:6">
      <c r="A207" s="3"/>
      <c r="B207" s="3">
        <v>206</v>
      </c>
      <c r="C207" s="2" t="s">
        <v>2551</v>
      </c>
      <c r="D207" s="3" t="s">
        <v>2552</v>
      </c>
      <c r="E207" s="3">
        <v>4</v>
      </c>
      <c r="F207" s="3" t="s">
        <v>2001</v>
      </c>
    </row>
    <row r="208" s="2" customFormat="1" spans="1:6">
      <c r="A208" s="3"/>
      <c r="B208" s="3">
        <v>207</v>
      </c>
      <c r="C208" s="2" t="s">
        <v>2553</v>
      </c>
      <c r="D208" s="3" t="s">
        <v>2554</v>
      </c>
      <c r="E208" s="3">
        <v>4</v>
      </c>
      <c r="F208" s="3" t="s">
        <v>2001</v>
      </c>
    </row>
    <row r="209" s="2" customFormat="1" spans="1:6">
      <c r="A209" s="3"/>
      <c r="B209" s="3">
        <v>208</v>
      </c>
      <c r="C209" s="2" t="s">
        <v>2555</v>
      </c>
      <c r="D209" s="3" t="s">
        <v>2556</v>
      </c>
      <c r="E209" s="3">
        <v>4</v>
      </c>
      <c r="F209" s="3" t="s">
        <v>2001</v>
      </c>
    </row>
    <row r="210" s="2" customFormat="1" spans="1:6">
      <c r="A210" s="3"/>
      <c r="B210" s="3">
        <v>209</v>
      </c>
      <c r="C210" s="2" t="s">
        <v>3477</v>
      </c>
      <c r="D210" s="3" t="s">
        <v>3478</v>
      </c>
      <c r="E210" s="3">
        <v>4</v>
      </c>
      <c r="F210" s="3" t="s">
        <v>2001</v>
      </c>
    </row>
    <row r="211" s="2" customFormat="1" spans="1:6">
      <c r="A211" s="3"/>
      <c r="B211" s="3">
        <v>210</v>
      </c>
      <c r="C211" s="2" t="s">
        <v>2557</v>
      </c>
      <c r="D211" s="3" t="s">
        <v>2558</v>
      </c>
      <c r="E211" s="3">
        <v>4</v>
      </c>
      <c r="F211" s="3" t="s">
        <v>2001</v>
      </c>
    </row>
    <row r="212" s="2" customFormat="1" spans="1:6">
      <c r="A212" s="3"/>
      <c r="B212" s="3">
        <v>211</v>
      </c>
      <c r="C212" s="2" t="s">
        <v>2559</v>
      </c>
      <c r="D212" s="3" t="s">
        <v>2560</v>
      </c>
      <c r="E212" s="3">
        <v>2</v>
      </c>
      <c r="F212" s="3" t="s">
        <v>2001</v>
      </c>
    </row>
    <row r="213" s="2" customFormat="1" spans="1:6">
      <c r="A213" s="3"/>
      <c r="B213" s="3">
        <v>212</v>
      </c>
      <c r="C213" s="2" t="s">
        <v>2561</v>
      </c>
      <c r="D213" s="3" t="s">
        <v>2562</v>
      </c>
      <c r="E213" s="3">
        <v>4</v>
      </c>
      <c r="F213" s="3" t="s">
        <v>2001</v>
      </c>
    </row>
    <row r="214" s="2" customFormat="1" spans="1:6">
      <c r="A214" s="3"/>
      <c r="B214" s="3">
        <v>213</v>
      </c>
      <c r="C214" s="2" t="s">
        <v>3479</v>
      </c>
      <c r="D214" s="3" t="s">
        <v>3480</v>
      </c>
      <c r="E214" s="3">
        <v>4</v>
      </c>
      <c r="F214" s="3" t="s">
        <v>2001</v>
      </c>
    </row>
    <row r="215" s="2" customFormat="1" spans="1:6">
      <c r="A215" s="3"/>
      <c r="B215" s="3">
        <v>214</v>
      </c>
      <c r="C215" s="2" t="s">
        <v>2563</v>
      </c>
      <c r="D215" s="3" t="s">
        <v>2564</v>
      </c>
      <c r="E215" s="3">
        <v>4</v>
      </c>
      <c r="F215" s="3" t="s">
        <v>2001</v>
      </c>
    </row>
    <row r="216" s="2" customFormat="1" spans="1:6">
      <c r="A216" s="3"/>
      <c r="B216" s="3">
        <v>215</v>
      </c>
      <c r="C216" s="2" t="s">
        <v>3481</v>
      </c>
      <c r="D216" s="3" t="s">
        <v>3482</v>
      </c>
      <c r="E216" s="3">
        <v>4</v>
      </c>
      <c r="F216" s="3" t="s">
        <v>2001</v>
      </c>
    </row>
    <row r="217" s="2" customFormat="1" spans="1:6">
      <c r="A217" s="3"/>
      <c r="B217" s="3">
        <v>216</v>
      </c>
      <c r="C217" s="2" t="s">
        <v>3483</v>
      </c>
      <c r="D217" s="3" t="s">
        <v>3484</v>
      </c>
      <c r="E217" s="3">
        <v>1</v>
      </c>
      <c r="F217" s="3" t="s">
        <v>2001</v>
      </c>
    </row>
    <row r="218" s="2" customFormat="1" spans="1:6">
      <c r="A218" s="3"/>
      <c r="B218" s="3">
        <v>217</v>
      </c>
      <c r="C218" s="2" t="s">
        <v>2575</v>
      </c>
      <c r="D218" s="3" t="s">
        <v>2576</v>
      </c>
      <c r="E218" s="3">
        <v>33</v>
      </c>
      <c r="F218" s="3" t="s">
        <v>2001</v>
      </c>
    </row>
    <row r="219" s="2" customFormat="1" spans="1:6">
      <c r="A219" s="3"/>
      <c r="B219" s="3">
        <v>218</v>
      </c>
      <c r="C219" s="2" t="s">
        <v>2577</v>
      </c>
      <c r="D219" s="3" t="s">
        <v>2578</v>
      </c>
      <c r="E219" s="3">
        <v>30</v>
      </c>
      <c r="F219" s="3" t="s">
        <v>2001</v>
      </c>
    </row>
    <row r="220" s="2" customFormat="1" spans="1:6">
      <c r="A220" s="3"/>
      <c r="B220" s="3">
        <v>219</v>
      </c>
      <c r="C220" s="2" t="s">
        <v>92</v>
      </c>
      <c r="D220" s="3" t="s">
        <v>3485</v>
      </c>
      <c r="E220" s="3">
        <v>1</v>
      </c>
      <c r="F220" s="3" t="s">
        <v>2001</v>
      </c>
    </row>
    <row r="221" s="2" customFormat="1" spans="1:6">
      <c r="A221" s="3"/>
      <c r="B221" s="3">
        <v>220</v>
      </c>
      <c r="C221" s="2" t="s">
        <v>113</v>
      </c>
      <c r="D221" s="3" t="s">
        <v>2579</v>
      </c>
      <c r="E221" s="3">
        <v>22</v>
      </c>
      <c r="F221" s="3" t="s">
        <v>2001</v>
      </c>
    </row>
    <row r="222" s="2" customFormat="1" spans="1:6">
      <c r="A222" s="3"/>
      <c r="B222" s="3">
        <v>221</v>
      </c>
      <c r="C222" s="2" t="s">
        <v>2580</v>
      </c>
      <c r="D222" s="3" t="s">
        <v>2581</v>
      </c>
      <c r="E222" s="3">
        <v>30</v>
      </c>
      <c r="F222" s="3" t="s">
        <v>2001</v>
      </c>
    </row>
    <row r="223" s="2" customFormat="1" spans="1:6">
      <c r="A223" s="3"/>
      <c r="B223" s="3">
        <v>222</v>
      </c>
      <c r="C223" s="2" t="s">
        <v>2582</v>
      </c>
      <c r="D223" s="3" t="s">
        <v>2583</v>
      </c>
      <c r="E223" s="3">
        <v>8</v>
      </c>
      <c r="F223" s="3" t="s">
        <v>2001</v>
      </c>
    </row>
    <row r="224" s="2" customFormat="1" spans="1:6">
      <c r="A224" s="3"/>
      <c r="B224" s="3">
        <v>223</v>
      </c>
      <c r="C224" s="2" t="s">
        <v>2584</v>
      </c>
      <c r="D224" s="3" t="s">
        <v>2585</v>
      </c>
      <c r="E224" s="3">
        <v>20</v>
      </c>
      <c r="F224" s="3" t="s">
        <v>2001</v>
      </c>
    </row>
    <row r="225" s="2" customFormat="1" spans="1:6">
      <c r="A225" s="3"/>
      <c r="B225" s="3">
        <v>224</v>
      </c>
      <c r="C225" s="2" t="s">
        <v>2586</v>
      </c>
      <c r="D225" s="3" t="s">
        <v>2587</v>
      </c>
      <c r="E225" s="3">
        <v>5</v>
      </c>
      <c r="F225" s="3" t="s">
        <v>2001</v>
      </c>
    </row>
    <row r="226" s="2" customFormat="1" spans="1:6">
      <c r="A226" s="3"/>
      <c r="B226" s="3">
        <v>225</v>
      </c>
      <c r="C226" s="2" t="s">
        <v>2588</v>
      </c>
      <c r="D226" s="3" t="s">
        <v>2589</v>
      </c>
      <c r="E226" s="3">
        <v>12</v>
      </c>
      <c r="F226" s="3" t="s">
        <v>2001</v>
      </c>
    </row>
    <row r="227" s="2" customFormat="1" spans="1:6">
      <c r="A227" s="3"/>
      <c r="B227" s="3">
        <v>226</v>
      </c>
      <c r="C227" s="2" t="s">
        <v>2590</v>
      </c>
      <c r="D227" s="3" t="s">
        <v>2591</v>
      </c>
      <c r="E227" s="3">
        <v>5</v>
      </c>
      <c r="F227" s="3" t="s">
        <v>2001</v>
      </c>
    </row>
    <row r="228" s="2" customFormat="1" spans="1:6">
      <c r="A228" s="3"/>
      <c r="B228" s="3">
        <v>227</v>
      </c>
      <c r="C228" s="2" t="s">
        <v>2592</v>
      </c>
      <c r="D228" s="3" t="s">
        <v>2593</v>
      </c>
      <c r="E228" s="3">
        <v>18</v>
      </c>
      <c r="F228" s="3" t="s">
        <v>2001</v>
      </c>
    </row>
    <row r="229" s="2" customFormat="1" spans="1:6">
      <c r="A229" s="3"/>
      <c r="B229" s="3">
        <v>228</v>
      </c>
      <c r="C229" s="2" t="s">
        <v>3486</v>
      </c>
      <c r="D229" s="3" t="s">
        <v>3487</v>
      </c>
      <c r="E229" s="3">
        <v>4</v>
      </c>
      <c r="F229" s="3" t="s">
        <v>2001</v>
      </c>
    </row>
    <row r="230" s="2" customFormat="1" spans="1:6">
      <c r="A230" s="3"/>
      <c r="B230" s="3">
        <v>229</v>
      </c>
      <c r="C230" s="2" t="s">
        <v>3488</v>
      </c>
      <c r="D230" s="3" t="s">
        <v>3489</v>
      </c>
      <c r="E230" s="3">
        <v>1</v>
      </c>
      <c r="F230" s="3" t="s">
        <v>2001</v>
      </c>
    </row>
    <row r="231" s="2" customFormat="1" spans="1:6">
      <c r="A231" s="3"/>
      <c r="B231" s="3">
        <v>230</v>
      </c>
      <c r="C231" s="2" t="s">
        <v>2606</v>
      </c>
      <c r="D231" s="3" t="s">
        <v>2607</v>
      </c>
      <c r="E231" s="3">
        <v>2</v>
      </c>
      <c r="F231" s="3" t="s">
        <v>2016</v>
      </c>
    </row>
    <row r="232" s="2" customFormat="1" spans="1:6">
      <c r="A232" s="3"/>
      <c r="B232" s="3">
        <v>231</v>
      </c>
      <c r="C232" s="2" t="s">
        <v>2608</v>
      </c>
      <c r="D232" s="3" t="s">
        <v>2609</v>
      </c>
      <c r="E232" s="3">
        <v>2</v>
      </c>
      <c r="F232" s="3" t="s">
        <v>2001</v>
      </c>
    </row>
    <row r="233" s="2" customFormat="1" spans="1:6">
      <c r="A233" s="3"/>
      <c r="B233" s="3">
        <v>232</v>
      </c>
      <c r="C233" s="2" t="s">
        <v>2610</v>
      </c>
      <c r="D233" s="3" t="s">
        <v>2611</v>
      </c>
      <c r="E233" s="3">
        <v>4</v>
      </c>
      <c r="F233" s="3" t="s">
        <v>2001</v>
      </c>
    </row>
    <row r="234" s="2" customFormat="1" spans="1:6">
      <c r="A234" s="3"/>
      <c r="B234" s="3">
        <v>233</v>
      </c>
      <c r="C234" s="2" t="s">
        <v>2612</v>
      </c>
      <c r="D234" s="3" t="s">
        <v>2613</v>
      </c>
      <c r="E234" s="3">
        <v>10</v>
      </c>
      <c r="F234" s="3" t="s">
        <v>2001</v>
      </c>
    </row>
    <row r="235" s="2" customFormat="1" spans="1:6">
      <c r="A235" s="3"/>
      <c r="B235" s="3">
        <v>234</v>
      </c>
      <c r="C235" s="2" t="s">
        <v>2616</v>
      </c>
      <c r="D235" s="3" t="s">
        <v>2617</v>
      </c>
      <c r="E235" s="3">
        <v>5</v>
      </c>
      <c r="F235" s="3" t="s">
        <v>2001</v>
      </c>
    </row>
    <row r="236" s="2" customFormat="1" spans="1:6">
      <c r="A236" s="3"/>
      <c r="B236" s="3">
        <v>235</v>
      </c>
      <c r="C236" s="2" t="s">
        <v>2620</v>
      </c>
      <c r="D236" s="3" t="s">
        <v>2621</v>
      </c>
      <c r="E236" s="3">
        <v>5</v>
      </c>
      <c r="F236" s="3" t="s">
        <v>2001</v>
      </c>
    </row>
    <row r="237" s="2" customFormat="1" spans="1:6">
      <c r="A237" s="3"/>
      <c r="B237" s="3">
        <v>236</v>
      </c>
      <c r="C237" s="2" t="s">
        <v>2626</v>
      </c>
      <c r="D237" s="3" t="s">
        <v>2627</v>
      </c>
      <c r="E237" s="3">
        <v>3</v>
      </c>
      <c r="F237" s="3" t="s">
        <v>2001</v>
      </c>
    </row>
    <row r="238" s="2" customFormat="1" spans="1:6">
      <c r="A238" s="3"/>
      <c r="B238" s="3">
        <v>237</v>
      </c>
      <c r="C238" s="2" t="s">
        <v>3490</v>
      </c>
      <c r="D238" s="3" t="s">
        <v>3491</v>
      </c>
      <c r="E238" s="3">
        <v>4</v>
      </c>
      <c r="F238" s="3" t="s">
        <v>2001</v>
      </c>
    </row>
    <row r="239" s="2" customFormat="1" spans="1:6">
      <c r="A239" s="3"/>
      <c r="B239" s="3">
        <v>238</v>
      </c>
      <c r="C239" s="2" t="s">
        <v>2628</v>
      </c>
      <c r="D239" s="3" t="s">
        <v>2629</v>
      </c>
      <c r="E239" s="3">
        <v>5</v>
      </c>
      <c r="F239" s="3" t="s">
        <v>2001</v>
      </c>
    </row>
    <row r="240" s="2" customFormat="1" spans="1:6">
      <c r="A240" s="3"/>
      <c r="B240" s="3">
        <v>239</v>
      </c>
      <c r="C240" s="2" t="s">
        <v>2630</v>
      </c>
      <c r="D240" s="3" t="s">
        <v>2631</v>
      </c>
      <c r="E240" s="3">
        <v>10</v>
      </c>
      <c r="F240" s="3" t="s">
        <v>2001</v>
      </c>
    </row>
    <row r="241" s="2" customFormat="1" spans="1:6">
      <c r="A241" s="3"/>
      <c r="B241" s="3">
        <v>240</v>
      </c>
      <c r="C241" s="2" t="s">
        <v>2640</v>
      </c>
      <c r="D241" s="3" t="s">
        <v>2641</v>
      </c>
      <c r="E241" s="3">
        <v>7</v>
      </c>
      <c r="F241" s="3" t="s">
        <v>2001</v>
      </c>
    </row>
    <row r="242" s="2" customFormat="1" spans="1:6">
      <c r="A242" s="3"/>
      <c r="B242" s="3">
        <v>241</v>
      </c>
      <c r="C242" s="2" t="s">
        <v>2642</v>
      </c>
      <c r="D242" s="3" t="s">
        <v>2643</v>
      </c>
      <c r="E242" s="3">
        <v>5</v>
      </c>
      <c r="F242" s="3" t="s">
        <v>2001</v>
      </c>
    </row>
    <row r="243" s="2" customFormat="1" spans="1:6">
      <c r="A243" s="3"/>
      <c r="B243" s="3">
        <v>242</v>
      </c>
      <c r="C243" s="2" t="s">
        <v>2644</v>
      </c>
      <c r="D243" s="3" t="s">
        <v>2645</v>
      </c>
      <c r="E243" s="3">
        <v>5</v>
      </c>
      <c r="F243" s="3" t="s">
        <v>2001</v>
      </c>
    </row>
    <row r="244" s="2" customFormat="1" spans="1:6">
      <c r="A244" s="3"/>
      <c r="B244" s="3">
        <v>243</v>
      </c>
      <c r="C244" s="2" t="s">
        <v>2652</v>
      </c>
      <c r="D244" s="3" t="s">
        <v>2653</v>
      </c>
      <c r="E244" s="3">
        <v>7</v>
      </c>
      <c r="F244" s="3" t="s">
        <v>2001</v>
      </c>
    </row>
    <row r="245" s="2" customFormat="1" spans="1:6">
      <c r="A245" s="3"/>
      <c r="B245" s="3">
        <v>244</v>
      </c>
      <c r="C245" s="2" t="s">
        <v>2654</v>
      </c>
      <c r="D245" s="3" t="s">
        <v>2655</v>
      </c>
      <c r="E245" s="3">
        <v>6</v>
      </c>
      <c r="F245" s="3" t="s">
        <v>2001</v>
      </c>
    </row>
    <row r="246" s="2" customFormat="1" spans="1:6">
      <c r="A246" s="3"/>
      <c r="B246" s="3">
        <v>245</v>
      </c>
      <c r="C246" s="2" t="s">
        <v>3492</v>
      </c>
      <c r="D246" s="3" t="s">
        <v>3493</v>
      </c>
      <c r="E246" s="3">
        <v>8</v>
      </c>
      <c r="F246" s="3" t="s">
        <v>2001</v>
      </c>
    </row>
    <row r="247" s="2" customFormat="1" spans="1:6">
      <c r="A247" s="3"/>
      <c r="B247" s="3">
        <v>246</v>
      </c>
      <c r="C247" s="2" t="s">
        <v>2658</v>
      </c>
      <c r="D247" s="3" t="s">
        <v>2659</v>
      </c>
      <c r="E247" s="3">
        <v>5</v>
      </c>
      <c r="F247" s="3" t="s">
        <v>2001</v>
      </c>
    </row>
    <row r="248" s="2" customFormat="1" spans="1:6">
      <c r="A248" s="3"/>
      <c r="B248" s="3">
        <v>247</v>
      </c>
      <c r="C248" s="2" t="s">
        <v>2666</v>
      </c>
      <c r="D248" s="3" t="s">
        <v>2667</v>
      </c>
      <c r="E248" s="3">
        <v>9</v>
      </c>
      <c r="F248" s="3" t="s">
        <v>2001</v>
      </c>
    </row>
    <row r="249" s="2" customFormat="1" spans="1:6">
      <c r="A249" s="3"/>
      <c r="B249" s="3">
        <v>248</v>
      </c>
      <c r="C249" s="2" t="s">
        <v>2668</v>
      </c>
      <c r="D249" s="3" t="s">
        <v>2669</v>
      </c>
      <c r="E249" s="3">
        <v>7</v>
      </c>
      <c r="F249" s="3" t="s">
        <v>2001</v>
      </c>
    </row>
    <row r="250" s="2" customFormat="1" spans="1:6">
      <c r="A250" s="3"/>
      <c r="B250" s="3">
        <v>249</v>
      </c>
      <c r="C250" s="2" t="s">
        <v>2670</v>
      </c>
      <c r="D250" s="3" t="s">
        <v>2671</v>
      </c>
      <c r="E250" s="3">
        <v>5</v>
      </c>
      <c r="F250" s="3" t="s">
        <v>2001</v>
      </c>
    </row>
    <row r="251" s="2" customFormat="1" spans="1:6">
      <c r="A251" s="3"/>
      <c r="B251" s="3">
        <v>250</v>
      </c>
      <c r="C251" s="2" t="s">
        <v>2672</v>
      </c>
      <c r="D251" s="3" t="s">
        <v>2673</v>
      </c>
      <c r="E251" s="3">
        <v>8</v>
      </c>
      <c r="F251" s="3" t="s">
        <v>2001</v>
      </c>
    </row>
    <row r="252" s="2" customFormat="1" spans="1:6">
      <c r="A252" s="3"/>
      <c r="B252" s="3">
        <v>251</v>
      </c>
      <c r="C252" s="2" t="s">
        <v>3494</v>
      </c>
      <c r="D252" s="3" t="s">
        <v>3495</v>
      </c>
      <c r="E252" s="3">
        <v>3</v>
      </c>
      <c r="F252" s="3" t="s">
        <v>2001</v>
      </c>
    </row>
    <row r="253" s="2" customFormat="1" spans="1:6">
      <c r="A253" s="3"/>
      <c r="B253" s="3">
        <v>252</v>
      </c>
      <c r="C253" s="2" t="s">
        <v>2674</v>
      </c>
      <c r="D253" s="3" t="s">
        <v>2675</v>
      </c>
      <c r="E253" s="3">
        <v>3</v>
      </c>
      <c r="F253" s="3" t="s">
        <v>2001</v>
      </c>
    </row>
    <row r="254" s="2" customFormat="1" spans="1:6">
      <c r="A254" s="3"/>
      <c r="B254" s="3">
        <v>253</v>
      </c>
      <c r="C254" s="2" t="s">
        <v>3496</v>
      </c>
      <c r="D254" s="3" t="s">
        <v>3497</v>
      </c>
      <c r="E254" s="3">
        <v>5</v>
      </c>
      <c r="F254" s="3" t="s">
        <v>2001</v>
      </c>
    </row>
    <row r="255" s="2" customFormat="1" spans="1:6">
      <c r="A255" s="3"/>
      <c r="B255" s="3">
        <v>254</v>
      </c>
      <c r="C255" s="2" t="s">
        <v>2676</v>
      </c>
      <c r="D255" s="3" t="s">
        <v>2677</v>
      </c>
      <c r="E255" s="3">
        <v>17</v>
      </c>
      <c r="F255" s="3" t="s">
        <v>2001</v>
      </c>
    </row>
    <row r="256" s="2" customFormat="1" spans="1:6">
      <c r="A256" s="3"/>
      <c r="B256" s="3">
        <v>255</v>
      </c>
      <c r="C256" s="2" t="s">
        <v>2678</v>
      </c>
      <c r="D256" s="3" t="s">
        <v>2679</v>
      </c>
      <c r="E256" s="3">
        <v>9</v>
      </c>
      <c r="F256" s="3" t="s">
        <v>2001</v>
      </c>
    </row>
    <row r="257" s="2" customFormat="1" spans="1:6">
      <c r="A257" s="3"/>
      <c r="B257" s="3">
        <v>256</v>
      </c>
      <c r="C257" s="2" t="s">
        <v>3498</v>
      </c>
      <c r="D257" s="3" t="s">
        <v>3499</v>
      </c>
      <c r="E257" s="3">
        <v>4</v>
      </c>
      <c r="F257" s="3" t="s">
        <v>2001</v>
      </c>
    </row>
    <row r="258" s="2" customFormat="1" spans="1:6">
      <c r="A258" s="3"/>
      <c r="B258" s="3">
        <v>257</v>
      </c>
      <c r="C258" s="2" t="s">
        <v>2680</v>
      </c>
      <c r="D258" s="3" t="s">
        <v>2681</v>
      </c>
      <c r="E258" s="3">
        <v>7</v>
      </c>
      <c r="F258" s="3" t="s">
        <v>2001</v>
      </c>
    </row>
    <row r="259" s="2" customFormat="1" spans="1:6">
      <c r="A259" s="3"/>
      <c r="B259" s="3">
        <v>258</v>
      </c>
      <c r="C259" s="2" t="s">
        <v>2682</v>
      </c>
      <c r="D259" s="3" t="s">
        <v>2683</v>
      </c>
      <c r="E259" s="3">
        <v>7</v>
      </c>
      <c r="F259" s="3" t="s">
        <v>2001</v>
      </c>
    </row>
    <row r="260" s="2" customFormat="1" spans="1:6">
      <c r="A260" s="3"/>
      <c r="B260" s="3">
        <v>259</v>
      </c>
      <c r="C260" s="2" t="s">
        <v>2684</v>
      </c>
      <c r="D260" s="3" t="s">
        <v>2685</v>
      </c>
      <c r="E260" s="3">
        <v>2</v>
      </c>
      <c r="F260" s="3" t="s">
        <v>2001</v>
      </c>
    </row>
    <row r="261" s="2" customFormat="1" spans="1:6">
      <c r="A261" s="3"/>
      <c r="B261" s="3">
        <v>260</v>
      </c>
      <c r="C261" s="2" t="s">
        <v>2688</v>
      </c>
      <c r="D261" s="3" t="s">
        <v>2689</v>
      </c>
      <c r="E261" s="3">
        <v>24</v>
      </c>
      <c r="F261" s="3" t="s">
        <v>2001</v>
      </c>
    </row>
    <row r="262" s="2" customFormat="1" spans="1:6">
      <c r="A262" s="3"/>
      <c r="B262" s="3">
        <v>261</v>
      </c>
      <c r="C262" s="2" t="s">
        <v>2690</v>
      </c>
      <c r="D262" s="3" t="s">
        <v>2691</v>
      </c>
      <c r="E262" s="3">
        <v>54</v>
      </c>
      <c r="F262" s="3" t="s">
        <v>2001</v>
      </c>
    </row>
    <row r="263" s="2" customFormat="1" spans="1:6">
      <c r="A263" s="3"/>
      <c r="B263" s="3">
        <v>262</v>
      </c>
      <c r="C263" s="2" t="s">
        <v>2692</v>
      </c>
      <c r="D263" s="3" t="s">
        <v>2693</v>
      </c>
      <c r="E263" s="3">
        <v>8</v>
      </c>
      <c r="F263" s="3" t="s">
        <v>2001</v>
      </c>
    </row>
    <row r="264" s="2" customFormat="1" spans="1:6">
      <c r="A264" s="3"/>
      <c r="B264" s="3">
        <v>263</v>
      </c>
      <c r="C264" s="2" t="s">
        <v>2694</v>
      </c>
      <c r="D264" s="3" t="s">
        <v>2695</v>
      </c>
      <c r="E264" s="3">
        <v>8</v>
      </c>
      <c r="F264" s="3" t="s">
        <v>2001</v>
      </c>
    </row>
    <row r="265" s="2" customFormat="1" spans="1:6">
      <c r="A265" s="3"/>
      <c r="B265" s="3">
        <v>264</v>
      </c>
      <c r="C265" s="2" t="s">
        <v>2696</v>
      </c>
      <c r="D265" s="3" t="s">
        <v>2697</v>
      </c>
      <c r="E265" s="3">
        <v>20</v>
      </c>
      <c r="F265" s="3" t="s">
        <v>2001</v>
      </c>
    </row>
    <row r="266" s="2" customFormat="1" spans="1:6">
      <c r="A266" s="3"/>
      <c r="B266" s="3">
        <v>265</v>
      </c>
      <c r="C266" s="2" t="s">
        <v>2698</v>
      </c>
      <c r="D266" s="3" t="s">
        <v>2699</v>
      </c>
      <c r="E266" s="3">
        <v>42</v>
      </c>
      <c r="F266" s="3" t="s">
        <v>2001</v>
      </c>
    </row>
    <row r="267" s="2" customFormat="1" spans="1:6">
      <c r="A267" s="3"/>
      <c r="B267" s="3">
        <v>266</v>
      </c>
      <c r="C267" s="2" t="s">
        <v>2700</v>
      </c>
      <c r="D267" s="3" t="s">
        <v>2701</v>
      </c>
      <c r="E267" s="3">
        <v>27</v>
      </c>
      <c r="F267" s="3" t="s">
        <v>2001</v>
      </c>
    </row>
    <row r="268" s="2" customFormat="1" spans="1:6">
      <c r="A268" s="3"/>
      <c r="B268" s="3">
        <v>267</v>
      </c>
      <c r="C268" s="2" t="s">
        <v>2702</v>
      </c>
      <c r="D268" s="3" t="s">
        <v>2703</v>
      </c>
      <c r="E268" s="3">
        <v>6</v>
      </c>
      <c r="F268" s="3" t="s">
        <v>2001</v>
      </c>
    </row>
    <row r="269" s="2" customFormat="1" spans="1:6">
      <c r="A269" s="3"/>
      <c r="B269" s="3">
        <v>268</v>
      </c>
      <c r="C269" s="2" t="s">
        <v>2704</v>
      </c>
      <c r="D269" s="3" t="s">
        <v>2705</v>
      </c>
      <c r="E269" s="3">
        <v>5</v>
      </c>
      <c r="F269" s="3" t="s">
        <v>2001</v>
      </c>
    </row>
    <row r="270" s="2" customFormat="1" spans="1:6">
      <c r="A270" s="3"/>
      <c r="B270" s="3">
        <v>269</v>
      </c>
      <c r="C270" s="2" t="s">
        <v>2706</v>
      </c>
      <c r="D270" s="3" t="s">
        <v>2707</v>
      </c>
      <c r="E270" s="3">
        <v>12</v>
      </c>
      <c r="F270" s="3" t="s">
        <v>2001</v>
      </c>
    </row>
    <row r="271" s="2" customFormat="1" spans="1:6">
      <c r="A271" s="3"/>
      <c r="B271" s="3">
        <v>270</v>
      </c>
      <c r="C271" s="2" t="s">
        <v>2708</v>
      </c>
      <c r="D271" s="3" t="s">
        <v>2709</v>
      </c>
      <c r="E271" s="3">
        <v>24</v>
      </c>
      <c r="F271" s="3" t="s">
        <v>2001</v>
      </c>
    </row>
    <row r="272" s="2" customFormat="1" spans="1:6">
      <c r="A272" s="3"/>
      <c r="B272" s="3">
        <v>271</v>
      </c>
      <c r="C272" s="2" t="s">
        <v>2710</v>
      </c>
      <c r="D272" s="3" t="s">
        <v>2711</v>
      </c>
      <c r="E272" s="3">
        <v>9</v>
      </c>
      <c r="F272" s="3" t="s">
        <v>2001</v>
      </c>
    </row>
    <row r="273" s="2" customFormat="1" spans="1:6">
      <c r="A273" s="3"/>
      <c r="B273" s="3">
        <v>272</v>
      </c>
      <c r="C273" s="2" t="s">
        <v>2712</v>
      </c>
      <c r="D273" s="3" t="s">
        <v>2713</v>
      </c>
      <c r="E273" s="3">
        <v>5</v>
      </c>
      <c r="F273" s="3" t="s">
        <v>2001</v>
      </c>
    </row>
    <row r="274" s="2" customFormat="1" spans="1:6">
      <c r="A274" s="3"/>
      <c r="B274" s="3">
        <v>273</v>
      </c>
      <c r="C274" s="2" t="s">
        <v>2714</v>
      </c>
      <c r="D274" s="3" t="s">
        <v>2715</v>
      </c>
      <c r="E274" s="3">
        <v>51</v>
      </c>
      <c r="F274" s="3" t="s">
        <v>2001</v>
      </c>
    </row>
    <row r="275" s="2" customFormat="1" spans="1:6">
      <c r="A275" s="3"/>
      <c r="B275" s="3">
        <v>274</v>
      </c>
      <c r="C275" s="2" t="s">
        <v>2716</v>
      </c>
      <c r="D275" s="3" t="s">
        <v>2717</v>
      </c>
      <c r="E275" s="3">
        <v>43</v>
      </c>
      <c r="F275" s="3" t="s">
        <v>2001</v>
      </c>
    </row>
    <row r="276" s="2" customFormat="1" spans="1:6">
      <c r="A276" s="3"/>
      <c r="B276" s="3">
        <v>275</v>
      </c>
      <c r="C276" s="2" t="s">
        <v>2718</v>
      </c>
      <c r="D276" s="3" t="s">
        <v>2719</v>
      </c>
      <c r="E276" s="3">
        <v>29</v>
      </c>
      <c r="F276" s="3" t="s">
        <v>2001</v>
      </c>
    </row>
    <row r="277" s="2" customFormat="1" spans="1:6">
      <c r="A277" s="3"/>
      <c r="B277" s="3">
        <v>276</v>
      </c>
      <c r="C277" s="2" t="s">
        <v>2720</v>
      </c>
      <c r="D277" s="3" t="s">
        <v>2721</v>
      </c>
      <c r="E277" s="3">
        <v>24</v>
      </c>
      <c r="F277" s="3" t="s">
        <v>2001</v>
      </c>
    </row>
    <row r="278" s="2" customFormat="1" spans="1:6">
      <c r="A278" s="3"/>
      <c r="B278" s="3">
        <v>277</v>
      </c>
      <c r="C278" s="2" t="s">
        <v>2722</v>
      </c>
      <c r="D278" s="3" t="s">
        <v>2723</v>
      </c>
      <c r="E278" s="3">
        <v>3</v>
      </c>
      <c r="F278" s="3" t="s">
        <v>2001</v>
      </c>
    </row>
    <row r="279" s="2" customFormat="1" spans="1:6">
      <c r="A279" s="3"/>
      <c r="B279" s="3">
        <v>278</v>
      </c>
      <c r="C279" s="2" t="s">
        <v>2724</v>
      </c>
      <c r="D279" s="3" t="s">
        <v>2725</v>
      </c>
      <c r="E279" s="3">
        <v>3</v>
      </c>
      <c r="F279" s="3" t="s">
        <v>2001</v>
      </c>
    </row>
    <row r="280" s="2" customFormat="1" spans="1:6">
      <c r="A280" s="3"/>
      <c r="B280" s="3">
        <v>279</v>
      </c>
      <c r="C280" s="2" t="s">
        <v>3500</v>
      </c>
      <c r="D280" s="3" t="s">
        <v>3501</v>
      </c>
      <c r="E280" s="3">
        <v>9</v>
      </c>
      <c r="F280" s="3" t="s">
        <v>2001</v>
      </c>
    </row>
    <row r="281" s="2" customFormat="1" spans="1:6">
      <c r="A281" s="3"/>
      <c r="B281" s="3">
        <v>280</v>
      </c>
      <c r="C281" s="2" t="s">
        <v>2726</v>
      </c>
      <c r="D281" s="3" t="s">
        <v>2727</v>
      </c>
      <c r="E281" s="3">
        <v>35</v>
      </c>
      <c r="F281" s="3" t="s">
        <v>2001</v>
      </c>
    </row>
    <row r="282" s="2" customFormat="1" spans="1:6">
      <c r="A282" s="3"/>
      <c r="B282" s="3">
        <v>281</v>
      </c>
      <c r="C282" s="2" t="s">
        <v>2728</v>
      </c>
      <c r="D282" s="3" t="s">
        <v>2729</v>
      </c>
      <c r="E282" s="3">
        <v>2</v>
      </c>
      <c r="F282" s="3" t="s">
        <v>2001</v>
      </c>
    </row>
    <row r="283" s="2" customFormat="1" spans="1:6">
      <c r="A283" s="3"/>
      <c r="B283" s="3">
        <v>282</v>
      </c>
      <c r="C283" s="2" t="s">
        <v>2730</v>
      </c>
      <c r="D283" s="3" t="s">
        <v>2731</v>
      </c>
      <c r="E283" s="3">
        <v>6</v>
      </c>
      <c r="F283" s="3" t="s">
        <v>2001</v>
      </c>
    </row>
    <row r="284" s="2" customFormat="1" spans="1:6">
      <c r="A284" s="3"/>
      <c r="B284" s="3">
        <v>283</v>
      </c>
      <c r="C284" s="2" t="s">
        <v>3502</v>
      </c>
      <c r="D284" s="3" t="s">
        <v>3503</v>
      </c>
      <c r="E284" s="3">
        <v>3</v>
      </c>
      <c r="F284" s="3" t="s">
        <v>2001</v>
      </c>
    </row>
    <row r="285" s="2" customFormat="1" spans="1:6">
      <c r="A285" s="3"/>
      <c r="B285" s="3">
        <v>284</v>
      </c>
      <c r="C285" s="2" t="s">
        <v>2734</v>
      </c>
      <c r="D285" s="3" t="s">
        <v>2735</v>
      </c>
      <c r="E285" s="3">
        <v>6</v>
      </c>
      <c r="F285" s="3" t="s">
        <v>2001</v>
      </c>
    </row>
    <row r="286" s="2" customFormat="1" spans="1:6">
      <c r="A286" s="3"/>
      <c r="B286" s="3">
        <v>285</v>
      </c>
      <c r="C286" s="2" t="s">
        <v>2736</v>
      </c>
      <c r="D286" s="3" t="s">
        <v>2737</v>
      </c>
      <c r="E286" s="3">
        <v>4</v>
      </c>
      <c r="F286" s="3" t="s">
        <v>2001</v>
      </c>
    </row>
    <row r="287" s="2" customFormat="1" spans="1:6">
      <c r="A287" s="3"/>
      <c r="B287" s="3">
        <v>286</v>
      </c>
      <c r="C287" s="2" t="s">
        <v>2738</v>
      </c>
      <c r="D287" s="3" t="s">
        <v>2739</v>
      </c>
      <c r="E287" s="3">
        <v>3</v>
      </c>
      <c r="F287" s="3" t="s">
        <v>2001</v>
      </c>
    </row>
    <row r="288" s="2" customFormat="1" spans="1:6">
      <c r="A288" s="3"/>
      <c r="B288" s="3">
        <v>287</v>
      </c>
      <c r="C288" s="2" t="s">
        <v>3504</v>
      </c>
      <c r="D288" s="3" t="s">
        <v>3505</v>
      </c>
      <c r="E288" s="3">
        <v>4</v>
      </c>
      <c r="F288" s="3" t="s">
        <v>2001</v>
      </c>
    </row>
    <row r="289" s="2" customFormat="1" spans="1:6">
      <c r="A289" s="3"/>
      <c r="B289" s="3">
        <v>288</v>
      </c>
      <c r="C289" s="2" t="s">
        <v>2740</v>
      </c>
      <c r="D289" s="3" t="s">
        <v>2741</v>
      </c>
      <c r="E289" s="3">
        <v>9</v>
      </c>
      <c r="F289" s="3" t="s">
        <v>2001</v>
      </c>
    </row>
    <row r="290" s="2" customFormat="1" spans="1:6">
      <c r="A290" s="3"/>
      <c r="B290" s="3">
        <v>289</v>
      </c>
      <c r="C290" s="2" t="s">
        <v>2742</v>
      </c>
      <c r="D290" s="3" t="s">
        <v>2743</v>
      </c>
      <c r="E290" s="3">
        <v>8</v>
      </c>
      <c r="F290" s="3" t="s">
        <v>2001</v>
      </c>
    </row>
    <row r="291" s="2" customFormat="1" spans="1:6">
      <c r="A291" s="3"/>
      <c r="B291" s="3">
        <v>290</v>
      </c>
      <c r="C291" s="2" t="s">
        <v>3506</v>
      </c>
      <c r="D291" s="3" t="s">
        <v>3507</v>
      </c>
      <c r="E291" s="3">
        <v>8</v>
      </c>
      <c r="F291" s="3" t="s">
        <v>2001</v>
      </c>
    </row>
    <row r="292" s="2" customFormat="1" spans="1:6">
      <c r="A292" s="3"/>
      <c r="B292" s="3">
        <v>291</v>
      </c>
      <c r="C292" s="2" t="s">
        <v>2744</v>
      </c>
      <c r="D292" s="3" t="s">
        <v>2745</v>
      </c>
      <c r="E292" s="3">
        <v>4</v>
      </c>
      <c r="F292" s="3" t="s">
        <v>2001</v>
      </c>
    </row>
    <row r="293" s="2" customFormat="1" spans="1:6">
      <c r="A293" s="3"/>
      <c r="B293" s="3">
        <v>292</v>
      </c>
      <c r="C293" s="2" t="s">
        <v>2746</v>
      </c>
      <c r="D293" s="3" t="s">
        <v>2747</v>
      </c>
      <c r="E293" s="3">
        <v>8</v>
      </c>
      <c r="F293" s="3" t="s">
        <v>2001</v>
      </c>
    </row>
    <row r="294" s="2" customFormat="1" spans="1:6">
      <c r="A294" s="3"/>
      <c r="B294" s="3">
        <v>293</v>
      </c>
      <c r="C294" s="2" t="s">
        <v>2754</v>
      </c>
      <c r="D294" s="3" t="s">
        <v>2755</v>
      </c>
      <c r="E294" s="3">
        <v>4</v>
      </c>
      <c r="F294" s="3" t="s">
        <v>2001</v>
      </c>
    </row>
    <row r="295" s="2" customFormat="1" spans="1:6">
      <c r="A295" s="3"/>
      <c r="B295" s="3">
        <v>294</v>
      </c>
      <c r="C295" s="2" t="s">
        <v>3508</v>
      </c>
      <c r="D295" s="3" t="s">
        <v>3509</v>
      </c>
      <c r="E295" s="3">
        <v>8</v>
      </c>
      <c r="F295" s="3" t="s">
        <v>2001</v>
      </c>
    </row>
    <row r="296" s="2" customFormat="1" spans="1:6">
      <c r="A296" s="3"/>
      <c r="B296" s="3">
        <v>295</v>
      </c>
      <c r="C296" s="2" t="s">
        <v>3510</v>
      </c>
      <c r="D296" s="3" t="s">
        <v>3511</v>
      </c>
      <c r="E296" s="3">
        <v>4</v>
      </c>
      <c r="F296" s="3" t="s">
        <v>2001</v>
      </c>
    </row>
    <row r="297" s="2" customFormat="1" spans="1:6">
      <c r="A297" s="3"/>
      <c r="B297" s="3">
        <v>296</v>
      </c>
      <c r="C297" s="2" t="s">
        <v>2758</v>
      </c>
      <c r="D297" s="3" t="s">
        <v>2759</v>
      </c>
      <c r="E297" s="3">
        <v>14</v>
      </c>
      <c r="F297" s="3" t="s">
        <v>2001</v>
      </c>
    </row>
    <row r="298" s="2" customFormat="1" spans="1:6">
      <c r="A298" s="3"/>
      <c r="B298" s="3">
        <v>297</v>
      </c>
      <c r="C298" s="2" t="s">
        <v>2766</v>
      </c>
      <c r="D298" s="3" t="s">
        <v>2767</v>
      </c>
      <c r="E298" s="3">
        <v>4</v>
      </c>
      <c r="F298" s="3" t="s">
        <v>2001</v>
      </c>
    </row>
    <row r="299" s="2" customFormat="1" spans="1:6">
      <c r="A299" s="3"/>
      <c r="B299" s="3">
        <v>298</v>
      </c>
      <c r="C299" s="2" t="s">
        <v>2768</v>
      </c>
      <c r="D299" s="3" t="s">
        <v>2769</v>
      </c>
      <c r="E299" s="3">
        <v>4</v>
      </c>
      <c r="F299" s="3" t="s">
        <v>2001</v>
      </c>
    </row>
    <row r="300" s="2" customFormat="1" spans="1:6">
      <c r="A300" s="3"/>
      <c r="B300" s="3">
        <v>299</v>
      </c>
      <c r="C300" s="2" t="s">
        <v>2770</v>
      </c>
      <c r="D300" s="3" t="s">
        <v>2771</v>
      </c>
      <c r="E300" s="3">
        <v>4</v>
      </c>
      <c r="F300" s="3" t="s">
        <v>2001</v>
      </c>
    </row>
    <row r="301" s="2" customFormat="1" spans="1:6">
      <c r="A301" s="3"/>
      <c r="B301" s="3">
        <v>300</v>
      </c>
      <c r="C301" s="2" t="s">
        <v>2772</v>
      </c>
      <c r="D301" s="3" t="s">
        <v>2773</v>
      </c>
      <c r="E301" s="3">
        <v>4</v>
      </c>
      <c r="F301" s="3" t="s">
        <v>2001</v>
      </c>
    </row>
    <row r="302" s="2" customFormat="1" spans="1:6">
      <c r="A302" s="3"/>
      <c r="B302" s="3">
        <v>301</v>
      </c>
      <c r="C302" s="2" t="s">
        <v>2776</v>
      </c>
      <c r="D302" s="3" t="s">
        <v>2777</v>
      </c>
      <c r="E302" s="3">
        <v>4</v>
      </c>
      <c r="F302" s="3" t="s">
        <v>2001</v>
      </c>
    </row>
    <row r="303" s="2" customFormat="1" spans="1:6">
      <c r="A303" s="3"/>
      <c r="B303" s="3">
        <v>302</v>
      </c>
      <c r="C303" s="2" t="s">
        <v>2778</v>
      </c>
      <c r="D303" s="3" t="s">
        <v>2779</v>
      </c>
      <c r="E303" s="3">
        <v>4</v>
      </c>
      <c r="F303" s="3" t="s">
        <v>2001</v>
      </c>
    </row>
    <row r="304" s="2" customFormat="1" spans="1:6">
      <c r="A304" s="3"/>
      <c r="B304" s="3">
        <v>303</v>
      </c>
      <c r="C304" s="2" t="s">
        <v>3512</v>
      </c>
      <c r="D304" s="3" t="s">
        <v>3513</v>
      </c>
      <c r="E304" s="3">
        <v>2</v>
      </c>
      <c r="F304" s="3" t="s">
        <v>2001</v>
      </c>
    </row>
    <row r="305" s="2" customFormat="1" spans="1:6">
      <c r="A305" s="3"/>
      <c r="B305" s="3">
        <v>304</v>
      </c>
      <c r="C305" s="2" t="s">
        <v>2793</v>
      </c>
      <c r="D305" s="3" t="s">
        <v>2794</v>
      </c>
      <c r="E305" s="3">
        <v>6</v>
      </c>
      <c r="F305" s="3" t="s">
        <v>2001</v>
      </c>
    </row>
    <row r="306" s="2" customFormat="1" spans="1:6">
      <c r="A306" s="3"/>
      <c r="B306" s="3">
        <v>305</v>
      </c>
      <c r="C306" s="2" t="s">
        <v>3514</v>
      </c>
      <c r="D306" s="3" t="s">
        <v>3515</v>
      </c>
      <c r="E306" s="3">
        <v>2</v>
      </c>
      <c r="F306" s="3" t="s">
        <v>2001</v>
      </c>
    </row>
    <row r="307" s="2" customFormat="1" spans="1:6">
      <c r="A307" s="3"/>
      <c r="B307" s="3">
        <v>306</v>
      </c>
      <c r="C307" s="2" t="s">
        <v>3516</v>
      </c>
      <c r="D307" s="3" t="s">
        <v>3517</v>
      </c>
      <c r="E307" s="3">
        <v>2</v>
      </c>
      <c r="F307" s="3" t="s">
        <v>2001</v>
      </c>
    </row>
    <row r="308" s="2" customFormat="1" spans="1:6">
      <c r="A308" s="3"/>
      <c r="B308" s="3">
        <v>307</v>
      </c>
      <c r="C308" s="2" t="s">
        <v>3518</v>
      </c>
      <c r="D308" s="3" t="s">
        <v>3519</v>
      </c>
      <c r="E308" s="3">
        <v>4</v>
      </c>
      <c r="F308" s="3" t="s">
        <v>2001</v>
      </c>
    </row>
    <row r="309" s="2" customFormat="1" spans="1:6">
      <c r="A309" s="3"/>
      <c r="B309" s="3">
        <v>308</v>
      </c>
      <c r="C309" s="2" t="s">
        <v>2801</v>
      </c>
      <c r="D309" s="3" t="s">
        <v>2802</v>
      </c>
      <c r="E309" s="3">
        <v>4</v>
      </c>
      <c r="F309" s="3" t="s">
        <v>2001</v>
      </c>
    </row>
    <row r="310" s="2" customFormat="1" spans="1:6">
      <c r="A310" s="3"/>
      <c r="B310" s="3">
        <v>309</v>
      </c>
      <c r="C310" s="2" t="s">
        <v>3520</v>
      </c>
      <c r="D310" s="3" t="s">
        <v>3521</v>
      </c>
      <c r="E310" s="3">
        <v>2</v>
      </c>
      <c r="F310" s="3" t="s">
        <v>2001</v>
      </c>
    </row>
    <row r="311" s="2" customFormat="1" spans="1:6">
      <c r="A311" s="3"/>
      <c r="B311" s="3">
        <v>310</v>
      </c>
      <c r="C311" s="2" t="s">
        <v>2803</v>
      </c>
      <c r="D311" s="3" t="s">
        <v>2804</v>
      </c>
      <c r="E311" s="3">
        <v>2</v>
      </c>
      <c r="F311" s="3" t="s">
        <v>2001</v>
      </c>
    </row>
    <row r="312" s="2" customFormat="1" spans="1:6">
      <c r="A312" s="3"/>
      <c r="B312" s="3">
        <v>311</v>
      </c>
      <c r="C312" s="2" t="s">
        <v>3522</v>
      </c>
      <c r="D312" s="3" t="s">
        <v>3523</v>
      </c>
      <c r="E312" s="3">
        <v>1</v>
      </c>
      <c r="F312" s="3" t="s">
        <v>2001</v>
      </c>
    </row>
    <row r="313" s="2" customFormat="1" spans="1:6">
      <c r="A313" s="3"/>
      <c r="B313" s="3">
        <v>312</v>
      </c>
      <c r="C313" s="2" t="s">
        <v>3524</v>
      </c>
      <c r="D313" s="3" t="s">
        <v>3525</v>
      </c>
      <c r="E313" s="3">
        <v>1</v>
      </c>
      <c r="F313" s="3" t="s">
        <v>2001</v>
      </c>
    </row>
    <row r="314" s="2" customFormat="1" spans="1:6">
      <c r="A314" s="3"/>
      <c r="B314" s="3">
        <v>313</v>
      </c>
      <c r="C314" s="2" t="s">
        <v>2811</v>
      </c>
      <c r="D314" s="3" t="s">
        <v>2812</v>
      </c>
      <c r="E314" s="3">
        <v>2</v>
      </c>
      <c r="F314" s="3" t="s">
        <v>2001</v>
      </c>
    </row>
    <row r="315" s="2" customFormat="1" spans="1:6">
      <c r="A315" s="3"/>
      <c r="B315" s="3">
        <v>314</v>
      </c>
      <c r="C315" s="2" t="s">
        <v>3526</v>
      </c>
      <c r="D315" s="3" t="s">
        <v>3527</v>
      </c>
      <c r="E315" s="3">
        <v>4</v>
      </c>
      <c r="F315" s="3" t="s">
        <v>2001</v>
      </c>
    </row>
    <row r="316" s="2" customFormat="1" spans="1:6">
      <c r="A316" s="3"/>
      <c r="B316" s="3">
        <v>315</v>
      </c>
      <c r="C316" s="2" t="s">
        <v>3528</v>
      </c>
      <c r="D316" s="3" t="s">
        <v>3529</v>
      </c>
      <c r="E316" s="3">
        <v>2</v>
      </c>
      <c r="F316" s="3" t="s">
        <v>2001</v>
      </c>
    </row>
    <row r="317" s="2" customFormat="1" spans="1:6">
      <c r="A317" s="3"/>
      <c r="B317" s="3">
        <v>316</v>
      </c>
      <c r="C317" s="2" t="s">
        <v>2813</v>
      </c>
      <c r="D317" s="3" t="s">
        <v>2814</v>
      </c>
      <c r="E317" s="3">
        <v>2</v>
      </c>
      <c r="F317" s="3" t="s">
        <v>2001</v>
      </c>
    </row>
    <row r="318" s="2" customFormat="1" spans="1:6">
      <c r="A318" s="3"/>
      <c r="B318" s="3">
        <v>317</v>
      </c>
      <c r="C318" s="2" t="s">
        <v>2817</v>
      </c>
      <c r="D318" s="3" t="s">
        <v>2818</v>
      </c>
      <c r="E318" s="3">
        <v>2</v>
      </c>
      <c r="F318" s="3" t="s">
        <v>2001</v>
      </c>
    </row>
    <row r="319" s="2" customFormat="1" spans="1:6">
      <c r="A319" s="3"/>
      <c r="B319" s="3">
        <v>318</v>
      </c>
      <c r="C319" s="2" t="s">
        <v>3530</v>
      </c>
      <c r="D319" s="3" t="s">
        <v>3531</v>
      </c>
      <c r="E319" s="3">
        <v>2</v>
      </c>
      <c r="F319" s="3" t="s">
        <v>2001</v>
      </c>
    </row>
    <row r="320" s="2" customFormat="1" spans="1:6">
      <c r="A320" s="3"/>
      <c r="B320" s="3">
        <v>319</v>
      </c>
      <c r="C320" s="2" t="s">
        <v>2819</v>
      </c>
      <c r="D320" s="3" t="s">
        <v>2820</v>
      </c>
      <c r="E320" s="3">
        <v>10</v>
      </c>
      <c r="F320" s="3" t="s">
        <v>2001</v>
      </c>
    </row>
    <row r="321" s="2" customFormat="1" spans="1:6">
      <c r="A321" s="3"/>
      <c r="B321" s="3">
        <v>320</v>
      </c>
      <c r="C321" s="2" t="s">
        <v>2821</v>
      </c>
      <c r="D321" s="3" t="s">
        <v>2822</v>
      </c>
      <c r="E321" s="3">
        <v>2</v>
      </c>
      <c r="F321" s="3" t="s">
        <v>2001</v>
      </c>
    </row>
    <row r="322" s="2" customFormat="1" spans="1:6">
      <c r="A322" s="3"/>
      <c r="B322" s="3">
        <v>321</v>
      </c>
      <c r="C322" s="2" t="s">
        <v>2823</v>
      </c>
      <c r="D322" s="3" t="s">
        <v>2824</v>
      </c>
      <c r="E322" s="3">
        <v>4</v>
      </c>
      <c r="F322" s="3" t="s">
        <v>2001</v>
      </c>
    </row>
    <row r="323" s="2" customFormat="1" spans="1:6">
      <c r="A323" s="3"/>
      <c r="B323" s="3">
        <v>322</v>
      </c>
      <c r="C323" s="2" t="s">
        <v>3532</v>
      </c>
      <c r="D323" s="3" t="s">
        <v>3533</v>
      </c>
      <c r="E323" s="3">
        <v>4</v>
      </c>
      <c r="F323" s="3" t="s">
        <v>2001</v>
      </c>
    </row>
    <row r="324" s="2" customFormat="1" spans="1:6">
      <c r="A324" s="3"/>
      <c r="B324" s="3">
        <v>323</v>
      </c>
      <c r="C324" s="2" t="s">
        <v>3534</v>
      </c>
      <c r="D324" s="3" t="s">
        <v>3535</v>
      </c>
      <c r="E324" s="3">
        <v>4</v>
      </c>
      <c r="F324" s="3" t="s">
        <v>2001</v>
      </c>
    </row>
    <row r="325" s="2" customFormat="1" spans="1:6">
      <c r="A325" s="3"/>
      <c r="B325" s="3">
        <v>324</v>
      </c>
      <c r="C325" s="2" t="s">
        <v>3536</v>
      </c>
      <c r="D325" s="3" t="s">
        <v>3537</v>
      </c>
      <c r="E325" s="3">
        <v>4</v>
      </c>
      <c r="F325" s="3" t="s">
        <v>2001</v>
      </c>
    </row>
    <row r="326" s="2" customFormat="1" spans="1:6">
      <c r="A326" s="3"/>
      <c r="B326" s="3">
        <v>325</v>
      </c>
      <c r="C326" s="2" t="s">
        <v>2835</v>
      </c>
      <c r="D326" s="3" t="s">
        <v>2836</v>
      </c>
      <c r="E326" s="3">
        <v>121</v>
      </c>
      <c r="F326" s="3" t="s">
        <v>2001</v>
      </c>
    </row>
    <row r="327" s="2" customFormat="1" spans="1:6">
      <c r="A327" s="3"/>
      <c r="B327" s="3">
        <v>326</v>
      </c>
      <c r="C327" s="2" t="s">
        <v>2837</v>
      </c>
      <c r="D327" s="3" t="s">
        <v>2838</v>
      </c>
      <c r="E327" s="3">
        <v>57</v>
      </c>
      <c r="F327" s="3" t="s">
        <v>2001</v>
      </c>
    </row>
    <row r="328" s="2" customFormat="1" spans="1:6">
      <c r="A328" s="3"/>
      <c r="B328" s="3">
        <v>327</v>
      </c>
      <c r="C328" s="2" t="s">
        <v>2839</v>
      </c>
      <c r="D328" s="3" t="s">
        <v>2840</v>
      </c>
      <c r="E328" s="3">
        <v>5</v>
      </c>
      <c r="F328" s="3" t="s">
        <v>2001</v>
      </c>
    </row>
    <row r="329" s="2" customFormat="1" spans="1:6">
      <c r="A329" s="3"/>
      <c r="B329" s="3">
        <v>328</v>
      </c>
      <c r="C329" s="2" t="s">
        <v>2841</v>
      </c>
      <c r="D329" s="3" t="s">
        <v>2842</v>
      </c>
      <c r="E329" s="3">
        <v>5</v>
      </c>
      <c r="F329" s="3" t="s">
        <v>2001</v>
      </c>
    </row>
    <row r="330" s="2" customFormat="1" spans="1:6">
      <c r="A330" s="3"/>
      <c r="B330" s="3">
        <v>329</v>
      </c>
      <c r="C330" s="2" t="s">
        <v>2845</v>
      </c>
      <c r="D330" s="3" t="s">
        <v>2846</v>
      </c>
      <c r="E330" s="3">
        <v>40</v>
      </c>
      <c r="F330" s="3" t="s">
        <v>2001</v>
      </c>
    </row>
    <row r="331" s="2" customFormat="1" spans="1:6">
      <c r="A331" s="3"/>
      <c r="B331" s="3">
        <v>330</v>
      </c>
      <c r="C331" s="2" t="s">
        <v>3538</v>
      </c>
      <c r="D331" s="3" t="s">
        <v>3539</v>
      </c>
      <c r="E331" s="3">
        <v>1</v>
      </c>
      <c r="F331" s="3" t="s">
        <v>2016</v>
      </c>
    </row>
    <row r="332" s="2" customFormat="1" spans="1:6">
      <c r="A332" s="3"/>
      <c r="B332" s="3">
        <v>331</v>
      </c>
      <c r="C332" s="2" t="s">
        <v>2857</v>
      </c>
      <c r="D332" s="3" t="s">
        <v>2858</v>
      </c>
      <c r="E332" s="3">
        <v>8</v>
      </c>
      <c r="F332" s="3" t="s">
        <v>2001</v>
      </c>
    </row>
    <row r="333" s="2" customFormat="1" spans="1:6">
      <c r="A333" s="3"/>
      <c r="B333" s="3">
        <v>332</v>
      </c>
      <c r="C333" s="2" t="s">
        <v>2859</v>
      </c>
      <c r="D333" s="3" t="s">
        <v>2860</v>
      </c>
      <c r="E333" s="3">
        <v>17</v>
      </c>
      <c r="F333" s="3" t="s">
        <v>2001</v>
      </c>
    </row>
    <row r="334" s="2" customFormat="1" spans="1:6">
      <c r="A334" s="3"/>
      <c r="B334" s="3">
        <v>333</v>
      </c>
      <c r="C334" s="2" t="s">
        <v>2861</v>
      </c>
      <c r="D334" s="3" t="s">
        <v>2862</v>
      </c>
      <c r="E334" s="3">
        <v>9</v>
      </c>
      <c r="F334" s="3" t="s">
        <v>2001</v>
      </c>
    </row>
    <row r="335" s="2" customFormat="1" spans="1:6">
      <c r="A335" s="3"/>
      <c r="B335" s="3">
        <v>334</v>
      </c>
      <c r="C335" s="2" t="s">
        <v>2863</v>
      </c>
      <c r="D335" s="3" t="s">
        <v>2864</v>
      </c>
      <c r="E335" s="3">
        <v>9</v>
      </c>
      <c r="F335" s="3" t="s">
        <v>2001</v>
      </c>
    </row>
    <row r="336" s="2" customFormat="1" spans="1:6">
      <c r="A336" s="3"/>
      <c r="B336" s="3">
        <v>335</v>
      </c>
      <c r="C336" s="2" t="s">
        <v>2865</v>
      </c>
      <c r="D336" s="3" t="s">
        <v>2866</v>
      </c>
      <c r="E336" s="3">
        <v>9</v>
      </c>
      <c r="F336" s="3" t="s">
        <v>2001</v>
      </c>
    </row>
    <row r="337" s="2" customFormat="1" spans="1:6">
      <c r="A337" s="3"/>
      <c r="B337" s="3">
        <v>336</v>
      </c>
      <c r="C337" s="2" t="s">
        <v>2867</v>
      </c>
      <c r="D337" s="3" t="s">
        <v>2868</v>
      </c>
      <c r="E337" s="3">
        <v>10</v>
      </c>
      <c r="F337" s="3" t="s">
        <v>2001</v>
      </c>
    </row>
    <row r="338" s="2" customFormat="1" spans="1:6">
      <c r="A338" s="3"/>
      <c r="B338" s="3">
        <v>337</v>
      </c>
      <c r="C338" s="2" t="s">
        <v>2869</v>
      </c>
      <c r="D338" s="3" t="s">
        <v>2870</v>
      </c>
      <c r="E338" s="3">
        <v>6</v>
      </c>
      <c r="F338" s="3" t="s">
        <v>2001</v>
      </c>
    </row>
    <row r="339" s="2" customFormat="1" spans="1:6">
      <c r="A339" s="3"/>
      <c r="B339" s="3">
        <v>338</v>
      </c>
      <c r="C339" s="2" t="s">
        <v>2871</v>
      </c>
      <c r="D339" s="3" t="s">
        <v>2872</v>
      </c>
      <c r="E339" s="3">
        <v>10</v>
      </c>
      <c r="F339" s="3" t="s">
        <v>2001</v>
      </c>
    </row>
    <row r="340" s="2" customFormat="1" spans="1:6">
      <c r="A340" s="3"/>
      <c r="B340" s="3">
        <v>339</v>
      </c>
      <c r="C340" s="2" t="s">
        <v>2873</v>
      </c>
      <c r="D340" s="3" t="s">
        <v>2874</v>
      </c>
      <c r="E340" s="3">
        <v>7</v>
      </c>
      <c r="F340" s="3" t="s">
        <v>2001</v>
      </c>
    </row>
    <row r="341" s="2" customFormat="1" spans="1:6">
      <c r="A341" s="3"/>
      <c r="B341" s="3">
        <v>340</v>
      </c>
      <c r="C341" s="2" t="s">
        <v>2875</v>
      </c>
      <c r="D341" s="3" t="s">
        <v>2876</v>
      </c>
      <c r="E341" s="3">
        <v>6</v>
      </c>
      <c r="F341" s="3" t="s">
        <v>2001</v>
      </c>
    </row>
    <row r="342" s="2" customFormat="1" spans="1:6">
      <c r="A342" s="3"/>
      <c r="B342" s="3">
        <v>341</v>
      </c>
      <c r="C342" s="2" t="s">
        <v>3540</v>
      </c>
      <c r="D342" s="3" t="s">
        <v>3541</v>
      </c>
      <c r="E342" s="3">
        <v>6</v>
      </c>
      <c r="F342" s="3" t="s">
        <v>2001</v>
      </c>
    </row>
    <row r="343" s="2" customFormat="1" spans="1:6">
      <c r="A343" s="3"/>
      <c r="B343" s="3">
        <v>342</v>
      </c>
      <c r="C343" s="2" t="s">
        <v>2877</v>
      </c>
      <c r="D343" s="3" t="s">
        <v>2878</v>
      </c>
      <c r="E343" s="3">
        <v>18</v>
      </c>
      <c r="F343" s="3" t="s">
        <v>2001</v>
      </c>
    </row>
    <row r="344" s="2" customFormat="1" spans="1:6">
      <c r="A344" s="3"/>
      <c r="B344" s="3">
        <v>343</v>
      </c>
      <c r="C344" s="2" t="s">
        <v>2879</v>
      </c>
      <c r="D344" s="3" t="s">
        <v>2880</v>
      </c>
      <c r="E344" s="3">
        <v>19</v>
      </c>
      <c r="F344" s="3" t="s">
        <v>2001</v>
      </c>
    </row>
    <row r="345" s="2" customFormat="1" spans="1:6">
      <c r="A345" s="3"/>
      <c r="B345" s="3">
        <v>344</v>
      </c>
      <c r="C345" s="2" t="s">
        <v>2881</v>
      </c>
      <c r="D345" s="3" t="s">
        <v>2882</v>
      </c>
      <c r="E345" s="3">
        <v>6</v>
      </c>
      <c r="F345" s="3" t="s">
        <v>2001</v>
      </c>
    </row>
    <row r="346" s="2" customFormat="1" spans="1:6">
      <c r="A346" s="3"/>
      <c r="B346" s="3">
        <v>345</v>
      </c>
      <c r="C346" s="2" t="s">
        <v>2883</v>
      </c>
      <c r="D346" s="3" t="s">
        <v>2884</v>
      </c>
      <c r="E346" s="3">
        <v>18</v>
      </c>
      <c r="F346" s="3" t="s">
        <v>2001</v>
      </c>
    </row>
    <row r="347" s="2" customFormat="1" spans="1:6">
      <c r="A347" s="3"/>
      <c r="B347" s="3">
        <v>346</v>
      </c>
      <c r="C347" s="2" t="s">
        <v>2885</v>
      </c>
      <c r="D347" s="3" t="s">
        <v>2886</v>
      </c>
      <c r="E347" s="3">
        <v>10</v>
      </c>
      <c r="F347" s="3" t="s">
        <v>2001</v>
      </c>
    </row>
    <row r="348" s="2" customFormat="1" spans="1:6">
      <c r="A348" s="3"/>
      <c r="B348" s="3">
        <v>347</v>
      </c>
      <c r="C348" s="2" t="s">
        <v>2887</v>
      </c>
      <c r="D348" s="3" t="s">
        <v>2888</v>
      </c>
      <c r="E348" s="3">
        <v>9</v>
      </c>
      <c r="F348" s="3"/>
    </row>
    <row r="349" s="2" customFormat="1" spans="1:6">
      <c r="A349" s="3"/>
      <c r="B349" s="3">
        <v>348</v>
      </c>
      <c r="C349" s="2" t="s">
        <v>2889</v>
      </c>
      <c r="D349" s="3" t="s">
        <v>2890</v>
      </c>
      <c r="E349" s="3">
        <v>9</v>
      </c>
      <c r="F349" s="3" t="s">
        <v>2001</v>
      </c>
    </row>
    <row r="350" s="2" customFormat="1" spans="1:6">
      <c r="A350" s="3"/>
      <c r="B350" s="3">
        <v>349</v>
      </c>
      <c r="C350" s="2" t="s">
        <v>3542</v>
      </c>
      <c r="D350" s="3" t="s">
        <v>3543</v>
      </c>
      <c r="E350" s="3">
        <v>4</v>
      </c>
      <c r="F350" s="3" t="s">
        <v>2001</v>
      </c>
    </row>
    <row r="351" s="2" customFormat="1" spans="1:6">
      <c r="A351" s="3"/>
      <c r="B351" s="3">
        <v>350</v>
      </c>
      <c r="C351" s="2" t="s">
        <v>3544</v>
      </c>
      <c r="D351" s="3" t="s">
        <v>3545</v>
      </c>
      <c r="E351" s="3">
        <v>4</v>
      </c>
      <c r="F351" s="3" t="s">
        <v>2001</v>
      </c>
    </row>
    <row r="352" s="2" customFormat="1" spans="1:6">
      <c r="A352" s="3"/>
      <c r="B352" s="3">
        <v>351</v>
      </c>
      <c r="C352" s="2" t="s">
        <v>2891</v>
      </c>
      <c r="D352" s="3" t="s">
        <v>2892</v>
      </c>
      <c r="E352" s="3">
        <v>2</v>
      </c>
      <c r="F352" s="3" t="s">
        <v>2001</v>
      </c>
    </row>
    <row r="353" s="2" customFormat="1" spans="1:6">
      <c r="A353" s="3"/>
      <c r="B353" s="3">
        <v>352</v>
      </c>
      <c r="C353" s="2" t="s">
        <v>2893</v>
      </c>
      <c r="D353" s="3" t="s">
        <v>2894</v>
      </c>
      <c r="E353" s="3">
        <v>4</v>
      </c>
      <c r="F353" s="3" t="s">
        <v>2001</v>
      </c>
    </row>
    <row r="354" s="2" customFormat="1" spans="1:6">
      <c r="A354" s="3"/>
      <c r="B354" s="3">
        <v>353</v>
      </c>
      <c r="C354" s="2" t="s">
        <v>2895</v>
      </c>
      <c r="D354" s="3" t="s">
        <v>2896</v>
      </c>
      <c r="E354" s="3">
        <v>2</v>
      </c>
      <c r="F354" s="3" t="s">
        <v>2001</v>
      </c>
    </row>
    <row r="355" s="2" customFormat="1" spans="1:6">
      <c r="A355" s="3"/>
      <c r="B355" s="3">
        <v>354</v>
      </c>
      <c r="C355" s="2" t="s">
        <v>3546</v>
      </c>
      <c r="D355" s="3" t="s">
        <v>3547</v>
      </c>
      <c r="E355" s="3">
        <v>4</v>
      </c>
      <c r="F355" s="3" t="s">
        <v>2001</v>
      </c>
    </row>
    <row r="356" s="2" customFormat="1" spans="1:6">
      <c r="A356" s="3"/>
      <c r="B356" s="3">
        <v>355</v>
      </c>
      <c r="C356" s="2" t="s">
        <v>2897</v>
      </c>
      <c r="D356" s="3" t="s">
        <v>2898</v>
      </c>
      <c r="E356" s="3">
        <v>8</v>
      </c>
      <c r="F356" s="3" t="s">
        <v>2001</v>
      </c>
    </row>
    <row r="357" s="2" customFormat="1" spans="1:6">
      <c r="A357" s="3"/>
      <c r="B357" s="3">
        <v>356</v>
      </c>
      <c r="C357" s="2" t="s">
        <v>2899</v>
      </c>
      <c r="D357" s="3" t="s">
        <v>2900</v>
      </c>
      <c r="E357" s="3">
        <v>8</v>
      </c>
      <c r="F357" s="3" t="s">
        <v>2001</v>
      </c>
    </row>
    <row r="358" s="2" customFormat="1" spans="1:6">
      <c r="A358" s="3"/>
      <c r="B358" s="3">
        <v>357</v>
      </c>
      <c r="C358" s="2" t="s">
        <v>2901</v>
      </c>
      <c r="D358" s="3" t="s">
        <v>2902</v>
      </c>
      <c r="E358" s="3">
        <v>8</v>
      </c>
      <c r="F358" s="3" t="s">
        <v>2001</v>
      </c>
    </row>
    <row r="359" s="2" customFormat="1" spans="1:6">
      <c r="A359" s="3"/>
      <c r="B359" s="3">
        <v>358</v>
      </c>
      <c r="C359" s="2" t="s">
        <v>2903</v>
      </c>
      <c r="D359" s="3" t="s">
        <v>2904</v>
      </c>
      <c r="E359" s="3">
        <v>8</v>
      </c>
      <c r="F359" s="3" t="s">
        <v>2001</v>
      </c>
    </row>
    <row r="360" s="2" customFormat="1" spans="1:6">
      <c r="A360" s="3"/>
      <c r="B360" s="3">
        <v>359</v>
      </c>
      <c r="C360" s="2" t="s">
        <v>2905</v>
      </c>
      <c r="D360" s="3" t="s">
        <v>2906</v>
      </c>
      <c r="E360" s="3">
        <v>2</v>
      </c>
      <c r="F360" s="3" t="s">
        <v>2001</v>
      </c>
    </row>
    <row r="361" s="2" customFormat="1" spans="1:6">
      <c r="A361" s="3"/>
      <c r="B361" s="3">
        <v>360</v>
      </c>
      <c r="C361" s="2" t="s">
        <v>2907</v>
      </c>
      <c r="D361" s="3" t="s">
        <v>2908</v>
      </c>
      <c r="E361" s="3">
        <v>4</v>
      </c>
      <c r="F361" s="3" t="s">
        <v>2001</v>
      </c>
    </row>
    <row r="362" s="2" customFormat="1" spans="1:6">
      <c r="A362" s="3"/>
      <c r="B362" s="3">
        <v>361</v>
      </c>
      <c r="C362" s="2" t="s">
        <v>2909</v>
      </c>
      <c r="D362" s="3" t="s">
        <v>2910</v>
      </c>
      <c r="E362" s="3">
        <v>4</v>
      </c>
      <c r="F362" s="3" t="s">
        <v>2001</v>
      </c>
    </row>
    <row r="363" s="2" customFormat="1" spans="1:6">
      <c r="A363" s="3"/>
      <c r="B363" s="3">
        <v>362</v>
      </c>
      <c r="C363" s="2" t="s">
        <v>3548</v>
      </c>
      <c r="D363" s="3" t="s">
        <v>3549</v>
      </c>
      <c r="E363" s="3">
        <v>6</v>
      </c>
      <c r="F363" s="3" t="s">
        <v>2001</v>
      </c>
    </row>
    <row r="364" s="2" customFormat="1" spans="1:6">
      <c r="A364" s="3"/>
      <c r="B364" s="3">
        <v>363</v>
      </c>
      <c r="C364" s="2" t="s">
        <v>2911</v>
      </c>
      <c r="D364" s="3" t="s">
        <v>2912</v>
      </c>
      <c r="E364" s="3">
        <v>4</v>
      </c>
      <c r="F364" s="3" t="s">
        <v>2001</v>
      </c>
    </row>
    <row r="365" s="2" customFormat="1" spans="1:6">
      <c r="A365" s="3"/>
      <c r="B365" s="3">
        <v>364</v>
      </c>
      <c r="C365" s="2" t="s">
        <v>2913</v>
      </c>
      <c r="D365" s="3" t="s">
        <v>2914</v>
      </c>
      <c r="E365" s="3">
        <v>4</v>
      </c>
      <c r="F365" s="3" t="s">
        <v>2001</v>
      </c>
    </row>
    <row r="366" s="2" customFormat="1" spans="1:6">
      <c r="A366" s="3"/>
      <c r="B366" s="3">
        <v>365</v>
      </c>
      <c r="C366" s="2" t="s">
        <v>2915</v>
      </c>
      <c r="D366" s="3" t="s">
        <v>2916</v>
      </c>
      <c r="E366" s="3">
        <v>4</v>
      </c>
      <c r="F366" s="3" t="s">
        <v>2001</v>
      </c>
    </row>
    <row r="367" s="2" customFormat="1" spans="1:6">
      <c r="A367" s="3"/>
      <c r="B367" s="3">
        <v>366</v>
      </c>
      <c r="C367" s="2" t="s">
        <v>2917</v>
      </c>
      <c r="D367" s="3" t="s">
        <v>2918</v>
      </c>
      <c r="E367" s="3">
        <v>2</v>
      </c>
      <c r="F367" s="3" t="s">
        <v>2001</v>
      </c>
    </row>
    <row r="368" s="2" customFormat="1" spans="1:6">
      <c r="A368" s="3"/>
      <c r="B368" s="3">
        <v>367</v>
      </c>
      <c r="C368" s="2" t="s">
        <v>2919</v>
      </c>
      <c r="D368" s="3" t="s">
        <v>2920</v>
      </c>
      <c r="E368" s="3">
        <v>4</v>
      </c>
      <c r="F368" s="3" t="s">
        <v>2001</v>
      </c>
    </row>
    <row r="369" s="2" customFormat="1" spans="1:6">
      <c r="A369" s="3"/>
      <c r="B369" s="3">
        <v>368</v>
      </c>
      <c r="C369" s="2" t="s">
        <v>3550</v>
      </c>
      <c r="D369" s="3" t="s">
        <v>3551</v>
      </c>
      <c r="E369" s="3">
        <v>2</v>
      </c>
      <c r="F369" s="3" t="s">
        <v>2001</v>
      </c>
    </row>
    <row r="370" s="2" customFormat="1" spans="1:6">
      <c r="A370" s="3"/>
      <c r="B370" s="3">
        <v>369</v>
      </c>
      <c r="C370" s="2" t="s">
        <v>3552</v>
      </c>
      <c r="D370" s="3" t="s">
        <v>3553</v>
      </c>
      <c r="E370" s="3">
        <v>4</v>
      </c>
      <c r="F370" s="3" t="s">
        <v>2001</v>
      </c>
    </row>
    <row r="371" s="2" customFormat="1" spans="1:6">
      <c r="A371" s="3"/>
      <c r="B371" s="3">
        <v>370</v>
      </c>
      <c r="C371" s="2" t="s">
        <v>2925</v>
      </c>
      <c r="D371" s="3" t="s">
        <v>2926</v>
      </c>
      <c r="E371" s="3">
        <v>4</v>
      </c>
      <c r="F371" s="3" t="s">
        <v>2001</v>
      </c>
    </row>
    <row r="372" s="2" customFormat="1" spans="1:6">
      <c r="A372" s="3"/>
      <c r="B372" s="3">
        <v>371</v>
      </c>
      <c r="C372" s="2" t="s">
        <v>2929</v>
      </c>
      <c r="D372" s="3" t="s">
        <v>2930</v>
      </c>
      <c r="E372" s="3">
        <v>1</v>
      </c>
      <c r="F372" s="3" t="s">
        <v>2001</v>
      </c>
    </row>
    <row r="373" s="2" customFormat="1" spans="1:6">
      <c r="A373" s="3"/>
      <c r="B373" s="3">
        <v>372</v>
      </c>
      <c r="C373" s="2" t="s">
        <v>3554</v>
      </c>
      <c r="D373" s="3" t="s">
        <v>3555</v>
      </c>
      <c r="E373" s="3">
        <v>1</v>
      </c>
      <c r="F373" s="3" t="s">
        <v>2001</v>
      </c>
    </row>
    <row r="374" s="2" customFormat="1" spans="1:6">
      <c r="A374" s="3"/>
      <c r="B374" s="3">
        <v>373</v>
      </c>
      <c r="C374" s="2" t="s">
        <v>3556</v>
      </c>
      <c r="D374" s="3" t="s">
        <v>3557</v>
      </c>
      <c r="E374" s="3">
        <v>1</v>
      </c>
      <c r="F374" s="3" t="s">
        <v>2001</v>
      </c>
    </row>
    <row r="375" s="2" customFormat="1" spans="1:6">
      <c r="A375" s="3"/>
      <c r="B375" s="3">
        <v>374</v>
      </c>
      <c r="C375" s="2" t="s">
        <v>3558</v>
      </c>
      <c r="D375" s="3" t="s">
        <v>3559</v>
      </c>
      <c r="E375" s="3">
        <v>1</v>
      </c>
      <c r="F375" s="3" t="s">
        <v>2001</v>
      </c>
    </row>
    <row r="376" s="2" customFormat="1" spans="1:6">
      <c r="A376" s="3"/>
      <c r="B376" s="3">
        <v>375</v>
      </c>
      <c r="C376" s="2" t="s">
        <v>3560</v>
      </c>
      <c r="D376" s="3" t="s">
        <v>3561</v>
      </c>
      <c r="E376" s="3">
        <v>1</v>
      </c>
      <c r="F376" s="3" t="s">
        <v>2001</v>
      </c>
    </row>
    <row r="377" s="2" customFormat="1" spans="1:6">
      <c r="A377" s="3"/>
      <c r="B377" s="3">
        <v>376</v>
      </c>
      <c r="C377" s="2" t="s">
        <v>2949</v>
      </c>
      <c r="D377" s="3" t="s">
        <v>2950</v>
      </c>
      <c r="E377" s="3">
        <v>1</v>
      </c>
      <c r="F377" s="3" t="s">
        <v>2001</v>
      </c>
    </row>
    <row r="378" s="2" customFormat="1" spans="1:6">
      <c r="A378" s="3"/>
      <c r="B378" s="3">
        <v>377</v>
      </c>
      <c r="C378" s="2" t="s">
        <v>2955</v>
      </c>
      <c r="D378" s="3" t="s">
        <v>2956</v>
      </c>
      <c r="E378" s="3">
        <v>1</v>
      </c>
      <c r="F378" s="3" t="s">
        <v>2001</v>
      </c>
    </row>
    <row r="379" s="2" customFormat="1" spans="1:6">
      <c r="A379" s="3"/>
      <c r="B379" s="3">
        <v>378</v>
      </c>
      <c r="C379" s="2" t="s">
        <v>3562</v>
      </c>
      <c r="D379" s="3" t="s">
        <v>3563</v>
      </c>
      <c r="E379" s="3">
        <v>1</v>
      </c>
      <c r="F379" s="3" t="s">
        <v>2001</v>
      </c>
    </row>
    <row r="380" s="2" customFormat="1" spans="1:6">
      <c r="A380" s="3"/>
      <c r="B380" s="3">
        <v>379</v>
      </c>
      <c r="C380" s="2" t="s">
        <v>2963</v>
      </c>
      <c r="D380" s="3" t="s">
        <v>2964</v>
      </c>
      <c r="E380" s="3">
        <v>45</v>
      </c>
      <c r="F380" s="3" t="s">
        <v>2001</v>
      </c>
    </row>
    <row r="381" s="2" customFormat="1" spans="1:6">
      <c r="A381" s="3"/>
      <c r="B381" s="3">
        <v>380</v>
      </c>
      <c r="C381" s="2" t="s">
        <v>2967</v>
      </c>
      <c r="D381" s="3" t="s">
        <v>2968</v>
      </c>
      <c r="E381" s="3">
        <v>2</v>
      </c>
      <c r="F381" s="3" t="s">
        <v>2001</v>
      </c>
    </row>
    <row r="382" s="2" customFormat="1" spans="1:6">
      <c r="A382" s="3"/>
      <c r="B382" s="3">
        <v>381</v>
      </c>
      <c r="C382" s="2" t="s">
        <v>3564</v>
      </c>
      <c r="D382" s="3" t="s">
        <v>3565</v>
      </c>
      <c r="E382" s="3">
        <v>2</v>
      </c>
      <c r="F382" s="3" t="s">
        <v>2016</v>
      </c>
    </row>
    <row r="383" s="2" customFormat="1" spans="1:6">
      <c r="A383" s="3"/>
      <c r="B383" s="3">
        <v>382</v>
      </c>
      <c r="C383" s="2" t="s">
        <v>2971</v>
      </c>
      <c r="D383" s="3" t="s">
        <v>2972</v>
      </c>
      <c r="E383" s="3">
        <v>5</v>
      </c>
      <c r="F383" s="3" t="s">
        <v>2001</v>
      </c>
    </row>
    <row r="384" s="2" customFormat="1" spans="1:6">
      <c r="A384" s="3"/>
      <c r="B384" s="3">
        <v>383</v>
      </c>
      <c r="C384" s="2" t="s">
        <v>3566</v>
      </c>
      <c r="D384" s="3" t="s">
        <v>3567</v>
      </c>
      <c r="E384" s="3">
        <v>1</v>
      </c>
      <c r="F384" s="3" t="s">
        <v>2016</v>
      </c>
    </row>
    <row r="385" s="2" customFormat="1" spans="1:6">
      <c r="A385" s="3"/>
      <c r="B385" s="3">
        <v>384</v>
      </c>
      <c r="C385" s="2" t="s">
        <v>3568</v>
      </c>
      <c r="D385" s="3" t="s">
        <v>3569</v>
      </c>
      <c r="E385" s="3">
        <v>3</v>
      </c>
      <c r="F385" s="3" t="s">
        <v>2016</v>
      </c>
    </row>
    <row r="386" s="2" customFormat="1" spans="1:6">
      <c r="A386" s="3"/>
      <c r="B386" s="3">
        <v>385</v>
      </c>
      <c r="C386" s="2" t="s">
        <v>3570</v>
      </c>
      <c r="D386" s="3" t="s">
        <v>3571</v>
      </c>
      <c r="E386" s="3">
        <v>77</v>
      </c>
      <c r="F386" s="3" t="s">
        <v>2001</v>
      </c>
    </row>
    <row r="387" s="2" customFormat="1" spans="1:6">
      <c r="A387" s="3"/>
      <c r="B387" s="3">
        <v>386</v>
      </c>
      <c r="C387" s="2" t="s">
        <v>2973</v>
      </c>
      <c r="D387" s="3" t="s">
        <v>2974</v>
      </c>
      <c r="E387" s="3">
        <v>57</v>
      </c>
      <c r="F387" s="3" t="s">
        <v>2001</v>
      </c>
    </row>
    <row r="388" s="2" customFormat="1" spans="1:6">
      <c r="A388" s="3"/>
      <c r="B388" s="3">
        <v>387</v>
      </c>
      <c r="C388" s="2" t="s">
        <v>3572</v>
      </c>
      <c r="D388" s="3" t="s">
        <v>3573</v>
      </c>
      <c r="E388" s="3">
        <v>2</v>
      </c>
      <c r="F388" s="3" t="s">
        <v>2016</v>
      </c>
    </row>
    <row r="389" s="2" customFormat="1" spans="1:6">
      <c r="A389" s="3"/>
      <c r="B389" s="3">
        <v>388</v>
      </c>
      <c r="C389" s="2" t="s">
        <v>3001</v>
      </c>
      <c r="D389" s="3" t="s">
        <v>3002</v>
      </c>
      <c r="E389" s="3">
        <v>10</v>
      </c>
      <c r="F389" s="3" t="s">
        <v>2001</v>
      </c>
    </row>
    <row r="390" s="2" customFormat="1" spans="1:6">
      <c r="A390" s="3"/>
      <c r="B390" s="3">
        <v>389</v>
      </c>
      <c r="C390" s="2" t="s">
        <v>3003</v>
      </c>
      <c r="D390" s="3" t="s">
        <v>3004</v>
      </c>
      <c r="E390" s="3">
        <v>6</v>
      </c>
      <c r="F390" s="3" t="s">
        <v>2001</v>
      </c>
    </row>
    <row r="391" s="2" customFormat="1" spans="1:6">
      <c r="A391" s="3"/>
      <c r="B391" s="3">
        <v>390</v>
      </c>
      <c r="C391" s="2" t="s">
        <v>3005</v>
      </c>
      <c r="D391" s="3" t="s">
        <v>3006</v>
      </c>
      <c r="E391" s="3">
        <v>6</v>
      </c>
      <c r="F391" s="3" t="s">
        <v>2001</v>
      </c>
    </row>
    <row r="392" s="2" customFormat="1" spans="1:6">
      <c r="A392" s="3"/>
      <c r="B392" s="3">
        <v>391</v>
      </c>
      <c r="C392" s="2" t="s">
        <v>3007</v>
      </c>
      <c r="D392" s="3" t="s">
        <v>3008</v>
      </c>
      <c r="E392" s="3">
        <v>13</v>
      </c>
      <c r="F392" s="3" t="s">
        <v>2001</v>
      </c>
    </row>
    <row r="393" s="2" customFormat="1" spans="1:6">
      <c r="A393" s="3"/>
      <c r="B393" s="3">
        <v>392</v>
      </c>
      <c r="C393" s="2" t="s">
        <v>3009</v>
      </c>
      <c r="D393" s="3" t="s">
        <v>3010</v>
      </c>
      <c r="E393" s="3">
        <v>203</v>
      </c>
      <c r="F393" s="3" t="s">
        <v>2001</v>
      </c>
    </row>
    <row r="394" s="2" customFormat="1" spans="1:6">
      <c r="A394" s="3"/>
      <c r="B394" s="3">
        <v>393</v>
      </c>
      <c r="C394" s="2" t="s">
        <v>3574</v>
      </c>
      <c r="D394" s="3" t="s">
        <v>3575</v>
      </c>
      <c r="E394" s="3">
        <v>2</v>
      </c>
      <c r="F394" s="3" t="s">
        <v>2016</v>
      </c>
    </row>
    <row r="395" s="2" customFormat="1" spans="1:6">
      <c r="A395" s="3"/>
      <c r="B395" s="3">
        <v>394</v>
      </c>
      <c r="C395" s="2" t="s">
        <v>3023</v>
      </c>
      <c r="D395" s="3" t="s">
        <v>3024</v>
      </c>
      <c r="E395" s="3">
        <v>12</v>
      </c>
      <c r="F395" s="3" t="s">
        <v>2001</v>
      </c>
    </row>
    <row r="396" s="2" customFormat="1" spans="1:6">
      <c r="A396" s="3"/>
      <c r="B396" s="3">
        <v>395</v>
      </c>
      <c r="C396" s="2" t="s">
        <v>3025</v>
      </c>
      <c r="D396" s="3" t="s">
        <v>3026</v>
      </c>
      <c r="E396" s="3">
        <v>6</v>
      </c>
      <c r="F396" s="3" t="s">
        <v>2001</v>
      </c>
    </row>
    <row r="397" s="2" customFormat="1" spans="1:6">
      <c r="A397" s="3"/>
      <c r="B397" s="3">
        <v>396</v>
      </c>
      <c r="C397" s="2" t="s">
        <v>3027</v>
      </c>
      <c r="D397" s="3" t="s">
        <v>3028</v>
      </c>
      <c r="E397" s="3">
        <v>15</v>
      </c>
      <c r="F397" s="3" t="s">
        <v>2001</v>
      </c>
    </row>
    <row r="398" s="2" customFormat="1" spans="1:6">
      <c r="A398" s="3"/>
      <c r="B398" s="3">
        <v>397</v>
      </c>
      <c r="C398" s="2" t="s">
        <v>3029</v>
      </c>
      <c r="D398" s="3" t="s">
        <v>3030</v>
      </c>
      <c r="E398" s="3">
        <v>4</v>
      </c>
      <c r="F398" s="3" t="s">
        <v>2001</v>
      </c>
    </row>
    <row r="399" s="2" customFormat="1" spans="1:6">
      <c r="A399" s="3"/>
      <c r="B399" s="3">
        <v>398</v>
      </c>
      <c r="C399" s="2" t="s">
        <v>3031</v>
      </c>
      <c r="D399" s="3" t="s">
        <v>3032</v>
      </c>
      <c r="E399" s="3">
        <v>22</v>
      </c>
      <c r="F399" s="3" t="s">
        <v>2001</v>
      </c>
    </row>
    <row r="400" s="2" customFormat="1" spans="1:6">
      <c r="A400" s="3"/>
      <c r="B400" s="3">
        <v>399</v>
      </c>
      <c r="C400" s="2" t="s">
        <v>3033</v>
      </c>
      <c r="D400" s="3" t="s">
        <v>3034</v>
      </c>
      <c r="E400" s="3">
        <v>15</v>
      </c>
      <c r="F400" s="3" t="s">
        <v>2001</v>
      </c>
    </row>
    <row r="401" s="2" customFormat="1" spans="1:6">
      <c r="A401" s="3"/>
      <c r="B401" s="3">
        <v>400</v>
      </c>
      <c r="C401" s="2" t="s">
        <v>3035</v>
      </c>
      <c r="D401" s="3" t="s">
        <v>3036</v>
      </c>
      <c r="E401" s="3">
        <v>34</v>
      </c>
      <c r="F401" s="3" t="s">
        <v>2001</v>
      </c>
    </row>
    <row r="402" s="2" customFormat="1" spans="1:6">
      <c r="A402" s="3"/>
      <c r="B402" s="3">
        <v>401</v>
      </c>
      <c r="C402" s="2" t="s">
        <v>3037</v>
      </c>
      <c r="D402" s="3" t="s">
        <v>3038</v>
      </c>
      <c r="E402" s="3">
        <v>26</v>
      </c>
      <c r="F402" s="3" t="s">
        <v>2792</v>
      </c>
    </row>
    <row r="403" s="2" customFormat="1" spans="1:6">
      <c r="A403" s="3"/>
      <c r="B403" s="3">
        <v>402</v>
      </c>
      <c r="C403" s="2" t="s">
        <v>3039</v>
      </c>
      <c r="D403" s="3" t="s">
        <v>3040</v>
      </c>
      <c r="E403" s="3">
        <v>19</v>
      </c>
      <c r="F403" s="3" t="s">
        <v>2001</v>
      </c>
    </row>
    <row r="404" s="2" customFormat="1" spans="1:6">
      <c r="A404" s="3"/>
      <c r="B404" s="3">
        <v>403</v>
      </c>
      <c r="C404" s="2" t="s">
        <v>3041</v>
      </c>
      <c r="D404" s="3" t="s">
        <v>3042</v>
      </c>
      <c r="E404" s="3">
        <v>39</v>
      </c>
      <c r="F404" s="3" t="s">
        <v>2001</v>
      </c>
    </row>
    <row r="405" s="2" customFormat="1" spans="1:6">
      <c r="A405" s="3"/>
      <c r="B405" s="3">
        <v>404</v>
      </c>
      <c r="C405" s="2" t="s">
        <v>3043</v>
      </c>
      <c r="D405" s="3" t="s">
        <v>3044</v>
      </c>
      <c r="E405" s="3">
        <v>37</v>
      </c>
      <c r="F405" s="3" t="s">
        <v>2001</v>
      </c>
    </row>
    <row r="406" s="2" customFormat="1" spans="1:6">
      <c r="A406" s="3"/>
      <c r="B406" s="3">
        <v>405</v>
      </c>
      <c r="C406" s="2" t="s">
        <v>3576</v>
      </c>
      <c r="D406" s="3" t="s">
        <v>3577</v>
      </c>
      <c r="E406" s="3">
        <v>12</v>
      </c>
      <c r="F406" s="3" t="s">
        <v>3047</v>
      </c>
    </row>
    <row r="407" s="2" customFormat="1" spans="1:6">
      <c r="A407" s="3"/>
      <c r="B407" s="3">
        <v>406</v>
      </c>
      <c r="C407" s="2" t="s">
        <v>102</v>
      </c>
      <c r="D407" s="3" t="s">
        <v>3048</v>
      </c>
      <c r="E407" s="3">
        <v>17</v>
      </c>
      <c r="F407" s="3" t="s">
        <v>2001</v>
      </c>
    </row>
    <row r="408" s="2" customFormat="1" spans="1:6">
      <c r="A408" s="3"/>
      <c r="B408" s="3">
        <v>407</v>
      </c>
      <c r="C408" s="2" t="s">
        <v>105</v>
      </c>
      <c r="D408" s="3" t="s">
        <v>3051</v>
      </c>
      <c r="E408" s="3">
        <v>14</v>
      </c>
      <c r="F408" s="3" t="s">
        <v>2792</v>
      </c>
    </row>
    <row r="409" s="2" customFormat="1" spans="1:6">
      <c r="A409" s="3"/>
      <c r="B409" s="3">
        <v>408</v>
      </c>
      <c r="C409" s="2" t="s">
        <v>84</v>
      </c>
      <c r="D409" s="3" t="s">
        <v>3052</v>
      </c>
      <c r="E409" s="3">
        <v>112</v>
      </c>
      <c r="F409" s="3" t="s">
        <v>2001</v>
      </c>
    </row>
    <row r="410" s="2" customFormat="1" spans="1:6">
      <c r="A410" s="3"/>
      <c r="B410" s="3">
        <v>409</v>
      </c>
      <c r="C410" s="2" t="s">
        <v>3055</v>
      </c>
      <c r="D410" s="3" t="s">
        <v>3056</v>
      </c>
      <c r="E410" s="3">
        <v>8</v>
      </c>
      <c r="F410" s="3" t="s">
        <v>2001</v>
      </c>
    </row>
    <row r="411" s="2" customFormat="1" spans="1:6">
      <c r="A411" s="3"/>
      <c r="B411" s="3">
        <v>410</v>
      </c>
      <c r="C411" s="2" t="s">
        <v>3057</v>
      </c>
      <c r="D411" s="3" t="s">
        <v>3058</v>
      </c>
      <c r="E411" s="3">
        <v>2</v>
      </c>
      <c r="F411" s="3" t="s">
        <v>2001</v>
      </c>
    </row>
    <row r="412" s="2" customFormat="1" spans="1:6">
      <c r="A412" s="3"/>
      <c r="B412" s="3">
        <v>411</v>
      </c>
      <c r="C412" s="2" t="s">
        <v>3059</v>
      </c>
      <c r="D412" s="3" t="s">
        <v>3060</v>
      </c>
      <c r="E412" s="3">
        <v>2</v>
      </c>
      <c r="F412" s="3" t="s">
        <v>2001</v>
      </c>
    </row>
    <row r="413" s="2" customFormat="1" spans="1:6">
      <c r="A413" s="3"/>
      <c r="B413" s="3">
        <v>412</v>
      </c>
      <c r="C413" s="2" t="s">
        <v>3578</v>
      </c>
      <c r="D413" s="3" t="s">
        <v>3579</v>
      </c>
      <c r="E413" s="3">
        <v>2</v>
      </c>
      <c r="F413" s="3" t="s">
        <v>2001</v>
      </c>
    </row>
    <row r="414" s="2" customFormat="1" spans="1:6">
      <c r="A414" s="3"/>
      <c r="B414" s="3">
        <v>413</v>
      </c>
      <c r="C414" s="2" t="s">
        <v>3063</v>
      </c>
      <c r="D414" s="3" t="s">
        <v>3064</v>
      </c>
      <c r="E414" s="3">
        <v>2</v>
      </c>
      <c r="F414" s="3" t="s">
        <v>2001</v>
      </c>
    </row>
    <row r="415" s="2" customFormat="1" spans="1:6">
      <c r="A415" s="3"/>
      <c r="B415" s="3">
        <v>414</v>
      </c>
      <c r="C415" s="2" t="s">
        <v>3580</v>
      </c>
      <c r="D415" s="3" t="s">
        <v>3581</v>
      </c>
      <c r="E415" s="3">
        <v>2</v>
      </c>
      <c r="F415" s="3" t="s">
        <v>2001</v>
      </c>
    </row>
    <row r="416" s="2" customFormat="1" spans="1:6">
      <c r="A416" s="3"/>
      <c r="B416" s="3">
        <v>415</v>
      </c>
      <c r="C416" s="2" t="s">
        <v>3065</v>
      </c>
      <c r="D416" s="3" t="s">
        <v>3066</v>
      </c>
      <c r="E416" s="3">
        <v>2</v>
      </c>
      <c r="F416" s="3" t="s">
        <v>2001</v>
      </c>
    </row>
    <row r="417" s="2" customFormat="1" spans="1:6">
      <c r="A417" s="3"/>
      <c r="B417" s="3">
        <v>416</v>
      </c>
      <c r="C417" s="2" t="s">
        <v>3582</v>
      </c>
      <c r="D417" s="3" t="s">
        <v>3583</v>
      </c>
      <c r="E417" s="3">
        <v>6</v>
      </c>
      <c r="F417" s="3" t="s">
        <v>2001</v>
      </c>
    </row>
    <row r="418" s="2" customFormat="1" spans="1:6">
      <c r="A418" s="3"/>
      <c r="B418" s="3">
        <v>417</v>
      </c>
      <c r="C418" s="2" t="s">
        <v>3584</v>
      </c>
      <c r="D418" s="3" t="s">
        <v>3585</v>
      </c>
      <c r="E418" s="3">
        <v>2</v>
      </c>
      <c r="F418" s="3" t="s">
        <v>2001</v>
      </c>
    </row>
    <row r="419" s="2" customFormat="1" spans="1:6">
      <c r="A419" s="3"/>
      <c r="B419" s="3">
        <v>418</v>
      </c>
      <c r="C419" s="2" t="s">
        <v>3067</v>
      </c>
      <c r="D419" s="3" t="s">
        <v>3068</v>
      </c>
      <c r="E419" s="3">
        <v>2</v>
      </c>
      <c r="F419" s="3" t="s">
        <v>2001</v>
      </c>
    </row>
    <row r="420" s="2" customFormat="1" spans="1:6">
      <c r="A420" s="3"/>
      <c r="B420" s="3">
        <v>419</v>
      </c>
      <c r="C420" s="2" t="s">
        <v>3069</v>
      </c>
      <c r="D420" s="3" t="s">
        <v>3070</v>
      </c>
      <c r="E420" s="3">
        <v>6</v>
      </c>
      <c r="F420" s="3" t="s">
        <v>2001</v>
      </c>
    </row>
    <row r="421" s="2" customFormat="1" spans="1:6">
      <c r="A421" s="3"/>
      <c r="B421" s="3">
        <v>420</v>
      </c>
      <c r="C421" s="2" t="s">
        <v>3586</v>
      </c>
      <c r="D421" s="3" t="s">
        <v>3587</v>
      </c>
      <c r="E421" s="3">
        <v>2</v>
      </c>
      <c r="F421" s="3" t="s">
        <v>2001</v>
      </c>
    </row>
    <row r="422" s="2" customFormat="1" spans="1:6">
      <c r="A422" s="3"/>
      <c r="B422" s="3">
        <v>421</v>
      </c>
      <c r="C422" s="2" t="s">
        <v>3588</v>
      </c>
      <c r="D422" s="3" t="s">
        <v>3589</v>
      </c>
      <c r="E422" s="3">
        <v>2</v>
      </c>
      <c r="F422" s="3" t="s">
        <v>2001</v>
      </c>
    </row>
    <row r="423" s="2" customFormat="1" spans="1:6">
      <c r="A423" s="3"/>
      <c r="B423" s="3">
        <v>422</v>
      </c>
      <c r="C423" s="2" t="s">
        <v>3590</v>
      </c>
      <c r="D423" s="3" t="s">
        <v>3591</v>
      </c>
      <c r="E423" s="3">
        <v>2</v>
      </c>
      <c r="F423" s="3" t="s">
        <v>2001</v>
      </c>
    </row>
    <row r="424" s="2" customFormat="1" spans="1:6">
      <c r="A424" s="3"/>
      <c r="B424" s="3">
        <v>423</v>
      </c>
      <c r="C424" s="2" t="s">
        <v>3592</v>
      </c>
      <c r="D424" s="3" t="s">
        <v>3593</v>
      </c>
      <c r="E424" s="3">
        <v>2</v>
      </c>
      <c r="F424" s="3" t="s">
        <v>2001</v>
      </c>
    </row>
    <row r="425" s="2" customFormat="1" spans="1:6">
      <c r="A425" s="3"/>
      <c r="B425" s="3">
        <v>424</v>
      </c>
      <c r="C425" s="2" t="s">
        <v>3594</v>
      </c>
      <c r="D425" s="3" t="s">
        <v>3595</v>
      </c>
      <c r="E425" s="3">
        <v>2</v>
      </c>
      <c r="F425" s="3" t="s">
        <v>2001</v>
      </c>
    </row>
    <row r="426" s="2" customFormat="1" spans="1:6">
      <c r="A426" s="3"/>
      <c r="B426" s="3">
        <v>425</v>
      </c>
      <c r="C426" s="2" t="s">
        <v>3596</v>
      </c>
      <c r="D426" s="3" t="s">
        <v>3597</v>
      </c>
      <c r="E426" s="3">
        <v>2</v>
      </c>
      <c r="F426" s="3" t="s">
        <v>2001</v>
      </c>
    </row>
    <row r="427" s="2" customFormat="1" spans="1:6">
      <c r="A427" s="3"/>
      <c r="B427" s="3">
        <v>426</v>
      </c>
      <c r="C427" s="2" t="s">
        <v>3598</v>
      </c>
      <c r="D427" s="3" t="s">
        <v>3599</v>
      </c>
      <c r="E427" s="3">
        <v>2</v>
      </c>
      <c r="F427" s="3" t="s">
        <v>2001</v>
      </c>
    </row>
    <row r="428" s="2" customFormat="1" spans="1:6">
      <c r="A428" s="3"/>
      <c r="B428" s="3">
        <v>427</v>
      </c>
      <c r="C428" s="2" t="s">
        <v>3600</v>
      </c>
      <c r="D428" s="3" t="s">
        <v>3601</v>
      </c>
      <c r="E428" s="3">
        <v>2</v>
      </c>
      <c r="F428" s="3" t="s">
        <v>2001</v>
      </c>
    </row>
    <row r="429" s="2" customFormat="1" spans="1:6">
      <c r="A429" s="3"/>
      <c r="B429" s="3">
        <v>428</v>
      </c>
      <c r="C429" s="2" t="s">
        <v>3602</v>
      </c>
      <c r="D429" s="3" t="s">
        <v>3603</v>
      </c>
      <c r="E429" s="3">
        <v>2</v>
      </c>
      <c r="F429" s="3" t="s">
        <v>2001</v>
      </c>
    </row>
    <row r="430" s="2" customFormat="1" spans="1:6">
      <c r="A430" s="3"/>
      <c r="B430" s="3">
        <v>429</v>
      </c>
      <c r="C430" s="2" t="s">
        <v>3073</v>
      </c>
      <c r="D430" s="3" t="s">
        <v>3074</v>
      </c>
      <c r="E430" s="3">
        <v>4</v>
      </c>
      <c r="F430" s="3" t="s">
        <v>2001</v>
      </c>
    </row>
    <row r="431" s="2" customFormat="1" spans="1:6">
      <c r="A431" s="3"/>
      <c r="B431" s="3">
        <v>430</v>
      </c>
      <c r="C431" s="2" t="s">
        <v>3604</v>
      </c>
      <c r="D431" s="3" t="s">
        <v>3605</v>
      </c>
      <c r="E431" s="3">
        <v>2</v>
      </c>
      <c r="F431" s="3" t="s">
        <v>2001</v>
      </c>
    </row>
    <row r="432" s="2" customFormat="1" spans="1:6">
      <c r="A432" s="3"/>
      <c r="B432" s="3">
        <v>431</v>
      </c>
      <c r="C432" s="2" t="s">
        <v>3606</v>
      </c>
      <c r="D432" s="3" t="s">
        <v>3607</v>
      </c>
      <c r="E432" s="3">
        <v>2</v>
      </c>
      <c r="F432" s="3" t="s">
        <v>2001</v>
      </c>
    </row>
    <row r="433" s="2" customFormat="1" spans="1:6">
      <c r="A433" s="3"/>
      <c r="B433" s="3">
        <v>432</v>
      </c>
      <c r="C433" s="2" t="s">
        <v>3075</v>
      </c>
      <c r="D433" s="3" t="s">
        <v>3076</v>
      </c>
      <c r="E433" s="3">
        <v>2</v>
      </c>
      <c r="F433" s="3" t="s">
        <v>2001</v>
      </c>
    </row>
    <row r="434" s="2" customFormat="1" spans="1:6">
      <c r="A434" s="3"/>
      <c r="B434" s="3">
        <v>433</v>
      </c>
      <c r="C434" s="2" t="s">
        <v>3608</v>
      </c>
      <c r="D434" s="3" t="s">
        <v>3609</v>
      </c>
      <c r="E434" s="3">
        <v>4</v>
      </c>
      <c r="F434" s="3" t="s">
        <v>2001</v>
      </c>
    </row>
    <row r="435" s="2" customFormat="1" spans="1:6">
      <c r="A435" s="3"/>
      <c r="B435" s="3">
        <v>434</v>
      </c>
      <c r="C435" s="2" t="s">
        <v>3610</v>
      </c>
      <c r="D435" s="3" t="s">
        <v>3611</v>
      </c>
      <c r="E435" s="3">
        <v>2</v>
      </c>
      <c r="F435" s="3" t="s">
        <v>2001</v>
      </c>
    </row>
    <row r="436" s="2" customFormat="1" spans="1:6">
      <c r="A436" s="3"/>
      <c r="B436" s="3">
        <v>435</v>
      </c>
      <c r="C436" s="2" t="s">
        <v>3612</v>
      </c>
      <c r="D436" s="3" t="s">
        <v>3613</v>
      </c>
      <c r="E436" s="3">
        <v>2</v>
      </c>
      <c r="F436" s="3" t="s">
        <v>2001</v>
      </c>
    </row>
    <row r="437" s="2" customFormat="1" spans="1:6">
      <c r="A437" s="3"/>
      <c r="B437" s="3">
        <v>436</v>
      </c>
      <c r="C437" s="2" t="s">
        <v>3614</v>
      </c>
      <c r="D437" s="3" t="s">
        <v>3615</v>
      </c>
      <c r="E437" s="3">
        <v>2</v>
      </c>
      <c r="F437" s="3" t="s">
        <v>2001</v>
      </c>
    </row>
    <row r="438" s="2" customFormat="1" spans="1:6">
      <c r="A438" s="3"/>
      <c r="B438" s="3">
        <v>437</v>
      </c>
      <c r="C438" s="2" t="s">
        <v>3616</v>
      </c>
      <c r="D438" s="3" t="s">
        <v>3617</v>
      </c>
      <c r="E438" s="3">
        <v>2</v>
      </c>
      <c r="F438" s="3" t="s">
        <v>2001</v>
      </c>
    </row>
    <row r="439" s="2" customFormat="1" spans="1:6">
      <c r="A439" s="3"/>
      <c r="B439" s="3">
        <v>438</v>
      </c>
      <c r="C439" s="2" t="s">
        <v>3618</v>
      </c>
      <c r="D439" s="3" t="s">
        <v>3619</v>
      </c>
      <c r="E439" s="3">
        <v>1</v>
      </c>
      <c r="F439" s="3" t="s">
        <v>2001</v>
      </c>
    </row>
    <row r="440" s="2" customFormat="1" spans="1:6">
      <c r="A440" s="3"/>
      <c r="B440" s="3">
        <v>439</v>
      </c>
      <c r="C440" s="2" t="s">
        <v>3620</v>
      </c>
      <c r="D440" s="3" t="s">
        <v>3621</v>
      </c>
      <c r="E440" s="3">
        <v>1</v>
      </c>
      <c r="F440" s="3" t="s">
        <v>2001</v>
      </c>
    </row>
    <row r="441" s="2" customFormat="1" spans="1:6">
      <c r="A441" s="3"/>
      <c r="B441" s="3">
        <v>440</v>
      </c>
      <c r="C441" s="2" t="s">
        <v>3077</v>
      </c>
      <c r="D441" s="3" t="s">
        <v>3078</v>
      </c>
      <c r="E441" s="3">
        <v>2</v>
      </c>
      <c r="F441" s="3" t="s">
        <v>2001</v>
      </c>
    </row>
    <row r="442" s="2" customFormat="1" spans="1:6">
      <c r="A442" s="3"/>
      <c r="B442" s="3">
        <v>441</v>
      </c>
      <c r="C442" s="2" t="s">
        <v>3079</v>
      </c>
      <c r="D442" s="3" t="s">
        <v>3080</v>
      </c>
      <c r="E442" s="3">
        <v>2</v>
      </c>
      <c r="F442" s="3" t="s">
        <v>2001</v>
      </c>
    </row>
    <row r="443" s="2" customFormat="1" spans="1:6">
      <c r="A443" s="3"/>
      <c r="B443" s="3">
        <v>442</v>
      </c>
      <c r="C443" s="2" t="s">
        <v>3081</v>
      </c>
      <c r="D443" s="3" t="s">
        <v>3082</v>
      </c>
      <c r="E443" s="3">
        <v>1</v>
      </c>
      <c r="F443" s="3" t="s">
        <v>2001</v>
      </c>
    </row>
    <row r="444" s="2" customFormat="1" spans="1:6">
      <c r="A444" s="3"/>
      <c r="B444" s="3">
        <v>443</v>
      </c>
      <c r="C444" s="2" t="s">
        <v>3083</v>
      </c>
      <c r="D444" s="3" t="s">
        <v>3084</v>
      </c>
      <c r="E444" s="3">
        <v>1</v>
      </c>
      <c r="F444" s="3" t="s">
        <v>2001</v>
      </c>
    </row>
    <row r="445" s="2" customFormat="1" spans="1:6">
      <c r="A445" s="3"/>
      <c r="B445" s="3">
        <v>444</v>
      </c>
      <c r="C445" s="2" t="s">
        <v>3085</v>
      </c>
      <c r="D445" s="3" t="s">
        <v>3086</v>
      </c>
      <c r="E445" s="3">
        <v>1</v>
      </c>
      <c r="F445" s="3" t="s">
        <v>2001</v>
      </c>
    </row>
    <row r="446" s="2" customFormat="1" spans="1:6">
      <c r="A446" s="3"/>
      <c r="B446" s="3">
        <v>445</v>
      </c>
      <c r="C446" s="2" t="s">
        <v>3087</v>
      </c>
      <c r="D446" s="3" t="s">
        <v>3088</v>
      </c>
      <c r="E446" s="3">
        <v>1</v>
      </c>
      <c r="F446" s="3" t="s">
        <v>2001</v>
      </c>
    </row>
    <row r="447" s="2" customFormat="1" spans="1:6">
      <c r="A447" s="3"/>
      <c r="B447" s="3">
        <v>446</v>
      </c>
      <c r="C447" s="2" t="s">
        <v>3622</v>
      </c>
      <c r="D447" s="3" t="s">
        <v>3623</v>
      </c>
      <c r="E447" s="3">
        <v>2</v>
      </c>
      <c r="F447" s="3" t="s">
        <v>2001</v>
      </c>
    </row>
    <row r="448" s="2" customFormat="1" spans="1:6">
      <c r="A448" s="3"/>
      <c r="B448" s="3">
        <v>447</v>
      </c>
      <c r="C448" s="2" t="s">
        <v>3624</v>
      </c>
      <c r="D448" s="3" t="s">
        <v>3625</v>
      </c>
      <c r="E448" s="3">
        <v>2</v>
      </c>
      <c r="F448" s="3" t="s">
        <v>2001</v>
      </c>
    </row>
    <row r="449" s="2" customFormat="1" spans="1:6">
      <c r="A449" s="3"/>
      <c r="B449" s="3">
        <v>448</v>
      </c>
      <c r="C449" s="2" t="s">
        <v>3626</v>
      </c>
      <c r="D449" s="3" t="s">
        <v>3627</v>
      </c>
      <c r="E449" s="3">
        <v>1</v>
      </c>
      <c r="F449" s="3" t="s">
        <v>2001</v>
      </c>
    </row>
    <row r="450" s="2" customFormat="1" spans="1:6">
      <c r="A450" s="3"/>
      <c r="B450" s="3">
        <v>449</v>
      </c>
      <c r="C450" s="2" t="s">
        <v>3628</v>
      </c>
      <c r="D450" s="3" t="s">
        <v>3629</v>
      </c>
      <c r="E450" s="3">
        <v>1</v>
      </c>
      <c r="F450" s="3" t="s">
        <v>2001</v>
      </c>
    </row>
    <row r="451" s="2" customFormat="1" spans="1:6">
      <c r="A451" s="3"/>
      <c r="B451" s="3">
        <v>450</v>
      </c>
      <c r="C451" s="2" t="s">
        <v>3093</v>
      </c>
      <c r="D451" s="3" t="s">
        <v>3094</v>
      </c>
      <c r="E451" s="3">
        <v>1</v>
      </c>
      <c r="F451" s="3" t="s">
        <v>2001</v>
      </c>
    </row>
    <row r="452" s="2" customFormat="1" spans="1:6">
      <c r="A452" s="3"/>
      <c r="B452" s="3">
        <v>451</v>
      </c>
      <c r="C452" s="2" t="s">
        <v>3095</v>
      </c>
      <c r="D452" s="3" t="s">
        <v>3096</v>
      </c>
      <c r="E452" s="3">
        <v>1</v>
      </c>
      <c r="F452" s="3" t="s">
        <v>2001</v>
      </c>
    </row>
    <row r="453" s="2" customFormat="1" spans="1:6">
      <c r="A453" s="3"/>
      <c r="B453" s="3">
        <v>452</v>
      </c>
      <c r="C453" s="2" t="s">
        <v>3630</v>
      </c>
      <c r="D453" s="3" t="s">
        <v>3631</v>
      </c>
      <c r="E453" s="3">
        <v>2</v>
      </c>
      <c r="F453" s="3" t="s">
        <v>2001</v>
      </c>
    </row>
    <row r="454" s="2" customFormat="1" spans="1:6">
      <c r="A454" s="3"/>
      <c r="B454" s="3">
        <v>453</v>
      </c>
      <c r="C454" s="2" t="s">
        <v>3632</v>
      </c>
      <c r="D454" s="3" t="s">
        <v>3633</v>
      </c>
      <c r="E454" s="3">
        <v>2</v>
      </c>
      <c r="F454" s="3" t="s">
        <v>2001</v>
      </c>
    </row>
    <row r="455" s="2" customFormat="1" spans="1:6">
      <c r="A455" s="3"/>
      <c r="B455" s="3">
        <v>454</v>
      </c>
      <c r="C455" s="2" t="s">
        <v>3097</v>
      </c>
      <c r="D455" s="3" t="s">
        <v>3098</v>
      </c>
      <c r="E455" s="3">
        <v>1</v>
      </c>
      <c r="F455" s="3" t="s">
        <v>2001</v>
      </c>
    </row>
    <row r="456" s="2" customFormat="1" spans="1:6">
      <c r="A456" s="3"/>
      <c r="B456" s="3">
        <v>455</v>
      </c>
      <c r="C456" s="2" t="s">
        <v>3099</v>
      </c>
      <c r="D456" s="3" t="s">
        <v>3100</v>
      </c>
      <c r="E456" s="3">
        <v>1</v>
      </c>
      <c r="F456" s="3" t="s">
        <v>2001</v>
      </c>
    </row>
    <row r="457" s="2" customFormat="1" spans="1:6">
      <c r="A457" s="3"/>
      <c r="B457" s="3">
        <v>456</v>
      </c>
      <c r="C457" s="2" t="s">
        <v>3101</v>
      </c>
      <c r="D457" s="3" t="s">
        <v>3102</v>
      </c>
      <c r="E457" s="3">
        <v>1</v>
      </c>
      <c r="F457" s="3" t="s">
        <v>2001</v>
      </c>
    </row>
    <row r="458" s="2" customFormat="1" spans="1:6">
      <c r="A458" s="3"/>
      <c r="B458" s="3">
        <v>457</v>
      </c>
      <c r="C458" s="2" t="s">
        <v>3103</v>
      </c>
      <c r="D458" s="3" t="s">
        <v>3104</v>
      </c>
      <c r="E458" s="3">
        <v>1</v>
      </c>
      <c r="F458" s="3" t="s">
        <v>2001</v>
      </c>
    </row>
    <row r="459" s="2" customFormat="1" spans="1:6">
      <c r="A459" s="3"/>
      <c r="B459" s="3">
        <v>458</v>
      </c>
      <c r="C459" s="2" t="s">
        <v>3105</v>
      </c>
      <c r="D459" s="3" t="s">
        <v>3106</v>
      </c>
      <c r="E459" s="3">
        <v>1</v>
      </c>
      <c r="F459" s="3" t="s">
        <v>2001</v>
      </c>
    </row>
    <row r="460" s="2" customFormat="1" spans="1:6">
      <c r="A460" s="3"/>
      <c r="B460" s="3">
        <v>459</v>
      </c>
      <c r="C460" s="2" t="s">
        <v>3107</v>
      </c>
      <c r="D460" s="3" t="s">
        <v>3108</v>
      </c>
      <c r="E460" s="3">
        <v>1</v>
      </c>
      <c r="F460" s="3" t="s">
        <v>2001</v>
      </c>
    </row>
    <row r="461" s="2" customFormat="1" spans="1:6">
      <c r="A461" s="3"/>
      <c r="B461" s="3">
        <v>460</v>
      </c>
      <c r="C461" s="2" t="s">
        <v>3109</v>
      </c>
      <c r="D461" s="3" t="s">
        <v>3110</v>
      </c>
      <c r="E461" s="3">
        <v>1</v>
      </c>
      <c r="F461" s="3" t="s">
        <v>2001</v>
      </c>
    </row>
    <row r="462" s="2" customFormat="1" spans="1:6">
      <c r="A462" s="3"/>
      <c r="B462" s="3">
        <v>461</v>
      </c>
      <c r="C462" s="2" t="s">
        <v>3111</v>
      </c>
      <c r="D462" s="3" t="s">
        <v>3112</v>
      </c>
      <c r="E462" s="3">
        <v>1</v>
      </c>
      <c r="F462" s="3" t="s">
        <v>2001</v>
      </c>
    </row>
    <row r="463" s="2" customFormat="1" spans="1:6">
      <c r="A463" s="3"/>
      <c r="B463" s="3">
        <v>462</v>
      </c>
      <c r="C463" s="2" t="s">
        <v>3634</v>
      </c>
      <c r="D463" s="3" t="s">
        <v>3635</v>
      </c>
      <c r="E463" s="3">
        <v>1</v>
      </c>
      <c r="F463" s="3" t="s">
        <v>2001</v>
      </c>
    </row>
    <row r="464" s="2" customFormat="1" spans="1:6">
      <c r="A464" s="3"/>
      <c r="B464" s="3">
        <v>463</v>
      </c>
      <c r="C464" s="2" t="s">
        <v>3636</v>
      </c>
      <c r="D464" s="3" t="s">
        <v>3637</v>
      </c>
      <c r="E464" s="3">
        <v>1</v>
      </c>
      <c r="F464" s="3" t="s">
        <v>2001</v>
      </c>
    </row>
    <row r="465" s="2" customFormat="1" spans="1:6">
      <c r="A465" s="3"/>
      <c r="B465" s="3">
        <v>464</v>
      </c>
      <c r="C465" s="2" t="s">
        <v>3638</v>
      </c>
      <c r="D465" s="3" t="s">
        <v>3639</v>
      </c>
      <c r="E465" s="3">
        <v>2</v>
      </c>
      <c r="F465" s="3" t="s">
        <v>2001</v>
      </c>
    </row>
    <row r="466" s="2" customFormat="1" spans="1:6">
      <c r="A466" s="3"/>
      <c r="B466" s="3">
        <v>465</v>
      </c>
      <c r="C466" s="2" t="s">
        <v>3640</v>
      </c>
      <c r="D466" s="3" t="s">
        <v>3641</v>
      </c>
      <c r="E466" s="3">
        <v>2</v>
      </c>
      <c r="F466" s="3" t="s">
        <v>2001</v>
      </c>
    </row>
    <row r="467" s="2" customFormat="1" spans="1:6">
      <c r="A467" s="3"/>
      <c r="B467" s="3">
        <v>466</v>
      </c>
      <c r="C467" s="2" t="s">
        <v>3642</v>
      </c>
      <c r="D467" s="3" t="s">
        <v>3643</v>
      </c>
      <c r="E467" s="3">
        <v>1</v>
      </c>
      <c r="F467" s="3" t="s">
        <v>2001</v>
      </c>
    </row>
    <row r="468" s="2" customFormat="1" spans="1:6">
      <c r="A468" s="3"/>
      <c r="B468" s="3">
        <v>467</v>
      </c>
      <c r="C468" s="2" t="s">
        <v>3644</v>
      </c>
      <c r="D468" s="3" t="s">
        <v>3645</v>
      </c>
      <c r="E468" s="3">
        <v>1</v>
      </c>
      <c r="F468" s="3" t="s">
        <v>2001</v>
      </c>
    </row>
    <row r="469" s="2" customFormat="1" spans="1:6">
      <c r="A469" s="3"/>
      <c r="B469" s="3">
        <v>468</v>
      </c>
      <c r="C469" s="2" t="s">
        <v>3646</v>
      </c>
      <c r="D469" s="3" t="s">
        <v>3647</v>
      </c>
      <c r="E469" s="3">
        <v>2</v>
      </c>
      <c r="F469" s="3" t="s">
        <v>2001</v>
      </c>
    </row>
    <row r="470" s="2" customFormat="1" spans="1:6">
      <c r="A470" s="3"/>
      <c r="B470" s="3">
        <v>469</v>
      </c>
      <c r="C470" s="2" t="s">
        <v>3648</v>
      </c>
      <c r="D470" s="3" t="s">
        <v>3649</v>
      </c>
      <c r="E470" s="3">
        <v>2</v>
      </c>
      <c r="F470" s="3" t="s">
        <v>2001</v>
      </c>
    </row>
    <row r="471" s="2" customFormat="1" spans="1:6">
      <c r="A471" s="3"/>
      <c r="B471" s="3">
        <v>470</v>
      </c>
      <c r="C471" s="2" t="s">
        <v>3650</v>
      </c>
      <c r="D471" s="3" t="s">
        <v>3651</v>
      </c>
      <c r="E471" s="3">
        <v>2</v>
      </c>
      <c r="F471" s="3" t="s">
        <v>2001</v>
      </c>
    </row>
    <row r="472" s="2" customFormat="1" spans="1:6">
      <c r="A472" s="3"/>
      <c r="B472" s="3">
        <v>471</v>
      </c>
      <c r="C472" s="2" t="s">
        <v>3652</v>
      </c>
      <c r="D472" s="3" t="s">
        <v>3653</v>
      </c>
      <c r="E472" s="3">
        <v>1</v>
      </c>
      <c r="F472" s="3" t="s">
        <v>2001</v>
      </c>
    </row>
    <row r="473" s="2" customFormat="1" spans="1:6">
      <c r="A473" s="3"/>
      <c r="B473" s="3">
        <v>472</v>
      </c>
      <c r="C473" s="2" t="s">
        <v>3654</v>
      </c>
      <c r="D473" s="3" t="s">
        <v>3655</v>
      </c>
      <c r="E473" s="3">
        <v>1</v>
      </c>
      <c r="F473" s="3" t="s">
        <v>2001</v>
      </c>
    </row>
    <row r="474" s="2" customFormat="1" spans="1:6">
      <c r="A474" s="3"/>
      <c r="B474" s="3">
        <v>473</v>
      </c>
      <c r="C474" s="2" t="s">
        <v>3656</v>
      </c>
      <c r="D474" s="3" t="s">
        <v>3657</v>
      </c>
      <c r="E474" s="3">
        <v>2</v>
      </c>
      <c r="F474" s="3" t="s">
        <v>2001</v>
      </c>
    </row>
    <row r="475" s="2" customFormat="1" spans="1:6">
      <c r="A475" s="3"/>
      <c r="B475" s="3">
        <v>474</v>
      </c>
      <c r="C475" s="2" t="s">
        <v>3658</v>
      </c>
      <c r="D475" s="3" t="s">
        <v>3659</v>
      </c>
      <c r="E475" s="3">
        <v>2</v>
      </c>
      <c r="F475" s="3" t="s">
        <v>2001</v>
      </c>
    </row>
    <row r="476" s="2" customFormat="1" spans="1:6">
      <c r="A476" s="3"/>
      <c r="B476" s="3">
        <v>475</v>
      </c>
      <c r="C476" s="2" t="s">
        <v>3660</v>
      </c>
      <c r="D476" s="3" t="s">
        <v>3661</v>
      </c>
      <c r="E476" s="3">
        <v>1</v>
      </c>
      <c r="F476" s="3" t="s">
        <v>2001</v>
      </c>
    </row>
    <row r="477" s="2" customFormat="1" spans="1:6">
      <c r="A477" s="3"/>
      <c r="B477" s="3">
        <v>476</v>
      </c>
      <c r="C477" s="2" t="s">
        <v>3662</v>
      </c>
      <c r="D477" s="3" t="s">
        <v>3663</v>
      </c>
      <c r="E477" s="3">
        <v>1</v>
      </c>
      <c r="F477" s="3" t="s">
        <v>2001</v>
      </c>
    </row>
    <row r="478" s="2" customFormat="1" spans="1:6">
      <c r="A478" s="3"/>
      <c r="B478" s="3">
        <v>477</v>
      </c>
      <c r="C478" s="2" t="s">
        <v>3664</v>
      </c>
      <c r="D478" s="3" t="s">
        <v>3665</v>
      </c>
      <c r="E478" s="3">
        <v>1</v>
      </c>
      <c r="F478" s="3" t="s">
        <v>3360</v>
      </c>
    </row>
    <row r="479" s="2" customFormat="1" spans="1:6">
      <c r="A479" s="3"/>
      <c r="B479" s="3">
        <v>478</v>
      </c>
      <c r="C479" s="2" t="s">
        <v>3666</v>
      </c>
      <c r="D479" s="3" t="s">
        <v>3667</v>
      </c>
      <c r="E479" s="3">
        <v>1</v>
      </c>
      <c r="F479" s="3" t="s">
        <v>3360</v>
      </c>
    </row>
    <row r="480" s="2" customFormat="1" spans="1:6">
      <c r="A480" s="3"/>
      <c r="B480" s="3">
        <v>479</v>
      </c>
      <c r="C480" s="2" t="s">
        <v>3668</v>
      </c>
      <c r="D480" s="3" t="s">
        <v>3669</v>
      </c>
      <c r="E480" s="3">
        <v>2</v>
      </c>
      <c r="F480" s="3" t="s">
        <v>2001</v>
      </c>
    </row>
    <row r="481" s="2" customFormat="1" spans="1:6">
      <c r="A481" s="3"/>
      <c r="B481" s="3">
        <v>480</v>
      </c>
      <c r="C481" s="2" t="s">
        <v>3670</v>
      </c>
      <c r="D481" s="3" t="s">
        <v>3671</v>
      </c>
      <c r="E481" s="3">
        <v>2</v>
      </c>
      <c r="F481" s="3" t="s">
        <v>2001</v>
      </c>
    </row>
    <row r="482" s="2" customFormat="1" spans="1:6">
      <c r="A482" s="3"/>
      <c r="B482" s="3">
        <v>481</v>
      </c>
      <c r="C482" s="2" t="s">
        <v>3672</v>
      </c>
      <c r="D482" s="3" t="s">
        <v>3673</v>
      </c>
      <c r="E482" s="3">
        <v>2</v>
      </c>
      <c r="F482" s="3" t="s">
        <v>2001</v>
      </c>
    </row>
    <row r="483" s="2" customFormat="1" spans="1:6">
      <c r="A483" s="3"/>
      <c r="B483" s="3">
        <v>482</v>
      </c>
      <c r="C483" s="2" t="s">
        <v>3674</v>
      </c>
      <c r="D483" s="3" t="s">
        <v>3675</v>
      </c>
      <c r="E483" s="3">
        <v>2</v>
      </c>
      <c r="F483" s="3" t="s">
        <v>2001</v>
      </c>
    </row>
    <row r="484" s="2" customFormat="1" spans="1:6">
      <c r="A484" s="3"/>
      <c r="B484" s="3">
        <v>483</v>
      </c>
      <c r="C484" s="2" t="s">
        <v>3113</v>
      </c>
      <c r="D484" s="3" t="s">
        <v>3114</v>
      </c>
      <c r="E484" s="3">
        <v>1</v>
      </c>
      <c r="F484" s="3" t="s">
        <v>2001</v>
      </c>
    </row>
    <row r="485" s="2" customFormat="1" spans="1:6">
      <c r="A485" s="3"/>
      <c r="B485" s="3">
        <v>484</v>
      </c>
      <c r="C485" s="2" t="s">
        <v>3115</v>
      </c>
      <c r="D485" s="3" t="s">
        <v>3116</v>
      </c>
      <c r="E485" s="3">
        <v>1</v>
      </c>
      <c r="F485" s="3" t="s">
        <v>2001</v>
      </c>
    </row>
    <row r="486" s="2" customFormat="1" spans="1:6">
      <c r="A486" s="3"/>
      <c r="B486" s="3">
        <v>485</v>
      </c>
      <c r="C486" s="2" t="s">
        <v>3676</v>
      </c>
      <c r="D486" s="3" t="s">
        <v>3677</v>
      </c>
      <c r="E486" s="3">
        <v>1</v>
      </c>
      <c r="F486" s="3" t="s">
        <v>2001</v>
      </c>
    </row>
    <row r="487" s="2" customFormat="1" spans="1:6">
      <c r="A487" s="3"/>
      <c r="B487" s="3">
        <v>486</v>
      </c>
      <c r="C487" s="2" t="s">
        <v>3117</v>
      </c>
      <c r="D487" s="3" t="s">
        <v>3118</v>
      </c>
      <c r="E487" s="3">
        <v>1</v>
      </c>
      <c r="F487" s="3" t="s">
        <v>2001</v>
      </c>
    </row>
    <row r="488" s="2" customFormat="1" spans="1:6">
      <c r="A488" s="3"/>
      <c r="B488" s="3">
        <v>487</v>
      </c>
      <c r="C488" s="2" t="s">
        <v>3119</v>
      </c>
      <c r="D488" s="3" t="s">
        <v>3120</v>
      </c>
      <c r="E488" s="3">
        <v>1</v>
      </c>
      <c r="F488" s="3" t="s">
        <v>2001</v>
      </c>
    </row>
    <row r="489" s="2" customFormat="1" spans="1:6">
      <c r="A489" s="3"/>
      <c r="B489" s="3">
        <v>488</v>
      </c>
      <c r="C489" s="2" t="s">
        <v>3678</v>
      </c>
      <c r="D489" s="3" t="s">
        <v>3679</v>
      </c>
      <c r="E489" s="3">
        <v>1</v>
      </c>
      <c r="F489" s="3" t="s">
        <v>2001</v>
      </c>
    </row>
    <row r="490" s="2" customFormat="1" spans="1:6">
      <c r="A490" s="3"/>
      <c r="B490" s="3">
        <v>489</v>
      </c>
      <c r="C490" s="2" t="s">
        <v>3680</v>
      </c>
      <c r="D490" s="3" t="s">
        <v>3681</v>
      </c>
      <c r="E490" s="3">
        <v>1</v>
      </c>
      <c r="F490" s="3" t="s">
        <v>2001</v>
      </c>
    </row>
    <row r="491" s="2" customFormat="1" spans="1:6">
      <c r="A491" s="3"/>
      <c r="B491" s="3">
        <v>490</v>
      </c>
      <c r="C491" s="2" t="s">
        <v>3121</v>
      </c>
      <c r="D491" s="3" t="s">
        <v>3122</v>
      </c>
      <c r="E491" s="3">
        <v>1</v>
      </c>
      <c r="F491" s="3" t="s">
        <v>2001</v>
      </c>
    </row>
    <row r="492" s="2" customFormat="1" spans="1:6">
      <c r="A492" s="3"/>
      <c r="B492" s="3">
        <v>491</v>
      </c>
      <c r="C492" s="2" t="s">
        <v>3123</v>
      </c>
      <c r="D492" s="3" t="s">
        <v>3124</v>
      </c>
      <c r="E492" s="3">
        <v>1</v>
      </c>
      <c r="F492" s="3" t="s">
        <v>2001</v>
      </c>
    </row>
    <row r="493" s="2" customFormat="1" spans="1:6">
      <c r="A493" s="3"/>
      <c r="B493" s="3">
        <v>492</v>
      </c>
      <c r="C493" s="2" t="s">
        <v>3682</v>
      </c>
      <c r="D493" s="3" t="s">
        <v>3683</v>
      </c>
      <c r="E493" s="3">
        <v>2</v>
      </c>
      <c r="F493" s="3" t="s">
        <v>2001</v>
      </c>
    </row>
    <row r="494" s="2" customFormat="1" spans="1:6">
      <c r="A494" s="3"/>
      <c r="B494" s="3">
        <v>493</v>
      </c>
      <c r="C494" s="2" t="s">
        <v>3684</v>
      </c>
      <c r="D494" s="3" t="s">
        <v>3685</v>
      </c>
      <c r="E494" s="3">
        <v>1</v>
      </c>
      <c r="F494" s="3" t="s">
        <v>2001</v>
      </c>
    </row>
    <row r="495" s="2" customFormat="1" spans="1:6">
      <c r="A495" s="3"/>
      <c r="B495" s="3">
        <v>494</v>
      </c>
      <c r="C495" s="2" t="s">
        <v>3686</v>
      </c>
      <c r="D495" s="3" t="s">
        <v>3687</v>
      </c>
      <c r="E495" s="3">
        <v>1</v>
      </c>
      <c r="F495" s="3" t="s">
        <v>2001</v>
      </c>
    </row>
    <row r="496" s="2" customFormat="1" spans="1:6">
      <c r="A496" s="3"/>
      <c r="B496" s="3">
        <v>495</v>
      </c>
      <c r="C496" s="2" t="s">
        <v>3688</v>
      </c>
      <c r="D496" s="3" t="s">
        <v>3689</v>
      </c>
      <c r="E496" s="3">
        <v>1</v>
      </c>
      <c r="F496" s="3" t="s">
        <v>2001</v>
      </c>
    </row>
    <row r="497" s="2" customFormat="1" spans="1:6">
      <c r="A497" s="3"/>
      <c r="B497" s="3">
        <v>496</v>
      </c>
      <c r="C497" s="2" t="s">
        <v>3690</v>
      </c>
      <c r="D497" s="3" t="s">
        <v>3691</v>
      </c>
      <c r="E497" s="3">
        <v>1</v>
      </c>
      <c r="F497" s="3" t="s">
        <v>2001</v>
      </c>
    </row>
    <row r="498" s="2" customFormat="1" spans="1:6">
      <c r="A498" s="3"/>
      <c r="B498" s="3">
        <v>497</v>
      </c>
      <c r="C498" s="2" t="s">
        <v>3692</v>
      </c>
      <c r="D498" s="3" t="s">
        <v>3693</v>
      </c>
      <c r="E498" s="3">
        <v>2</v>
      </c>
      <c r="F498" s="3" t="s">
        <v>2001</v>
      </c>
    </row>
    <row r="499" s="2" customFormat="1" spans="1:6">
      <c r="A499" s="3"/>
      <c r="B499" s="3">
        <v>498</v>
      </c>
      <c r="C499" s="2" t="s">
        <v>3694</v>
      </c>
      <c r="D499" s="3" t="s">
        <v>3695</v>
      </c>
      <c r="E499" s="3">
        <v>2</v>
      </c>
      <c r="F499" s="3" t="s">
        <v>2001</v>
      </c>
    </row>
    <row r="500" s="2" customFormat="1" spans="1:6">
      <c r="A500" s="3"/>
      <c r="B500" s="3">
        <v>499</v>
      </c>
      <c r="C500" s="2" t="s">
        <v>3696</v>
      </c>
      <c r="D500" s="3" t="s">
        <v>3697</v>
      </c>
      <c r="E500" s="3">
        <v>1</v>
      </c>
      <c r="F500" s="3" t="s">
        <v>2001</v>
      </c>
    </row>
    <row r="501" s="2" customFormat="1" spans="1:6">
      <c r="A501" s="3"/>
      <c r="B501" s="3">
        <v>500</v>
      </c>
      <c r="C501" s="2" t="s">
        <v>3698</v>
      </c>
      <c r="D501" s="3" t="s">
        <v>3699</v>
      </c>
      <c r="E501" s="3">
        <v>1</v>
      </c>
      <c r="F501" s="3" t="s">
        <v>2001</v>
      </c>
    </row>
    <row r="502" s="2" customFormat="1" spans="1:6">
      <c r="A502" s="3"/>
      <c r="B502" s="3">
        <v>501</v>
      </c>
      <c r="C502" s="2" t="s">
        <v>3700</v>
      </c>
      <c r="D502" s="3" t="s">
        <v>3701</v>
      </c>
      <c r="E502" s="3">
        <v>1</v>
      </c>
      <c r="F502" s="3" t="s">
        <v>2001</v>
      </c>
    </row>
    <row r="503" s="2" customFormat="1" spans="1:6">
      <c r="A503" s="3"/>
      <c r="B503" s="3">
        <v>502</v>
      </c>
      <c r="C503" s="2" t="s">
        <v>3702</v>
      </c>
      <c r="D503" s="3" t="s">
        <v>3703</v>
      </c>
      <c r="E503" s="3">
        <v>1</v>
      </c>
      <c r="F503" s="3" t="s">
        <v>2001</v>
      </c>
    </row>
    <row r="504" s="2" customFormat="1" spans="1:6">
      <c r="A504" s="3"/>
      <c r="B504" s="3">
        <v>503</v>
      </c>
      <c r="C504" s="2" t="s">
        <v>3704</v>
      </c>
      <c r="D504" s="3" t="s">
        <v>3705</v>
      </c>
      <c r="E504" s="3">
        <v>1</v>
      </c>
      <c r="F504" s="3" t="s">
        <v>2001</v>
      </c>
    </row>
    <row r="505" s="2" customFormat="1" spans="1:6">
      <c r="A505" s="3"/>
      <c r="B505" s="3">
        <v>504</v>
      </c>
      <c r="C505" s="2" t="s">
        <v>3706</v>
      </c>
      <c r="D505" s="3" t="s">
        <v>3707</v>
      </c>
      <c r="E505" s="3">
        <v>1</v>
      </c>
      <c r="F505" s="3" t="s">
        <v>2001</v>
      </c>
    </row>
    <row r="506" s="2" customFormat="1" spans="1:6">
      <c r="A506" s="3"/>
      <c r="B506" s="3">
        <v>505</v>
      </c>
      <c r="C506" s="2" t="s">
        <v>3708</v>
      </c>
      <c r="D506" s="3" t="s">
        <v>3709</v>
      </c>
      <c r="E506" s="3">
        <v>1</v>
      </c>
      <c r="F506" s="3" t="s">
        <v>2001</v>
      </c>
    </row>
    <row r="507" s="2" customFormat="1" spans="1:6">
      <c r="A507" s="3"/>
      <c r="B507" s="3">
        <v>506</v>
      </c>
      <c r="C507" s="2" t="s">
        <v>3710</v>
      </c>
      <c r="D507" s="3" t="s">
        <v>3711</v>
      </c>
      <c r="E507" s="3">
        <v>1</v>
      </c>
      <c r="F507" s="3" t="s">
        <v>2001</v>
      </c>
    </row>
    <row r="508" s="2" customFormat="1" spans="1:6">
      <c r="A508" s="3"/>
      <c r="B508" s="3">
        <v>507</v>
      </c>
      <c r="C508" s="2" t="s">
        <v>3712</v>
      </c>
      <c r="D508" s="3" t="s">
        <v>3713</v>
      </c>
      <c r="E508" s="3">
        <v>2</v>
      </c>
      <c r="F508" s="3" t="s">
        <v>2001</v>
      </c>
    </row>
    <row r="509" s="2" customFormat="1" spans="1:6">
      <c r="A509" s="3"/>
      <c r="B509" s="3">
        <v>508</v>
      </c>
      <c r="C509" s="2" t="s">
        <v>3714</v>
      </c>
      <c r="D509" s="3" t="s">
        <v>3715</v>
      </c>
      <c r="E509" s="3">
        <v>2</v>
      </c>
      <c r="F509" s="3" t="s">
        <v>2001</v>
      </c>
    </row>
    <row r="510" s="2" customFormat="1" spans="1:6">
      <c r="A510" s="3"/>
      <c r="B510" s="3">
        <v>509</v>
      </c>
      <c r="C510" s="2" t="s">
        <v>3716</v>
      </c>
      <c r="D510" s="3" t="s">
        <v>3717</v>
      </c>
      <c r="E510" s="3">
        <v>2</v>
      </c>
      <c r="F510" s="3" t="s">
        <v>2001</v>
      </c>
    </row>
    <row r="511" s="2" customFormat="1" spans="1:6">
      <c r="A511" s="3"/>
      <c r="B511" s="3">
        <v>510</v>
      </c>
      <c r="C511" s="2" t="s">
        <v>3718</v>
      </c>
      <c r="D511" s="3" t="s">
        <v>3719</v>
      </c>
      <c r="E511" s="3">
        <v>2</v>
      </c>
      <c r="F511" s="3" t="s">
        <v>2001</v>
      </c>
    </row>
    <row r="512" s="2" customFormat="1" spans="1:6">
      <c r="A512" s="3"/>
      <c r="B512" s="3">
        <v>511</v>
      </c>
      <c r="C512" s="2" t="s">
        <v>3720</v>
      </c>
      <c r="D512" s="3" t="s">
        <v>3721</v>
      </c>
      <c r="E512" s="3">
        <v>1</v>
      </c>
      <c r="F512" s="3" t="s">
        <v>2001</v>
      </c>
    </row>
    <row r="513" s="2" customFormat="1" spans="1:6">
      <c r="A513" s="3"/>
      <c r="B513" s="3">
        <v>512</v>
      </c>
      <c r="C513" s="2" t="s">
        <v>3722</v>
      </c>
      <c r="D513" s="3" t="s">
        <v>3723</v>
      </c>
      <c r="E513" s="3">
        <v>1</v>
      </c>
      <c r="F513" s="3" t="s">
        <v>2001</v>
      </c>
    </row>
    <row r="514" s="2" customFormat="1" spans="1:6">
      <c r="A514" s="3"/>
      <c r="B514" s="3">
        <v>513</v>
      </c>
      <c r="C514" s="2" t="s">
        <v>3125</v>
      </c>
      <c r="D514" s="3" t="s">
        <v>3126</v>
      </c>
      <c r="E514" s="3">
        <v>1</v>
      </c>
      <c r="F514" s="3" t="s">
        <v>2001</v>
      </c>
    </row>
    <row r="515" s="2" customFormat="1" spans="1:6">
      <c r="A515" s="3"/>
      <c r="B515" s="3">
        <v>514</v>
      </c>
      <c r="C515" s="2" t="s">
        <v>3127</v>
      </c>
      <c r="D515" s="3" t="s">
        <v>3128</v>
      </c>
      <c r="E515" s="3">
        <v>1</v>
      </c>
      <c r="F515" s="3" t="s">
        <v>2001</v>
      </c>
    </row>
    <row r="516" s="2" customFormat="1" spans="1:6">
      <c r="A516" s="3"/>
      <c r="B516" s="3">
        <v>515</v>
      </c>
      <c r="C516" s="2" t="s">
        <v>3129</v>
      </c>
      <c r="D516" s="3" t="s">
        <v>3130</v>
      </c>
      <c r="E516" s="3">
        <v>1</v>
      </c>
      <c r="F516" s="3" t="s">
        <v>2001</v>
      </c>
    </row>
    <row r="517" s="2" customFormat="1" spans="1:6">
      <c r="A517" s="3"/>
      <c r="B517" s="3">
        <v>516</v>
      </c>
      <c r="C517" s="2" t="s">
        <v>3131</v>
      </c>
      <c r="D517" s="3" t="s">
        <v>3132</v>
      </c>
      <c r="E517" s="3">
        <v>1</v>
      </c>
      <c r="F517" s="3" t="s">
        <v>2001</v>
      </c>
    </row>
    <row r="518" s="2" customFormat="1" spans="1:6">
      <c r="A518" s="3"/>
      <c r="B518" s="3">
        <v>517</v>
      </c>
      <c r="C518" s="2" t="s">
        <v>3133</v>
      </c>
      <c r="D518" s="3" t="s">
        <v>3134</v>
      </c>
      <c r="E518" s="3">
        <v>2</v>
      </c>
      <c r="F518" s="3" t="s">
        <v>2001</v>
      </c>
    </row>
    <row r="519" s="2" customFormat="1" spans="1:6">
      <c r="A519" s="3"/>
      <c r="B519" s="3">
        <v>518</v>
      </c>
      <c r="C519" s="2" t="s">
        <v>3135</v>
      </c>
      <c r="D519" s="3" t="s">
        <v>3136</v>
      </c>
      <c r="E519" s="3">
        <v>2</v>
      </c>
      <c r="F519" s="3" t="s">
        <v>2001</v>
      </c>
    </row>
    <row r="520" s="2" customFormat="1" spans="1:6">
      <c r="A520" s="3"/>
      <c r="B520" s="3">
        <v>519</v>
      </c>
      <c r="C520" s="2" t="s">
        <v>3724</v>
      </c>
      <c r="D520" s="3" t="s">
        <v>3725</v>
      </c>
      <c r="E520" s="3">
        <v>1</v>
      </c>
      <c r="F520" s="3" t="s">
        <v>2001</v>
      </c>
    </row>
    <row r="521" s="2" customFormat="1" spans="1:6">
      <c r="A521" s="3"/>
      <c r="B521" s="3">
        <v>520</v>
      </c>
      <c r="C521" s="2" t="s">
        <v>3726</v>
      </c>
      <c r="D521" s="3" t="s">
        <v>3727</v>
      </c>
      <c r="E521" s="3">
        <v>1</v>
      </c>
      <c r="F521" s="3" t="s">
        <v>2001</v>
      </c>
    </row>
    <row r="522" s="2" customFormat="1" spans="1:6">
      <c r="A522" s="3"/>
      <c r="B522" s="3">
        <v>521</v>
      </c>
      <c r="C522" s="2" t="s">
        <v>3728</v>
      </c>
      <c r="D522" s="3" t="s">
        <v>3729</v>
      </c>
      <c r="E522" s="3">
        <v>1</v>
      </c>
      <c r="F522" s="3" t="s">
        <v>2001</v>
      </c>
    </row>
    <row r="523" s="2" customFormat="1" spans="1:6">
      <c r="A523" s="3"/>
      <c r="B523" s="3">
        <v>522</v>
      </c>
      <c r="C523" s="2" t="s">
        <v>3730</v>
      </c>
      <c r="D523" s="3" t="s">
        <v>3731</v>
      </c>
      <c r="E523" s="3">
        <v>1</v>
      </c>
      <c r="F523" s="3" t="s">
        <v>2001</v>
      </c>
    </row>
    <row r="524" s="2" customFormat="1" spans="1:6">
      <c r="A524" s="3"/>
      <c r="B524" s="3">
        <v>523</v>
      </c>
      <c r="C524" s="2" t="s">
        <v>126</v>
      </c>
      <c r="D524" s="3" t="s">
        <v>3732</v>
      </c>
      <c r="E524" s="3">
        <v>25</v>
      </c>
      <c r="F524" s="3" t="s">
        <v>2001</v>
      </c>
    </row>
    <row r="525" s="2" customFormat="1" spans="1:6">
      <c r="A525" s="3"/>
      <c r="B525" s="3">
        <v>524</v>
      </c>
      <c r="C525" s="2" t="s">
        <v>128</v>
      </c>
      <c r="D525" s="3" t="s">
        <v>3139</v>
      </c>
      <c r="E525" s="3">
        <v>5</v>
      </c>
      <c r="F525" s="3" t="s">
        <v>2001</v>
      </c>
    </row>
    <row r="526" s="2" customFormat="1" spans="1:6">
      <c r="A526" s="3"/>
      <c r="B526" s="3">
        <v>525</v>
      </c>
      <c r="C526" s="2" t="s">
        <v>3140</v>
      </c>
      <c r="D526" s="3" t="s">
        <v>3141</v>
      </c>
      <c r="E526" s="3">
        <v>8</v>
      </c>
      <c r="F526" s="3" t="s">
        <v>2001</v>
      </c>
    </row>
    <row r="527" s="2" customFormat="1" spans="1:6">
      <c r="A527" s="3"/>
      <c r="B527" s="3">
        <v>526</v>
      </c>
      <c r="C527" s="2" t="s">
        <v>3142</v>
      </c>
      <c r="D527" s="3" t="s">
        <v>3143</v>
      </c>
      <c r="E527" s="3">
        <v>8</v>
      </c>
      <c r="F527" s="3" t="s">
        <v>2001</v>
      </c>
    </row>
    <row r="528" s="2" customFormat="1" spans="1:6">
      <c r="A528" s="3"/>
      <c r="B528" s="3">
        <v>527</v>
      </c>
      <c r="C528" s="2" t="s">
        <v>3144</v>
      </c>
      <c r="D528" s="3" t="s">
        <v>3145</v>
      </c>
      <c r="E528" s="3">
        <v>24</v>
      </c>
      <c r="F528" s="3" t="s">
        <v>2001</v>
      </c>
    </row>
    <row r="529" s="2" customFormat="1" spans="1:6">
      <c r="A529" s="3"/>
      <c r="B529" s="3">
        <v>528</v>
      </c>
      <c r="C529" s="2" t="s">
        <v>3146</v>
      </c>
      <c r="D529" s="3" t="s">
        <v>3147</v>
      </c>
      <c r="E529" s="3">
        <v>9</v>
      </c>
      <c r="F529" s="3" t="s">
        <v>2001</v>
      </c>
    </row>
    <row r="530" s="2" customFormat="1" spans="1:6">
      <c r="A530" s="3"/>
      <c r="B530" s="3">
        <v>529</v>
      </c>
      <c r="C530" s="2" t="s">
        <v>3148</v>
      </c>
      <c r="D530" s="3" t="s">
        <v>3149</v>
      </c>
      <c r="E530" s="3">
        <v>17</v>
      </c>
      <c r="F530" s="3" t="s">
        <v>2001</v>
      </c>
    </row>
    <row r="531" s="2" customFormat="1" spans="1:6">
      <c r="A531" s="3"/>
      <c r="B531" s="3">
        <v>530</v>
      </c>
      <c r="C531" s="2" t="s">
        <v>3150</v>
      </c>
      <c r="D531" s="3" t="s">
        <v>3151</v>
      </c>
      <c r="E531" s="3">
        <v>15</v>
      </c>
      <c r="F531" s="3" t="s">
        <v>2001</v>
      </c>
    </row>
    <row r="532" s="2" customFormat="1" spans="1:6">
      <c r="A532" s="3"/>
      <c r="B532" s="3">
        <v>531</v>
      </c>
      <c r="C532" s="2" t="s">
        <v>3733</v>
      </c>
      <c r="D532" s="3" t="s">
        <v>3734</v>
      </c>
      <c r="E532" s="3">
        <v>3</v>
      </c>
      <c r="F532" s="3" t="s">
        <v>3047</v>
      </c>
    </row>
    <row r="533" s="2" customFormat="1" spans="1:6">
      <c r="A533" s="3"/>
      <c r="B533" s="3">
        <v>532</v>
      </c>
      <c r="C533" s="2" t="s">
        <v>3735</v>
      </c>
      <c r="D533" s="3" t="s">
        <v>3736</v>
      </c>
      <c r="E533" s="3">
        <v>36</v>
      </c>
      <c r="F533" s="3" t="s">
        <v>2001</v>
      </c>
    </row>
    <row r="534" s="2" customFormat="1" spans="1:6">
      <c r="A534" s="3"/>
      <c r="B534" s="3">
        <v>533</v>
      </c>
      <c r="C534" s="2" t="s">
        <v>3152</v>
      </c>
      <c r="D534" s="3" t="s">
        <v>3153</v>
      </c>
      <c r="E534" s="3">
        <v>40</v>
      </c>
      <c r="F534" s="3" t="s">
        <v>2001</v>
      </c>
    </row>
    <row r="535" s="2" customFormat="1" spans="1:6">
      <c r="A535" s="3"/>
      <c r="B535" s="3">
        <v>534</v>
      </c>
      <c r="C535" s="2" t="s">
        <v>3154</v>
      </c>
      <c r="D535" s="3" t="s">
        <v>3155</v>
      </c>
      <c r="E535" s="3">
        <v>20</v>
      </c>
      <c r="F535" s="3" t="s">
        <v>2001</v>
      </c>
    </row>
    <row r="536" s="2" customFormat="1" spans="1:6">
      <c r="A536" s="3"/>
      <c r="B536" s="3">
        <v>535</v>
      </c>
      <c r="C536" s="2" t="s">
        <v>3156</v>
      </c>
      <c r="D536" s="3" t="s">
        <v>3157</v>
      </c>
      <c r="E536" s="3">
        <v>4</v>
      </c>
      <c r="F536" s="3" t="s">
        <v>2001</v>
      </c>
    </row>
    <row r="537" s="2" customFormat="1" spans="1:6">
      <c r="A537" s="3"/>
      <c r="B537" s="3">
        <v>536</v>
      </c>
      <c r="C537" s="2" t="s">
        <v>122</v>
      </c>
      <c r="D537" s="3" t="s">
        <v>3158</v>
      </c>
      <c r="E537" s="3">
        <v>36</v>
      </c>
      <c r="F537" s="3" t="s">
        <v>2001</v>
      </c>
    </row>
    <row r="538" s="2" customFormat="1" spans="1:6">
      <c r="A538" s="3"/>
      <c r="B538" s="3">
        <v>537</v>
      </c>
      <c r="C538" s="2" t="s">
        <v>120</v>
      </c>
      <c r="D538" s="3" t="s">
        <v>3160</v>
      </c>
      <c r="E538" s="3">
        <v>20</v>
      </c>
      <c r="F538" s="3" t="s">
        <v>2001</v>
      </c>
    </row>
    <row r="539" s="2" customFormat="1" spans="1:6">
      <c r="A539" s="3"/>
      <c r="B539" s="3">
        <v>538</v>
      </c>
      <c r="C539" s="2" t="s">
        <v>3236</v>
      </c>
      <c r="D539" s="3" t="s">
        <v>3237</v>
      </c>
      <c r="E539" s="3">
        <v>2</v>
      </c>
      <c r="F539" s="3" t="s">
        <v>2001</v>
      </c>
    </row>
    <row r="540" s="2" customFormat="1" spans="1:6">
      <c r="A540" s="3"/>
      <c r="B540" s="3">
        <v>539</v>
      </c>
      <c r="C540" s="2" t="s">
        <v>3238</v>
      </c>
      <c r="D540" s="3" t="s">
        <v>3239</v>
      </c>
      <c r="E540" s="3">
        <v>42</v>
      </c>
      <c r="F540" s="3" t="s">
        <v>2001</v>
      </c>
    </row>
    <row r="541" s="2" customFormat="1" spans="1:6">
      <c r="A541" s="3"/>
      <c r="B541" s="3">
        <v>540</v>
      </c>
      <c r="C541" s="2" t="s">
        <v>3248</v>
      </c>
      <c r="D541" s="3" t="s">
        <v>3249</v>
      </c>
      <c r="E541" s="3">
        <v>12</v>
      </c>
      <c r="F541" s="3" t="s">
        <v>2001</v>
      </c>
    </row>
    <row r="542" s="2" customFormat="1" spans="1:6">
      <c r="A542" s="3"/>
      <c r="B542" s="3">
        <v>541</v>
      </c>
      <c r="C542" s="2" t="s">
        <v>3737</v>
      </c>
      <c r="D542" s="3" t="s">
        <v>3738</v>
      </c>
      <c r="E542" s="3">
        <v>1</v>
      </c>
      <c r="F542" s="3" t="s">
        <v>3360</v>
      </c>
    </row>
    <row r="543" s="2" customFormat="1" spans="1:6">
      <c r="A543" s="3"/>
      <c r="B543" s="3">
        <v>542</v>
      </c>
      <c r="C543" s="2" t="s">
        <v>3266</v>
      </c>
      <c r="D543" s="3" t="s">
        <v>3267</v>
      </c>
      <c r="E543" s="3">
        <v>48</v>
      </c>
      <c r="F543" s="3" t="s">
        <v>2001</v>
      </c>
    </row>
    <row r="544" s="2" customFormat="1" spans="1:6">
      <c r="A544" s="3"/>
      <c r="B544" s="3">
        <v>543</v>
      </c>
      <c r="C544" s="2" t="s">
        <v>3270</v>
      </c>
      <c r="D544" s="3" t="s">
        <v>3271</v>
      </c>
      <c r="E544" s="3">
        <v>9</v>
      </c>
      <c r="F544" s="3" t="s">
        <v>2001</v>
      </c>
    </row>
    <row r="545" s="2" customFormat="1" spans="1:6">
      <c r="A545" s="3"/>
      <c r="B545" s="3">
        <v>544</v>
      </c>
      <c r="C545" s="2" t="s">
        <v>3739</v>
      </c>
      <c r="D545" s="3" t="s">
        <v>3740</v>
      </c>
      <c r="E545" s="3">
        <v>5</v>
      </c>
      <c r="F545" s="3" t="s">
        <v>2016</v>
      </c>
    </row>
    <row r="546" s="2" customFormat="1" spans="1:6">
      <c r="A546" s="3"/>
      <c r="B546" s="3">
        <v>545</v>
      </c>
      <c r="C546" s="2" t="s">
        <v>111</v>
      </c>
      <c r="D546" s="3" t="s">
        <v>3274</v>
      </c>
      <c r="E546" s="3">
        <v>48</v>
      </c>
      <c r="F546" s="3" t="s">
        <v>2792</v>
      </c>
    </row>
    <row r="547" s="2" customFormat="1" spans="1:6">
      <c r="A547" s="3"/>
      <c r="B547" s="3">
        <v>546</v>
      </c>
      <c r="C547" s="2" t="s">
        <v>3275</v>
      </c>
      <c r="D547" s="3" t="s">
        <v>3276</v>
      </c>
      <c r="E547" s="3">
        <v>14</v>
      </c>
      <c r="F547" s="3" t="s">
        <v>2792</v>
      </c>
    </row>
    <row r="548" s="2" customFormat="1" spans="1:6">
      <c r="A548" s="3"/>
      <c r="B548" s="3">
        <v>547</v>
      </c>
      <c r="C548" s="2" t="s">
        <v>3277</v>
      </c>
      <c r="D548" s="3" t="s">
        <v>3278</v>
      </c>
      <c r="E548" s="3">
        <v>11</v>
      </c>
      <c r="F548" s="3" t="s">
        <v>2792</v>
      </c>
    </row>
    <row r="549" s="2" customFormat="1" spans="1:6">
      <c r="A549" s="3"/>
      <c r="B549" s="3">
        <v>548</v>
      </c>
      <c r="C549" s="2" t="s">
        <v>3279</v>
      </c>
      <c r="D549" s="3" t="s">
        <v>3280</v>
      </c>
      <c r="E549" s="3">
        <v>32</v>
      </c>
      <c r="F549" s="3" t="s">
        <v>2792</v>
      </c>
    </row>
    <row r="550" s="2" customFormat="1" spans="1:6">
      <c r="A550" s="3"/>
      <c r="B550" s="3">
        <v>549</v>
      </c>
      <c r="C550" s="2" t="s">
        <v>3741</v>
      </c>
      <c r="D550" s="3" t="s">
        <v>3742</v>
      </c>
      <c r="E550" s="3">
        <v>12</v>
      </c>
      <c r="F550" s="3" t="s">
        <v>2792</v>
      </c>
    </row>
    <row r="551" s="2" customFormat="1" spans="1:6">
      <c r="A551" s="3"/>
      <c r="B551" s="3">
        <v>550</v>
      </c>
      <c r="C551" s="2" t="s">
        <v>3281</v>
      </c>
      <c r="D551" s="3" t="s">
        <v>3282</v>
      </c>
      <c r="E551" s="3">
        <v>21</v>
      </c>
      <c r="F551" s="3" t="s">
        <v>2792</v>
      </c>
    </row>
    <row r="552" s="2" customFormat="1" spans="1:6">
      <c r="A552" s="3"/>
      <c r="B552" s="3">
        <v>551</v>
      </c>
      <c r="C552" s="2" t="s">
        <v>3283</v>
      </c>
      <c r="D552" s="3" t="s">
        <v>3284</v>
      </c>
      <c r="E552" s="3">
        <v>19</v>
      </c>
      <c r="F552" s="3" t="s">
        <v>2001</v>
      </c>
    </row>
    <row r="553" s="2" customFormat="1" spans="1:6">
      <c r="A553" s="3"/>
      <c r="B553" s="3">
        <v>552</v>
      </c>
      <c r="C553" s="2" t="s">
        <v>3743</v>
      </c>
      <c r="D553" s="3" t="s">
        <v>3744</v>
      </c>
      <c r="E553" s="3">
        <v>11</v>
      </c>
      <c r="F553" s="3" t="s">
        <v>2792</v>
      </c>
    </row>
    <row r="554" s="2" customFormat="1" spans="1:6">
      <c r="A554" s="3"/>
      <c r="B554" s="3">
        <v>553</v>
      </c>
      <c r="C554" s="2" t="s">
        <v>3285</v>
      </c>
      <c r="D554" s="3" t="s">
        <v>3286</v>
      </c>
      <c r="E554" s="3">
        <v>18</v>
      </c>
      <c r="F554" s="3" t="s">
        <v>2792</v>
      </c>
    </row>
    <row r="555" s="2" customFormat="1" spans="1:6">
      <c r="A555" s="3"/>
      <c r="B555" s="3">
        <v>554</v>
      </c>
      <c r="C555" s="2" t="s">
        <v>3287</v>
      </c>
      <c r="D555" s="3" t="s">
        <v>3288</v>
      </c>
      <c r="E555" s="3">
        <v>19</v>
      </c>
      <c r="F555" s="3" t="s">
        <v>2792</v>
      </c>
    </row>
    <row r="556" s="2" customFormat="1" spans="1:6">
      <c r="A556" s="3"/>
      <c r="B556" s="3">
        <v>555</v>
      </c>
      <c r="C556" s="2" t="s">
        <v>3289</v>
      </c>
      <c r="D556" s="3" t="s">
        <v>3290</v>
      </c>
      <c r="E556" s="3">
        <v>44</v>
      </c>
      <c r="F556" s="3" t="s">
        <v>2001</v>
      </c>
    </row>
    <row r="557" s="2" customFormat="1" spans="1:6">
      <c r="A557" s="3"/>
      <c r="B557" s="3">
        <v>556</v>
      </c>
      <c r="C557" s="2" t="s">
        <v>3291</v>
      </c>
      <c r="D557" s="3" t="s">
        <v>3292</v>
      </c>
      <c r="E557" s="3">
        <v>13</v>
      </c>
      <c r="F557" s="3" t="s">
        <v>2001</v>
      </c>
    </row>
    <row r="558" s="2" customFormat="1" spans="1:6">
      <c r="A558" s="3"/>
      <c r="B558" s="3">
        <v>557</v>
      </c>
      <c r="C558" s="2" t="s">
        <v>3745</v>
      </c>
      <c r="D558" s="3" t="s">
        <v>3746</v>
      </c>
      <c r="E558" s="3">
        <v>15</v>
      </c>
      <c r="F558" s="3" t="s">
        <v>3047</v>
      </c>
    </row>
    <row r="559" s="2" customFormat="1" spans="1:6">
      <c r="A559" s="3"/>
      <c r="B559" s="3">
        <v>558</v>
      </c>
      <c r="C559" s="2" t="s">
        <v>3747</v>
      </c>
      <c r="D559" s="3" t="s">
        <v>3748</v>
      </c>
      <c r="E559" s="3">
        <v>5</v>
      </c>
      <c r="F559" s="3" t="s">
        <v>3047</v>
      </c>
    </row>
    <row r="560" s="2" customFormat="1" spans="1:6">
      <c r="A560" s="3"/>
      <c r="B560" s="3">
        <v>559</v>
      </c>
      <c r="C560" s="2" t="s">
        <v>115</v>
      </c>
      <c r="D560" s="3" t="s">
        <v>3293</v>
      </c>
      <c r="E560" s="3">
        <v>32</v>
      </c>
      <c r="F560" s="3" t="s">
        <v>2792</v>
      </c>
    </row>
    <row r="561" s="2" customFormat="1" spans="1:7">
      <c r="A561" s="3"/>
      <c r="B561" s="3">
        <v>560</v>
      </c>
      <c r="C561" s="2" t="s">
        <v>98</v>
      </c>
      <c r="D561" s="3" t="s">
        <v>3294</v>
      </c>
      <c r="E561" s="3">
        <v>59</v>
      </c>
      <c r="F561" s="3" t="s">
        <v>2001</v>
      </c>
    </row>
    <row r="562" s="2" customFormat="1" spans="1:7">
      <c r="A562" s="3"/>
      <c r="B562" s="3">
        <v>561</v>
      </c>
      <c r="C562" s="2" t="s">
        <v>117</v>
      </c>
      <c r="D562" s="3" t="s">
        <v>3295</v>
      </c>
      <c r="E562" s="3">
        <v>36</v>
      </c>
      <c r="F562" s="3" t="s">
        <v>2001</v>
      </c>
    </row>
    <row r="563" s="2" customFormat="1" spans="1:7">
      <c r="A563" s="3"/>
      <c r="B563" s="3">
        <v>562</v>
      </c>
      <c r="C563" s="2" t="s">
        <v>3298</v>
      </c>
      <c r="D563" s="3" t="s">
        <v>3299</v>
      </c>
      <c r="E563" s="3">
        <v>202</v>
      </c>
      <c r="F563" s="3" t="s">
        <v>2001</v>
      </c>
    </row>
    <row r="564" s="2" customFormat="1" spans="1:7">
      <c r="A564" s="3"/>
      <c r="B564" s="3">
        <v>563</v>
      </c>
      <c r="C564" s="2" t="s">
        <v>3300</v>
      </c>
      <c r="D564" s="3" t="s">
        <v>3301</v>
      </c>
      <c r="E564" s="3">
        <v>1</v>
      </c>
      <c r="F564" s="3" t="s">
        <v>3302</v>
      </c>
      <c r="G564" s="2" t="s">
        <v>3749</v>
      </c>
    </row>
    <row r="565" s="2" customFormat="1" spans="1:7">
      <c r="A565" s="3"/>
      <c r="B565" s="3">
        <v>564</v>
      </c>
      <c r="C565" s="2" t="s">
        <v>3750</v>
      </c>
      <c r="D565" s="3" t="s">
        <v>3751</v>
      </c>
      <c r="E565" s="3">
        <v>1</v>
      </c>
      <c r="F565" s="3" t="s">
        <v>3752</v>
      </c>
    </row>
    <row r="566" s="2" customFormat="1" spans="1:7">
      <c r="A566" s="3"/>
      <c r="B566" s="3">
        <v>565</v>
      </c>
      <c r="C566" s="2" t="s">
        <v>3753</v>
      </c>
      <c r="D566" s="3" t="s">
        <v>3754</v>
      </c>
      <c r="E566" s="3">
        <v>1</v>
      </c>
      <c r="F566" s="3" t="s">
        <v>3752</v>
      </c>
    </row>
    <row r="567" s="2" customFormat="1" spans="1:7">
      <c r="A567" s="3"/>
      <c r="B567" s="3">
        <v>566</v>
      </c>
      <c r="C567" s="2" t="s">
        <v>3755</v>
      </c>
      <c r="D567" s="3" t="s">
        <v>3756</v>
      </c>
      <c r="E567" s="3">
        <v>1</v>
      </c>
      <c r="F567" s="3" t="s">
        <v>3752</v>
      </c>
    </row>
    <row r="568" s="2" customFormat="1" spans="1:7">
      <c r="A568" s="3"/>
      <c r="B568" s="3">
        <v>567</v>
      </c>
      <c r="C568" s="2" t="s">
        <v>3757</v>
      </c>
      <c r="D568" s="3" t="s">
        <v>3758</v>
      </c>
      <c r="E568" s="3">
        <v>1</v>
      </c>
      <c r="F568" s="3" t="s">
        <v>3752</v>
      </c>
    </row>
    <row r="569" s="2" customFormat="1" spans="1:7">
      <c r="A569" s="3"/>
      <c r="B569" s="3">
        <v>568</v>
      </c>
      <c r="C569" s="2" t="s">
        <v>3759</v>
      </c>
      <c r="D569" s="3" t="s">
        <v>3760</v>
      </c>
      <c r="E569" s="3">
        <v>1</v>
      </c>
      <c r="F569" s="3" t="s">
        <v>3752</v>
      </c>
    </row>
    <row r="570" s="2" customFormat="1" spans="1:7">
      <c r="A570" s="3"/>
      <c r="B570" s="3">
        <v>569</v>
      </c>
      <c r="C570" s="2" t="s">
        <v>3761</v>
      </c>
      <c r="D570" s="3" t="s">
        <v>3762</v>
      </c>
      <c r="E570" s="3">
        <v>1</v>
      </c>
      <c r="F570" s="3" t="s">
        <v>3752</v>
      </c>
    </row>
    <row r="571" s="2" customFormat="1" spans="1:7">
      <c r="A571" s="3"/>
      <c r="B571" s="3">
        <v>570</v>
      </c>
      <c r="C571" s="2" t="s">
        <v>3763</v>
      </c>
      <c r="D571" s="3" t="s">
        <v>3764</v>
      </c>
      <c r="E571" s="3">
        <v>1</v>
      </c>
      <c r="F571" s="3" t="s">
        <v>3752</v>
      </c>
    </row>
    <row r="572" s="2" customFormat="1" spans="1:7">
      <c r="A572" s="3"/>
      <c r="B572" s="3">
        <v>571</v>
      </c>
      <c r="C572" s="2" t="s">
        <v>3765</v>
      </c>
      <c r="D572" s="3" t="s">
        <v>3766</v>
      </c>
      <c r="E572" s="3">
        <v>2</v>
      </c>
      <c r="F572" s="3" t="s">
        <v>2016</v>
      </c>
    </row>
    <row r="573" s="2" customFormat="1" spans="1:7">
      <c r="A573" s="3"/>
      <c r="B573" s="3">
        <v>572</v>
      </c>
      <c r="C573" s="2" t="s">
        <v>3310</v>
      </c>
      <c r="D573" s="3" t="s">
        <v>3311</v>
      </c>
      <c r="E573" s="3">
        <v>4</v>
      </c>
      <c r="F573" s="3" t="s">
        <v>2016</v>
      </c>
    </row>
    <row r="574" s="2" customFormat="1" spans="1:7">
      <c r="A574" s="3"/>
      <c r="B574" s="3">
        <v>573</v>
      </c>
      <c r="C574" s="2" t="s">
        <v>3334</v>
      </c>
      <c r="D574" s="3" t="s">
        <v>3335</v>
      </c>
      <c r="E574" s="3">
        <v>3</v>
      </c>
      <c r="F574" s="3" t="s">
        <v>2001</v>
      </c>
    </row>
    <row r="575" s="2" customFormat="1" spans="1:7">
      <c r="A575" s="3"/>
      <c r="B575" s="3">
        <v>574</v>
      </c>
      <c r="C575" s="2" t="s">
        <v>3336</v>
      </c>
      <c r="D575" s="3" t="s">
        <v>3337</v>
      </c>
      <c r="E575" s="3">
        <v>5</v>
      </c>
      <c r="F575" s="3" t="s">
        <v>2001</v>
      </c>
    </row>
    <row r="576" s="2" customFormat="1" spans="1:7">
      <c r="A576" s="3"/>
      <c r="B576" s="3">
        <v>575</v>
      </c>
      <c r="C576" s="2" t="s">
        <v>3767</v>
      </c>
      <c r="D576" s="3" t="s">
        <v>3768</v>
      </c>
      <c r="E576" s="3">
        <v>4</v>
      </c>
      <c r="F576" s="3" t="s">
        <v>2001</v>
      </c>
    </row>
    <row r="577" s="2" customFormat="1" spans="1:6">
      <c r="A577" s="3"/>
      <c r="B577" s="3">
        <v>576</v>
      </c>
      <c r="C577" s="2" t="s">
        <v>3769</v>
      </c>
      <c r="D577" s="3" t="s">
        <v>3770</v>
      </c>
      <c r="E577" s="3">
        <v>5</v>
      </c>
      <c r="F577" s="3" t="s">
        <v>2001</v>
      </c>
    </row>
    <row r="578" s="2" customFormat="1" spans="1:6">
      <c r="A578" s="3"/>
      <c r="B578" s="3">
        <v>577</v>
      </c>
      <c r="C578" s="2" t="s">
        <v>3771</v>
      </c>
      <c r="D578" s="3" t="s">
        <v>3772</v>
      </c>
      <c r="E578" s="3">
        <v>1</v>
      </c>
      <c r="F578" s="3" t="s">
        <v>2001</v>
      </c>
    </row>
    <row r="579" s="2" customFormat="1" spans="1:6">
      <c r="A579" s="3"/>
      <c r="B579" s="3">
        <v>578</v>
      </c>
      <c r="C579" s="2" t="s">
        <v>3773</v>
      </c>
      <c r="D579" s="3" t="s">
        <v>3774</v>
      </c>
      <c r="E579" s="3">
        <v>1</v>
      </c>
      <c r="F579" s="3" t="s">
        <v>2001</v>
      </c>
    </row>
    <row r="580" s="2" customFormat="1" spans="1:6">
      <c r="A580" s="3"/>
      <c r="B580" s="3">
        <v>579</v>
      </c>
      <c r="C580" s="2" t="s">
        <v>3775</v>
      </c>
      <c r="D580" s="3" t="s">
        <v>3776</v>
      </c>
      <c r="E580" s="3">
        <v>2</v>
      </c>
      <c r="F580" s="3" t="s">
        <v>2001</v>
      </c>
    </row>
    <row r="581" s="2" customFormat="1" spans="1:6">
      <c r="A581" s="3"/>
      <c r="B581" s="3">
        <v>580</v>
      </c>
      <c r="C581" s="2" t="s">
        <v>3777</v>
      </c>
      <c r="D581" s="3" t="s">
        <v>3778</v>
      </c>
      <c r="E581" s="3">
        <v>2</v>
      </c>
      <c r="F581" s="3" t="s">
        <v>2001</v>
      </c>
    </row>
    <row r="582" s="2" customFormat="1" spans="1:6">
      <c r="A582" s="3"/>
      <c r="B582" s="3">
        <v>581</v>
      </c>
      <c r="C582" s="2" t="s">
        <v>3779</v>
      </c>
      <c r="D582" s="3" t="s">
        <v>3780</v>
      </c>
      <c r="E582" s="3">
        <v>1</v>
      </c>
      <c r="F582" s="3" t="s">
        <v>2001</v>
      </c>
    </row>
    <row r="583" s="2" customFormat="1" spans="1:6">
      <c r="A583" s="3"/>
      <c r="B583" s="3">
        <v>582</v>
      </c>
      <c r="C583" s="2" t="s">
        <v>3781</v>
      </c>
      <c r="D583" s="3" t="s">
        <v>3782</v>
      </c>
      <c r="E583" s="3">
        <v>1</v>
      </c>
      <c r="F583" s="3" t="s">
        <v>2001</v>
      </c>
    </row>
    <row r="584" s="2" customFormat="1" spans="1:6">
      <c r="A584" s="3"/>
      <c r="B584" s="3">
        <v>583</v>
      </c>
      <c r="C584" s="2" t="s">
        <v>3783</v>
      </c>
      <c r="D584" s="3" t="s">
        <v>3784</v>
      </c>
      <c r="E584" s="3">
        <v>1</v>
      </c>
      <c r="F584" s="3" t="s">
        <v>2001</v>
      </c>
    </row>
    <row r="585" s="2" customFormat="1" spans="1:6">
      <c r="A585" s="3"/>
      <c r="B585" s="3">
        <v>584</v>
      </c>
      <c r="C585" s="2" t="s">
        <v>3785</v>
      </c>
      <c r="D585" s="3" t="s">
        <v>3786</v>
      </c>
      <c r="E585" s="3">
        <v>1</v>
      </c>
      <c r="F585" s="3" t="s">
        <v>2001</v>
      </c>
    </row>
    <row r="586" s="2" customFormat="1" spans="1:6">
      <c r="A586" s="3"/>
      <c r="B586" s="3"/>
      <c r="D586" s="3"/>
      <c r="E586" s="3"/>
      <c r="F586" s="3"/>
    </row>
    <row r="587" s="2" customFormat="1" spans="1:6">
      <c r="A587" s="3"/>
      <c r="B587" s="3"/>
      <c r="D587" s="3"/>
      <c r="E587" s="3"/>
      <c r="F587" s="3"/>
    </row>
    <row r="588" s="2" customFormat="1" spans="1:6">
      <c r="A588" s="3"/>
      <c r="B588" s="3"/>
      <c r="D588" s="3"/>
      <c r="E588" s="3"/>
      <c r="F588" s="3"/>
    </row>
    <row r="589" s="2" customFormat="1" spans="1:6">
      <c r="A589" s="3"/>
      <c r="B589" s="3"/>
      <c r="D589" s="3"/>
      <c r="E589" s="3"/>
      <c r="F589" s="3"/>
    </row>
    <row r="590" s="2" customFormat="1" spans="1:6">
      <c r="A590" s="3"/>
      <c r="B590" s="3"/>
      <c r="D590" s="3"/>
      <c r="E590" s="3"/>
      <c r="F590" s="3"/>
    </row>
    <row r="591" s="2" customFormat="1" spans="1:6">
      <c r="A591" s="3"/>
      <c r="B591" s="3"/>
      <c r="D591" s="3"/>
      <c r="E591" s="3"/>
      <c r="F591" s="3"/>
    </row>
    <row r="592" s="2" customFormat="1" spans="1:6">
      <c r="A592" s="3"/>
      <c r="B592" s="3"/>
      <c r="D592" s="3"/>
      <c r="E592" s="3"/>
      <c r="F592" s="3"/>
    </row>
    <row r="593" s="2" customFormat="1" spans="1:6">
      <c r="A593" s="3"/>
      <c r="B593" s="3"/>
      <c r="D593" s="3"/>
      <c r="E593" s="3"/>
      <c r="F593" s="3"/>
    </row>
    <row r="594" s="2" customFormat="1" spans="1:6">
      <c r="A594" s="3"/>
      <c r="B594" s="3"/>
      <c r="D594" s="3"/>
      <c r="E594" s="3"/>
      <c r="F594" s="3"/>
    </row>
    <row r="595" s="2" customFormat="1" spans="1:6">
      <c r="A595" s="3"/>
      <c r="B595" s="3"/>
      <c r="D595" s="3"/>
      <c r="E595" s="3"/>
      <c r="F595" s="3"/>
    </row>
    <row r="596" s="2" customFormat="1" spans="1:6">
      <c r="A596" s="3"/>
      <c r="B596" s="3"/>
      <c r="D596" s="3"/>
      <c r="E596" s="3"/>
      <c r="F596" s="3"/>
    </row>
    <row r="597" s="2" customFormat="1" spans="1:6">
      <c r="A597" s="3"/>
      <c r="B597" s="3"/>
      <c r="D597" s="3"/>
      <c r="E597" s="3"/>
      <c r="F597" s="3"/>
    </row>
    <row r="598" s="2" customFormat="1" spans="1:6">
      <c r="A598" s="3"/>
      <c r="B598" s="3"/>
      <c r="D598" s="3"/>
      <c r="E598" s="3"/>
      <c r="F598" s="3"/>
    </row>
    <row r="599" s="2" customFormat="1" spans="1:6">
      <c r="A599" s="3"/>
      <c r="B599" s="3"/>
      <c r="D599" s="3"/>
      <c r="E599" s="3"/>
      <c r="F599" s="3"/>
    </row>
    <row r="600" s="2" customFormat="1" spans="1:6">
      <c r="A600" s="3"/>
      <c r="B600" s="3"/>
      <c r="D600" s="3"/>
      <c r="E600" s="3"/>
      <c r="F600" s="3"/>
    </row>
    <row r="601" s="2" customFormat="1" spans="1:6">
      <c r="A601" s="3"/>
      <c r="B601" s="3"/>
      <c r="D601" s="3"/>
      <c r="E601" s="3"/>
      <c r="F601" s="3"/>
    </row>
    <row r="602" s="2" customFormat="1" spans="1:6">
      <c r="A602" s="3"/>
      <c r="B602" s="3"/>
      <c r="D602" s="3"/>
      <c r="E602" s="3"/>
      <c r="F602" s="3"/>
    </row>
    <row r="603" s="2" customFormat="1" spans="1:6">
      <c r="A603" s="3"/>
      <c r="B603" s="3"/>
      <c r="D603" s="3"/>
      <c r="E603" s="3"/>
      <c r="F603" s="3"/>
    </row>
    <row r="604" s="2" customFormat="1" spans="1:6">
      <c r="A604" s="3"/>
      <c r="B604" s="3"/>
      <c r="D604" s="3"/>
      <c r="E604" s="3"/>
      <c r="F604" s="3"/>
    </row>
    <row r="605" s="2" customFormat="1" spans="1:6">
      <c r="A605" s="3"/>
      <c r="B605" s="3"/>
      <c r="D605" s="3"/>
      <c r="E605" s="3"/>
      <c r="F605" s="3"/>
    </row>
    <row r="606" s="2" customFormat="1" spans="1:6">
      <c r="A606" s="3"/>
      <c r="B606" s="3"/>
      <c r="D606" s="3"/>
      <c r="E606" s="3"/>
      <c r="F606" s="3"/>
    </row>
    <row r="607" s="2" customFormat="1" spans="1:6">
      <c r="A607" s="3"/>
      <c r="B607" s="3"/>
      <c r="D607" s="3"/>
      <c r="E607" s="3"/>
      <c r="F607" s="3"/>
    </row>
    <row r="608" s="2" customFormat="1" spans="1:6">
      <c r="A608" s="3"/>
      <c r="B608" s="3"/>
      <c r="D608" s="3"/>
      <c r="E608" s="3"/>
      <c r="F608" s="3"/>
    </row>
    <row r="609" s="2" customFormat="1" spans="1:6">
      <c r="A609" s="3"/>
      <c r="B609" s="3"/>
      <c r="D609" s="3"/>
      <c r="E609" s="3"/>
      <c r="F609" s="3"/>
    </row>
    <row r="610" s="2" customFormat="1" spans="1:6">
      <c r="A610" s="3"/>
      <c r="B610" s="3"/>
      <c r="D610" s="3"/>
      <c r="E610" s="3"/>
      <c r="F610" s="3"/>
    </row>
    <row r="611" s="2" customFormat="1" spans="1:6">
      <c r="A611" s="3"/>
      <c r="B611" s="3"/>
      <c r="D611" s="3"/>
      <c r="E611" s="3"/>
      <c r="F611" s="3"/>
    </row>
    <row r="612" s="2" customFormat="1" spans="1:6">
      <c r="A612" s="3"/>
      <c r="B612" s="3"/>
      <c r="D612" s="3"/>
      <c r="E612" s="3"/>
      <c r="F612" s="3"/>
    </row>
    <row r="613" s="2" customFormat="1" spans="1:6">
      <c r="A613" s="3"/>
      <c r="B613" s="3"/>
      <c r="D613" s="3"/>
      <c r="E613" s="3"/>
      <c r="F613" s="3"/>
    </row>
    <row r="614" s="2" customFormat="1" spans="1:6">
      <c r="A614" s="3"/>
      <c r="B614" s="3"/>
      <c r="D614" s="3"/>
      <c r="E614" s="3"/>
      <c r="F614" s="3"/>
    </row>
    <row r="615" s="2" customFormat="1" spans="1:6">
      <c r="A615" s="3"/>
      <c r="B615" s="3"/>
      <c r="D615" s="3"/>
      <c r="E615" s="3"/>
      <c r="F615" s="3"/>
    </row>
    <row r="616" s="2" customFormat="1" spans="1:6">
      <c r="A616" s="3"/>
      <c r="B616" s="3"/>
      <c r="D616" s="3"/>
      <c r="E616" s="3"/>
      <c r="F616" s="3"/>
    </row>
    <row r="617" s="2" customFormat="1" spans="1:6">
      <c r="A617" s="3"/>
      <c r="B617" s="3"/>
      <c r="D617" s="3"/>
      <c r="E617" s="3"/>
      <c r="F617" s="3"/>
    </row>
    <row r="618" s="2" customFormat="1" spans="1:6">
      <c r="A618" s="3"/>
      <c r="B618" s="3"/>
      <c r="D618" s="3"/>
      <c r="E618" s="3"/>
      <c r="F618" s="3"/>
    </row>
    <row r="619" s="2" customFormat="1" spans="1:6">
      <c r="A619" s="3"/>
      <c r="B619" s="3"/>
      <c r="D619" s="3"/>
      <c r="E619" s="3"/>
      <c r="F619" s="3"/>
    </row>
    <row r="620" s="2" customFormat="1" spans="1:6">
      <c r="A620" s="3"/>
      <c r="B620" s="3"/>
      <c r="D620" s="3"/>
      <c r="E620" s="3"/>
      <c r="F620" s="3"/>
    </row>
    <row r="621" s="2" customFormat="1" spans="1:6">
      <c r="A621" s="3"/>
      <c r="B621" s="3"/>
      <c r="D621" s="3"/>
      <c r="E621" s="3"/>
      <c r="F621" s="3"/>
    </row>
    <row r="622" s="2" customFormat="1" spans="1:6">
      <c r="A622" s="3"/>
      <c r="B622" s="3"/>
      <c r="D622" s="3"/>
      <c r="E622" s="3"/>
      <c r="F622" s="3"/>
    </row>
    <row r="623" s="2" customFormat="1" spans="1:6">
      <c r="A623" s="3"/>
      <c r="B623" s="3"/>
      <c r="D623" s="3"/>
      <c r="E623" s="3"/>
      <c r="F623" s="3"/>
    </row>
    <row r="624" s="2" customFormat="1" spans="1:6">
      <c r="A624" s="3"/>
      <c r="B624" s="3"/>
      <c r="D624" s="3"/>
      <c r="E624" s="3"/>
      <c r="F624" s="3"/>
    </row>
    <row r="625" s="2" customFormat="1" spans="1:6">
      <c r="A625" s="3"/>
      <c r="B625" s="3"/>
      <c r="D625" s="3"/>
      <c r="E625" s="3"/>
      <c r="F625" s="3"/>
    </row>
    <row r="626" s="2" customFormat="1" spans="1:6">
      <c r="A626" s="3"/>
      <c r="B626" s="3"/>
      <c r="D626" s="3"/>
      <c r="E626" s="3"/>
      <c r="F626" s="3"/>
    </row>
    <row r="627" s="2" customFormat="1" spans="1:6">
      <c r="A627" s="3"/>
      <c r="B627" s="3"/>
      <c r="D627" s="3"/>
      <c r="E627" s="3"/>
      <c r="F627" s="3"/>
    </row>
    <row r="628" s="2" customFormat="1" spans="1:6">
      <c r="A628" s="3"/>
      <c r="B628" s="3"/>
      <c r="D628" s="3"/>
      <c r="E628" s="3"/>
      <c r="F628" s="3"/>
    </row>
    <row r="629" s="2" customFormat="1" spans="1:6">
      <c r="A629" s="3"/>
      <c r="B629" s="3"/>
      <c r="D629" s="3"/>
      <c r="E629" s="3"/>
      <c r="F629" s="3"/>
    </row>
    <row r="630" s="2" customFormat="1" spans="1:6">
      <c r="A630" s="3"/>
      <c r="B630" s="3"/>
      <c r="D630" s="3"/>
      <c r="E630" s="3"/>
      <c r="F630" s="3"/>
    </row>
    <row r="631" s="2" customFormat="1" spans="1:6">
      <c r="A631" s="3"/>
      <c r="B631" s="3"/>
      <c r="D631" s="3"/>
      <c r="E631" s="3"/>
      <c r="F631" s="3"/>
    </row>
    <row r="632" s="2" customFormat="1" spans="1:6">
      <c r="A632" s="3"/>
      <c r="B632" s="3"/>
      <c r="D632" s="3"/>
      <c r="E632" s="3"/>
      <c r="F632" s="3"/>
    </row>
    <row r="633" s="2" customFormat="1" spans="1:6">
      <c r="A633" s="3"/>
      <c r="B633" s="3"/>
      <c r="D633" s="3"/>
      <c r="E633" s="3"/>
      <c r="F633" s="3"/>
    </row>
    <row r="634" s="2" customFormat="1" spans="1:6">
      <c r="A634" s="3"/>
      <c r="B634" s="3"/>
      <c r="D634" s="3"/>
      <c r="E634" s="3"/>
      <c r="F634" s="3"/>
    </row>
    <row r="635" s="2" customFormat="1" spans="1:6">
      <c r="A635" s="3"/>
      <c r="B635" s="3"/>
      <c r="D635" s="3"/>
      <c r="E635" s="3"/>
      <c r="F635" s="3"/>
    </row>
    <row r="636" s="2" customFormat="1" spans="1:6">
      <c r="A636" s="3"/>
      <c r="B636" s="3"/>
      <c r="D636" s="3"/>
      <c r="E636" s="3"/>
      <c r="F636" s="3"/>
    </row>
    <row r="637" s="2" customFormat="1" spans="1:6">
      <c r="A637" s="3"/>
      <c r="B637" s="3"/>
      <c r="D637" s="3"/>
      <c r="E637" s="3"/>
      <c r="F637" s="3"/>
    </row>
    <row r="638" s="2" customFormat="1" spans="1:6">
      <c r="A638" s="3"/>
      <c r="B638" s="3"/>
      <c r="D638" s="3"/>
      <c r="E638" s="3"/>
      <c r="F638" s="3"/>
    </row>
    <row r="639" s="2" customFormat="1" spans="1:6">
      <c r="A639" s="3"/>
      <c r="B639" s="3"/>
      <c r="D639" s="3"/>
      <c r="E639" s="3"/>
      <c r="F639" s="3"/>
    </row>
    <row r="640" s="2" customFormat="1" spans="1:6">
      <c r="A640" s="3"/>
      <c r="B640" s="3"/>
      <c r="D640" s="3"/>
      <c r="E640" s="3"/>
      <c r="F640" s="3"/>
    </row>
    <row r="641" s="2" customFormat="1" spans="1:6">
      <c r="A641" s="3"/>
      <c r="B641" s="3"/>
      <c r="D641" s="3"/>
      <c r="E641" s="3"/>
      <c r="F641" s="3"/>
    </row>
    <row r="642" s="2" customFormat="1" spans="1:6">
      <c r="A642" s="3"/>
      <c r="B642" s="3"/>
      <c r="D642" s="3"/>
      <c r="E642" s="3"/>
      <c r="F642" s="3"/>
    </row>
    <row r="643" s="2" customFormat="1" spans="1:6">
      <c r="A643" s="3"/>
      <c r="B643" s="3"/>
      <c r="D643" s="3"/>
      <c r="E643" s="3"/>
      <c r="F643" s="3"/>
    </row>
    <row r="644" s="2" customFormat="1" spans="1:6">
      <c r="A644" s="3"/>
      <c r="B644" s="3"/>
      <c r="D644" s="3"/>
      <c r="E644" s="3"/>
      <c r="F644" s="3"/>
    </row>
    <row r="645" s="2" customFormat="1" spans="1:6">
      <c r="A645" s="3"/>
      <c r="B645" s="3"/>
      <c r="D645" s="3"/>
      <c r="E645" s="3"/>
      <c r="F645" s="3"/>
    </row>
    <row r="646" s="2" customFormat="1" spans="1:6">
      <c r="A646" s="3"/>
      <c r="B646" s="3"/>
      <c r="D646" s="3"/>
      <c r="E646" s="3"/>
      <c r="F646" s="3"/>
    </row>
    <row r="647" s="2" customFormat="1" spans="1:6">
      <c r="A647" s="3"/>
      <c r="B647" s="3"/>
      <c r="D647" s="3"/>
      <c r="E647" s="3"/>
      <c r="F647" s="3"/>
    </row>
    <row r="648" s="2" customFormat="1" spans="1:6">
      <c r="A648" s="3"/>
      <c r="B648" s="3"/>
      <c r="D648" s="3"/>
      <c r="E648" s="3"/>
      <c r="F648" s="3"/>
    </row>
    <row r="649" s="2" customFormat="1" spans="1:6">
      <c r="A649" s="3"/>
      <c r="B649" s="3"/>
      <c r="D649" s="3"/>
      <c r="E649" s="3"/>
      <c r="F649" s="3"/>
    </row>
    <row r="650" s="2" customFormat="1" spans="1:6">
      <c r="A650" s="3"/>
      <c r="B650" s="3"/>
      <c r="D650" s="3"/>
      <c r="E650" s="3"/>
      <c r="F650" s="3"/>
    </row>
    <row r="651" s="2" customFormat="1" spans="1:6">
      <c r="A651" s="3"/>
      <c r="B651" s="3"/>
      <c r="D651" s="3"/>
      <c r="E651" s="3"/>
      <c r="F651" s="3"/>
    </row>
    <row r="652" s="2" customFormat="1" spans="1:6">
      <c r="A652" s="3"/>
      <c r="B652" s="3"/>
      <c r="D652" s="3"/>
      <c r="E652" s="3"/>
      <c r="F652" s="3"/>
    </row>
    <row r="653" s="2" customFormat="1" spans="1:6">
      <c r="A653" s="3"/>
      <c r="B653" s="3"/>
      <c r="D653" s="3"/>
      <c r="E653" s="3"/>
      <c r="F653" s="3"/>
    </row>
    <row r="654" s="2" customFormat="1" spans="1:6">
      <c r="A654" s="3"/>
      <c r="B654" s="3"/>
      <c r="D654" s="3"/>
      <c r="E654" s="3"/>
      <c r="F654" s="3"/>
    </row>
    <row r="655" s="2" customFormat="1" spans="1:6">
      <c r="A655" s="3"/>
      <c r="B655" s="3"/>
      <c r="D655" s="3"/>
      <c r="E655" s="3"/>
      <c r="F655" s="3"/>
    </row>
    <row r="656" s="2" customFormat="1" spans="1:6">
      <c r="A656" s="3"/>
      <c r="B656" s="3"/>
      <c r="D656" s="3"/>
      <c r="E656" s="3"/>
      <c r="F656" s="3"/>
    </row>
    <row r="657" s="2" customFormat="1" spans="1:6">
      <c r="A657" s="3"/>
      <c r="B657" s="3"/>
      <c r="D657" s="3"/>
      <c r="E657" s="3"/>
      <c r="F657" s="3"/>
    </row>
    <row r="658" s="2" customFormat="1" spans="1:6">
      <c r="A658" s="3"/>
      <c r="B658" s="3"/>
      <c r="D658" s="3"/>
      <c r="E658" s="3"/>
      <c r="F658" s="3"/>
    </row>
    <row r="659" s="2" customFormat="1" spans="1:6">
      <c r="A659" s="3"/>
      <c r="B659" s="3"/>
      <c r="D659" s="3"/>
      <c r="E659" s="3"/>
      <c r="F659" s="3"/>
    </row>
    <row r="660" s="2" customFormat="1" spans="1:6">
      <c r="A660" s="3"/>
      <c r="B660" s="3"/>
      <c r="D660" s="3"/>
      <c r="E660" s="3"/>
      <c r="F660" s="3"/>
    </row>
    <row r="661" s="2" customFormat="1" spans="1:6">
      <c r="A661" s="3"/>
      <c r="B661" s="3"/>
      <c r="D661" s="3"/>
      <c r="E661" s="3"/>
      <c r="F661" s="3"/>
    </row>
    <row r="662" s="2" customFormat="1" spans="1:6">
      <c r="A662" s="3"/>
      <c r="B662" s="3"/>
      <c r="D662" s="3"/>
      <c r="E662" s="3"/>
      <c r="F662" s="3"/>
    </row>
    <row r="663" s="2" customFormat="1" spans="1:6">
      <c r="A663" s="3"/>
      <c r="B663" s="3"/>
      <c r="D663" s="3"/>
      <c r="E663" s="3"/>
      <c r="F663" s="3"/>
    </row>
    <row r="664" s="2" customFormat="1" spans="1:6">
      <c r="A664" s="3"/>
      <c r="B664" s="3"/>
      <c r="D664" s="3"/>
      <c r="E664" s="3"/>
      <c r="F664" s="3"/>
    </row>
    <row r="665" s="2" customFormat="1" spans="1:6">
      <c r="A665" s="3"/>
      <c r="B665" s="3"/>
      <c r="D665" s="3"/>
      <c r="E665" s="3"/>
      <c r="F665" s="3"/>
    </row>
    <row r="666" s="2" customFormat="1" spans="1:6">
      <c r="A666" s="3"/>
      <c r="B666" s="3"/>
      <c r="D666" s="3"/>
      <c r="E666" s="3"/>
      <c r="F666" s="3"/>
    </row>
    <row r="667" s="2" customFormat="1" spans="1:6">
      <c r="A667" s="3"/>
      <c r="B667" s="3"/>
      <c r="D667" s="3"/>
      <c r="E667" s="3"/>
      <c r="F667" s="3"/>
    </row>
    <row r="668" s="2" customFormat="1" spans="1:6">
      <c r="A668" s="3"/>
      <c r="B668" s="3"/>
      <c r="D668" s="3"/>
      <c r="E668" s="3"/>
      <c r="F668" s="3"/>
    </row>
    <row r="669" s="2" customFormat="1" spans="1:6">
      <c r="A669" s="3"/>
      <c r="B669" s="3"/>
      <c r="D669" s="3"/>
      <c r="E669" s="3"/>
      <c r="F669" s="3"/>
    </row>
    <row r="670" s="2" customFormat="1" spans="1:6">
      <c r="A670" s="3"/>
      <c r="B670" s="3"/>
      <c r="D670" s="3"/>
      <c r="E670" s="3"/>
      <c r="F670" s="3"/>
    </row>
    <row r="671" s="2" customFormat="1" spans="1:6">
      <c r="A671" s="3"/>
      <c r="B671" s="3"/>
      <c r="D671" s="3"/>
      <c r="E671" s="3"/>
      <c r="F671" s="3"/>
    </row>
    <row r="672" s="2" customFormat="1" spans="1:6">
      <c r="A672" s="3"/>
      <c r="B672" s="3"/>
      <c r="D672" s="3"/>
      <c r="E672" s="3"/>
      <c r="F672" s="3"/>
    </row>
    <row r="673" s="2" customFormat="1" spans="1:6">
      <c r="A673" s="3"/>
      <c r="B673" s="3"/>
      <c r="D673" s="3"/>
      <c r="E673" s="3"/>
      <c r="F673" s="3"/>
    </row>
    <row r="674" s="2" customFormat="1" spans="1:6">
      <c r="A674" s="3"/>
      <c r="B674" s="3"/>
      <c r="D674" s="3"/>
      <c r="E674" s="3"/>
      <c r="F674" s="3"/>
    </row>
    <row r="675" s="2" customFormat="1" spans="1:6">
      <c r="A675" s="3"/>
      <c r="B675" s="3"/>
      <c r="D675" s="3"/>
      <c r="E675" s="3"/>
      <c r="F675" s="3"/>
    </row>
    <row r="676" s="2" customFormat="1" spans="1:6">
      <c r="A676" s="3"/>
      <c r="B676" s="3"/>
      <c r="D676" s="3"/>
      <c r="E676" s="3"/>
      <c r="F676" s="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6"/>
  <sheetViews>
    <sheetView topLeftCell="A2" workbookViewId="0">
      <selection activeCell="C30" sqref="C30"/>
    </sheetView>
  </sheetViews>
  <sheetFormatPr defaultColWidth="9" defaultRowHeight="16.8" outlineLevelCol="5"/>
  <cols>
    <col min="1" max="2" width="12.5446428571429" style="3" customWidth="1"/>
    <col min="3" max="3" width="50.3839285714286" style="2" customWidth="1"/>
    <col min="4" max="6" width="12.5446428571429" style="3" customWidth="1"/>
    <col min="7" max="7" width="27.3482142857143" style="2" customWidth="1"/>
    <col min="8" max="16384" width="9" style="2"/>
  </cols>
  <sheetData>
    <row r="1" s="2" customFormat="1" spans="1:6">
      <c r="A1" s="3"/>
      <c r="B1" s="4" t="s">
        <v>1995</v>
      </c>
      <c r="C1" s="5" t="s">
        <v>1996</v>
      </c>
      <c r="D1" s="4" t="s">
        <v>1997</v>
      </c>
      <c r="E1" s="4" t="s">
        <v>1998</v>
      </c>
      <c r="F1" s="4"/>
    </row>
    <row r="2" s="2" customFormat="1" spans="1:6">
      <c r="A2" s="3"/>
      <c r="B2" s="3">
        <v>1</v>
      </c>
      <c r="C2" s="2" t="s">
        <v>1999</v>
      </c>
      <c r="D2" s="3" t="s">
        <v>2000</v>
      </c>
      <c r="E2" s="3">
        <v>2</v>
      </c>
      <c r="F2" s="3" t="s">
        <v>2001</v>
      </c>
    </row>
    <row r="3" s="2" customFormat="1" spans="1:6">
      <c r="A3" s="3"/>
      <c r="B3" s="3">
        <v>2</v>
      </c>
      <c r="C3" s="2" t="s">
        <v>2004</v>
      </c>
      <c r="D3" s="3" t="s">
        <v>2005</v>
      </c>
      <c r="E3" s="3">
        <v>2</v>
      </c>
      <c r="F3" s="3" t="s">
        <v>2001</v>
      </c>
    </row>
    <row r="4" s="2" customFormat="1" spans="1:6">
      <c r="A4" s="3"/>
      <c r="B4" s="3">
        <v>3</v>
      </c>
      <c r="C4" s="2" t="s">
        <v>3787</v>
      </c>
      <c r="D4" s="3" t="s">
        <v>3788</v>
      </c>
      <c r="E4" s="3">
        <v>9</v>
      </c>
      <c r="F4" s="3" t="s">
        <v>2001</v>
      </c>
    </row>
    <row r="5" s="2" customFormat="1" spans="1:6">
      <c r="A5" s="3"/>
      <c r="B5" s="3">
        <v>4</v>
      </c>
      <c r="C5" s="2" t="s">
        <v>2017</v>
      </c>
      <c r="D5" s="3" t="s">
        <v>2018</v>
      </c>
      <c r="E5" s="3">
        <v>37</v>
      </c>
      <c r="F5" s="3" t="s">
        <v>2001</v>
      </c>
    </row>
    <row r="6" s="2" customFormat="1" spans="1:6">
      <c r="A6" s="3"/>
      <c r="B6" s="3">
        <v>5</v>
      </c>
      <c r="C6" s="2" t="s">
        <v>3367</v>
      </c>
      <c r="D6" s="3" t="s">
        <v>3368</v>
      </c>
      <c r="E6" s="3">
        <v>1</v>
      </c>
      <c r="F6" s="3" t="s">
        <v>2001</v>
      </c>
    </row>
    <row r="7" s="2" customFormat="1" spans="1:6">
      <c r="A7" s="3"/>
      <c r="B7" s="3">
        <v>6</v>
      </c>
      <c r="C7" s="2" t="s">
        <v>3369</v>
      </c>
      <c r="D7" s="3" t="s">
        <v>3370</v>
      </c>
      <c r="E7" s="3">
        <v>2</v>
      </c>
      <c r="F7" s="3" t="s">
        <v>2001</v>
      </c>
    </row>
    <row r="8" s="2" customFormat="1" spans="1:6">
      <c r="A8" s="3"/>
      <c r="B8" s="3">
        <v>7</v>
      </c>
      <c r="C8" s="2" t="s">
        <v>3371</v>
      </c>
      <c r="D8" s="3" t="s">
        <v>3372</v>
      </c>
      <c r="E8" s="3">
        <v>1</v>
      </c>
      <c r="F8" s="3" t="s">
        <v>2001</v>
      </c>
    </row>
    <row r="9" s="2" customFormat="1" spans="1:6">
      <c r="A9" s="3"/>
      <c r="B9" s="3">
        <v>8</v>
      </c>
      <c r="C9" s="2" t="s">
        <v>2063</v>
      </c>
      <c r="D9" s="3" t="s">
        <v>2064</v>
      </c>
      <c r="E9" s="3">
        <v>1</v>
      </c>
      <c r="F9" s="3" t="s">
        <v>2001</v>
      </c>
    </row>
    <row r="10" s="2" customFormat="1" spans="1:6">
      <c r="A10" s="3"/>
      <c r="B10" s="3">
        <v>9</v>
      </c>
      <c r="C10" s="2" t="s">
        <v>2069</v>
      </c>
      <c r="D10" s="3" t="s">
        <v>2070</v>
      </c>
      <c r="E10" s="3">
        <v>1</v>
      </c>
      <c r="F10" s="3" t="s">
        <v>2001</v>
      </c>
    </row>
    <row r="11" s="2" customFormat="1" spans="1:6">
      <c r="A11" s="3"/>
      <c r="B11" s="3">
        <v>10</v>
      </c>
      <c r="C11" s="2" t="s">
        <v>2073</v>
      </c>
      <c r="D11" s="3" t="s">
        <v>2074</v>
      </c>
      <c r="E11" s="3">
        <v>2</v>
      </c>
      <c r="F11" s="3" t="s">
        <v>2001</v>
      </c>
    </row>
    <row r="12" s="2" customFormat="1" spans="1:6">
      <c r="A12" s="3"/>
      <c r="B12" s="3">
        <v>11</v>
      </c>
      <c r="C12" s="2" t="s">
        <v>3379</v>
      </c>
      <c r="D12" s="3" t="s">
        <v>3380</v>
      </c>
      <c r="E12" s="3">
        <v>12</v>
      </c>
      <c r="F12" s="3" t="s">
        <v>2001</v>
      </c>
    </row>
    <row r="13" s="2" customFormat="1" spans="1:6">
      <c r="A13" s="3"/>
      <c r="B13" s="3">
        <v>12</v>
      </c>
      <c r="C13" s="2" t="s">
        <v>2087</v>
      </c>
      <c r="D13" s="3" t="s">
        <v>2088</v>
      </c>
      <c r="E13" s="3">
        <v>2</v>
      </c>
      <c r="F13" s="3" t="s">
        <v>2001</v>
      </c>
    </row>
    <row r="14" s="2" customFormat="1" spans="1:6">
      <c r="A14" s="3"/>
      <c r="B14" s="3">
        <v>13</v>
      </c>
      <c r="C14" s="2" t="s">
        <v>2095</v>
      </c>
      <c r="D14" s="3" t="s">
        <v>2096</v>
      </c>
      <c r="E14" s="3">
        <v>1</v>
      </c>
      <c r="F14" s="3" t="s">
        <v>2001</v>
      </c>
    </row>
    <row r="15" s="2" customFormat="1" spans="1:6">
      <c r="A15" s="3"/>
      <c r="B15" s="3">
        <v>14</v>
      </c>
      <c r="C15" s="2" t="s">
        <v>3381</v>
      </c>
      <c r="D15" s="3" t="s">
        <v>3382</v>
      </c>
      <c r="E15" s="3">
        <v>4</v>
      </c>
      <c r="F15" s="3" t="s">
        <v>2001</v>
      </c>
    </row>
    <row r="16" s="2" customFormat="1" spans="1:6">
      <c r="A16" s="3"/>
      <c r="B16" s="3">
        <v>15</v>
      </c>
      <c r="C16" s="2" t="s">
        <v>3789</v>
      </c>
      <c r="D16" s="3" t="s">
        <v>3790</v>
      </c>
      <c r="E16" s="3">
        <v>8</v>
      </c>
      <c r="F16" s="3" t="s">
        <v>2001</v>
      </c>
    </row>
    <row r="17" s="2" customFormat="1" spans="1:6">
      <c r="A17" s="3"/>
      <c r="B17" s="3">
        <v>16</v>
      </c>
      <c r="C17" s="2" t="s">
        <v>2113</v>
      </c>
      <c r="D17" s="3" t="s">
        <v>2114</v>
      </c>
      <c r="E17" s="3">
        <v>2</v>
      </c>
      <c r="F17" s="3" t="s">
        <v>2001</v>
      </c>
    </row>
    <row r="18" s="2" customFormat="1" spans="1:6">
      <c r="A18" s="3"/>
      <c r="B18" s="3">
        <v>17</v>
      </c>
      <c r="C18" s="2" t="s">
        <v>2115</v>
      </c>
      <c r="D18" s="3" t="s">
        <v>2116</v>
      </c>
      <c r="E18" s="3">
        <v>2</v>
      </c>
      <c r="F18" s="3" t="s">
        <v>2001</v>
      </c>
    </row>
    <row r="19" s="2" customFormat="1" spans="1:6">
      <c r="A19" s="3"/>
      <c r="B19" s="3">
        <v>18</v>
      </c>
      <c r="C19" s="2" t="s">
        <v>3383</v>
      </c>
      <c r="D19" s="3" t="s">
        <v>3384</v>
      </c>
      <c r="E19" s="3">
        <v>1</v>
      </c>
      <c r="F19" s="3" t="s">
        <v>2001</v>
      </c>
    </row>
    <row r="20" s="2" customFormat="1" spans="1:6">
      <c r="A20" s="3"/>
      <c r="B20" s="3">
        <v>19</v>
      </c>
      <c r="C20" s="2" t="s">
        <v>2129</v>
      </c>
      <c r="D20" s="3" t="s">
        <v>2130</v>
      </c>
      <c r="E20" s="3">
        <v>2</v>
      </c>
      <c r="F20" s="3" t="s">
        <v>2001</v>
      </c>
    </row>
    <row r="21" s="2" customFormat="1" spans="1:6">
      <c r="A21" s="3"/>
      <c r="B21" s="3">
        <v>20</v>
      </c>
      <c r="C21" s="2" t="s">
        <v>3791</v>
      </c>
      <c r="D21" s="3" t="s">
        <v>3792</v>
      </c>
      <c r="E21" s="3">
        <v>2</v>
      </c>
      <c r="F21" s="3" t="s">
        <v>2001</v>
      </c>
    </row>
    <row r="22" s="2" customFormat="1" spans="1:6">
      <c r="A22" s="3"/>
      <c r="B22" s="3">
        <v>21</v>
      </c>
      <c r="C22" s="2" t="s">
        <v>3385</v>
      </c>
      <c r="D22" s="3" t="s">
        <v>3386</v>
      </c>
      <c r="E22" s="3">
        <v>1</v>
      </c>
      <c r="F22" s="3" t="s">
        <v>2001</v>
      </c>
    </row>
    <row r="23" s="2" customFormat="1" spans="1:6">
      <c r="A23" s="3"/>
      <c r="B23" s="3">
        <v>22</v>
      </c>
      <c r="C23" s="2" t="s">
        <v>2147</v>
      </c>
      <c r="D23" s="3" t="s">
        <v>2148</v>
      </c>
      <c r="E23" s="3">
        <v>1</v>
      </c>
      <c r="F23" s="3" t="s">
        <v>2001</v>
      </c>
    </row>
    <row r="24" s="2" customFormat="1" spans="1:6">
      <c r="A24" s="3"/>
      <c r="B24" s="3">
        <v>23</v>
      </c>
      <c r="C24" s="2" t="s">
        <v>2161</v>
      </c>
      <c r="D24" s="3" t="s">
        <v>2162</v>
      </c>
      <c r="E24" s="3">
        <v>3</v>
      </c>
      <c r="F24" s="3" t="s">
        <v>2001</v>
      </c>
    </row>
    <row r="25" s="2" customFormat="1" spans="1:6">
      <c r="A25" s="3"/>
      <c r="B25" s="3">
        <v>24</v>
      </c>
      <c r="C25" s="2" t="s">
        <v>2165</v>
      </c>
      <c r="D25" s="3" t="s">
        <v>2166</v>
      </c>
      <c r="E25" s="3">
        <v>6</v>
      </c>
      <c r="F25" s="3" t="s">
        <v>2001</v>
      </c>
    </row>
    <row r="26" s="2" customFormat="1" spans="1:6">
      <c r="A26" s="3"/>
      <c r="B26" s="3">
        <v>25</v>
      </c>
      <c r="C26" s="2" t="s">
        <v>3387</v>
      </c>
      <c r="D26" s="3" t="s">
        <v>3388</v>
      </c>
      <c r="E26" s="3">
        <v>6</v>
      </c>
      <c r="F26" s="3" t="s">
        <v>2001</v>
      </c>
    </row>
    <row r="27" s="2" customFormat="1" spans="1:6">
      <c r="A27" s="3"/>
      <c r="B27" s="3">
        <v>26</v>
      </c>
      <c r="C27" s="2" t="s">
        <v>2171</v>
      </c>
      <c r="D27" s="3" t="s">
        <v>2172</v>
      </c>
      <c r="E27" s="3">
        <v>4</v>
      </c>
      <c r="F27" s="3" t="s">
        <v>2001</v>
      </c>
    </row>
    <row r="28" s="2" customFormat="1" spans="1:6">
      <c r="A28" s="3"/>
      <c r="B28" s="3">
        <v>27</v>
      </c>
      <c r="C28" s="2" t="s">
        <v>3793</v>
      </c>
      <c r="D28" s="3" t="s">
        <v>3794</v>
      </c>
      <c r="E28" s="3">
        <v>4</v>
      </c>
      <c r="F28" s="3" t="s">
        <v>2001</v>
      </c>
    </row>
    <row r="29" s="2" customFormat="1" spans="1:6">
      <c r="A29" s="3"/>
      <c r="B29" s="3">
        <v>28</v>
      </c>
      <c r="C29" s="2" t="s">
        <v>2177</v>
      </c>
      <c r="D29" s="3" t="s">
        <v>2178</v>
      </c>
      <c r="E29" s="3">
        <v>6</v>
      </c>
      <c r="F29" s="3" t="s">
        <v>2001</v>
      </c>
    </row>
    <row r="30" s="2" customFormat="1" spans="1:6">
      <c r="A30" s="3"/>
      <c r="B30" s="3">
        <v>29</v>
      </c>
      <c r="C30" s="2" t="s">
        <v>3391</v>
      </c>
      <c r="D30" s="3" t="s">
        <v>3392</v>
      </c>
      <c r="E30" s="3">
        <v>4</v>
      </c>
      <c r="F30" s="3" t="s">
        <v>2001</v>
      </c>
    </row>
    <row r="31" s="2" customFormat="1" spans="1:6">
      <c r="A31" s="3"/>
      <c r="B31" s="3">
        <v>30</v>
      </c>
      <c r="C31" s="2" t="s">
        <v>3393</v>
      </c>
      <c r="D31" s="3" t="s">
        <v>3394</v>
      </c>
      <c r="E31" s="3">
        <v>6</v>
      </c>
      <c r="F31" s="3" t="s">
        <v>2001</v>
      </c>
    </row>
    <row r="32" s="2" customFormat="1" spans="1:6">
      <c r="A32" s="3"/>
      <c r="B32" s="3">
        <v>31</v>
      </c>
      <c r="C32" s="2" t="s">
        <v>2191</v>
      </c>
      <c r="D32" s="3" t="s">
        <v>2192</v>
      </c>
      <c r="E32" s="3">
        <v>15</v>
      </c>
      <c r="F32" s="3" t="s">
        <v>2001</v>
      </c>
    </row>
    <row r="33" s="2" customFormat="1" spans="1:6">
      <c r="A33" s="3"/>
      <c r="B33" s="3">
        <v>32</v>
      </c>
      <c r="C33" s="2" t="s">
        <v>2193</v>
      </c>
      <c r="D33" s="3" t="s">
        <v>2194</v>
      </c>
      <c r="E33" s="3">
        <v>38</v>
      </c>
      <c r="F33" s="3" t="s">
        <v>2001</v>
      </c>
    </row>
    <row r="34" s="2" customFormat="1" spans="1:6">
      <c r="A34" s="3"/>
      <c r="B34" s="3">
        <v>33</v>
      </c>
      <c r="C34" s="2" t="s">
        <v>2195</v>
      </c>
      <c r="D34" s="3" t="s">
        <v>2196</v>
      </c>
      <c r="E34" s="3">
        <v>20</v>
      </c>
      <c r="F34" s="3" t="s">
        <v>2001</v>
      </c>
    </row>
    <row r="35" s="2" customFormat="1" spans="1:6">
      <c r="A35" s="3"/>
      <c r="B35" s="3">
        <v>34</v>
      </c>
      <c r="C35" s="2" t="s">
        <v>2199</v>
      </c>
      <c r="D35" s="3" t="s">
        <v>2200</v>
      </c>
      <c r="E35" s="3">
        <v>9</v>
      </c>
      <c r="F35" s="3" t="s">
        <v>2001</v>
      </c>
    </row>
    <row r="36" s="2" customFormat="1" spans="1:6">
      <c r="A36" s="3"/>
      <c r="B36" s="3">
        <v>35</v>
      </c>
      <c r="C36" s="2" t="s">
        <v>3795</v>
      </c>
      <c r="D36" s="3" t="s">
        <v>3796</v>
      </c>
      <c r="E36" s="3">
        <v>12</v>
      </c>
      <c r="F36" s="3" t="s">
        <v>2001</v>
      </c>
    </row>
    <row r="37" s="2" customFormat="1" spans="1:6">
      <c r="A37" s="3"/>
      <c r="B37" s="3">
        <v>36</v>
      </c>
      <c r="C37" s="2" t="s">
        <v>2201</v>
      </c>
      <c r="D37" s="3" t="s">
        <v>2202</v>
      </c>
      <c r="E37" s="3">
        <v>8</v>
      </c>
      <c r="F37" s="3" t="s">
        <v>2001</v>
      </c>
    </row>
    <row r="38" s="2" customFormat="1" spans="1:6">
      <c r="A38" s="3"/>
      <c r="B38" s="3">
        <v>37</v>
      </c>
      <c r="C38" s="2" t="s">
        <v>2203</v>
      </c>
      <c r="D38" s="3" t="s">
        <v>2204</v>
      </c>
      <c r="E38" s="3">
        <v>12</v>
      </c>
      <c r="F38" s="3" t="s">
        <v>2001</v>
      </c>
    </row>
    <row r="39" s="2" customFormat="1" spans="1:6">
      <c r="A39" s="3"/>
      <c r="B39" s="3">
        <v>38</v>
      </c>
      <c r="C39" s="2" t="s">
        <v>2205</v>
      </c>
      <c r="D39" s="3" t="s">
        <v>2206</v>
      </c>
      <c r="E39" s="3">
        <v>6</v>
      </c>
      <c r="F39" s="3" t="s">
        <v>2001</v>
      </c>
    </row>
    <row r="40" s="2" customFormat="1" spans="1:6">
      <c r="A40" s="3"/>
      <c r="B40" s="3">
        <v>39</v>
      </c>
      <c r="C40" s="2" t="s">
        <v>2207</v>
      </c>
      <c r="D40" s="3" t="s">
        <v>2208</v>
      </c>
      <c r="E40" s="3">
        <v>6</v>
      </c>
      <c r="F40" s="3" t="s">
        <v>2001</v>
      </c>
    </row>
    <row r="41" s="2" customFormat="1" spans="1:6">
      <c r="A41" s="3"/>
      <c r="B41" s="3">
        <v>40</v>
      </c>
      <c r="C41" s="2" t="s">
        <v>3395</v>
      </c>
      <c r="D41" s="3" t="s">
        <v>3396</v>
      </c>
      <c r="E41" s="3">
        <v>8</v>
      </c>
      <c r="F41" s="3" t="s">
        <v>2001</v>
      </c>
    </row>
    <row r="42" s="2" customFormat="1" spans="1:6">
      <c r="A42" s="3"/>
      <c r="B42" s="3">
        <v>41</v>
      </c>
      <c r="C42" s="2" t="s">
        <v>2211</v>
      </c>
      <c r="D42" s="3" t="s">
        <v>2212</v>
      </c>
      <c r="E42" s="3">
        <v>12</v>
      </c>
      <c r="F42" s="3" t="s">
        <v>2001</v>
      </c>
    </row>
    <row r="43" s="2" customFormat="1" spans="1:6">
      <c r="A43" s="3"/>
      <c r="B43" s="3">
        <v>42</v>
      </c>
      <c r="C43" s="2" t="s">
        <v>2213</v>
      </c>
      <c r="D43" s="3" t="s">
        <v>2214</v>
      </c>
      <c r="E43" s="3">
        <v>4</v>
      </c>
      <c r="F43" s="3" t="s">
        <v>2001</v>
      </c>
    </row>
    <row r="44" s="2" customFormat="1" spans="1:6">
      <c r="A44" s="3"/>
      <c r="B44" s="3">
        <v>43</v>
      </c>
      <c r="C44" s="2" t="s">
        <v>2215</v>
      </c>
      <c r="D44" s="3" t="s">
        <v>2216</v>
      </c>
      <c r="E44" s="3">
        <v>6</v>
      </c>
      <c r="F44" s="3" t="s">
        <v>2001</v>
      </c>
    </row>
    <row r="45" s="2" customFormat="1" spans="1:6">
      <c r="A45" s="3"/>
      <c r="B45" s="3">
        <v>44</v>
      </c>
      <c r="C45" s="2" t="s">
        <v>3397</v>
      </c>
      <c r="D45" s="3" t="s">
        <v>3398</v>
      </c>
      <c r="E45" s="3">
        <v>5</v>
      </c>
      <c r="F45" s="3" t="s">
        <v>2001</v>
      </c>
    </row>
    <row r="46" s="2" customFormat="1" spans="1:6">
      <c r="A46" s="3"/>
      <c r="B46" s="3">
        <v>45</v>
      </c>
      <c r="C46" s="2" t="s">
        <v>2221</v>
      </c>
      <c r="D46" s="3" t="s">
        <v>2222</v>
      </c>
      <c r="E46" s="3">
        <v>5</v>
      </c>
      <c r="F46" s="3" t="s">
        <v>2001</v>
      </c>
    </row>
    <row r="47" s="2" customFormat="1" spans="1:6">
      <c r="A47" s="3"/>
      <c r="B47" s="3">
        <v>46</v>
      </c>
      <c r="C47" s="2" t="s">
        <v>2223</v>
      </c>
      <c r="D47" s="3" t="s">
        <v>2224</v>
      </c>
      <c r="E47" s="3">
        <v>6</v>
      </c>
      <c r="F47" s="3" t="s">
        <v>2001</v>
      </c>
    </row>
    <row r="48" s="2" customFormat="1" spans="1:6">
      <c r="A48" s="3"/>
      <c r="B48" s="3">
        <v>47</v>
      </c>
      <c r="C48" s="2" t="s">
        <v>2225</v>
      </c>
      <c r="D48" s="3" t="s">
        <v>2226</v>
      </c>
      <c r="E48" s="3">
        <v>12</v>
      </c>
      <c r="F48" s="3" t="s">
        <v>2001</v>
      </c>
    </row>
    <row r="49" s="2" customFormat="1" spans="1:6">
      <c r="A49" s="3"/>
      <c r="B49" s="3">
        <v>48</v>
      </c>
      <c r="C49" s="2" t="s">
        <v>2227</v>
      </c>
      <c r="D49" s="3" t="s">
        <v>2228</v>
      </c>
      <c r="E49" s="3">
        <v>12</v>
      </c>
      <c r="F49" s="3" t="s">
        <v>2001</v>
      </c>
    </row>
    <row r="50" s="2" customFormat="1" spans="1:6">
      <c r="A50" s="3"/>
      <c r="B50" s="3">
        <v>49</v>
      </c>
      <c r="C50" s="2" t="s">
        <v>2229</v>
      </c>
      <c r="D50" s="3" t="s">
        <v>2230</v>
      </c>
      <c r="E50" s="3">
        <v>7</v>
      </c>
      <c r="F50" s="3" t="s">
        <v>2001</v>
      </c>
    </row>
    <row r="51" s="2" customFormat="1" spans="1:6">
      <c r="A51" s="3"/>
      <c r="B51" s="3">
        <v>50</v>
      </c>
      <c r="C51" s="2" t="s">
        <v>2231</v>
      </c>
      <c r="D51" s="3" t="s">
        <v>2232</v>
      </c>
      <c r="E51" s="3">
        <v>4</v>
      </c>
      <c r="F51" s="3" t="s">
        <v>2001</v>
      </c>
    </row>
    <row r="52" s="2" customFormat="1" spans="1:6">
      <c r="A52" s="3"/>
      <c r="B52" s="3">
        <v>51</v>
      </c>
      <c r="C52" s="2" t="s">
        <v>2233</v>
      </c>
      <c r="D52" s="3" t="s">
        <v>2234</v>
      </c>
      <c r="E52" s="3">
        <v>6</v>
      </c>
      <c r="F52" s="3" t="s">
        <v>2001</v>
      </c>
    </row>
    <row r="53" s="2" customFormat="1" spans="1:6">
      <c r="A53" s="3"/>
      <c r="B53" s="3">
        <v>52</v>
      </c>
      <c r="C53" s="2" t="s">
        <v>2235</v>
      </c>
      <c r="D53" s="3" t="s">
        <v>2236</v>
      </c>
      <c r="E53" s="3">
        <v>12</v>
      </c>
      <c r="F53" s="3" t="s">
        <v>2001</v>
      </c>
    </row>
    <row r="54" s="2" customFormat="1" spans="1:6">
      <c r="A54" s="3"/>
      <c r="B54" s="3">
        <v>53</v>
      </c>
      <c r="C54" s="2" t="s">
        <v>3797</v>
      </c>
      <c r="D54" s="3" t="s">
        <v>3798</v>
      </c>
      <c r="E54" s="3">
        <v>3</v>
      </c>
      <c r="F54" s="3" t="s">
        <v>2001</v>
      </c>
    </row>
    <row r="55" s="2" customFormat="1" spans="1:6">
      <c r="A55" s="3"/>
      <c r="B55" s="3">
        <v>54</v>
      </c>
      <c r="C55" s="2" t="s">
        <v>3399</v>
      </c>
      <c r="D55" s="3" t="s">
        <v>3400</v>
      </c>
      <c r="E55" s="3">
        <v>2</v>
      </c>
      <c r="F55" s="3" t="s">
        <v>2001</v>
      </c>
    </row>
    <row r="56" s="2" customFormat="1" spans="1:6">
      <c r="A56" s="3"/>
      <c r="B56" s="3">
        <v>55</v>
      </c>
      <c r="C56" s="2" t="s">
        <v>3799</v>
      </c>
      <c r="D56" s="3" t="s">
        <v>3800</v>
      </c>
      <c r="E56" s="3">
        <v>9</v>
      </c>
      <c r="F56" s="3" t="s">
        <v>2001</v>
      </c>
    </row>
    <row r="57" s="2" customFormat="1" spans="1:6">
      <c r="A57" s="3"/>
      <c r="B57" s="3">
        <v>56</v>
      </c>
      <c r="C57" s="2" t="s">
        <v>3801</v>
      </c>
      <c r="D57" s="3" t="s">
        <v>3802</v>
      </c>
      <c r="E57" s="3">
        <v>5</v>
      </c>
      <c r="F57" s="3" t="s">
        <v>2001</v>
      </c>
    </row>
    <row r="58" s="2" customFormat="1" spans="1:6">
      <c r="A58" s="3"/>
      <c r="B58" s="3">
        <v>57</v>
      </c>
      <c r="C58" s="2" t="s">
        <v>3803</v>
      </c>
      <c r="D58" s="3" t="s">
        <v>3804</v>
      </c>
      <c r="E58" s="3">
        <v>5</v>
      </c>
      <c r="F58" s="3" t="s">
        <v>2001</v>
      </c>
    </row>
    <row r="59" s="2" customFormat="1" spans="1:6">
      <c r="A59" s="3"/>
      <c r="B59" s="3">
        <v>58</v>
      </c>
      <c r="C59" s="2" t="s">
        <v>3805</v>
      </c>
      <c r="D59" s="3" t="s">
        <v>3806</v>
      </c>
      <c r="E59" s="3">
        <v>5</v>
      </c>
      <c r="F59" s="3" t="s">
        <v>2001</v>
      </c>
    </row>
    <row r="60" s="2" customFormat="1" spans="1:6">
      <c r="A60" s="3"/>
      <c r="B60" s="3">
        <v>59</v>
      </c>
      <c r="C60" s="2" t="s">
        <v>3807</v>
      </c>
      <c r="D60" s="3" t="s">
        <v>3808</v>
      </c>
      <c r="E60" s="3">
        <v>4</v>
      </c>
      <c r="F60" s="3" t="s">
        <v>2001</v>
      </c>
    </row>
    <row r="61" s="2" customFormat="1" spans="1:6">
      <c r="A61" s="3"/>
      <c r="B61" s="3">
        <v>60</v>
      </c>
      <c r="C61" s="2" t="s">
        <v>3809</v>
      </c>
      <c r="D61" s="3" t="s">
        <v>3810</v>
      </c>
      <c r="E61" s="3">
        <v>5</v>
      </c>
      <c r="F61" s="3" t="s">
        <v>2001</v>
      </c>
    </row>
    <row r="62" s="2" customFormat="1" spans="1:6">
      <c r="A62" s="3"/>
      <c r="B62" s="3">
        <v>61</v>
      </c>
      <c r="C62" s="2" t="s">
        <v>3811</v>
      </c>
      <c r="D62" s="3" t="s">
        <v>3812</v>
      </c>
      <c r="E62" s="3">
        <v>4</v>
      </c>
      <c r="F62" s="3" t="s">
        <v>2001</v>
      </c>
    </row>
    <row r="63" s="2" customFormat="1" spans="1:6">
      <c r="A63" s="3"/>
      <c r="B63" s="3">
        <v>62</v>
      </c>
      <c r="C63" s="2" t="s">
        <v>3813</v>
      </c>
      <c r="D63" s="3" t="s">
        <v>3814</v>
      </c>
      <c r="E63" s="3">
        <v>6</v>
      </c>
      <c r="F63" s="3" t="s">
        <v>2001</v>
      </c>
    </row>
    <row r="64" s="2" customFormat="1" spans="1:6">
      <c r="A64" s="3"/>
      <c r="B64" s="3">
        <v>63</v>
      </c>
      <c r="C64" s="2" t="s">
        <v>3815</v>
      </c>
      <c r="D64" s="3" t="s">
        <v>3816</v>
      </c>
      <c r="E64" s="3">
        <v>15</v>
      </c>
      <c r="F64" s="3" t="s">
        <v>2001</v>
      </c>
    </row>
    <row r="65" s="2" customFormat="1" spans="1:6">
      <c r="A65" s="3"/>
      <c r="B65" s="3">
        <v>64</v>
      </c>
      <c r="C65" s="2" t="s">
        <v>3817</v>
      </c>
      <c r="D65" s="3" t="s">
        <v>3818</v>
      </c>
      <c r="E65" s="3">
        <v>8</v>
      </c>
      <c r="F65" s="3" t="s">
        <v>2001</v>
      </c>
    </row>
    <row r="66" s="2" customFormat="1" spans="1:6">
      <c r="A66" s="3"/>
      <c r="B66" s="3">
        <v>65</v>
      </c>
      <c r="C66" s="2" t="s">
        <v>3819</v>
      </c>
      <c r="D66" s="3" t="s">
        <v>3820</v>
      </c>
      <c r="E66" s="3">
        <v>4</v>
      </c>
      <c r="F66" s="3" t="s">
        <v>2001</v>
      </c>
    </row>
    <row r="67" s="2" customFormat="1" spans="1:6">
      <c r="A67" s="3"/>
      <c r="B67" s="3">
        <v>66</v>
      </c>
      <c r="C67" s="2" t="s">
        <v>3821</v>
      </c>
      <c r="D67" s="3" t="s">
        <v>3822</v>
      </c>
      <c r="E67" s="3">
        <v>4</v>
      </c>
      <c r="F67" s="3" t="s">
        <v>2001</v>
      </c>
    </row>
    <row r="68" s="2" customFormat="1" spans="1:6">
      <c r="A68" s="3"/>
      <c r="B68" s="3">
        <v>67</v>
      </c>
      <c r="C68" s="2" t="s">
        <v>3823</v>
      </c>
      <c r="D68" s="3" t="s">
        <v>3824</v>
      </c>
      <c r="E68" s="3">
        <v>8</v>
      </c>
      <c r="F68" s="3" t="s">
        <v>2001</v>
      </c>
    </row>
    <row r="69" s="2" customFormat="1" spans="1:6">
      <c r="A69" s="3"/>
      <c r="B69" s="3">
        <v>68</v>
      </c>
      <c r="C69" s="2" t="s">
        <v>3825</v>
      </c>
      <c r="D69" s="3" t="s">
        <v>3826</v>
      </c>
      <c r="E69" s="3">
        <v>8</v>
      </c>
      <c r="F69" s="3" t="s">
        <v>2001</v>
      </c>
    </row>
    <row r="70" s="2" customFormat="1" spans="1:6">
      <c r="A70" s="3"/>
      <c r="B70" s="3">
        <v>69</v>
      </c>
      <c r="C70" s="2" t="s">
        <v>3827</v>
      </c>
      <c r="D70" s="3" t="s">
        <v>3828</v>
      </c>
      <c r="E70" s="3">
        <v>13</v>
      </c>
      <c r="F70" s="3" t="s">
        <v>2001</v>
      </c>
    </row>
    <row r="71" s="2" customFormat="1" spans="1:6">
      <c r="A71" s="3"/>
      <c r="B71" s="3">
        <v>70</v>
      </c>
      <c r="C71" s="2" t="s">
        <v>3401</v>
      </c>
      <c r="D71" s="3" t="s">
        <v>3402</v>
      </c>
      <c r="E71" s="3">
        <v>30</v>
      </c>
      <c r="F71" s="3" t="s">
        <v>2001</v>
      </c>
    </row>
    <row r="72" s="2" customFormat="1" spans="1:6">
      <c r="A72" s="3"/>
      <c r="B72" s="3">
        <v>71</v>
      </c>
      <c r="C72" s="2" t="s">
        <v>2249</v>
      </c>
      <c r="D72" s="3" t="s">
        <v>2250</v>
      </c>
      <c r="E72" s="3">
        <v>5</v>
      </c>
      <c r="F72" s="3" t="s">
        <v>2001</v>
      </c>
    </row>
    <row r="73" s="2" customFormat="1" spans="1:6">
      <c r="A73" s="3"/>
      <c r="B73" s="3">
        <v>72</v>
      </c>
      <c r="C73" s="2" t="s">
        <v>3829</v>
      </c>
      <c r="D73" s="3" t="s">
        <v>3830</v>
      </c>
      <c r="E73" s="3">
        <v>10</v>
      </c>
      <c r="F73" s="3" t="s">
        <v>2001</v>
      </c>
    </row>
    <row r="74" s="2" customFormat="1" spans="1:6">
      <c r="A74" s="3"/>
      <c r="B74" s="3">
        <v>73</v>
      </c>
      <c r="C74" s="2" t="s">
        <v>2251</v>
      </c>
      <c r="D74" s="3" t="s">
        <v>2252</v>
      </c>
      <c r="E74" s="3">
        <v>7</v>
      </c>
      <c r="F74" s="3" t="s">
        <v>2001</v>
      </c>
    </row>
    <row r="75" s="2" customFormat="1" spans="1:6">
      <c r="A75" s="3"/>
      <c r="B75" s="3">
        <v>74</v>
      </c>
      <c r="C75" s="2" t="s">
        <v>3403</v>
      </c>
      <c r="D75" s="3" t="s">
        <v>3404</v>
      </c>
      <c r="E75" s="3">
        <v>3</v>
      </c>
      <c r="F75" s="3" t="s">
        <v>2001</v>
      </c>
    </row>
    <row r="76" s="2" customFormat="1" spans="1:6">
      <c r="A76" s="3"/>
      <c r="B76" s="3">
        <v>75</v>
      </c>
      <c r="C76" s="2" t="s">
        <v>2253</v>
      </c>
      <c r="D76" s="3" t="s">
        <v>2254</v>
      </c>
      <c r="E76" s="3">
        <v>5</v>
      </c>
      <c r="F76" s="3" t="s">
        <v>2001</v>
      </c>
    </row>
    <row r="77" s="2" customFormat="1" spans="1:6">
      <c r="A77" s="3"/>
      <c r="B77" s="3">
        <v>76</v>
      </c>
      <c r="C77" s="2" t="s">
        <v>3405</v>
      </c>
      <c r="D77" s="3" t="s">
        <v>3406</v>
      </c>
      <c r="E77" s="3">
        <v>5</v>
      </c>
      <c r="F77" s="3" t="s">
        <v>2001</v>
      </c>
    </row>
    <row r="78" s="2" customFormat="1" spans="1:6">
      <c r="A78" s="3"/>
      <c r="B78" s="3">
        <v>77</v>
      </c>
      <c r="C78" s="2" t="s">
        <v>3831</v>
      </c>
      <c r="D78" s="3" t="s">
        <v>3832</v>
      </c>
      <c r="E78" s="3">
        <v>8</v>
      </c>
      <c r="F78" s="3" t="s">
        <v>2001</v>
      </c>
    </row>
    <row r="79" s="2" customFormat="1" spans="1:6">
      <c r="A79" s="3"/>
      <c r="B79" s="3">
        <v>78</v>
      </c>
      <c r="C79" s="2" t="s">
        <v>3833</v>
      </c>
      <c r="D79" s="3" t="s">
        <v>3834</v>
      </c>
      <c r="E79" s="3">
        <v>7</v>
      </c>
      <c r="F79" s="3" t="s">
        <v>2001</v>
      </c>
    </row>
    <row r="80" s="2" customFormat="1" spans="1:6">
      <c r="A80" s="3"/>
      <c r="B80" s="3">
        <v>79</v>
      </c>
      <c r="C80" s="2" t="s">
        <v>2255</v>
      </c>
      <c r="D80" s="3" t="s">
        <v>2256</v>
      </c>
      <c r="E80" s="3">
        <v>3</v>
      </c>
      <c r="F80" s="3" t="s">
        <v>2001</v>
      </c>
    </row>
    <row r="81" s="2" customFormat="1" spans="1:6">
      <c r="A81" s="3"/>
      <c r="B81" s="3">
        <v>80</v>
      </c>
      <c r="C81" s="2" t="s">
        <v>3407</v>
      </c>
      <c r="D81" s="3" t="s">
        <v>3408</v>
      </c>
      <c r="E81" s="3">
        <v>9</v>
      </c>
      <c r="F81" s="3" t="s">
        <v>2001</v>
      </c>
    </row>
    <row r="82" s="2" customFormat="1" spans="1:6">
      <c r="A82" s="3"/>
      <c r="B82" s="3">
        <v>81</v>
      </c>
      <c r="C82" s="2" t="s">
        <v>3409</v>
      </c>
      <c r="D82" s="3" t="s">
        <v>3410</v>
      </c>
      <c r="E82" s="3">
        <v>6</v>
      </c>
      <c r="F82" s="3" t="s">
        <v>2001</v>
      </c>
    </row>
    <row r="83" s="2" customFormat="1" spans="1:6">
      <c r="A83" s="3"/>
      <c r="B83" s="3">
        <v>82</v>
      </c>
      <c r="C83" s="2" t="s">
        <v>3411</v>
      </c>
      <c r="D83" s="3" t="s">
        <v>3412</v>
      </c>
      <c r="E83" s="3">
        <v>2</v>
      </c>
      <c r="F83" s="3" t="s">
        <v>2001</v>
      </c>
    </row>
    <row r="84" s="2" customFormat="1" spans="1:6">
      <c r="A84" s="3"/>
      <c r="B84" s="3">
        <v>83</v>
      </c>
      <c r="C84" s="2" t="s">
        <v>3413</v>
      </c>
      <c r="D84" s="3" t="s">
        <v>3414</v>
      </c>
      <c r="E84" s="3">
        <v>3</v>
      </c>
      <c r="F84" s="3" t="s">
        <v>2001</v>
      </c>
    </row>
    <row r="85" s="2" customFormat="1" spans="1:6">
      <c r="A85" s="3"/>
      <c r="B85" s="3">
        <v>84</v>
      </c>
      <c r="C85" s="2" t="s">
        <v>3835</v>
      </c>
      <c r="D85" s="3" t="s">
        <v>3836</v>
      </c>
      <c r="E85" s="3">
        <v>2</v>
      </c>
      <c r="F85" s="3" t="s">
        <v>2001</v>
      </c>
    </row>
    <row r="86" s="2" customFormat="1" spans="1:6">
      <c r="A86" s="3"/>
      <c r="B86" s="3">
        <v>85</v>
      </c>
      <c r="C86" s="2" t="s">
        <v>3415</v>
      </c>
      <c r="D86" s="3" t="s">
        <v>3416</v>
      </c>
      <c r="E86" s="3">
        <v>3</v>
      </c>
      <c r="F86" s="3" t="s">
        <v>2001</v>
      </c>
    </row>
    <row r="87" s="2" customFormat="1" spans="1:6">
      <c r="A87" s="3"/>
      <c r="B87" s="3">
        <v>86</v>
      </c>
      <c r="C87" s="2" t="s">
        <v>3417</v>
      </c>
      <c r="D87" s="3" t="s">
        <v>3418</v>
      </c>
      <c r="E87" s="3">
        <v>3</v>
      </c>
      <c r="F87" s="3" t="s">
        <v>2001</v>
      </c>
    </row>
    <row r="88" s="2" customFormat="1" spans="1:6">
      <c r="A88" s="3"/>
      <c r="B88" s="3">
        <v>87</v>
      </c>
      <c r="C88" s="2" t="s">
        <v>3419</v>
      </c>
      <c r="D88" s="3" t="s">
        <v>3420</v>
      </c>
      <c r="E88" s="3">
        <v>5</v>
      </c>
      <c r="F88" s="3" t="s">
        <v>2001</v>
      </c>
    </row>
    <row r="89" s="2" customFormat="1" spans="1:6">
      <c r="A89" s="3"/>
      <c r="B89" s="3">
        <v>88</v>
      </c>
      <c r="C89" s="2" t="s">
        <v>3421</v>
      </c>
      <c r="D89" s="3" t="s">
        <v>3422</v>
      </c>
      <c r="E89" s="3">
        <v>7</v>
      </c>
      <c r="F89" s="3" t="s">
        <v>2001</v>
      </c>
    </row>
    <row r="90" s="2" customFormat="1" spans="1:6">
      <c r="A90" s="3"/>
      <c r="B90" s="3">
        <v>89</v>
      </c>
      <c r="C90" s="2" t="s">
        <v>3837</v>
      </c>
      <c r="D90" s="3" t="s">
        <v>3838</v>
      </c>
      <c r="E90" s="3">
        <v>5</v>
      </c>
      <c r="F90" s="3" t="s">
        <v>2001</v>
      </c>
    </row>
    <row r="91" s="2" customFormat="1" spans="1:6">
      <c r="A91" s="3"/>
      <c r="B91" s="3">
        <v>90</v>
      </c>
      <c r="C91" s="2" t="s">
        <v>3839</v>
      </c>
      <c r="D91" s="3" t="s">
        <v>3840</v>
      </c>
      <c r="E91" s="3">
        <v>5</v>
      </c>
      <c r="F91" s="3" t="s">
        <v>2001</v>
      </c>
    </row>
    <row r="92" s="2" customFormat="1" spans="1:6">
      <c r="A92" s="3"/>
      <c r="B92" s="3">
        <v>91</v>
      </c>
      <c r="C92" s="2" t="s">
        <v>2257</v>
      </c>
      <c r="D92" s="3" t="s">
        <v>2258</v>
      </c>
      <c r="E92" s="3">
        <v>10</v>
      </c>
      <c r="F92" s="3" t="s">
        <v>2001</v>
      </c>
    </row>
    <row r="93" s="2" customFormat="1" spans="1:6">
      <c r="A93" s="3"/>
      <c r="B93" s="3">
        <v>92</v>
      </c>
      <c r="C93" s="2" t="s">
        <v>3841</v>
      </c>
      <c r="D93" s="3" t="s">
        <v>3842</v>
      </c>
      <c r="E93" s="3">
        <v>12</v>
      </c>
      <c r="F93" s="3" t="s">
        <v>2001</v>
      </c>
    </row>
    <row r="94" s="2" customFormat="1" spans="1:6">
      <c r="A94" s="3"/>
      <c r="B94" s="3">
        <v>93</v>
      </c>
      <c r="C94" s="2" t="s">
        <v>3843</v>
      </c>
      <c r="D94" s="3" t="s">
        <v>3844</v>
      </c>
      <c r="E94" s="3">
        <v>10</v>
      </c>
      <c r="F94" s="3" t="s">
        <v>2001</v>
      </c>
    </row>
    <row r="95" s="2" customFormat="1" spans="1:6">
      <c r="A95" s="3"/>
      <c r="B95" s="3">
        <v>94</v>
      </c>
      <c r="C95" s="2" t="s">
        <v>3845</v>
      </c>
      <c r="D95" s="3" t="s">
        <v>3846</v>
      </c>
      <c r="E95" s="3">
        <v>10</v>
      </c>
      <c r="F95" s="3" t="s">
        <v>2001</v>
      </c>
    </row>
    <row r="96" s="2" customFormat="1" spans="1:6">
      <c r="A96" s="3"/>
      <c r="B96" s="3">
        <v>95</v>
      </c>
      <c r="C96" s="2" t="s">
        <v>2261</v>
      </c>
      <c r="D96" s="3" t="s">
        <v>2262</v>
      </c>
      <c r="E96" s="3">
        <v>20</v>
      </c>
      <c r="F96" s="3" t="s">
        <v>2001</v>
      </c>
    </row>
    <row r="97" s="2" customFormat="1" spans="1:6">
      <c r="A97" s="3"/>
      <c r="B97" s="3">
        <v>96</v>
      </c>
      <c r="C97" s="2" t="s">
        <v>2263</v>
      </c>
      <c r="D97" s="3" t="s">
        <v>2264</v>
      </c>
      <c r="E97" s="3">
        <v>22</v>
      </c>
      <c r="F97" s="3" t="s">
        <v>2001</v>
      </c>
    </row>
    <row r="98" s="2" customFormat="1" spans="1:6">
      <c r="A98" s="3"/>
      <c r="B98" s="3">
        <v>97</v>
      </c>
      <c r="C98" s="2" t="s">
        <v>3847</v>
      </c>
      <c r="D98" s="3" t="s">
        <v>3848</v>
      </c>
      <c r="E98" s="3">
        <v>15</v>
      </c>
      <c r="F98" s="3" t="s">
        <v>2001</v>
      </c>
    </row>
    <row r="99" s="2" customFormat="1" spans="1:6">
      <c r="A99" s="3"/>
      <c r="B99" s="3">
        <v>98</v>
      </c>
      <c r="C99" s="2" t="s">
        <v>3849</v>
      </c>
      <c r="D99" s="3" t="s">
        <v>3850</v>
      </c>
      <c r="E99" s="3">
        <v>15</v>
      </c>
      <c r="F99" s="3" t="s">
        <v>2001</v>
      </c>
    </row>
    <row r="100" s="2" customFormat="1" spans="1:6">
      <c r="A100" s="3"/>
      <c r="B100" s="3">
        <v>99</v>
      </c>
      <c r="C100" s="2" t="s">
        <v>2267</v>
      </c>
      <c r="D100" s="3" t="s">
        <v>2268</v>
      </c>
      <c r="E100" s="3">
        <v>10</v>
      </c>
      <c r="F100" s="3" t="s">
        <v>2001</v>
      </c>
    </row>
    <row r="101" s="2" customFormat="1" spans="1:6">
      <c r="A101" s="3"/>
      <c r="B101" s="3">
        <v>100</v>
      </c>
      <c r="C101" s="2" t="s">
        <v>3851</v>
      </c>
      <c r="D101" s="3" t="s">
        <v>3852</v>
      </c>
      <c r="E101" s="3">
        <v>20</v>
      </c>
      <c r="F101" s="3" t="s">
        <v>2001</v>
      </c>
    </row>
    <row r="102" s="2" customFormat="1" spans="1:6">
      <c r="A102" s="3"/>
      <c r="B102" s="3">
        <v>101</v>
      </c>
      <c r="C102" s="2" t="s">
        <v>2269</v>
      </c>
      <c r="D102" s="3" t="s">
        <v>2270</v>
      </c>
      <c r="E102" s="3">
        <v>20</v>
      </c>
      <c r="F102" s="3" t="s">
        <v>2001</v>
      </c>
    </row>
    <row r="103" s="2" customFormat="1" spans="1:6">
      <c r="A103" s="3"/>
      <c r="B103" s="3">
        <v>102</v>
      </c>
      <c r="C103" s="2" t="s">
        <v>2271</v>
      </c>
      <c r="D103" s="3" t="s">
        <v>2272</v>
      </c>
      <c r="E103" s="3">
        <v>20</v>
      </c>
      <c r="F103" s="3" t="s">
        <v>2001</v>
      </c>
    </row>
    <row r="104" s="2" customFormat="1" spans="1:6">
      <c r="A104" s="3"/>
      <c r="B104" s="3">
        <v>103</v>
      </c>
      <c r="C104" s="2" t="s">
        <v>2273</v>
      </c>
      <c r="D104" s="3" t="s">
        <v>2274</v>
      </c>
      <c r="E104" s="3">
        <v>30</v>
      </c>
      <c r="F104" s="3" t="s">
        <v>2001</v>
      </c>
    </row>
    <row r="105" s="2" customFormat="1" spans="1:6">
      <c r="A105" s="3"/>
      <c r="B105" s="3">
        <v>104</v>
      </c>
      <c r="C105" s="2" t="s">
        <v>2275</v>
      </c>
      <c r="D105" s="3" t="s">
        <v>2276</v>
      </c>
      <c r="E105" s="3">
        <v>30</v>
      </c>
      <c r="F105" s="3" t="s">
        <v>2001</v>
      </c>
    </row>
    <row r="106" s="2" customFormat="1" spans="1:6">
      <c r="A106" s="3"/>
      <c r="B106" s="3">
        <v>105</v>
      </c>
      <c r="C106" s="2" t="s">
        <v>2277</v>
      </c>
      <c r="D106" s="3" t="s">
        <v>2278</v>
      </c>
      <c r="E106" s="3">
        <v>30</v>
      </c>
      <c r="F106" s="3" t="s">
        <v>2001</v>
      </c>
    </row>
    <row r="107" s="2" customFormat="1" spans="1:6">
      <c r="A107" s="3"/>
      <c r="B107" s="3">
        <v>106</v>
      </c>
      <c r="C107" s="2" t="s">
        <v>2279</v>
      </c>
      <c r="D107" s="3" t="s">
        <v>2280</v>
      </c>
      <c r="E107" s="3">
        <v>30</v>
      </c>
      <c r="F107" s="3" t="s">
        <v>2001</v>
      </c>
    </row>
    <row r="108" s="2" customFormat="1" spans="1:6">
      <c r="A108" s="3"/>
      <c r="B108" s="3">
        <v>107</v>
      </c>
      <c r="C108" s="2" t="s">
        <v>2281</v>
      </c>
      <c r="D108" s="3" t="s">
        <v>2282</v>
      </c>
      <c r="E108" s="3">
        <v>20</v>
      </c>
      <c r="F108" s="3" t="s">
        <v>2001</v>
      </c>
    </row>
    <row r="109" s="2" customFormat="1" spans="1:6">
      <c r="A109" s="3"/>
      <c r="B109" s="3">
        <v>108</v>
      </c>
      <c r="C109" s="2" t="s">
        <v>2283</v>
      </c>
      <c r="D109" s="3" t="s">
        <v>2284</v>
      </c>
      <c r="E109" s="3">
        <v>40</v>
      </c>
      <c r="F109" s="3" t="s">
        <v>2001</v>
      </c>
    </row>
    <row r="110" s="2" customFormat="1" spans="1:6">
      <c r="A110" s="3"/>
      <c r="B110" s="3">
        <v>109</v>
      </c>
      <c r="C110" s="2" t="s">
        <v>2285</v>
      </c>
      <c r="D110" s="3" t="s">
        <v>2286</v>
      </c>
      <c r="E110" s="3">
        <v>10</v>
      </c>
      <c r="F110" s="3" t="s">
        <v>2001</v>
      </c>
    </row>
    <row r="111" s="2" customFormat="1" spans="1:6">
      <c r="A111" s="3"/>
      <c r="B111" s="3">
        <v>110</v>
      </c>
      <c r="C111" s="2" t="s">
        <v>2287</v>
      </c>
      <c r="D111" s="3" t="s">
        <v>2288</v>
      </c>
      <c r="E111" s="3">
        <v>30</v>
      </c>
      <c r="F111" s="3" t="s">
        <v>2001</v>
      </c>
    </row>
    <row r="112" s="2" customFormat="1" spans="1:6">
      <c r="A112" s="3"/>
      <c r="B112" s="3">
        <v>111</v>
      </c>
      <c r="C112" s="2" t="s">
        <v>2289</v>
      </c>
      <c r="D112" s="3" t="s">
        <v>2290</v>
      </c>
      <c r="E112" s="3">
        <v>30</v>
      </c>
      <c r="F112" s="3" t="s">
        <v>2001</v>
      </c>
    </row>
    <row r="113" s="2" customFormat="1" spans="1:6">
      <c r="A113" s="3"/>
      <c r="B113" s="3">
        <v>112</v>
      </c>
      <c r="C113" s="2" t="s">
        <v>2295</v>
      </c>
      <c r="D113" s="3" t="s">
        <v>2296</v>
      </c>
      <c r="E113" s="3">
        <v>90</v>
      </c>
      <c r="F113" s="3" t="s">
        <v>2001</v>
      </c>
    </row>
    <row r="114" s="2" customFormat="1" spans="1:6">
      <c r="A114" s="3"/>
      <c r="B114" s="3">
        <v>113</v>
      </c>
      <c r="C114" s="2" t="s">
        <v>2297</v>
      </c>
      <c r="D114" s="3" t="s">
        <v>2298</v>
      </c>
      <c r="E114" s="3">
        <v>110</v>
      </c>
      <c r="F114" s="3" t="s">
        <v>2001</v>
      </c>
    </row>
    <row r="115" s="2" customFormat="1" spans="1:6">
      <c r="A115" s="3"/>
      <c r="B115" s="3">
        <v>114</v>
      </c>
      <c r="C115" s="2" t="s">
        <v>3425</v>
      </c>
      <c r="D115" s="3" t="s">
        <v>3426</v>
      </c>
      <c r="E115" s="3">
        <v>134</v>
      </c>
      <c r="F115" s="3" t="s">
        <v>2001</v>
      </c>
    </row>
    <row r="116" s="2" customFormat="1" spans="1:6">
      <c r="A116" s="3"/>
      <c r="B116" s="3">
        <v>115</v>
      </c>
      <c r="C116" s="2" t="s">
        <v>2299</v>
      </c>
      <c r="D116" s="3" t="s">
        <v>2300</v>
      </c>
      <c r="E116" s="3">
        <v>70</v>
      </c>
      <c r="F116" s="3" t="s">
        <v>2001</v>
      </c>
    </row>
    <row r="117" s="2" customFormat="1" spans="1:6">
      <c r="A117" s="3"/>
      <c r="B117" s="3">
        <v>116</v>
      </c>
      <c r="C117" s="2" t="s">
        <v>2301</v>
      </c>
      <c r="D117" s="3" t="s">
        <v>2302</v>
      </c>
      <c r="E117" s="3">
        <v>57</v>
      </c>
      <c r="F117" s="3" t="s">
        <v>2001</v>
      </c>
    </row>
    <row r="118" s="2" customFormat="1" spans="1:6">
      <c r="A118" s="3"/>
      <c r="B118" s="3">
        <v>117</v>
      </c>
      <c r="C118" s="2" t="s">
        <v>3853</v>
      </c>
      <c r="D118" s="3" t="s">
        <v>3854</v>
      </c>
      <c r="E118" s="3">
        <v>84</v>
      </c>
      <c r="F118" s="3" t="s">
        <v>2001</v>
      </c>
    </row>
    <row r="119" s="2" customFormat="1" spans="1:6">
      <c r="A119" s="3"/>
      <c r="B119" s="3">
        <v>118</v>
      </c>
      <c r="C119" s="2" t="s">
        <v>2303</v>
      </c>
      <c r="D119" s="3" t="s">
        <v>2304</v>
      </c>
      <c r="E119" s="3">
        <v>98</v>
      </c>
      <c r="F119" s="3" t="s">
        <v>2001</v>
      </c>
    </row>
    <row r="120" s="2" customFormat="1" spans="1:6">
      <c r="A120" s="3"/>
      <c r="B120" s="3">
        <v>119</v>
      </c>
      <c r="C120" s="2" t="s">
        <v>3855</v>
      </c>
      <c r="D120" s="3" t="s">
        <v>3856</v>
      </c>
      <c r="E120" s="3">
        <v>51</v>
      </c>
      <c r="F120" s="3" t="s">
        <v>2001</v>
      </c>
    </row>
    <row r="121" s="2" customFormat="1" spans="1:6">
      <c r="A121" s="3"/>
      <c r="B121" s="3">
        <v>120</v>
      </c>
      <c r="C121" s="2" t="s">
        <v>2305</v>
      </c>
      <c r="D121" s="3" t="s">
        <v>2306</v>
      </c>
      <c r="E121" s="3">
        <v>62</v>
      </c>
      <c r="F121" s="3" t="s">
        <v>2001</v>
      </c>
    </row>
    <row r="122" s="2" customFormat="1" spans="1:6">
      <c r="A122" s="3"/>
      <c r="B122" s="3">
        <v>121</v>
      </c>
      <c r="C122" s="2" t="s">
        <v>3857</v>
      </c>
      <c r="D122" s="3" t="s">
        <v>3858</v>
      </c>
      <c r="E122" s="3">
        <v>80</v>
      </c>
      <c r="F122" s="3" t="s">
        <v>2001</v>
      </c>
    </row>
    <row r="123" s="2" customFormat="1" spans="1:6">
      <c r="A123" s="3"/>
      <c r="B123" s="3">
        <v>122</v>
      </c>
      <c r="C123" s="2" t="s">
        <v>2311</v>
      </c>
      <c r="D123" s="3" t="s">
        <v>2312</v>
      </c>
      <c r="E123" s="3">
        <v>17</v>
      </c>
      <c r="F123" s="3" t="s">
        <v>2001</v>
      </c>
    </row>
    <row r="124" s="2" customFormat="1" spans="1:6">
      <c r="A124" s="3"/>
      <c r="B124" s="3">
        <v>123</v>
      </c>
      <c r="C124" s="2" t="s">
        <v>2325</v>
      </c>
      <c r="D124" s="3" t="s">
        <v>2326</v>
      </c>
      <c r="E124" s="3">
        <v>3</v>
      </c>
      <c r="F124" s="3" t="s">
        <v>2001</v>
      </c>
    </row>
    <row r="125" s="2" customFormat="1" spans="1:6">
      <c r="A125" s="3"/>
      <c r="B125" s="3">
        <v>124</v>
      </c>
      <c r="C125" s="2" t="s">
        <v>2327</v>
      </c>
      <c r="D125" s="3" t="s">
        <v>2328</v>
      </c>
      <c r="E125" s="3">
        <v>20</v>
      </c>
      <c r="F125" s="3" t="s">
        <v>2001</v>
      </c>
    </row>
    <row r="126" s="2" customFormat="1" spans="1:6">
      <c r="A126" s="3"/>
      <c r="B126" s="3">
        <v>125</v>
      </c>
      <c r="C126" s="2" t="s">
        <v>2335</v>
      </c>
      <c r="D126" s="3" t="s">
        <v>2336</v>
      </c>
      <c r="E126" s="3">
        <v>65</v>
      </c>
      <c r="F126" s="3" t="s">
        <v>2001</v>
      </c>
    </row>
    <row r="127" s="2" customFormat="1" spans="1:6">
      <c r="A127" s="3"/>
      <c r="B127" s="3">
        <v>126</v>
      </c>
      <c r="C127" s="2" t="s">
        <v>2337</v>
      </c>
      <c r="D127" s="3" t="s">
        <v>2338</v>
      </c>
      <c r="E127" s="3">
        <v>141</v>
      </c>
      <c r="F127" s="3" t="s">
        <v>2001</v>
      </c>
    </row>
    <row r="128" s="2" customFormat="1" spans="1:6">
      <c r="A128" s="3"/>
      <c r="B128" s="3">
        <v>127</v>
      </c>
      <c r="C128" s="2" t="s">
        <v>2339</v>
      </c>
      <c r="D128" s="3" t="s">
        <v>2340</v>
      </c>
      <c r="E128" s="3">
        <v>25</v>
      </c>
      <c r="F128" s="3" t="s">
        <v>2001</v>
      </c>
    </row>
    <row r="129" s="2" customFormat="1" spans="1:6">
      <c r="A129" s="3"/>
      <c r="B129" s="3">
        <v>128</v>
      </c>
      <c r="C129" s="2" t="s">
        <v>3427</v>
      </c>
      <c r="D129" s="3" t="s">
        <v>3428</v>
      </c>
      <c r="E129" s="3">
        <v>30</v>
      </c>
      <c r="F129" s="3" t="s">
        <v>2001</v>
      </c>
    </row>
    <row r="130" s="2" customFormat="1" spans="1:6">
      <c r="A130" s="3"/>
      <c r="B130" s="3">
        <v>129</v>
      </c>
      <c r="C130" s="2" t="s">
        <v>2341</v>
      </c>
      <c r="D130" s="3" t="s">
        <v>2342</v>
      </c>
      <c r="E130" s="3">
        <v>5</v>
      </c>
      <c r="F130" s="3" t="s">
        <v>2001</v>
      </c>
    </row>
    <row r="131" s="2" customFormat="1" spans="1:6">
      <c r="A131" s="3"/>
      <c r="B131" s="3">
        <v>130</v>
      </c>
      <c r="C131" s="2" t="s">
        <v>2343</v>
      </c>
      <c r="D131" s="3" t="s">
        <v>2344</v>
      </c>
      <c r="E131" s="3">
        <v>213</v>
      </c>
      <c r="F131" s="3" t="s">
        <v>2001</v>
      </c>
    </row>
    <row r="132" s="2" customFormat="1" spans="1:6">
      <c r="A132" s="3"/>
      <c r="B132" s="3">
        <v>131</v>
      </c>
      <c r="C132" s="2" t="s">
        <v>2345</v>
      </c>
      <c r="D132" s="3" t="s">
        <v>2346</v>
      </c>
      <c r="E132" s="3">
        <v>180</v>
      </c>
      <c r="F132" s="3" t="s">
        <v>2001</v>
      </c>
    </row>
    <row r="133" s="2" customFormat="1" spans="1:6">
      <c r="A133" s="3"/>
      <c r="B133" s="3">
        <v>132</v>
      </c>
      <c r="C133" s="2" t="s">
        <v>3429</v>
      </c>
      <c r="D133" s="3" t="s">
        <v>3430</v>
      </c>
      <c r="E133" s="3">
        <v>5</v>
      </c>
      <c r="F133" s="3" t="s">
        <v>2001</v>
      </c>
    </row>
    <row r="134" s="2" customFormat="1" spans="1:6">
      <c r="A134" s="3"/>
      <c r="B134" s="3">
        <v>133</v>
      </c>
      <c r="C134" s="2" t="s">
        <v>3431</v>
      </c>
      <c r="D134" s="3" t="s">
        <v>3432</v>
      </c>
      <c r="E134" s="3">
        <v>6</v>
      </c>
      <c r="F134" s="3" t="s">
        <v>2001</v>
      </c>
    </row>
    <row r="135" s="2" customFormat="1" spans="1:6">
      <c r="A135" s="3"/>
      <c r="B135" s="3">
        <v>134</v>
      </c>
      <c r="C135" s="2" t="s">
        <v>3433</v>
      </c>
      <c r="D135" s="3" t="s">
        <v>3434</v>
      </c>
      <c r="E135" s="3">
        <v>21</v>
      </c>
      <c r="F135" s="3" t="s">
        <v>2001</v>
      </c>
    </row>
    <row r="136" s="2" customFormat="1" spans="1:6">
      <c r="A136" s="3"/>
      <c r="B136" s="3">
        <v>135</v>
      </c>
      <c r="C136" s="2" t="s">
        <v>3859</v>
      </c>
      <c r="D136" s="3" t="s">
        <v>3860</v>
      </c>
      <c r="E136" s="3">
        <v>13</v>
      </c>
      <c r="F136" s="3" t="s">
        <v>2001</v>
      </c>
    </row>
    <row r="137" s="2" customFormat="1" spans="1:6">
      <c r="A137" s="3"/>
      <c r="B137" s="3">
        <v>136</v>
      </c>
      <c r="C137" s="2" t="s">
        <v>3861</v>
      </c>
      <c r="D137" s="3" t="s">
        <v>3862</v>
      </c>
      <c r="E137" s="3">
        <v>14</v>
      </c>
      <c r="F137" s="3" t="s">
        <v>2001</v>
      </c>
    </row>
    <row r="138" s="2" customFormat="1" spans="1:6">
      <c r="A138" s="3"/>
      <c r="B138" s="3">
        <v>137</v>
      </c>
      <c r="C138" s="2" t="s">
        <v>3435</v>
      </c>
      <c r="D138" s="3" t="s">
        <v>3436</v>
      </c>
      <c r="E138" s="3">
        <v>5</v>
      </c>
      <c r="F138" s="3" t="s">
        <v>2001</v>
      </c>
    </row>
    <row r="139" s="2" customFormat="1" spans="1:6">
      <c r="A139" s="3"/>
      <c r="B139" s="3">
        <v>138</v>
      </c>
      <c r="C139" s="2" t="s">
        <v>3863</v>
      </c>
      <c r="D139" s="3" t="s">
        <v>3864</v>
      </c>
      <c r="E139" s="3">
        <v>10</v>
      </c>
      <c r="F139" s="3" t="s">
        <v>2001</v>
      </c>
    </row>
    <row r="140" s="2" customFormat="1" spans="1:6">
      <c r="A140" s="3"/>
      <c r="B140" s="3">
        <v>139</v>
      </c>
      <c r="C140" s="2" t="s">
        <v>3865</v>
      </c>
      <c r="D140" s="3" t="s">
        <v>3866</v>
      </c>
      <c r="E140" s="3">
        <v>100</v>
      </c>
      <c r="F140" s="3" t="s">
        <v>2001</v>
      </c>
    </row>
    <row r="141" s="2" customFormat="1" spans="1:6">
      <c r="A141" s="3"/>
      <c r="B141" s="3">
        <v>140</v>
      </c>
      <c r="C141" s="2" t="s">
        <v>3867</v>
      </c>
      <c r="D141" s="3" t="s">
        <v>3868</v>
      </c>
      <c r="E141" s="3">
        <v>20</v>
      </c>
      <c r="F141" s="3" t="s">
        <v>2001</v>
      </c>
    </row>
    <row r="142" s="2" customFormat="1" spans="1:6">
      <c r="A142" s="3"/>
      <c r="B142" s="3">
        <v>141</v>
      </c>
      <c r="C142" s="2" t="s">
        <v>3869</v>
      </c>
      <c r="D142" s="3" t="s">
        <v>3870</v>
      </c>
      <c r="E142" s="3">
        <v>70</v>
      </c>
      <c r="F142" s="3" t="s">
        <v>2001</v>
      </c>
    </row>
    <row r="143" s="2" customFormat="1" spans="1:6">
      <c r="A143" s="3"/>
      <c r="B143" s="3">
        <v>142</v>
      </c>
      <c r="C143" s="2" t="s">
        <v>3871</v>
      </c>
      <c r="D143" s="3" t="s">
        <v>3872</v>
      </c>
      <c r="E143" s="3">
        <v>20</v>
      </c>
      <c r="F143" s="3" t="s">
        <v>2001</v>
      </c>
    </row>
    <row r="144" s="2" customFormat="1" spans="1:6">
      <c r="A144" s="3"/>
      <c r="B144" s="3">
        <v>143</v>
      </c>
      <c r="C144" s="2" t="s">
        <v>3873</v>
      </c>
      <c r="D144" s="3" t="s">
        <v>3874</v>
      </c>
      <c r="E144" s="3">
        <v>20</v>
      </c>
      <c r="F144" s="3" t="s">
        <v>2001</v>
      </c>
    </row>
    <row r="145" s="2" customFormat="1" spans="1:6">
      <c r="A145" s="3"/>
      <c r="B145" s="3">
        <v>144</v>
      </c>
      <c r="C145" s="2" t="s">
        <v>3875</v>
      </c>
      <c r="D145" s="3" t="s">
        <v>3876</v>
      </c>
      <c r="E145" s="3">
        <v>117</v>
      </c>
      <c r="F145" s="3" t="s">
        <v>2001</v>
      </c>
    </row>
    <row r="146" s="2" customFormat="1" spans="1:6">
      <c r="A146" s="3"/>
      <c r="B146" s="3">
        <v>145</v>
      </c>
      <c r="C146" s="2" t="s">
        <v>3877</v>
      </c>
      <c r="D146" s="3" t="s">
        <v>3878</v>
      </c>
      <c r="E146" s="3">
        <v>10</v>
      </c>
      <c r="F146" s="3" t="s">
        <v>2001</v>
      </c>
    </row>
    <row r="147" s="2" customFormat="1" spans="1:6">
      <c r="A147" s="3"/>
      <c r="B147" s="3">
        <v>146</v>
      </c>
      <c r="C147" s="2" t="s">
        <v>3879</v>
      </c>
      <c r="D147" s="3" t="s">
        <v>3880</v>
      </c>
      <c r="E147" s="3">
        <v>37</v>
      </c>
      <c r="F147" s="3" t="s">
        <v>2001</v>
      </c>
    </row>
    <row r="148" s="2" customFormat="1" spans="1:6">
      <c r="A148" s="3"/>
      <c r="B148" s="3">
        <v>147</v>
      </c>
      <c r="C148" s="2" t="s">
        <v>3881</v>
      </c>
      <c r="D148" s="3" t="s">
        <v>3882</v>
      </c>
      <c r="E148" s="3">
        <v>20</v>
      </c>
      <c r="F148" s="3" t="s">
        <v>2001</v>
      </c>
    </row>
    <row r="149" s="2" customFormat="1" spans="1:6">
      <c r="A149" s="3"/>
      <c r="B149" s="3">
        <v>148</v>
      </c>
      <c r="C149" s="2" t="s">
        <v>3883</v>
      </c>
      <c r="D149" s="3" t="s">
        <v>3884</v>
      </c>
      <c r="E149" s="3">
        <v>114</v>
      </c>
      <c r="F149" s="3" t="s">
        <v>2001</v>
      </c>
    </row>
    <row r="150" s="2" customFormat="1" spans="1:6">
      <c r="A150" s="3"/>
      <c r="B150" s="3">
        <v>149</v>
      </c>
      <c r="C150" s="2" t="s">
        <v>3885</v>
      </c>
      <c r="D150" s="3" t="s">
        <v>3886</v>
      </c>
      <c r="E150" s="3">
        <v>20</v>
      </c>
      <c r="F150" s="3" t="s">
        <v>2001</v>
      </c>
    </row>
    <row r="151" s="2" customFormat="1" spans="1:6">
      <c r="A151" s="3"/>
      <c r="B151" s="3">
        <v>150</v>
      </c>
      <c r="C151" s="2" t="s">
        <v>3887</v>
      </c>
      <c r="D151" s="3" t="s">
        <v>3888</v>
      </c>
      <c r="E151" s="3">
        <v>20</v>
      </c>
      <c r="F151" s="3" t="s">
        <v>2001</v>
      </c>
    </row>
    <row r="152" s="2" customFormat="1" spans="1:6">
      <c r="A152" s="3"/>
      <c r="B152" s="3">
        <v>151</v>
      </c>
      <c r="C152" s="2" t="s">
        <v>3437</v>
      </c>
      <c r="D152" s="3" t="s">
        <v>3438</v>
      </c>
      <c r="E152" s="3">
        <v>58</v>
      </c>
      <c r="F152" s="3" t="s">
        <v>2001</v>
      </c>
    </row>
    <row r="153" s="2" customFormat="1" spans="1:6">
      <c r="A153" s="3"/>
      <c r="B153" s="3">
        <v>152</v>
      </c>
      <c r="C153" s="2" t="s">
        <v>3439</v>
      </c>
      <c r="D153" s="3" t="s">
        <v>3440</v>
      </c>
      <c r="E153" s="3">
        <v>10</v>
      </c>
      <c r="F153" s="3" t="s">
        <v>2001</v>
      </c>
    </row>
    <row r="154" s="2" customFormat="1" spans="1:6">
      <c r="A154" s="3"/>
      <c r="B154" s="3">
        <v>153</v>
      </c>
      <c r="C154" s="2" t="s">
        <v>3441</v>
      </c>
      <c r="D154" s="3" t="s">
        <v>3442</v>
      </c>
      <c r="E154" s="3">
        <v>12</v>
      </c>
      <c r="F154" s="3" t="s">
        <v>2001</v>
      </c>
    </row>
    <row r="155" s="2" customFormat="1" spans="1:6">
      <c r="A155" s="3"/>
      <c r="B155" s="3">
        <v>154</v>
      </c>
      <c r="C155" s="2" t="s">
        <v>3889</v>
      </c>
      <c r="D155" s="3" t="s">
        <v>3890</v>
      </c>
      <c r="E155" s="3">
        <v>10</v>
      </c>
      <c r="F155" s="3" t="s">
        <v>2001</v>
      </c>
    </row>
    <row r="156" s="2" customFormat="1" spans="1:6">
      <c r="A156" s="3"/>
      <c r="B156" s="3">
        <v>155</v>
      </c>
      <c r="C156" s="2" t="s">
        <v>3891</v>
      </c>
      <c r="D156" s="3" t="s">
        <v>3892</v>
      </c>
      <c r="E156" s="3">
        <v>70</v>
      </c>
      <c r="F156" s="3" t="s">
        <v>2001</v>
      </c>
    </row>
    <row r="157" s="2" customFormat="1" spans="1:6">
      <c r="A157" s="3"/>
      <c r="B157" s="3">
        <v>156</v>
      </c>
      <c r="C157" s="2" t="s">
        <v>3893</v>
      </c>
      <c r="D157" s="3" t="s">
        <v>3894</v>
      </c>
      <c r="E157" s="3">
        <v>130</v>
      </c>
      <c r="F157" s="3" t="s">
        <v>2001</v>
      </c>
    </row>
    <row r="158" s="2" customFormat="1" spans="1:6">
      <c r="A158" s="3"/>
      <c r="B158" s="3">
        <v>157</v>
      </c>
      <c r="C158" s="2" t="s">
        <v>3443</v>
      </c>
      <c r="D158" s="3" t="s">
        <v>3444</v>
      </c>
      <c r="E158" s="3">
        <v>3</v>
      </c>
      <c r="F158" s="3" t="s">
        <v>2001</v>
      </c>
    </row>
    <row r="159" s="2" customFormat="1" spans="1:6">
      <c r="A159" s="3"/>
      <c r="B159" s="3">
        <v>158</v>
      </c>
      <c r="C159" s="2" t="s">
        <v>3895</v>
      </c>
      <c r="D159" s="3" t="s">
        <v>3896</v>
      </c>
      <c r="E159" s="3">
        <v>20</v>
      </c>
      <c r="F159" s="3" t="s">
        <v>2001</v>
      </c>
    </row>
    <row r="160" s="2" customFormat="1" spans="1:6">
      <c r="A160" s="3"/>
      <c r="B160" s="3">
        <v>159</v>
      </c>
      <c r="C160" s="2" t="s">
        <v>3897</v>
      </c>
      <c r="D160" s="3" t="s">
        <v>3898</v>
      </c>
      <c r="E160" s="3">
        <v>60</v>
      </c>
      <c r="F160" s="3" t="s">
        <v>2001</v>
      </c>
    </row>
    <row r="161" s="2" customFormat="1" spans="1:6">
      <c r="A161" s="3"/>
      <c r="B161" s="3">
        <v>160</v>
      </c>
      <c r="C161" s="2" t="s">
        <v>3899</v>
      </c>
      <c r="D161" s="3" t="s">
        <v>3900</v>
      </c>
      <c r="E161" s="3">
        <v>20</v>
      </c>
      <c r="F161" s="3" t="s">
        <v>2001</v>
      </c>
    </row>
    <row r="162" s="2" customFormat="1" spans="1:6">
      <c r="A162" s="3"/>
      <c r="B162" s="3">
        <v>161</v>
      </c>
      <c r="C162" s="2" t="s">
        <v>3445</v>
      </c>
      <c r="D162" s="3" t="s">
        <v>3446</v>
      </c>
      <c r="E162" s="3">
        <v>110</v>
      </c>
      <c r="F162" s="3" t="s">
        <v>2001</v>
      </c>
    </row>
    <row r="163" s="2" customFormat="1" spans="1:6">
      <c r="A163" s="3"/>
      <c r="B163" s="3">
        <v>162</v>
      </c>
      <c r="C163" s="2" t="s">
        <v>3447</v>
      </c>
      <c r="D163" s="3" t="s">
        <v>3448</v>
      </c>
      <c r="E163" s="3">
        <v>90</v>
      </c>
      <c r="F163" s="3" t="s">
        <v>2001</v>
      </c>
    </row>
    <row r="164" s="2" customFormat="1" spans="1:6">
      <c r="A164" s="3"/>
      <c r="B164" s="3">
        <v>163</v>
      </c>
      <c r="C164" s="2" t="s">
        <v>3901</v>
      </c>
      <c r="D164" s="3" t="s">
        <v>3902</v>
      </c>
      <c r="E164" s="3">
        <v>50</v>
      </c>
      <c r="F164" s="3" t="s">
        <v>2001</v>
      </c>
    </row>
    <row r="165" s="2" customFormat="1" spans="1:6">
      <c r="A165" s="3"/>
      <c r="B165" s="3">
        <v>164</v>
      </c>
      <c r="C165" s="2" t="s">
        <v>3903</v>
      </c>
      <c r="D165" s="3" t="s">
        <v>3904</v>
      </c>
      <c r="E165" s="3">
        <v>20</v>
      </c>
      <c r="F165" s="3" t="s">
        <v>2001</v>
      </c>
    </row>
    <row r="166" s="2" customFormat="1" spans="1:6">
      <c r="A166" s="3"/>
      <c r="B166" s="3">
        <v>165</v>
      </c>
      <c r="C166" s="2" t="s">
        <v>2347</v>
      </c>
      <c r="D166" s="3" t="s">
        <v>2348</v>
      </c>
      <c r="E166" s="3">
        <v>453</v>
      </c>
      <c r="F166" s="3" t="s">
        <v>2001</v>
      </c>
    </row>
    <row r="167" s="2" customFormat="1" spans="1:6">
      <c r="A167" s="3"/>
      <c r="B167" s="3">
        <v>166</v>
      </c>
      <c r="C167" s="2" t="s">
        <v>3449</v>
      </c>
      <c r="D167" s="3" t="s">
        <v>3450</v>
      </c>
      <c r="E167" s="3">
        <v>122</v>
      </c>
      <c r="F167" s="3" t="s">
        <v>2001</v>
      </c>
    </row>
    <row r="168" s="2" customFormat="1" spans="1:6">
      <c r="A168" s="3"/>
      <c r="B168" s="3">
        <v>167</v>
      </c>
      <c r="C168" s="2" t="s">
        <v>3905</v>
      </c>
      <c r="D168" s="3" t="s">
        <v>3906</v>
      </c>
      <c r="E168" s="3">
        <v>60</v>
      </c>
      <c r="F168" s="3" t="s">
        <v>2001</v>
      </c>
    </row>
    <row r="169" s="2" customFormat="1" spans="1:6">
      <c r="A169" s="3"/>
      <c r="B169" s="3">
        <v>168</v>
      </c>
      <c r="C169" s="2" t="s">
        <v>3907</v>
      </c>
      <c r="D169" s="3" t="s">
        <v>3908</v>
      </c>
      <c r="E169" s="3">
        <v>156</v>
      </c>
      <c r="F169" s="3" t="s">
        <v>2001</v>
      </c>
    </row>
    <row r="170" s="2" customFormat="1" spans="1:6">
      <c r="A170" s="3"/>
      <c r="B170" s="3">
        <v>169</v>
      </c>
      <c r="C170" s="2" t="s">
        <v>3909</v>
      </c>
      <c r="D170" s="3" t="s">
        <v>3910</v>
      </c>
      <c r="E170" s="3">
        <v>100</v>
      </c>
      <c r="F170" s="3" t="s">
        <v>2001</v>
      </c>
    </row>
    <row r="171" s="2" customFormat="1" spans="1:6">
      <c r="A171" s="3"/>
      <c r="B171" s="3">
        <v>170</v>
      </c>
      <c r="C171" s="2" t="s">
        <v>3911</v>
      </c>
      <c r="D171" s="3" t="s">
        <v>3912</v>
      </c>
      <c r="E171" s="3">
        <v>40</v>
      </c>
      <c r="F171" s="3" t="s">
        <v>2001</v>
      </c>
    </row>
    <row r="172" s="2" customFormat="1" spans="1:6">
      <c r="A172" s="3"/>
      <c r="B172" s="3">
        <v>171</v>
      </c>
      <c r="C172" s="2" t="s">
        <v>3913</v>
      </c>
      <c r="D172" s="3" t="s">
        <v>3914</v>
      </c>
      <c r="E172" s="3">
        <v>20</v>
      </c>
      <c r="F172" s="3" t="s">
        <v>2001</v>
      </c>
    </row>
    <row r="173" s="2" customFormat="1" spans="1:6">
      <c r="A173" s="3"/>
      <c r="B173" s="3">
        <v>172</v>
      </c>
      <c r="C173" s="2" t="s">
        <v>3915</v>
      </c>
      <c r="D173" s="3" t="s">
        <v>3916</v>
      </c>
      <c r="E173" s="3">
        <v>60</v>
      </c>
      <c r="F173" s="3" t="s">
        <v>2001</v>
      </c>
    </row>
    <row r="174" s="2" customFormat="1" spans="1:6">
      <c r="A174" s="3"/>
      <c r="B174" s="3">
        <v>173</v>
      </c>
      <c r="C174" s="2" t="s">
        <v>2349</v>
      </c>
      <c r="D174" s="3" t="s">
        <v>2350</v>
      </c>
      <c r="E174" s="3">
        <v>239</v>
      </c>
      <c r="F174" s="3" t="s">
        <v>2001</v>
      </c>
    </row>
    <row r="175" s="2" customFormat="1" spans="1:6">
      <c r="A175" s="3"/>
      <c r="B175" s="3">
        <v>174</v>
      </c>
      <c r="C175" s="2" t="s">
        <v>2351</v>
      </c>
      <c r="D175" s="3" t="s">
        <v>2352</v>
      </c>
      <c r="E175" s="3">
        <v>228</v>
      </c>
      <c r="F175" s="3" t="s">
        <v>2001</v>
      </c>
    </row>
    <row r="176" s="2" customFormat="1" spans="1:6">
      <c r="A176" s="3"/>
      <c r="B176" s="3">
        <v>175</v>
      </c>
      <c r="C176" s="2" t="s">
        <v>2353</v>
      </c>
      <c r="D176" s="3" t="s">
        <v>2354</v>
      </c>
      <c r="E176" s="3">
        <v>43</v>
      </c>
      <c r="F176" s="3" t="s">
        <v>2001</v>
      </c>
    </row>
    <row r="177" s="2" customFormat="1" spans="1:6">
      <c r="A177" s="3"/>
      <c r="B177" s="3">
        <v>176</v>
      </c>
      <c r="C177" s="2" t="s">
        <v>2355</v>
      </c>
      <c r="D177" s="3" t="s">
        <v>2356</v>
      </c>
      <c r="E177" s="3">
        <v>170</v>
      </c>
      <c r="F177" s="3" t="s">
        <v>2001</v>
      </c>
    </row>
    <row r="178" s="2" customFormat="1" spans="1:6">
      <c r="A178" s="3"/>
      <c r="B178" s="3">
        <v>177</v>
      </c>
      <c r="C178" s="2" t="s">
        <v>3917</v>
      </c>
      <c r="D178" s="3" t="s">
        <v>3918</v>
      </c>
      <c r="E178" s="3">
        <v>100</v>
      </c>
      <c r="F178" s="3" t="s">
        <v>2001</v>
      </c>
    </row>
    <row r="179" s="2" customFormat="1" spans="1:6">
      <c r="A179" s="3"/>
      <c r="B179" s="3">
        <v>178</v>
      </c>
      <c r="C179" s="2" t="s">
        <v>3919</v>
      </c>
      <c r="D179" s="3" t="s">
        <v>3920</v>
      </c>
      <c r="E179" s="3">
        <v>4</v>
      </c>
      <c r="F179" s="3" t="s">
        <v>2001</v>
      </c>
    </row>
    <row r="180" s="2" customFormat="1" spans="1:6">
      <c r="A180" s="3"/>
      <c r="B180" s="3">
        <v>179</v>
      </c>
      <c r="C180" s="2" t="s">
        <v>3921</v>
      </c>
      <c r="D180" s="3" t="s">
        <v>3922</v>
      </c>
      <c r="E180" s="3">
        <v>10</v>
      </c>
      <c r="F180" s="3" t="s">
        <v>2001</v>
      </c>
    </row>
    <row r="181" s="2" customFormat="1" spans="1:6">
      <c r="A181" s="3"/>
      <c r="B181" s="3">
        <v>180</v>
      </c>
      <c r="C181" s="2" t="s">
        <v>3923</v>
      </c>
      <c r="D181" s="3" t="s">
        <v>3924</v>
      </c>
      <c r="E181" s="3">
        <v>10</v>
      </c>
      <c r="F181" s="3" t="s">
        <v>2001</v>
      </c>
    </row>
    <row r="182" s="2" customFormat="1" spans="1:6">
      <c r="A182" s="3"/>
      <c r="B182" s="3">
        <v>181</v>
      </c>
      <c r="C182" s="2" t="s">
        <v>2357</v>
      </c>
      <c r="D182" s="3" t="s">
        <v>2358</v>
      </c>
      <c r="E182" s="3">
        <v>196</v>
      </c>
      <c r="F182" s="3" t="s">
        <v>2001</v>
      </c>
    </row>
    <row r="183" s="2" customFormat="1" spans="1:6">
      <c r="A183" s="3"/>
      <c r="B183" s="3">
        <v>182</v>
      </c>
      <c r="C183" s="2" t="s">
        <v>3451</v>
      </c>
      <c r="D183" s="3" t="s">
        <v>3452</v>
      </c>
      <c r="E183" s="3">
        <v>30</v>
      </c>
      <c r="F183" s="3" t="s">
        <v>2001</v>
      </c>
    </row>
    <row r="184" s="2" customFormat="1" spans="1:6">
      <c r="A184" s="3"/>
      <c r="B184" s="3">
        <v>183</v>
      </c>
      <c r="C184" s="2" t="s">
        <v>3925</v>
      </c>
      <c r="D184" s="3" t="s">
        <v>3926</v>
      </c>
      <c r="E184" s="3">
        <v>20</v>
      </c>
      <c r="F184" s="3" t="s">
        <v>2001</v>
      </c>
    </row>
    <row r="185" s="2" customFormat="1" spans="1:6">
      <c r="A185" s="3"/>
      <c r="B185" s="3">
        <v>184</v>
      </c>
      <c r="C185" s="2" t="s">
        <v>2359</v>
      </c>
      <c r="D185" s="3" t="s">
        <v>2360</v>
      </c>
      <c r="E185" s="3">
        <v>75</v>
      </c>
      <c r="F185" s="3" t="s">
        <v>2001</v>
      </c>
    </row>
    <row r="186" s="2" customFormat="1" spans="1:6">
      <c r="A186" s="3"/>
      <c r="B186" s="3">
        <v>185</v>
      </c>
      <c r="C186" s="2" t="s">
        <v>2361</v>
      </c>
      <c r="D186" s="3" t="s">
        <v>2362</v>
      </c>
      <c r="E186" s="3">
        <v>39</v>
      </c>
      <c r="F186" s="3" t="s">
        <v>2001</v>
      </c>
    </row>
    <row r="187" s="2" customFormat="1" spans="1:6">
      <c r="A187" s="3"/>
      <c r="B187" s="3">
        <v>186</v>
      </c>
      <c r="C187" s="2" t="s">
        <v>2363</v>
      </c>
      <c r="D187" s="3" t="s">
        <v>2364</v>
      </c>
      <c r="E187" s="3">
        <v>39</v>
      </c>
      <c r="F187" s="3" t="s">
        <v>2001</v>
      </c>
    </row>
    <row r="188" s="2" customFormat="1" spans="1:6">
      <c r="A188" s="3"/>
      <c r="B188" s="3">
        <v>187</v>
      </c>
      <c r="C188" s="2" t="s">
        <v>2365</v>
      </c>
      <c r="D188" s="3" t="s">
        <v>2366</v>
      </c>
      <c r="E188" s="3">
        <v>78</v>
      </c>
      <c r="F188" s="3" t="s">
        <v>2001</v>
      </c>
    </row>
    <row r="189" s="2" customFormat="1" spans="1:6">
      <c r="A189" s="3"/>
      <c r="B189" s="3">
        <v>188</v>
      </c>
      <c r="C189" s="2" t="s">
        <v>3927</v>
      </c>
      <c r="D189" s="3" t="s">
        <v>3928</v>
      </c>
      <c r="E189" s="3">
        <v>10</v>
      </c>
      <c r="F189" s="3" t="s">
        <v>2001</v>
      </c>
    </row>
    <row r="190" s="2" customFormat="1" spans="1:6">
      <c r="A190" s="3"/>
      <c r="B190" s="3">
        <v>189</v>
      </c>
      <c r="C190" s="2" t="s">
        <v>2367</v>
      </c>
      <c r="D190" s="3" t="s">
        <v>2368</v>
      </c>
      <c r="E190" s="3">
        <v>248</v>
      </c>
      <c r="F190" s="3" t="s">
        <v>2001</v>
      </c>
    </row>
    <row r="191" s="2" customFormat="1" spans="1:6">
      <c r="A191" s="3"/>
      <c r="B191" s="3">
        <v>190</v>
      </c>
      <c r="C191" s="2" t="s">
        <v>2369</v>
      </c>
      <c r="D191" s="3" t="s">
        <v>2370</v>
      </c>
      <c r="E191" s="3">
        <v>89</v>
      </c>
      <c r="F191" s="3" t="s">
        <v>2001</v>
      </c>
    </row>
    <row r="192" s="2" customFormat="1" spans="1:6">
      <c r="A192" s="3"/>
      <c r="B192" s="3">
        <v>191</v>
      </c>
      <c r="C192" s="2" t="s">
        <v>2371</v>
      </c>
      <c r="D192" s="3" t="s">
        <v>2372</v>
      </c>
      <c r="E192" s="3">
        <v>74</v>
      </c>
      <c r="F192" s="3" t="s">
        <v>2001</v>
      </c>
    </row>
    <row r="193" s="2" customFormat="1" spans="1:6">
      <c r="A193" s="3"/>
      <c r="B193" s="3">
        <v>192</v>
      </c>
      <c r="C193" s="2" t="s">
        <v>3929</v>
      </c>
      <c r="D193" s="3" t="s">
        <v>3930</v>
      </c>
      <c r="E193" s="3">
        <v>40</v>
      </c>
      <c r="F193" s="3" t="s">
        <v>2001</v>
      </c>
    </row>
    <row r="194" s="2" customFormat="1" spans="1:6">
      <c r="A194" s="3"/>
      <c r="B194" s="3">
        <v>193</v>
      </c>
      <c r="C194" s="2" t="s">
        <v>3931</v>
      </c>
      <c r="D194" s="3" t="s">
        <v>3932</v>
      </c>
      <c r="E194" s="3">
        <v>15</v>
      </c>
      <c r="F194" s="3" t="s">
        <v>2001</v>
      </c>
    </row>
    <row r="195" s="2" customFormat="1" spans="1:6">
      <c r="A195" s="3"/>
      <c r="B195" s="3">
        <v>194</v>
      </c>
      <c r="C195" s="2" t="s">
        <v>3933</v>
      </c>
      <c r="D195" s="3" t="s">
        <v>3934</v>
      </c>
      <c r="E195" s="3">
        <v>10</v>
      </c>
      <c r="F195" s="3" t="s">
        <v>2001</v>
      </c>
    </row>
    <row r="196" s="2" customFormat="1" spans="1:6">
      <c r="A196" s="3"/>
      <c r="B196" s="3">
        <v>195</v>
      </c>
      <c r="C196" s="2" t="s">
        <v>2373</v>
      </c>
      <c r="D196" s="3" t="s">
        <v>2374</v>
      </c>
      <c r="E196" s="3">
        <v>15</v>
      </c>
      <c r="F196" s="3" t="s">
        <v>2001</v>
      </c>
    </row>
    <row r="197" s="2" customFormat="1" spans="1:6">
      <c r="A197" s="3"/>
      <c r="B197" s="3">
        <v>196</v>
      </c>
      <c r="C197" s="2" t="s">
        <v>2377</v>
      </c>
      <c r="D197" s="3" t="s">
        <v>2378</v>
      </c>
      <c r="E197" s="3">
        <v>25</v>
      </c>
      <c r="F197" s="3" t="s">
        <v>2001</v>
      </c>
    </row>
    <row r="198" s="2" customFormat="1" spans="1:6">
      <c r="A198" s="3"/>
      <c r="B198" s="3">
        <v>197</v>
      </c>
      <c r="C198" s="2" t="s">
        <v>2379</v>
      </c>
      <c r="D198" s="3" t="s">
        <v>2380</v>
      </c>
      <c r="E198" s="3">
        <v>30</v>
      </c>
      <c r="F198" s="3" t="s">
        <v>2001</v>
      </c>
    </row>
    <row r="199" s="2" customFormat="1" spans="1:6">
      <c r="A199" s="3"/>
      <c r="B199" s="3">
        <v>198</v>
      </c>
      <c r="C199" s="2" t="s">
        <v>2381</v>
      </c>
      <c r="D199" s="3" t="s">
        <v>2382</v>
      </c>
      <c r="E199" s="3">
        <v>25</v>
      </c>
      <c r="F199" s="3" t="s">
        <v>2001</v>
      </c>
    </row>
    <row r="200" s="2" customFormat="1" spans="1:6">
      <c r="A200" s="3"/>
      <c r="B200" s="3">
        <v>199</v>
      </c>
      <c r="C200" s="2" t="s">
        <v>2385</v>
      </c>
      <c r="D200" s="3" t="s">
        <v>2386</v>
      </c>
      <c r="E200" s="3">
        <v>65</v>
      </c>
      <c r="F200" s="3" t="s">
        <v>2001</v>
      </c>
    </row>
    <row r="201" s="2" customFormat="1" spans="1:6">
      <c r="A201" s="3"/>
      <c r="B201" s="3">
        <v>200</v>
      </c>
      <c r="C201" s="2" t="s">
        <v>3453</v>
      </c>
      <c r="D201" s="3" t="s">
        <v>3454</v>
      </c>
      <c r="E201" s="3">
        <v>60</v>
      </c>
      <c r="F201" s="3" t="s">
        <v>2001</v>
      </c>
    </row>
    <row r="202" s="2" customFormat="1" spans="1:6">
      <c r="A202" s="3"/>
      <c r="B202" s="3">
        <v>201</v>
      </c>
      <c r="C202" s="2" t="s">
        <v>2387</v>
      </c>
      <c r="D202" s="3" t="s">
        <v>2388</v>
      </c>
      <c r="E202" s="3">
        <v>23</v>
      </c>
      <c r="F202" s="3" t="s">
        <v>2001</v>
      </c>
    </row>
    <row r="203" s="2" customFormat="1" spans="1:6">
      <c r="A203" s="3"/>
      <c r="B203" s="3">
        <v>202</v>
      </c>
      <c r="C203" s="2" t="s">
        <v>3935</v>
      </c>
      <c r="D203" s="3" t="s">
        <v>3936</v>
      </c>
      <c r="E203" s="3">
        <v>10</v>
      </c>
      <c r="F203" s="3" t="s">
        <v>2001</v>
      </c>
    </row>
    <row r="204" s="2" customFormat="1" spans="1:6">
      <c r="A204" s="3"/>
      <c r="B204" s="3">
        <v>203</v>
      </c>
      <c r="C204" s="2" t="s">
        <v>2393</v>
      </c>
      <c r="D204" s="3" t="s">
        <v>2394</v>
      </c>
      <c r="E204" s="3">
        <v>25</v>
      </c>
      <c r="F204" s="3" t="s">
        <v>2001</v>
      </c>
    </row>
    <row r="205" s="2" customFormat="1" spans="1:6">
      <c r="A205" s="3"/>
      <c r="B205" s="3">
        <v>204</v>
      </c>
      <c r="C205" s="2" t="s">
        <v>2395</v>
      </c>
      <c r="D205" s="3" t="s">
        <v>2396</v>
      </c>
      <c r="E205" s="3">
        <v>20</v>
      </c>
      <c r="F205" s="3" t="s">
        <v>2001</v>
      </c>
    </row>
    <row r="206" s="2" customFormat="1" spans="1:6">
      <c r="A206" s="3"/>
      <c r="B206" s="3">
        <v>205</v>
      </c>
      <c r="C206" s="2" t="s">
        <v>2401</v>
      </c>
      <c r="D206" s="3" t="s">
        <v>2402</v>
      </c>
      <c r="E206" s="3">
        <v>20</v>
      </c>
      <c r="F206" s="3" t="s">
        <v>2001</v>
      </c>
    </row>
    <row r="207" s="2" customFormat="1" spans="1:6">
      <c r="A207" s="3"/>
      <c r="B207" s="3">
        <v>206</v>
      </c>
      <c r="C207" s="2" t="s">
        <v>2405</v>
      </c>
      <c r="D207" s="3" t="s">
        <v>2406</v>
      </c>
      <c r="E207" s="3">
        <v>15</v>
      </c>
      <c r="F207" s="3" t="s">
        <v>2001</v>
      </c>
    </row>
    <row r="208" s="2" customFormat="1" spans="1:6">
      <c r="A208" s="3"/>
      <c r="B208" s="3">
        <v>207</v>
      </c>
      <c r="C208" s="2" t="s">
        <v>2407</v>
      </c>
      <c r="D208" s="3" t="s">
        <v>2408</v>
      </c>
      <c r="E208" s="3">
        <v>20</v>
      </c>
      <c r="F208" s="3" t="s">
        <v>2001</v>
      </c>
    </row>
    <row r="209" s="2" customFormat="1" spans="1:6">
      <c r="A209" s="3"/>
      <c r="B209" s="3">
        <v>208</v>
      </c>
      <c r="C209" s="2" t="s">
        <v>3455</v>
      </c>
      <c r="D209" s="3" t="s">
        <v>3456</v>
      </c>
      <c r="E209" s="3">
        <v>5</v>
      </c>
      <c r="F209" s="3" t="s">
        <v>2001</v>
      </c>
    </row>
    <row r="210" s="2" customFormat="1" spans="1:6">
      <c r="A210" s="3"/>
      <c r="B210" s="3">
        <v>209</v>
      </c>
      <c r="C210" s="2" t="s">
        <v>3457</v>
      </c>
      <c r="D210" s="3" t="s">
        <v>3458</v>
      </c>
      <c r="E210" s="3">
        <v>120</v>
      </c>
      <c r="F210" s="3" t="s">
        <v>2001</v>
      </c>
    </row>
    <row r="211" s="2" customFormat="1" spans="1:6">
      <c r="A211" s="3"/>
      <c r="B211" s="3">
        <v>210</v>
      </c>
      <c r="C211" s="2" t="s">
        <v>2409</v>
      </c>
      <c r="D211" s="3" t="s">
        <v>2410</v>
      </c>
      <c r="E211" s="3">
        <v>250</v>
      </c>
      <c r="F211" s="3" t="s">
        <v>2001</v>
      </c>
    </row>
    <row r="212" s="2" customFormat="1" spans="1:6">
      <c r="A212" s="3"/>
      <c r="B212" s="3">
        <v>211</v>
      </c>
      <c r="C212" s="2" t="s">
        <v>3459</v>
      </c>
      <c r="D212" s="3" t="s">
        <v>3460</v>
      </c>
      <c r="E212" s="3">
        <v>190</v>
      </c>
      <c r="F212" s="3" t="s">
        <v>2001</v>
      </c>
    </row>
    <row r="213" s="2" customFormat="1" spans="1:6">
      <c r="A213" s="3"/>
      <c r="B213" s="3">
        <v>212</v>
      </c>
      <c r="C213" s="2" t="s">
        <v>2411</v>
      </c>
      <c r="D213" s="3" t="s">
        <v>2412</v>
      </c>
      <c r="E213" s="3">
        <v>40</v>
      </c>
      <c r="F213" s="3" t="s">
        <v>2001</v>
      </c>
    </row>
    <row r="214" s="2" customFormat="1" spans="1:6">
      <c r="A214" s="3"/>
      <c r="B214" s="3">
        <v>213</v>
      </c>
      <c r="C214" s="2" t="s">
        <v>2413</v>
      </c>
      <c r="D214" s="3" t="s">
        <v>2414</v>
      </c>
      <c r="E214" s="3">
        <v>190</v>
      </c>
      <c r="F214" s="3" t="s">
        <v>2001</v>
      </c>
    </row>
    <row r="215" s="2" customFormat="1" spans="1:6">
      <c r="A215" s="3"/>
      <c r="B215" s="3">
        <v>214</v>
      </c>
      <c r="C215" s="2" t="s">
        <v>3937</v>
      </c>
      <c r="D215" s="3" t="s">
        <v>3938</v>
      </c>
      <c r="E215" s="3">
        <v>30</v>
      </c>
      <c r="F215" s="3" t="s">
        <v>2001</v>
      </c>
    </row>
    <row r="216" s="2" customFormat="1" spans="1:6">
      <c r="A216" s="3"/>
      <c r="B216" s="3">
        <v>215</v>
      </c>
      <c r="C216" s="2" t="s">
        <v>2415</v>
      </c>
      <c r="D216" s="3" t="s">
        <v>2416</v>
      </c>
      <c r="E216" s="3">
        <v>70</v>
      </c>
      <c r="F216" s="3" t="s">
        <v>2001</v>
      </c>
    </row>
    <row r="217" s="2" customFormat="1" spans="1:6">
      <c r="A217" s="3"/>
      <c r="B217" s="3">
        <v>216</v>
      </c>
      <c r="C217" s="2" t="s">
        <v>3939</v>
      </c>
      <c r="D217" s="3" t="s">
        <v>3940</v>
      </c>
      <c r="E217" s="3">
        <v>200</v>
      </c>
      <c r="F217" s="3" t="s">
        <v>2001</v>
      </c>
    </row>
    <row r="218" s="2" customFormat="1" spans="1:6">
      <c r="A218" s="3"/>
      <c r="B218" s="3">
        <v>217</v>
      </c>
      <c r="C218" s="2" t="s">
        <v>2417</v>
      </c>
      <c r="D218" s="3" t="s">
        <v>2418</v>
      </c>
      <c r="E218" s="3">
        <v>80</v>
      </c>
      <c r="F218" s="3" t="s">
        <v>2001</v>
      </c>
    </row>
    <row r="219" s="2" customFormat="1" spans="1:6">
      <c r="A219" s="3"/>
      <c r="B219" s="3">
        <v>218</v>
      </c>
      <c r="C219" s="2" t="s">
        <v>3941</v>
      </c>
      <c r="D219" s="3" t="s">
        <v>3942</v>
      </c>
      <c r="E219" s="3">
        <v>200</v>
      </c>
      <c r="F219" s="3" t="s">
        <v>2001</v>
      </c>
    </row>
    <row r="220" s="2" customFormat="1" spans="1:6">
      <c r="A220" s="3"/>
      <c r="B220" s="3">
        <v>219</v>
      </c>
      <c r="C220" s="2" t="s">
        <v>3461</v>
      </c>
      <c r="D220" s="3" t="s">
        <v>3462</v>
      </c>
      <c r="E220" s="3">
        <v>140</v>
      </c>
      <c r="F220" s="3" t="s">
        <v>2001</v>
      </c>
    </row>
    <row r="221" s="2" customFormat="1" spans="1:6">
      <c r="A221" s="3"/>
      <c r="B221" s="3">
        <v>220</v>
      </c>
      <c r="C221" s="2" t="s">
        <v>3943</v>
      </c>
      <c r="D221" s="3" t="s">
        <v>3944</v>
      </c>
      <c r="E221" s="3">
        <v>100</v>
      </c>
      <c r="F221" s="3" t="s">
        <v>2001</v>
      </c>
    </row>
    <row r="222" s="2" customFormat="1" spans="1:6">
      <c r="A222" s="3"/>
      <c r="B222" s="3">
        <v>221</v>
      </c>
      <c r="C222" s="2" t="s">
        <v>2421</v>
      </c>
      <c r="D222" s="3" t="s">
        <v>2422</v>
      </c>
      <c r="E222" s="3">
        <v>180</v>
      </c>
      <c r="F222" s="3" t="s">
        <v>2001</v>
      </c>
    </row>
    <row r="223" s="2" customFormat="1" spans="1:6">
      <c r="A223" s="3"/>
      <c r="B223" s="3">
        <v>222</v>
      </c>
      <c r="C223" s="2" t="s">
        <v>2423</v>
      </c>
      <c r="D223" s="3" t="s">
        <v>2424</v>
      </c>
      <c r="E223" s="3">
        <v>60</v>
      </c>
      <c r="F223" s="3" t="s">
        <v>2001</v>
      </c>
    </row>
    <row r="224" s="2" customFormat="1" spans="1:6">
      <c r="A224" s="3"/>
      <c r="B224" s="3">
        <v>223</v>
      </c>
      <c r="C224" s="2" t="s">
        <v>2425</v>
      </c>
      <c r="D224" s="3" t="s">
        <v>2426</v>
      </c>
      <c r="E224" s="3">
        <v>370</v>
      </c>
      <c r="F224" s="3" t="s">
        <v>2001</v>
      </c>
    </row>
    <row r="225" s="2" customFormat="1" spans="1:6">
      <c r="A225" s="3"/>
      <c r="B225" s="3">
        <v>224</v>
      </c>
      <c r="C225" s="2" t="s">
        <v>3945</v>
      </c>
      <c r="D225" s="3" t="s">
        <v>3946</v>
      </c>
      <c r="E225" s="3">
        <v>200</v>
      </c>
      <c r="F225" s="3" t="s">
        <v>2001</v>
      </c>
    </row>
    <row r="226" s="2" customFormat="1" spans="1:6">
      <c r="A226" s="3"/>
      <c r="B226" s="3">
        <v>225</v>
      </c>
      <c r="C226" s="2" t="s">
        <v>3463</v>
      </c>
      <c r="D226" s="3" t="s">
        <v>3464</v>
      </c>
      <c r="E226" s="3">
        <v>5</v>
      </c>
      <c r="F226" s="3" t="s">
        <v>2001</v>
      </c>
    </row>
    <row r="227" s="2" customFormat="1" spans="1:6">
      <c r="A227" s="3"/>
      <c r="B227" s="3">
        <v>226</v>
      </c>
      <c r="C227" s="2" t="s">
        <v>3465</v>
      </c>
      <c r="D227" s="3" t="s">
        <v>3466</v>
      </c>
      <c r="E227" s="3">
        <v>130</v>
      </c>
      <c r="F227" s="3" t="s">
        <v>2001</v>
      </c>
    </row>
    <row r="228" s="2" customFormat="1" spans="1:6">
      <c r="A228" s="3"/>
      <c r="B228" s="3">
        <v>227</v>
      </c>
      <c r="C228" s="2" t="s">
        <v>2427</v>
      </c>
      <c r="D228" s="3" t="s">
        <v>2428</v>
      </c>
      <c r="E228" s="3">
        <v>50</v>
      </c>
      <c r="F228" s="3" t="s">
        <v>2001</v>
      </c>
    </row>
    <row r="229" s="2" customFormat="1" spans="1:6">
      <c r="A229" s="3"/>
      <c r="B229" s="3">
        <v>228</v>
      </c>
      <c r="C229" s="2" t="s">
        <v>3947</v>
      </c>
      <c r="D229" s="3" t="s">
        <v>3948</v>
      </c>
      <c r="E229" s="3">
        <v>30</v>
      </c>
      <c r="F229" s="3" t="s">
        <v>2001</v>
      </c>
    </row>
    <row r="230" s="2" customFormat="1" spans="1:6">
      <c r="A230" s="3"/>
      <c r="B230" s="3">
        <v>229</v>
      </c>
      <c r="C230" s="2" t="s">
        <v>2429</v>
      </c>
      <c r="D230" s="3" t="s">
        <v>2430</v>
      </c>
      <c r="E230" s="3">
        <v>90</v>
      </c>
      <c r="F230" s="3" t="s">
        <v>2001</v>
      </c>
    </row>
    <row r="231" s="2" customFormat="1" spans="1:6">
      <c r="A231" s="3"/>
      <c r="B231" s="3">
        <v>230</v>
      </c>
      <c r="C231" s="2" t="s">
        <v>2431</v>
      </c>
      <c r="D231" s="3" t="s">
        <v>2432</v>
      </c>
      <c r="E231" s="3">
        <v>200</v>
      </c>
      <c r="F231" s="3" t="s">
        <v>2001</v>
      </c>
    </row>
    <row r="232" s="2" customFormat="1" spans="1:6">
      <c r="A232" s="3"/>
      <c r="B232" s="3">
        <v>231</v>
      </c>
      <c r="C232" s="2" t="s">
        <v>2433</v>
      </c>
      <c r="D232" s="3" t="s">
        <v>2434</v>
      </c>
      <c r="E232" s="3">
        <v>110</v>
      </c>
      <c r="F232" s="3" t="s">
        <v>2001</v>
      </c>
    </row>
    <row r="233" s="2" customFormat="1" spans="1:6">
      <c r="A233" s="3"/>
      <c r="B233" s="3">
        <v>232</v>
      </c>
      <c r="C233" s="2" t="s">
        <v>2435</v>
      </c>
      <c r="D233" s="3" t="s">
        <v>2436</v>
      </c>
      <c r="E233" s="3">
        <v>100</v>
      </c>
      <c r="F233" s="3" t="s">
        <v>2001</v>
      </c>
    </row>
    <row r="234" s="2" customFormat="1" spans="1:6">
      <c r="A234" s="3"/>
      <c r="B234" s="3">
        <v>233</v>
      </c>
      <c r="C234" s="2" t="s">
        <v>2437</v>
      </c>
      <c r="D234" s="3" t="s">
        <v>2438</v>
      </c>
      <c r="E234" s="3">
        <v>20</v>
      </c>
      <c r="F234" s="3" t="s">
        <v>2001</v>
      </c>
    </row>
    <row r="235" s="2" customFormat="1" spans="1:6">
      <c r="A235" s="3"/>
      <c r="B235" s="3">
        <v>234</v>
      </c>
      <c r="C235" s="2" t="s">
        <v>3949</v>
      </c>
      <c r="D235" s="3" t="s">
        <v>3950</v>
      </c>
      <c r="E235" s="3">
        <v>230</v>
      </c>
      <c r="F235" s="3" t="s">
        <v>2001</v>
      </c>
    </row>
    <row r="236" s="2" customFormat="1" spans="1:6">
      <c r="A236" s="3"/>
      <c r="B236" s="3">
        <v>235</v>
      </c>
      <c r="C236" s="2" t="s">
        <v>3951</v>
      </c>
      <c r="D236" s="3" t="s">
        <v>3952</v>
      </c>
      <c r="E236" s="3">
        <v>60</v>
      </c>
      <c r="F236" s="3" t="s">
        <v>2001</v>
      </c>
    </row>
    <row r="237" s="2" customFormat="1" spans="1:6">
      <c r="A237" s="3"/>
      <c r="B237" s="3">
        <v>236</v>
      </c>
      <c r="C237" s="2" t="s">
        <v>3953</v>
      </c>
      <c r="D237" s="3" t="s">
        <v>3954</v>
      </c>
      <c r="E237" s="3">
        <v>4</v>
      </c>
      <c r="F237" s="3" t="s">
        <v>2001</v>
      </c>
    </row>
    <row r="238" s="2" customFormat="1" spans="1:6">
      <c r="A238" s="3"/>
      <c r="B238" s="3">
        <v>237</v>
      </c>
      <c r="C238" s="2" t="s">
        <v>2439</v>
      </c>
      <c r="D238" s="3" t="s">
        <v>2440</v>
      </c>
      <c r="E238" s="3">
        <v>18</v>
      </c>
      <c r="F238" s="3" t="s">
        <v>2001</v>
      </c>
    </row>
    <row r="239" s="2" customFormat="1" spans="1:6">
      <c r="A239" s="3"/>
      <c r="B239" s="3">
        <v>238</v>
      </c>
      <c r="C239" s="2" t="s">
        <v>2441</v>
      </c>
      <c r="D239" s="3" t="s">
        <v>2442</v>
      </c>
      <c r="E239" s="3">
        <v>20</v>
      </c>
      <c r="F239" s="3" t="s">
        <v>2001</v>
      </c>
    </row>
    <row r="240" s="2" customFormat="1" spans="1:6">
      <c r="A240" s="3"/>
      <c r="B240" s="3">
        <v>239</v>
      </c>
      <c r="C240" s="2" t="s">
        <v>2443</v>
      </c>
      <c r="D240" s="3" t="s">
        <v>2444</v>
      </c>
      <c r="E240" s="3">
        <v>20</v>
      </c>
      <c r="F240" s="3" t="s">
        <v>2001</v>
      </c>
    </row>
    <row r="241" s="2" customFormat="1" spans="1:6">
      <c r="A241" s="3"/>
      <c r="B241" s="3">
        <v>240</v>
      </c>
      <c r="C241" s="2" t="s">
        <v>2449</v>
      </c>
      <c r="D241" s="3" t="s">
        <v>2450</v>
      </c>
      <c r="E241" s="3">
        <v>32</v>
      </c>
      <c r="F241" s="3" t="s">
        <v>2001</v>
      </c>
    </row>
    <row r="242" s="2" customFormat="1" spans="1:6">
      <c r="A242" s="3"/>
      <c r="B242" s="3">
        <v>241</v>
      </c>
      <c r="C242" s="2" t="s">
        <v>2451</v>
      </c>
      <c r="D242" s="3" t="s">
        <v>2452</v>
      </c>
      <c r="E242" s="3">
        <v>20</v>
      </c>
      <c r="F242" s="3" t="s">
        <v>2001</v>
      </c>
    </row>
    <row r="243" s="2" customFormat="1" spans="1:6">
      <c r="A243" s="3"/>
      <c r="B243" s="3">
        <v>242</v>
      </c>
      <c r="C243" s="2" t="s">
        <v>2453</v>
      </c>
      <c r="D243" s="3" t="s">
        <v>2454</v>
      </c>
      <c r="E243" s="3">
        <v>31</v>
      </c>
      <c r="F243" s="3" t="s">
        <v>2001</v>
      </c>
    </row>
    <row r="244" s="2" customFormat="1" spans="1:6">
      <c r="A244" s="3"/>
      <c r="B244" s="3">
        <v>243</v>
      </c>
      <c r="C244" s="2" t="s">
        <v>2455</v>
      </c>
      <c r="D244" s="3" t="s">
        <v>2456</v>
      </c>
      <c r="E244" s="3">
        <v>20</v>
      </c>
      <c r="F244" s="3" t="s">
        <v>2001</v>
      </c>
    </row>
    <row r="245" s="2" customFormat="1" spans="1:6">
      <c r="A245" s="3"/>
      <c r="B245" s="3">
        <v>244</v>
      </c>
      <c r="C245" s="2" t="s">
        <v>2457</v>
      </c>
      <c r="D245" s="3" t="s">
        <v>2458</v>
      </c>
      <c r="E245" s="3">
        <v>3</v>
      </c>
      <c r="F245" s="3" t="s">
        <v>2001</v>
      </c>
    </row>
    <row r="246" s="2" customFormat="1" spans="1:6">
      <c r="A246" s="3"/>
      <c r="B246" s="3">
        <v>245</v>
      </c>
      <c r="C246" s="2" t="s">
        <v>2459</v>
      </c>
      <c r="D246" s="3" t="s">
        <v>2460</v>
      </c>
      <c r="E246" s="3">
        <v>45</v>
      </c>
      <c r="F246" s="3" t="s">
        <v>2001</v>
      </c>
    </row>
    <row r="247" s="2" customFormat="1" spans="1:6">
      <c r="A247" s="3"/>
      <c r="B247" s="3">
        <v>246</v>
      </c>
      <c r="C247" s="2" t="s">
        <v>2461</v>
      </c>
      <c r="D247" s="3" t="s">
        <v>2462</v>
      </c>
      <c r="E247" s="3">
        <v>10</v>
      </c>
      <c r="F247" s="3" t="s">
        <v>2001</v>
      </c>
    </row>
    <row r="248" s="2" customFormat="1" spans="1:6">
      <c r="A248" s="3"/>
      <c r="B248" s="3">
        <v>247</v>
      </c>
      <c r="C248" s="2" t="s">
        <v>3955</v>
      </c>
      <c r="D248" s="3" t="s">
        <v>3956</v>
      </c>
      <c r="E248" s="3">
        <v>11</v>
      </c>
      <c r="F248" s="3" t="s">
        <v>2001</v>
      </c>
    </row>
    <row r="249" s="2" customFormat="1" spans="1:6">
      <c r="A249" s="3"/>
      <c r="B249" s="3">
        <v>248</v>
      </c>
      <c r="C249" s="2" t="s">
        <v>3957</v>
      </c>
      <c r="D249" s="3" t="s">
        <v>3958</v>
      </c>
      <c r="E249" s="3">
        <v>2</v>
      </c>
      <c r="F249" s="3" t="s">
        <v>2001</v>
      </c>
    </row>
    <row r="250" s="2" customFormat="1" spans="1:6">
      <c r="A250" s="3"/>
      <c r="B250" s="3">
        <v>249</v>
      </c>
      <c r="C250" s="2" t="s">
        <v>3959</v>
      </c>
      <c r="D250" s="3" t="s">
        <v>3960</v>
      </c>
      <c r="E250" s="3">
        <v>1</v>
      </c>
      <c r="F250" s="3" t="s">
        <v>2001</v>
      </c>
    </row>
    <row r="251" s="2" customFormat="1" spans="1:6">
      <c r="A251" s="3"/>
      <c r="B251" s="3">
        <v>250</v>
      </c>
      <c r="C251" s="2" t="s">
        <v>2467</v>
      </c>
      <c r="D251" s="3" t="s">
        <v>2468</v>
      </c>
      <c r="E251" s="3">
        <v>2</v>
      </c>
      <c r="F251" s="3" t="s">
        <v>2001</v>
      </c>
    </row>
    <row r="252" s="2" customFormat="1" spans="1:6">
      <c r="A252" s="3"/>
      <c r="B252" s="3">
        <v>251</v>
      </c>
      <c r="C252" s="2" t="s">
        <v>3961</v>
      </c>
      <c r="D252" s="3" t="s">
        <v>3962</v>
      </c>
      <c r="E252" s="3">
        <v>3</v>
      </c>
      <c r="F252" s="3" t="s">
        <v>2001</v>
      </c>
    </row>
    <row r="253" s="2" customFormat="1" spans="1:6">
      <c r="A253" s="3"/>
      <c r="B253" s="3">
        <v>252</v>
      </c>
      <c r="C253" s="2" t="s">
        <v>3963</v>
      </c>
      <c r="D253" s="3" t="s">
        <v>3964</v>
      </c>
      <c r="E253" s="3">
        <v>2</v>
      </c>
      <c r="F253" s="3" t="s">
        <v>2001</v>
      </c>
    </row>
    <row r="254" s="2" customFormat="1" spans="1:6">
      <c r="A254" s="3"/>
      <c r="B254" s="3">
        <v>253</v>
      </c>
      <c r="C254" s="2" t="s">
        <v>3965</v>
      </c>
      <c r="D254" s="3" t="s">
        <v>3966</v>
      </c>
      <c r="E254" s="3">
        <v>10</v>
      </c>
      <c r="F254" s="3" t="s">
        <v>2001</v>
      </c>
    </row>
    <row r="255" s="2" customFormat="1" spans="1:6">
      <c r="A255" s="3"/>
      <c r="B255" s="3">
        <v>254</v>
      </c>
      <c r="C255" s="2" t="s">
        <v>3469</v>
      </c>
      <c r="D255" s="3" t="s">
        <v>3470</v>
      </c>
      <c r="E255" s="3">
        <v>11</v>
      </c>
      <c r="F255" s="3" t="s">
        <v>2001</v>
      </c>
    </row>
    <row r="256" s="2" customFormat="1" spans="1:6">
      <c r="A256" s="3"/>
      <c r="B256" s="3">
        <v>255</v>
      </c>
      <c r="C256" s="2" t="s">
        <v>3967</v>
      </c>
      <c r="D256" s="3" t="s">
        <v>3968</v>
      </c>
      <c r="E256" s="3">
        <v>8</v>
      </c>
      <c r="F256" s="3" t="s">
        <v>2001</v>
      </c>
    </row>
    <row r="257" s="2" customFormat="1" spans="1:6">
      <c r="A257" s="3"/>
      <c r="B257" s="3">
        <v>256</v>
      </c>
      <c r="C257" s="2" t="s">
        <v>3969</v>
      </c>
      <c r="D257" s="3" t="s">
        <v>3970</v>
      </c>
      <c r="E257" s="3">
        <v>3</v>
      </c>
      <c r="F257" s="3" t="s">
        <v>2001</v>
      </c>
    </row>
    <row r="258" s="2" customFormat="1" spans="1:6">
      <c r="A258" s="3"/>
      <c r="B258" s="3">
        <v>257</v>
      </c>
      <c r="C258" s="2" t="s">
        <v>3971</v>
      </c>
      <c r="D258" s="3" t="s">
        <v>3972</v>
      </c>
      <c r="E258" s="3">
        <v>2</v>
      </c>
      <c r="F258" s="3" t="s">
        <v>2001</v>
      </c>
    </row>
    <row r="259" s="2" customFormat="1" spans="1:6">
      <c r="A259" s="3"/>
      <c r="B259" s="3">
        <v>258</v>
      </c>
      <c r="C259" s="2" t="s">
        <v>2473</v>
      </c>
      <c r="D259" s="3" t="s">
        <v>2474</v>
      </c>
      <c r="E259" s="3">
        <v>50</v>
      </c>
      <c r="F259" s="3" t="s">
        <v>2001</v>
      </c>
    </row>
    <row r="260" s="2" customFormat="1" spans="1:6">
      <c r="A260" s="3"/>
      <c r="B260" s="3">
        <v>259</v>
      </c>
      <c r="C260" s="2" t="s">
        <v>2475</v>
      </c>
      <c r="D260" s="3" t="s">
        <v>2476</v>
      </c>
      <c r="E260" s="3">
        <v>91</v>
      </c>
      <c r="F260" s="3" t="s">
        <v>2001</v>
      </c>
    </row>
    <row r="261" s="2" customFormat="1" spans="1:6">
      <c r="A261" s="3"/>
      <c r="B261" s="3">
        <v>260</v>
      </c>
      <c r="C261" s="2" t="s">
        <v>2477</v>
      </c>
      <c r="D261" s="3" t="s">
        <v>2478</v>
      </c>
      <c r="E261" s="3">
        <v>65</v>
      </c>
      <c r="F261" s="3" t="s">
        <v>2001</v>
      </c>
    </row>
    <row r="262" s="2" customFormat="1" spans="1:6">
      <c r="A262" s="3"/>
      <c r="B262" s="3">
        <v>261</v>
      </c>
      <c r="C262" s="2" t="s">
        <v>2479</v>
      </c>
      <c r="D262" s="3" t="s">
        <v>2480</v>
      </c>
      <c r="E262" s="3">
        <v>85</v>
      </c>
      <c r="F262" s="3" t="s">
        <v>2001</v>
      </c>
    </row>
    <row r="263" s="2" customFormat="1" spans="1:6">
      <c r="A263" s="3"/>
      <c r="B263" s="3">
        <v>262</v>
      </c>
      <c r="C263" s="2" t="s">
        <v>2481</v>
      </c>
      <c r="D263" s="3" t="s">
        <v>2482</v>
      </c>
      <c r="E263" s="3">
        <v>45</v>
      </c>
      <c r="F263" s="3" t="s">
        <v>2001</v>
      </c>
    </row>
    <row r="264" s="2" customFormat="1" spans="1:6">
      <c r="A264" s="3"/>
      <c r="B264" s="3">
        <v>263</v>
      </c>
      <c r="C264" s="2" t="s">
        <v>2483</v>
      </c>
      <c r="D264" s="3" t="s">
        <v>2484</v>
      </c>
      <c r="E264" s="3">
        <v>55</v>
      </c>
      <c r="F264" s="3" t="s">
        <v>2001</v>
      </c>
    </row>
    <row r="265" s="2" customFormat="1" spans="1:6">
      <c r="A265" s="3"/>
      <c r="B265" s="3">
        <v>264</v>
      </c>
      <c r="C265" s="2" t="s">
        <v>2485</v>
      </c>
      <c r="D265" s="3" t="s">
        <v>2486</v>
      </c>
      <c r="E265" s="3">
        <v>70</v>
      </c>
      <c r="F265" s="3" t="s">
        <v>2001</v>
      </c>
    </row>
    <row r="266" s="2" customFormat="1" spans="1:6">
      <c r="A266" s="3"/>
      <c r="B266" s="3">
        <v>265</v>
      </c>
      <c r="C266" s="2" t="s">
        <v>2487</v>
      </c>
      <c r="D266" s="3" t="s">
        <v>2488</v>
      </c>
      <c r="E266" s="3">
        <v>52</v>
      </c>
      <c r="F266" s="3" t="s">
        <v>2001</v>
      </c>
    </row>
    <row r="267" s="2" customFormat="1" spans="1:6">
      <c r="A267" s="3"/>
      <c r="B267" s="3">
        <v>266</v>
      </c>
      <c r="C267" s="2" t="s">
        <v>2489</v>
      </c>
      <c r="D267" s="3" t="s">
        <v>2490</v>
      </c>
      <c r="E267" s="3">
        <v>15</v>
      </c>
      <c r="F267" s="3" t="s">
        <v>2001</v>
      </c>
    </row>
    <row r="268" s="2" customFormat="1" spans="1:6">
      <c r="A268" s="3"/>
      <c r="B268" s="3">
        <v>267</v>
      </c>
      <c r="C268" s="2" t="s">
        <v>2491</v>
      </c>
      <c r="D268" s="3" t="s">
        <v>2492</v>
      </c>
      <c r="E268" s="3">
        <v>16</v>
      </c>
      <c r="F268" s="3" t="s">
        <v>2001</v>
      </c>
    </row>
    <row r="269" s="2" customFormat="1" spans="1:6">
      <c r="A269" s="3"/>
      <c r="B269" s="3">
        <v>268</v>
      </c>
      <c r="C269" s="2" t="s">
        <v>2493</v>
      </c>
      <c r="D269" s="3" t="s">
        <v>2494</v>
      </c>
      <c r="E269" s="3">
        <v>15</v>
      </c>
      <c r="F269" s="3" t="s">
        <v>2001</v>
      </c>
    </row>
    <row r="270" s="2" customFormat="1" spans="1:6">
      <c r="A270" s="3"/>
      <c r="B270" s="3">
        <v>269</v>
      </c>
      <c r="C270" s="2" t="s">
        <v>2495</v>
      </c>
      <c r="D270" s="3" t="s">
        <v>2496</v>
      </c>
      <c r="E270" s="3">
        <v>7</v>
      </c>
      <c r="F270" s="3" t="s">
        <v>2001</v>
      </c>
    </row>
    <row r="271" s="2" customFormat="1" spans="1:6">
      <c r="A271" s="3"/>
      <c r="B271" s="3">
        <v>270</v>
      </c>
      <c r="C271" s="2" t="s">
        <v>2497</v>
      </c>
      <c r="D271" s="3" t="s">
        <v>2498</v>
      </c>
      <c r="E271" s="3">
        <v>38</v>
      </c>
      <c r="F271" s="3" t="s">
        <v>2001</v>
      </c>
    </row>
    <row r="272" s="2" customFormat="1" spans="1:6">
      <c r="A272" s="3"/>
      <c r="B272" s="3">
        <v>271</v>
      </c>
      <c r="C272" s="2" t="s">
        <v>2499</v>
      </c>
      <c r="D272" s="3" t="s">
        <v>2500</v>
      </c>
      <c r="E272" s="3">
        <v>30</v>
      </c>
      <c r="F272" s="3" t="s">
        <v>2001</v>
      </c>
    </row>
    <row r="273" s="2" customFormat="1" spans="1:6">
      <c r="A273" s="3"/>
      <c r="B273" s="3">
        <v>272</v>
      </c>
      <c r="C273" s="2" t="s">
        <v>2501</v>
      </c>
      <c r="D273" s="3" t="s">
        <v>2502</v>
      </c>
      <c r="E273" s="3">
        <v>10</v>
      </c>
      <c r="F273" s="3" t="s">
        <v>2001</v>
      </c>
    </row>
    <row r="274" s="2" customFormat="1" spans="1:6">
      <c r="A274" s="3"/>
      <c r="B274" s="3">
        <v>273</v>
      </c>
      <c r="C274" s="2" t="s">
        <v>2503</v>
      </c>
      <c r="D274" s="3" t="s">
        <v>2504</v>
      </c>
      <c r="E274" s="3">
        <v>10</v>
      </c>
      <c r="F274" s="3" t="s">
        <v>2001</v>
      </c>
    </row>
    <row r="275" s="2" customFormat="1" spans="1:6">
      <c r="A275" s="3"/>
      <c r="B275" s="3">
        <v>274</v>
      </c>
      <c r="C275" s="2" t="s">
        <v>3973</v>
      </c>
      <c r="D275" s="3" t="s">
        <v>3974</v>
      </c>
      <c r="E275" s="3">
        <v>2</v>
      </c>
      <c r="F275" s="3" t="s">
        <v>2001</v>
      </c>
    </row>
    <row r="276" s="2" customFormat="1" spans="1:6">
      <c r="A276" s="3"/>
      <c r="B276" s="3">
        <v>275</v>
      </c>
      <c r="C276" s="2" t="s">
        <v>2525</v>
      </c>
      <c r="D276" s="3" t="s">
        <v>2526</v>
      </c>
      <c r="E276" s="3">
        <v>3</v>
      </c>
      <c r="F276" s="3" t="s">
        <v>2001</v>
      </c>
    </row>
    <row r="277" s="2" customFormat="1" spans="1:6">
      <c r="A277" s="3"/>
      <c r="B277" s="3">
        <v>276</v>
      </c>
      <c r="C277" s="2" t="s">
        <v>2565</v>
      </c>
      <c r="D277" s="3" t="s">
        <v>2566</v>
      </c>
      <c r="E277" s="3">
        <v>4</v>
      </c>
      <c r="F277" s="3" t="s">
        <v>2001</v>
      </c>
    </row>
    <row r="278" s="2" customFormat="1" spans="1:6">
      <c r="A278" s="3"/>
      <c r="B278" s="3">
        <v>277</v>
      </c>
      <c r="C278" s="2" t="s">
        <v>2567</v>
      </c>
      <c r="D278" s="3" t="s">
        <v>2568</v>
      </c>
      <c r="E278" s="3">
        <v>14</v>
      </c>
      <c r="F278" s="3" t="s">
        <v>2001</v>
      </c>
    </row>
    <row r="279" s="2" customFormat="1" spans="1:6">
      <c r="A279" s="3"/>
      <c r="B279" s="3">
        <v>278</v>
      </c>
      <c r="C279" s="2" t="s">
        <v>3975</v>
      </c>
      <c r="D279" s="3" t="s">
        <v>3976</v>
      </c>
      <c r="E279" s="3">
        <v>4</v>
      </c>
      <c r="F279" s="3" t="s">
        <v>2016</v>
      </c>
    </row>
    <row r="280" s="2" customFormat="1" spans="1:6">
      <c r="A280" s="3"/>
      <c r="B280" s="3">
        <v>279</v>
      </c>
      <c r="C280" s="2" t="s">
        <v>2575</v>
      </c>
      <c r="D280" s="3" t="s">
        <v>2576</v>
      </c>
      <c r="E280" s="3">
        <v>576</v>
      </c>
      <c r="F280" s="3" t="s">
        <v>2001</v>
      </c>
    </row>
    <row r="281" s="2" customFormat="1" spans="1:6">
      <c r="A281" s="3"/>
      <c r="B281" s="3">
        <v>280</v>
      </c>
      <c r="C281" s="2" t="s">
        <v>2577</v>
      </c>
      <c r="D281" s="3" t="s">
        <v>2578</v>
      </c>
      <c r="E281" s="3">
        <v>192</v>
      </c>
      <c r="F281" s="3" t="s">
        <v>2001</v>
      </c>
    </row>
    <row r="282" s="2" customFormat="1" spans="1:6">
      <c r="A282" s="3"/>
      <c r="B282" s="3">
        <v>281</v>
      </c>
      <c r="C282" s="2" t="s">
        <v>113</v>
      </c>
      <c r="D282" s="3" t="s">
        <v>2579</v>
      </c>
      <c r="E282" s="3">
        <v>12</v>
      </c>
      <c r="F282" s="3" t="s">
        <v>2001</v>
      </c>
    </row>
    <row r="283" s="2" customFormat="1" spans="1:6">
      <c r="A283" s="3"/>
      <c r="B283" s="3">
        <v>282</v>
      </c>
      <c r="C283" s="2" t="s">
        <v>2580</v>
      </c>
      <c r="D283" s="3" t="s">
        <v>2581</v>
      </c>
      <c r="E283" s="3">
        <v>84</v>
      </c>
      <c r="F283" s="3" t="s">
        <v>2001</v>
      </c>
    </row>
    <row r="284" s="2" customFormat="1" spans="1:6">
      <c r="A284" s="3"/>
      <c r="B284" s="3">
        <v>283</v>
      </c>
      <c r="C284" s="2" t="s">
        <v>2582</v>
      </c>
      <c r="D284" s="3" t="s">
        <v>2583</v>
      </c>
      <c r="E284" s="3">
        <v>12</v>
      </c>
      <c r="F284" s="3" t="s">
        <v>2001</v>
      </c>
    </row>
    <row r="285" s="2" customFormat="1" spans="1:6">
      <c r="A285" s="3"/>
      <c r="B285" s="3">
        <v>284</v>
      </c>
      <c r="C285" s="2" t="s">
        <v>2584</v>
      </c>
      <c r="D285" s="3" t="s">
        <v>2585</v>
      </c>
      <c r="E285" s="3">
        <v>25</v>
      </c>
      <c r="F285" s="3" t="s">
        <v>2001</v>
      </c>
    </row>
    <row r="286" s="2" customFormat="1" spans="1:6">
      <c r="A286" s="3"/>
      <c r="B286" s="3">
        <v>285</v>
      </c>
      <c r="C286" s="2" t="s">
        <v>2586</v>
      </c>
      <c r="D286" s="3" t="s">
        <v>2587</v>
      </c>
      <c r="E286" s="3">
        <v>12</v>
      </c>
      <c r="F286" s="3" t="s">
        <v>2001</v>
      </c>
    </row>
    <row r="287" s="2" customFormat="1" spans="1:6">
      <c r="A287" s="3"/>
      <c r="B287" s="3">
        <v>286</v>
      </c>
      <c r="C287" s="2" t="s">
        <v>2588</v>
      </c>
      <c r="D287" s="3" t="s">
        <v>2589</v>
      </c>
      <c r="E287" s="3">
        <v>37</v>
      </c>
      <c r="F287" s="3" t="s">
        <v>2001</v>
      </c>
    </row>
    <row r="288" s="2" customFormat="1" spans="1:6">
      <c r="A288" s="3"/>
      <c r="B288" s="3">
        <v>287</v>
      </c>
      <c r="C288" s="2" t="s">
        <v>2590</v>
      </c>
      <c r="D288" s="3" t="s">
        <v>2591</v>
      </c>
      <c r="E288" s="3">
        <v>6</v>
      </c>
      <c r="F288" s="3" t="s">
        <v>2001</v>
      </c>
    </row>
    <row r="289" s="2" customFormat="1" spans="1:6">
      <c r="A289" s="3"/>
      <c r="B289" s="3">
        <v>288</v>
      </c>
      <c r="C289" s="2" t="s">
        <v>3486</v>
      </c>
      <c r="D289" s="3" t="s">
        <v>3487</v>
      </c>
      <c r="E289" s="3">
        <v>9</v>
      </c>
      <c r="F289" s="3" t="s">
        <v>2001</v>
      </c>
    </row>
    <row r="290" s="2" customFormat="1" spans="1:6">
      <c r="A290" s="3"/>
      <c r="B290" s="3">
        <v>289</v>
      </c>
      <c r="C290" s="2" t="s">
        <v>3977</v>
      </c>
      <c r="D290" s="3" t="s">
        <v>3978</v>
      </c>
      <c r="E290" s="3">
        <v>10</v>
      </c>
      <c r="F290" s="3" t="s">
        <v>2001</v>
      </c>
    </row>
    <row r="291" s="2" customFormat="1" spans="1:6">
      <c r="A291" s="3"/>
      <c r="B291" s="3">
        <v>290</v>
      </c>
      <c r="C291" s="2" t="s">
        <v>2604</v>
      </c>
      <c r="D291" s="3" t="s">
        <v>2605</v>
      </c>
      <c r="E291" s="3">
        <v>169</v>
      </c>
      <c r="F291" s="3" t="s">
        <v>2016</v>
      </c>
    </row>
    <row r="292" s="2" customFormat="1" spans="1:6">
      <c r="A292" s="3"/>
      <c r="B292" s="3">
        <v>291</v>
      </c>
      <c r="C292" s="2" t="s">
        <v>3979</v>
      </c>
      <c r="D292" s="3" t="s">
        <v>3980</v>
      </c>
      <c r="E292" s="3">
        <v>1</v>
      </c>
      <c r="F292" s="3" t="s">
        <v>2001</v>
      </c>
    </row>
    <row r="293" s="2" customFormat="1" spans="1:6">
      <c r="A293" s="3"/>
      <c r="B293" s="3">
        <v>292</v>
      </c>
      <c r="C293" s="2" t="s">
        <v>2606</v>
      </c>
      <c r="D293" s="3" t="s">
        <v>2607</v>
      </c>
      <c r="E293" s="3">
        <v>456</v>
      </c>
      <c r="F293" s="3" t="s">
        <v>2016</v>
      </c>
    </row>
    <row r="294" s="2" customFormat="1" spans="1:6">
      <c r="A294" s="3"/>
      <c r="B294" s="3">
        <v>293</v>
      </c>
      <c r="C294" s="2" t="s">
        <v>2608</v>
      </c>
      <c r="D294" s="3" t="s">
        <v>2609</v>
      </c>
      <c r="E294" s="3">
        <v>30</v>
      </c>
      <c r="F294" s="3" t="s">
        <v>2001</v>
      </c>
    </row>
    <row r="295" s="2" customFormat="1" spans="1:6">
      <c r="A295" s="3"/>
      <c r="B295" s="3">
        <v>294</v>
      </c>
      <c r="C295" s="2" t="s">
        <v>2610</v>
      </c>
      <c r="D295" s="3" t="s">
        <v>2611</v>
      </c>
      <c r="E295" s="3">
        <v>14</v>
      </c>
      <c r="F295" s="3" t="s">
        <v>2001</v>
      </c>
    </row>
    <row r="296" s="2" customFormat="1" spans="1:6">
      <c r="A296" s="3"/>
      <c r="B296" s="3">
        <v>295</v>
      </c>
      <c r="C296" s="2" t="s">
        <v>2612</v>
      </c>
      <c r="D296" s="3" t="s">
        <v>2613</v>
      </c>
      <c r="E296" s="3">
        <v>6</v>
      </c>
      <c r="F296" s="3" t="s">
        <v>2001</v>
      </c>
    </row>
    <row r="297" s="2" customFormat="1" spans="1:6">
      <c r="A297" s="3"/>
      <c r="B297" s="3">
        <v>296</v>
      </c>
      <c r="C297" s="2" t="s">
        <v>2614</v>
      </c>
      <c r="D297" s="3" t="s">
        <v>2615</v>
      </c>
      <c r="E297" s="3">
        <v>18</v>
      </c>
      <c r="F297" s="3" t="s">
        <v>2001</v>
      </c>
    </row>
    <row r="298" s="2" customFormat="1" spans="1:6">
      <c r="A298" s="3"/>
      <c r="B298" s="3">
        <v>297</v>
      </c>
      <c r="C298" s="2" t="s">
        <v>2616</v>
      </c>
      <c r="D298" s="3" t="s">
        <v>2617</v>
      </c>
      <c r="E298" s="3">
        <v>10</v>
      </c>
      <c r="F298" s="3" t="s">
        <v>2001</v>
      </c>
    </row>
    <row r="299" s="2" customFormat="1" spans="1:6">
      <c r="A299" s="3"/>
      <c r="B299" s="3">
        <v>298</v>
      </c>
      <c r="C299" s="2" t="s">
        <v>2620</v>
      </c>
      <c r="D299" s="3" t="s">
        <v>2621</v>
      </c>
      <c r="E299" s="3">
        <v>5</v>
      </c>
      <c r="F299" s="3" t="s">
        <v>2001</v>
      </c>
    </row>
    <row r="300" s="2" customFormat="1" spans="1:6">
      <c r="A300" s="3"/>
      <c r="B300" s="3">
        <v>299</v>
      </c>
      <c r="C300" s="2" t="s">
        <v>2622</v>
      </c>
      <c r="D300" s="3" t="s">
        <v>2623</v>
      </c>
      <c r="E300" s="3">
        <v>6</v>
      </c>
      <c r="F300" s="3" t="s">
        <v>2001</v>
      </c>
    </row>
    <row r="301" s="2" customFormat="1" spans="1:6">
      <c r="A301" s="3"/>
      <c r="B301" s="3">
        <v>300</v>
      </c>
      <c r="C301" s="2" t="s">
        <v>2624</v>
      </c>
      <c r="D301" s="3" t="s">
        <v>2625</v>
      </c>
      <c r="E301" s="3">
        <v>18</v>
      </c>
      <c r="F301" s="3" t="s">
        <v>2001</v>
      </c>
    </row>
    <row r="302" s="2" customFormat="1" spans="1:6">
      <c r="A302" s="3"/>
      <c r="B302" s="3">
        <v>301</v>
      </c>
      <c r="C302" s="2" t="s">
        <v>2626</v>
      </c>
      <c r="D302" s="3" t="s">
        <v>2627</v>
      </c>
      <c r="E302" s="3">
        <v>10</v>
      </c>
      <c r="F302" s="3" t="s">
        <v>2001</v>
      </c>
    </row>
    <row r="303" s="2" customFormat="1" spans="1:6">
      <c r="A303" s="3"/>
      <c r="B303" s="3">
        <v>302</v>
      </c>
      <c r="C303" s="2" t="s">
        <v>3490</v>
      </c>
      <c r="D303" s="3" t="s">
        <v>3491</v>
      </c>
      <c r="E303" s="3">
        <v>5</v>
      </c>
      <c r="F303" s="3" t="s">
        <v>2001</v>
      </c>
    </row>
    <row r="304" s="2" customFormat="1" spans="1:6">
      <c r="A304" s="3"/>
      <c r="B304" s="3">
        <v>303</v>
      </c>
      <c r="C304" s="2" t="s">
        <v>2628</v>
      </c>
      <c r="D304" s="3" t="s">
        <v>2629</v>
      </c>
      <c r="E304" s="3">
        <v>7</v>
      </c>
      <c r="F304" s="3" t="s">
        <v>2001</v>
      </c>
    </row>
    <row r="305" s="2" customFormat="1" spans="1:6">
      <c r="A305" s="3"/>
      <c r="B305" s="3">
        <v>304</v>
      </c>
      <c r="C305" s="2" t="s">
        <v>2630</v>
      </c>
      <c r="D305" s="3" t="s">
        <v>2631</v>
      </c>
      <c r="E305" s="3">
        <v>2</v>
      </c>
      <c r="F305" s="3" t="s">
        <v>2001</v>
      </c>
    </row>
    <row r="306" s="2" customFormat="1" spans="1:6">
      <c r="A306" s="3"/>
      <c r="B306" s="3">
        <v>305</v>
      </c>
      <c r="C306" s="2" t="s">
        <v>2632</v>
      </c>
      <c r="D306" s="3" t="s">
        <v>2633</v>
      </c>
      <c r="E306" s="3">
        <v>6</v>
      </c>
      <c r="F306" s="3" t="s">
        <v>2001</v>
      </c>
    </row>
    <row r="307" s="2" customFormat="1" spans="1:6">
      <c r="A307" s="3"/>
      <c r="B307" s="3">
        <v>306</v>
      </c>
      <c r="C307" s="2" t="s">
        <v>2634</v>
      </c>
      <c r="D307" s="3" t="s">
        <v>2635</v>
      </c>
      <c r="E307" s="3">
        <v>3</v>
      </c>
      <c r="F307" s="3" t="s">
        <v>2001</v>
      </c>
    </row>
    <row r="308" s="2" customFormat="1" spans="1:6">
      <c r="A308" s="3"/>
      <c r="B308" s="3">
        <v>307</v>
      </c>
      <c r="C308" s="2" t="s">
        <v>2636</v>
      </c>
      <c r="D308" s="3" t="s">
        <v>2637</v>
      </c>
      <c r="E308" s="3">
        <v>3</v>
      </c>
      <c r="F308" s="3" t="s">
        <v>2001</v>
      </c>
    </row>
    <row r="309" s="2" customFormat="1" spans="1:6">
      <c r="A309" s="3"/>
      <c r="B309" s="3">
        <v>308</v>
      </c>
      <c r="C309" s="2" t="s">
        <v>2638</v>
      </c>
      <c r="D309" s="3" t="s">
        <v>2639</v>
      </c>
      <c r="E309" s="3">
        <v>4</v>
      </c>
      <c r="F309" s="3" t="s">
        <v>2001</v>
      </c>
    </row>
    <row r="310" s="2" customFormat="1" spans="1:6">
      <c r="A310" s="3"/>
      <c r="B310" s="3">
        <v>309</v>
      </c>
      <c r="C310" s="2" t="s">
        <v>2646</v>
      </c>
      <c r="D310" s="3" t="s">
        <v>2647</v>
      </c>
      <c r="E310" s="3">
        <v>5</v>
      </c>
      <c r="F310" s="3" t="s">
        <v>2001</v>
      </c>
    </row>
    <row r="311" s="2" customFormat="1" spans="1:6">
      <c r="A311" s="3"/>
      <c r="B311" s="3">
        <v>310</v>
      </c>
      <c r="C311" s="2" t="s">
        <v>2648</v>
      </c>
      <c r="D311" s="3" t="s">
        <v>2649</v>
      </c>
      <c r="E311" s="3">
        <v>5</v>
      </c>
      <c r="F311" s="3" t="s">
        <v>2001</v>
      </c>
    </row>
    <row r="312" s="2" customFormat="1" spans="1:6">
      <c r="A312" s="3"/>
      <c r="B312" s="3">
        <v>311</v>
      </c>
      <c r="C312" s="2" t="s">
        <v>2650</v>
      </c>
      <c r="D312" s="3" t="s">
        <v>2651</v>
      </c>
      <c r="E312" s="3">
        <v>8</v>
      </c>
      <c r="F312" s="3" t="s">
        <v>2001</v>
      </c>
    </row>
    <row r="313" s="2" customFormat="1" spans="1:6">
      <c r="A313" s="3"/>
      <c r="B313" s="3">
        <v>312</v>
      </c>
      <c r="C313" s="2" t="s">
        <v>2652</v>
      </c>
      <c r="D313" s="3" t="s">
        <v>2653</v>
      </c>
      <c r="E313" s="3">
        <v>8</v>
      </c>
      <c r="F313" s="3" t="s">
        <v>2001</v>
      </c>
    </row>
    <row r="314" s="2" customFormat="1" spans="1:6">
      <c r="A314" s="3"/>
      <c r="B314" s="3">
        <v>313</v>
      </c>
      <c r="C314" s="2" t="s">
        <v>2654</v>
      </c>
      <c r="D314" s="3" t="s">
        <v>2655</v>
      </c>
      <c r="E314" s="3">
        <v>3</v>
      </c>
      <c r="F314" s="3" t="s">
        <v>2001</v>
      </c>
    </row>
    <row r="315" s="2" customFormat="1" spans="1:6">
      <c r="A315" s="3"/>
      <c r="B315" s="3">
        <v>314</v>
      </c>
      <c r="C315" s="2" t="s">
        <v>3492</v>
      </c>
      <c r="D315" s="3" t="s">
        <v>3493</v>
      </c>
      <c r="E315" s="3">
        <v>20</v>
      </c>
      <c r="F315" s="3" t="s">
        <v>2001</v>
      </c>
    </row>
    <row r="316" s="2" customFormat="1" spans="1:6">
      <c r="A316" s="3"/>
      <c r="B316" s="3">
        <v>315</v>
      </c>
      <c r="C316" s="2" t="s">
        <v>2656</v>
      </c>
      <c r="D316" s="3" t="s">
        <v>2657</v>
      </c>
      <c r="E316" s="3">
        <v>6</v>
      </c>
      <c r="F316" s="3" t="s">
        <v>2001</v>
      </c>
    </row>
    <row r="317" s="2" customFormat="1" spans="1:6">
      <c r="A317" s="3"/>
      <c r="B317" s="3">
        <v>316</v>
      </c>
      <c r="C317" s="2" t="s">
        <v>2658</v>
      </c>
      <c r="D317" s="3" t="s">
        <v>2659</v>
      </c>
      <c r="E317" s="3">
        <v>2</v>
      </c>
      <c r="F317" s="3" t="s">
        <v>2001</v>
      </c>
    </row>
    <row r="318" s="2" customFormat="1" spans="1:6">
      <c r="A318" s="3"/>
      <c r="B318" s="3">
        <v>317</v>
      </c>
      <c r="C318" s="2" t="s">
        <v>2668</v>
      </c>
      <c r="D318" s="3" t="s">
        <v>2669</v>
      </c>
      <c r="E318" s="3">
        <v>10</v>
      </c>
      <c r="F318" s="3" t="s">
        <v>2001</v>
      </c>
    </row>
    <row r="319" s="2" customFormat="1" spans="1:6">
      <c r="A319" s="3"/>
      <c r="B319" s="3">
        <v>318</v>
      </c>
      <c r="C319" s="2" t="s">
        <v>3494</v>
      </c>
      <c r="D319" s="3" t="s">
        <v>3495</v>
      </c>
      <c r="E319" s="3">
        <v>2</v>
      </c>
      <c r="F319" s="3" t="s">
        <v>2001</v>
      </c>
    </row>
    <row r="320" s="2" customFormat="1" spans="1:6">
      <c r="A320" s="3"/>
      <c r="B320" s="3">
        <v>319</v>
      </c>
      <c r="C320" s="2" t="s">
        <v>3981</v>
      </c>
      <c r="D320" s="3" t="s">
        <v>3982</v>
      </c>
      <c r="E320" s="3">
        <v>5</v>
      </c>
      <c r="F320" s="3" t="s">
        <v>2001</v>
      </c>
    </row>
    <row r="321" s="2" customFormat="1" spans="1:6">
      <c r="A321" s="3"/>
      <c r="B321" s="3">
        <v>320</v>
      </c>
      <c r="C321" s="2" t="s">
        <v>2676</v>
      </c>
      <c r="D321" s="3" t="s">
        <v>2677</v>
      </c>
      <c r="E321" s="3">
        <v>10</v>
      </c>
      <c r="F321" s="3" t="s">
        <v>2001</v>
      </c>
    </row>
    <row r="322" s="2" customFormat="1" spans="1:6">
      <c r="A322" s="3"/>
      <c r="B322" s="3">
        <v>321</v>
      </c>
      <c r="C322" s="2" t="s">
        <v>2678</v>
      </c>
      <c r="D322" s="3" t="s">
        <v>2679</v>
      </c>
      <c r="E322" s="3">
        <v>7</v>
      </c>
      <c r="F322" s="3" t="s">
        <v>2001</v>
      </c>
    </row>
    <row r="323" s="2" customFormat="1" spans="1:6">
      <c r="A323" s="3"/>
      <c r="B323" s="3">
        <v>322</v>
      </c>
      <c r="C323" s="2" t="s">
        <v>2680</v>
      </c>
      <c r="D323" s="3" t="s">
        <v>2681</v>
      </c>
      <c r="E323" s="3">
        <v>6</v>
      </c>
      <c r="F323" s="3" t="s">
        <v>2001</v>
      </c>
    </row>
    <row r="324" s="2" customFormat="1" spans="1:6">
      <c r="A324" s="3"/>
      <c r="B324" s="3">
        <v>323</v>
      </c>
      <c r="C324" s="2" t="s">
        <v>2682</v>
      </c>
      <c r="D324" s="3" t="s">
        <v>2683</v>
      </c>
      <c r="E324" s="3">
        <v>3</v>
      </c>
      <c r="F324" s="3" t="s">
        <v>2001</v>
      </c>
    </row>
    <row r="325" s="2" customFormat="1" spans="1:6">
      <c r="A325" s="3"/>
      <c r="B325" s="3">
        <v>324</v>
      </c>
      <c r="C325" s="2" t="s">
        <v>2684</v>
      </c>
      <c r="D325" s="3" t="s">
        <v>2685</v>
      </c>
      <c r="E325" s="3">
        <v>1</v>
      </c>
      <c r="F325" s="3" t="s">
        <v>2001</v>
      </c>
    </row>
    <row r="326" s="2" customFormat="1" spans="1:6">
      <c r="A326" s="3"/>
      <c r="B326" s="3">
        <v>325</v>
      </c>
      <c r="C326" s="2" t="s">
        <v>2688</v>
      </c>
      <c r="D326" s="3" t="s">
        <v>2689</v>
      </c>
      <c r="E326" s="3">
        <v>62</v>
      </c>
      <c r="F326" s="3" t="s">
        <v>2001</v>
      </c>
    </row>
    <row r="327" s="2" customFormat="1" spans="1:6">
      <c r="A327" s="3"/>
      <c r="B327" s="3">
        <v>326</v>
      </c>
      <c r="C327" s="2" t="s">
        <v>2690</v>
      </c>
      <c r="D327" s="3" t="s">
        <v>2691</v>
      </c>
      <c r="E327" s="3">
        <v>41</v>
      </c>
      <c r="F327" s="3" t="s">
        <v>2001</v>
      </c>
    </row>
    <row r="328" s="2" customFormat="1" spans="1:6">
      <c r="A328" s="3"/>
      <c r="B328" s="3">
        <v>327</v>
      </c>
      <c r="C328" s="2" t="s">
        <v>2692</v>
      </c>
      <c r="D328" s="3" t="s">
        <v>2693</v>
      </c>
      <c r="E328" s="3">
        <v>10</v>
      </c>
      <c r="F328" s="3" t="s">
        <v>2001</v>
      </c>
    </row>
    <row r="329" s="2" customFormat="1" spans="1:6">
      <c r="A329" s="3"/>
      <c r="B329" s="3">
        <v>328</v>
      </c>
      <c r="C329" s="2" t="s">
        <v>2694</v>
      </c>
      <c r="D329" s="3" t="s">
        <v>2695</v>
      </c>
      <c r="E329" s="3">
        <v>10</v>
      </c>
      <c r="F329" s="3" t="s">
        <v>2001</v>
      </c>
    </row>
    <row r="330" s="2" customFormat="1" spans="1:6">
      <c r="A330" s="3"/>
      <c r="B330" s="3">
        <v>329</v>
      </c>
      <c r="C330" s="2" t="s">
        <v>2696</v>
      </c>
      <c r="D330" s="3" t="s">
        <v>2697</v>
      </c>
      <c r="E330" s="3">
        <v>90</v>
      </c>
      <c r="F330" s="3" t="s">
        <v>2001</v>
      </c>
    </row>
    <row r="331" s="2" customFormat="1" spans="1:6">
      <c r="A331" s="3"/>
      <c r="B331" s="3">
        <v>330</v>
      </c>
      <c r="C331" s="2" t="s">
        <v>2698</v>
      </c>
      <c r="D331" s="3" t="s">
        <v>2699</v>
      </c>
      <c r="E331" s="3">
        <v>11</v>
      </c>
      <c r="F331" s="3" t="s">
        <v>2001</v>
      </c>
    </row>
    <row r="332" s="2" customFormat="1" spans="1:6">
      <c r="A332" s="3"/>
      <c r="B332" s="3">
        <v>331</v>
      </c>
      <c r="C332" s="2" t="s">
        <v>2700</v>
      </c>
      <c r="D332" s="3" t="s">
        <v>2701</v>
      </c>
      <c r="E332" s="3">
        <v>17</v>
      </c>
      <c r="F332" s="3" t="s">
        <v>2001</v>
      </c>
    </row>
    <row r="333" s="2" customFormat="1" spans="1:6">
      <c r="A333" s="3"/>
      <c r="B333" s="3">
        <v>332</v>
      </c>
      <c r="C333" s="2" t="s">
        <v>2702</v>
      </c>
      <c r="D333" s="3" t="s">
        <v>2703</v>
      </c>
      <c r="E333" s="3">
        <v>2</v>
      </c>
      <c r="F333" s="3" t="s">
        <v>2001</v>
      </c>
    </row>
    <row r="334" s="2" customFormat="1" spans="1:6">
      <c r="A334" s="3"/>
      <c r="B334" s="3">
        <v>333</v>
      </c>
      <c r="C334" s="2" t="s">
        <v>2704</v>
      </c>
      <c r="D334" s="3" t="s">
        <v>2705</v>
      </c>
      <c r="E334" s="3">
        <v>18</v>
      </c>
      <c r="F334" s="3" t="s">
        <v>2001</v>
      </c>
    </row>
    <row r="335" s="2" customFormat="1" spans="1:6">
      <c r="A335" s="3"/>
      <c r="B335" s="3">
        <v>334</v>
      </c>
      <c r="C335" s="2" t="s">
        <v>2706</v>
      </c>
      <c r="D335" s="3" t="s">
        <v>2707</v>
      </c>
      <c r="E335" s="3">
        <v>64</v>
      </c>
      <c r="F335" s="3" t="s">
        <v>2001</v>
      </c>
    </row>
    <row r="336" s="2" customFormat="1" spans="1:6">
      <c r="A336" s="3"/>
      <c r="B336" s="3">
        <v>335</v>
      </c>
      <c r="C336" s="2" t="s">
        <v>2708</v>
      </c>
      <c r="D336" s="3" t="s">
        <v>2709</v>
      </c>
      <c r="E336" s="3">
        <v>15</v>
      </c>
      <c r="F336" s="3" t="s">
        <v>2001</v>
      </c>
    </row>
    <row r="337" s="2" customFormat="1" spans="1:6">
      <c r="A337" s="3"/>
      <c r="B337" s="3">
        <v>336</v>
      </c>
      <c r="C337" s="2" t="s">
        <v>2710</v>
      </c>
      <c r="D337" s="3" t="s">
        <v>2711</v>
      </c>
      <c r="E337" s="3">
        <v>53</v>
      </c>
      <c r="F337" s="3" t="s">
        <v>2001</v>
      </c>
    </row>
    <row r="338" s="2" customFormat="1" spans="1:6">
      <c r="A338" s="3"/>
      <c r="B338" s="3">
        <v>337</v>
      </c>
      <c r="C338" s="2" t="s">
        <v>2712</v>
      </c>
      <c r="D338" s="3" t="s">
        <v>2713</v>
      </c>
      <c r="E338" s="3">
        <v>18</v>
      </c>
      <c r="F338" s="3" t="s">
        <v>2001</v>
      </c>
    </row>
    <row r="339" s="2" customFormat="1" spans="1:6">
      <c r="A339" s="3"/>
      <c r="B339" s="3">
        <v>338</v>
      </c>
      <c r="C339" s="2" t="s">
        <v>2714</v>
      </c>
      <c r="D339" s="3" t="s">
        <v>2715</v>
      </c>
      <c r="E339" s="3">
        <v>29</v>
      </c>
      <c r="F339" s="3" t="s">
        <v>2001</v>
      </c>
    </row>
    <row r="340" s="2" customFormat="1" spans="1:6">
      <c r="A340" s="3"/>
      <c r="B340" s="3">
        <v>339</v>
      </c>
      <c r="C340" s="2" t="s">
        <v>2716</v>
      </c>
      <c r="D340" s="3" t="s">
        <v>2717</v>
      </c>
      <c r="E340" s="3">
        <v>2</v>
      </c>
      <c r="F340" s="3" t="s">
        <v>2001</v>
      </c>
    </row>
    <row r="341" s="2" customFormat="1" spans="1:6">
      <c r="A341" s="3"/>
      <c r="B341" s="3">
        <v>340</v>
      </c>
      <c r="C341" s="2" t="s">
        <v>2718</v>
      </c>
      <c r="D341" s="3" t="s">
        <v>2719</v>
      </c>
      <c r="E341" s="3">
        <v>22</v>
      </c>
      <c r="F341" s="3" t="s">
        <v>2001</v>
      </c>
    </row>
    <row r="342" s="2" customFormat="1" spans="1:6">
      <c r="A342" s="3"/>
      <c r="B342" s="3">
        <v>341</v>
      </c>
      <c r="C342" s="2" t="s">
        <v>2720</v>
      </c>
      <c r="D342" s="3" t="s">
        <v>2721</v>
      </c>
      <c r="E342" s="3">
        <v>55</v>
      </c>
      <c r="F342" s="3" t="s">
        <v>2001</v>
      </c>
    </row>
    <row r="343" s="2" customFormat="1" spans="1:6">
      <c r="A343" s="3"/>
      <c r="B343" s="3">
        <v>342</v>
      </c>
      <c r="C343" s="2" t="s">
        <v>2722</v>
      </c>
      <c r="D343" s="3" t="s">
        <v>2723</v>
      </c>
      <c r="E343" s="3">
        <v>3</v>
      </c>
      <c r="F343" s="3" t="s">
        <v>2001</v>
      </c>
    </row>
    <row r="344" s="2" customFormat="1" spans="1:6">
      <c r="A344" s="3"/>
      <c r="B344" s="3">
        <v>343</v>
      </c>
      <c r="C344" s="2" t="s">
        <v>2724</v>
      </c>
      <c r="D344" s="3" t="s">
        <v>2725</v>
      </c>
      <c r="E344" s="3">
        <v>8</v>
      </c>
      <c r="F344" s="3" t="s">
        <v>2001</v>
      </c>
    </row>
    <row r="345" s="2" customFormat="1" spans="1:6">
      <c r="A345" s="3"/>
      <c r="B345" s="3">
        <v>344</v>
      </c>
      <c r="C345" s="2" t="s">
        <v>3500</v>
      </c>
      <c r="D345" s="3" t="s">
        <v>3501</v>
      </c>
      <c r="E345" s="3">
        <v>4</v>
      </c>
      <c r="F345" s="3" t="s">
        <v>2001</v>
      </c>
    </row>
    <row r="346" s="2" customFormat="1" spans="1:6">
      <c r="A346" s="3"/>
      <c r="B346" s="3">
        <v>345</v>
      </c>
      <c r="C346" s="2" t="s">
        <v>2726</v>
      </c>
      <c r="D346" s="3" t="s">
        <v>2727</v>
      </c>
      <c r="E346" s="3">
        <v>32</v>
      </c>
      <c r="F346" s="3" t="s">
        <v>2001</v>
      </c>
    </row>
    <row r="347" s="2" customFormat="1" spans="1:6">
      <c r="A347" s="3"/>
      <c r="B347" s="3">
        <v>346</v>
      </c>
      <c r="C347" s="2" t="s">
        <v>2728</v>
      </c>
      <c r="D347" s="3" t="s">
        <v>2729</v>
      </c>
      <c r="E347" s="3">
        <v>23</v>
      </c>
      <c r="F347" s="3" t="s">
        <v>2001</v>
      </c>
    </row>
    <row r="348" s="2" customFormat="1" spans="1:6">
      <c r="A348" s="3"/>
      <c r="B348" s="3">
        <v>347</v>
      </c>
      <c r="C348" s="2" t="s">
        <v>3502</v>
      </c>
      <c r="D348" s="3" t="s">
        <v>3503</v>
      </c>
      <c r="E348" s="3">
        <v>20</v>
      </c>
      <c r="F348" s="3" t="s">
        <v>2001</v>
      </c>
    </row>
    <row r="349" s="2" customFormat="1" spans="1:6">
      <c r="A349" s="3"/>
      <c r="B349" s="3">
        <v>348</v>
      </c>
      <c r="C349" s="2" t="s">
        <v>2736</v>
      </c>
      <c r="D349" s="3" t="s">
        <v>2737</v>
      </c>
      <c r="E349" s="3">
        <v>15</v>
      </c>
      <c r="F349" s="3" t="s">
        <v>2001</v>
      </c>
    </row>
    <row r="350" s="2" customFormat="1" spans="1:6">
      <c r="A350" s="3"/>
      <c r="B350" s="3">
        <v>349</v>
      </c>
      <c r="C350" s="2" t="s">
        <v>2738</v>
      </c>
      <c r="D350" s="3" t="s">
        <v>2739</v>
      </c>
      <c r="E350" s="3">
        <v>5</v>
      </c>
      <c r="F350" s="3" t="s">
        <v>2001</v>
      </c>
    </row>
    <row r="351" s="2" customFormat="1" spans="1:6">
      <c r="A351" s="3"/>
      <c r="B351" s="3">
        <v>350</v>
      </c>
      <c r="C351" s="2" t="s">
        <v>3504</v>
      </c>
      <c r="D351" s="3" t="s">
        <v>3505</v>
      </c>
      <c r="E351" s="3">
        <v>15</v>
      </c>
      <c r="F351" s="3" t="s">
        <v>2001</v>
      </c>
    </row>
    <row r="352" s="2" customFormat="1" spans="1:6">
      <c r="A352" s="3"/>
      <c r="B352" s="3">
        <v>351</v>
      </c>
      <c r="C352" s="2" t="s">
        <v>2742</v>
      </c>
      <c r="D352" s="3" t="s">
        <v>2743</v>
      </c>
      <c r="E352" s="3">
        <v>12</v>
      </c>
      <c r="F352" s="3" t="s">
        <v>2001</v>
      </c>
    </row>
    <row r="353" s="2" customFormat="1" spans="1:6">
      <c r="A353" s="3"/>
      <c r="B353" s="3">
        <v>352</v>
      </c>
      <c r="C353" s="2" t="s">
        <v>3506</v>
      </c>
      <c r="D353" s="3" t="s">
        <v>3507</v>
      </c>
      <c r="E353" s="3">
        <v>52</v>
      </c>
      <c r="F353" s="3" t="s">
        <v>2001</v>
      </c>
    </row>
    <row r="354" s="2" customFormat="1" spans="1:6">
      <c r="A354" s="3"/>
      <c r="B354" s="3">
        <v>353</v>
      </c>
      <c r="C354" s="2" t="s">
        <v>3983</v>
      </c>
      <c r="D354" s="3" t="s">
        <v>3984</v>
      </c>
      <c r="E354" s="3">
        <v>20</v>
      </c>
      <c r="F354" s="3" t="s">
        <v>2001</v>
      </c>
    </row>
    <row r="355" s="2" customFormat="1" spans="1:6">
      <c r="A355" s="3"/>
      <c r="B355" s="3">
        <v>354</v>
      </c>
      <c r="C355" s="2" t="s">
        <v>2744</v>
      </c>
      <c r="D355" s="3" t="s">
        <v>2745</v>
      </c>
      <c r="E355" s="3">
        <v>16</v>
      </c>
      <c r="F355" s="3" t="s">
        <v>2001</v>
      </c>
    </row>
    <row r="356" s="2" customFormat="1" spans="1:6">
      <c r="A356" s="3"/>
      <c r="B356" s="3">
        <v>355</v>
      </c>
      <c r="C356" s="2" t="s">
        <v>2746</v>
      </c>
      <c r="D356" s="3" t="s">
        <v>2747</v>
      </c>
      <c r="E356" s="3">
        <v>12</v>
      </c>
      <c r="F356" s="3" t="s">
        <v>2001</v>
      </c>
    </row>
    <row r="357" s="2" customFormat="1" spans="1:6">
      <c r="A357" s="3"/>
      <c r="B357" s="3">
        <v>356</v>
      </c>
      <c r="C357" s="2" t="s">
        <v>2754</v>
      </c>
      <c r="D357" s="3" t="s">
        <v>2755</v>
      </c>
      <c r="E357" s="3">
        <v>28</v>
      </c>
      <c r="F357" s="3" t="s">
        <v>2001</v>
      </c>
    </row>
    <row r="358" s="2" customFormat="1" spans="1:6">
      <c r="A358" s="3"/>
      <c r="B358" s="3">
        <v>357</v>
      </c>
      <c r="C358" s="2" t="s">
        <v>3510</v>
      </c>
      <c r="D358" s="3" t="s">
        <v>3511</v>
      </c>
      <c r="E358" s="3">
        <v>4</v>
      </c>
      <c r="F358" s="3" t="s">
        <v>2001</v>
      </c>
    </row>
    <row r="359" s="2" customFormat="1" spans="1:6">
      <c r="A359" s="3"/>
      <c r="B359" s="3">
        <v>358</v>
      </c>
      <c r="C359" s="2" t="s">
        <v>3985</v>
      </c>
      <c r="D359" s="3" t="s">
        <v>3986</v>
      </c>
      <c r="E359" s="3">
        <v>20</v>
      </c>
      <c r="F359" s="3" t="s">
        <v>2001</v>
      </c>
    </row>
    <row r="360" s="2" customFormat="1" spans="1:6">
      <c r="A360" s="3"/>
      <c r="B360" s="3">
        <v>359</v>
      </c>
      <c r="C360" s="2" t="s">
        <v>2758</v>
      </c>
      <c r="D360" s="3" t="s">
        <v>2759</v>
      </c>
      <c r="E360" s="3">
        <v>56</v>
      </c>
      <c r="F360" s="3" t="s">
        <v>2001</v>
      </c>
    </row>
    <row r="361" s="2" customFormat="1" spans="1:6">
      <c r="A361" s="3"/>
      <c r="B361" s="3">
        <v>360</v>
      </c>
      <c r="C361" s="2" t="s">
        <v>2760</v>
      </c>
      <c r="D361" s="3" t="s">
        <v>2761</v>
      </c>
      <c r="E361" s="3">
        <v>20</v>
      </c>
      <c r="F361" s="3" t="s">
        <v>2001</v>
      </c>
    </row>
    <row r="362" s="2" customFormat="1" spans="1:6">
      <c r="A362" s="3"/>
      <c r="B362" s="3">
        <v>361</v>
      </c>
      <c r="C362" s="2" t="s">
        <v>2764</v>
      </c>
      <c r="D362" s="3" t="s">
        <v>2765</v>
      </c>
      <c r="E362" s="3">
        <v>12</v>
      </c>
      <c r="F362" s="3" t="s">
        <v>2016</v>
      </c>
    </row>
    <row r="363" s="2" customFormat="1" spans="1:6">
      <c r="A363" s="3"/>
      <c r="B363" s="3">
        <v>362</v>
      </c>
      <c r="C363" s="2" t="s">
        <v>2782</v>
      </c>
      <c r="D363" s="3" t="s">
        <v>2783</v>
      </c>
      <c r="E363" s="3">
        <v>25</v>
      </c>
      <c r="F363" s="3" t="s">
        <v>2001</v>
      </c>
    </row>
    <row r="364" s="2" customFormat="1" spans="1:6">
      <c r="A364" s="3"/>
      <c r="B364" s="3">
        <v>363</v>
      </c>
      <c r="C364" s="2" t="s">
        <v>2784</v>
      </c>
      <c r="D364" s="3" t="s">
        <v>2785</v>
      </c>
      <c r="E364" s="3">
        <v>25</v>
      </c>
      <c r="F364" s="3" t="s">
        <v>2001</v>
      </c>
    </row>
    <row r="365" s="2" customFormat="1" spans="1:6">
      <c r="A365" s="3"/>
      <c r="B365" s="3">
        <v>364</v>
      </c>
      <c r="C365" s="2" t="s">
        <v>3512</v>
      </c>
      <c r="D365" s="3" t="s">
        <v>3513</v>
      </c>
      <c r="E365" s="3">
        <v>2</v>
      </c>
      <c r="F365" s="3" t="s">
        <v>2001</v>
      </c>
    </row>
    <row r="366" s="2" customFormat="1" spans="1:6">
      <c r="A366" s="3"/>
      <c r="B366" s="3">
        <v>365</v>
      </c>
      <c r="C366" s="2" t="s">
        <v>2793</v>
      </c>
      <c r="D366" s="3" t="s">
        <v>2794</v>
      </c>
      <c r="E366" s="3">
        <v>4</v>
      </c>
      <c r="F366" s="3" t="s">
        <v>2001</v>
      </c>
    </row>
    <row r="367" s="2" customFormat="1" spans="1:6">
      <c r="A367" s="3"/>
      <c r="B367" s="3">
        <v>366</v>
      </c>
      <c r="C367" s="2" t="s">
        <v>3514</v>
      </c>
      <c r="D367" s="3" t="s">
        <v>3515</v>
      </c>
      <c r="E367" s="3">
        <v>2</v>
      </c>
      <c r="F367" s="3" t="s">
        <v>2001</v>
      </c>
    </row>
    <row r="368" s="2" customFormat="1" spans="1:6">
      <c r="A368" s="3"/>
      <c r="B368" s="3">
        <v>367</v>
      </c>
      <c r="C368" s="2" t="s">
        <v>3516</v>
      </c>
      <c r="D368" s="3" t="s">
        <v>3517</v>
      </c>
      <c r="E368" s="3">
        <v>2</v>
      </c>
      <c r="F368" s="3" t="s">
        <v>2001</v>
      </c>
    </row>
    <row r="369" s="2" customFormat="1" spans="1:6">
      <c r="A369" s="3"/>
      <c r="B369" s="3">
        <v>368</v>
      </c>
      <c r="C369" s="2" t="s">
        <v>3987</v>
      </c>
      <c r="D369" s="3" t="s">
        <v>3988</v>
      </c>
      <c r="E369" s="3">
        <v>2</v>
      </c>
      <c r="F369" s="3" t="s">
        <v>2001</v>
      </c>
    </row>
    <row r="370" s="2" customFormat="1" spans="1:6">
      <c r="A370" s="3"/>
      <c r="B370" s="3">
        <v>369</v>
      </c>
      <c r="C370" s="2" t="s">
        <v>3989</v>
      </c>
      <c r="D370" s="3" t="s">
        <v>3990</v>
      </c>
      <c r="E370" s="3">
        <v>2</v>
      </c>
      <c r="F370" s="3" t="s">
        <v>2001</v>
      </c>
    </row>
    <row r="371" s="2" customFormat="1" spans="1:6">
      <c r="A371" s="3"/>
      <c r="B371" s="3">
        <v>370</v>
      </c>
      <c r="C371" s="2" t="s">
        <v>2795</v>
      </c>
      <c r="D371" s="3" t="s">
        <v>2796</v>
      </c>
      <c r="E371" s="3">
        <v>2</v>
      </c>
      <c r="F371" s="3" t="s">
        <v>2001</v>
      </c>
    </row>
    <row r="372" s="2" customFormat="1" spans="1:6">
      <c r="A372" s="3"/>
      <c r="B372" s="3">
        <v>371</v>
      </c>
      <c r="C372" s="2" t="s">
        <v>3518</v>
      </c>
      <c r="D372" s="3" t="s">
        <v>3519</v>
      </c>
      <c r="E372" s="3">
        <v>8</v>
      </c>
      <c r="F372" s="3" t="s">
        <v>2001</v>
      </c>
    </row>
    <row r="373" s="2" customFormat="1" spans="1:6">
      <c r="A373" s="3"/>
      <c r="B373" s="3">
        <v>372</v>
      </c>
      <c r="C373" s="2" t="s">
        <v>2797</v>
      </c>
      <c r="D373" s="3" t="s">
        <v>2798</v>
      </c>
      <c r="E373" s="3">
        <v>2</v>
      </c>
      <c r="F373" s="3" t="s">
        <v>2001</v>
      </c>
    </row>
    <row r="374" s="2" customFormat="1" spans="1:6">
      <c r="A374" s="3"/>
      <c r="B374" s="3">
        <v>373</v>
      </c>
      <c r="C374" s="2" t="s">
        <v>2799</v>
      </c>
      <c r="D374" s="3" t="s">
        <v>2800</v>
      </c>
      <c r="E374" s="3">
        <v>2</v>
      </c>
      <c r="F374" s="3" t="s">
        <v>2001</v>
      </c>
    </row>
    <row r="375" s="2" customFormat="1" spans="1:6">
      <c r="A375" s="3"/>
      <c r="B375" s="3">
        <v>374</v>
      </c>
      <c r="C375" s="2" t="s">
        <v>2801</v>
      </c>
      <c r="D375" s="3" t="s">
        <v>2802</v>
      </c>
      <c r="E375" s="3">
        <v>4</v>
      </c>
      <c r="F375" s="3" t="s">
        <v>2001</v>
      </c>
    </row>
    <row r="376" s="2" customFormat="1" spans="1:6">
      <c r="A376" s="3"/>
      <c r="B376" s="3">
        <v>375</v>
      </c>
      <c r="C376" s="2" t="s">
        <v>3520</v>
      </c>
      <c r="D376" s="3" t="s">
        <v>3521</v>
      </c>
      <c r="E376" s="3">
        <v>2</v>
      </c>
      <c r="F376" s="3" t="s">
        <v>2001</v>
      </c>
    </row>
    <row r="377" s="2" customFormat="1" spans="1:6">
      <c r="A377" s="3"/>
      <c r="B377" s="3">
        <v>376</v>
      </c>
      <c r="C377" s="2" t="s">
        <v>2803</v>
      </c>
      <c r="D377" s="3" t="s">
        <v>2804</v>
      </c>
      <c r="E377" s="3">
        <v>2</v>
      </c>
      <c r="F377" s="3" t="s">
        <v>2001</v>
      </c>
    </row>
    <row r="378" s="2" customFormat="1" spans="1:6">
      <c r="A378" s="3"/>
      <c r="B378" s="3">
        <v>377</v>
      </c>
      <c r="C378" s="2" t="s">
        <v>2805</v>
      </c>
      <c r="D378" s="3" t="s">
        <v>2806</v>
      </c>
      <c r="E378" s="3">
        <v>2</v>
      </c>
      <c r="F378" s="3" t="s">
        <v>2001</v>
      </c>
    </row>
    <row r="379" s="2" customFormat="1" spans="1:6">
      <c r="A379" s="3"/>
      <c r="B379" s="3">
        <v>378</v>
      </c>
      <c r="C379" s="2" t="s">
        <v>2807</v>
      </c>
      <c r="D379" s="3" t="s">
        <v>2808</v>
      </c>
      <c r="E379" s="3">
        <v>2</v>
      </c>
      <c r="F379" s="3" t="s">
        <v>2001</v>
      </c>
    </row>
    <row r="380" s="2" customFormat="1" spans="1:6">
      <c r="A380" s="3"/>
      <c r="B380" s="3">
        <v>379</v>
      </c>
      <c r="C380" s="2" t="s">
        <v>2809</v>
      </c>
      <c r="D380" s="3" t="s">
        <v>2810</v>
      </c>
      <c r="E380" s="3">
        <v>2</v>
      </c>
      <c r="F380" s="3" t="s">
        <v>2001</v>
      </c>
    </row>
    <row r="381" s="2" customFormat="1" spans="1:6">
      <c r="A381" s="3"/>
      <c r="B381" s="3">
        <v>380</v>
      </c>
      <c r="C381" s="2" t="s">
        <v>3522</v>
      </c>
      <c r="D381" s="3" t="s">
        <v>3523</v>
      </c>
      <c r="E381" s="3">
        <v>3</v>
      </c>
      <c r="F381" s="3" t="s">
        <v>2001</v>
      </c>
    </row>
    <row r="382" s="2" customFormat="1" spans="1:6">
      <c r="A382" s="3"/>
      <c r="B382" s="3">
        <v>381</v>
      </c>
      <c r="C382" s="2" t="s">
        <v>3524</v>
      </c>
      <c r="D382" s="3" t="s">
        <v>3525</v>
      </c>
      <c r="E382" s="3">
        <v>3</v>
      </c>
      <c r="F382" s="3" t="s">
        <v>2001</v>
      </c>
    </row>
    <row r="383" s="2" customFormat="1" spans="1:6">
      <c r="A383" s="3"/>
      <c r="B383" s="3">
        <v>382</v>
      </c>
      <c r="C383" s="2" t="s">
        <v>3526</v>
      </c>
      <c r="D383" s="3" t="s">
        <v>3527</v>
      </c>
      <c r="E383" s="3">
        <v>4</v>
      </c>
      <c r="F383" s="3" t="s">
        <v>2001</v>
      </c>
    </row>
    <row r="384" s="2" customFormat="1" spans="1:6">
      <c r="A384" s="3"/>
      <c r="B384" s="3">
        <v>383</v>
      </c>
      <c r="C384" s="2" t="s">
        <v>3528</v>
      </c>
      <c r="D384" s="3" t="s">
        <v>3529</v>
      </c>
      <c r="E384" s="3">
        <v>2</v>
      </c>
      <c r="F384" s="3" t="s">
        <v>2001</v>
      </c>
    </row>
    <row r="385" s="2" customFormat="1" spans="1:6">
      <c r="A385" s="3"/>
      <c r="B385" s="3">
        <v>384</v>
      </c>
      <c r="C385" s="2" t="s">
        <v>3991</v>
      </c>
      <c r="D385" s="3" t="s">
        <v>3992</v>
      </c>
      <c r="E385" s="3">
        <v>4</v>
      </c>
      <c r="F385" s="3" t="s">
        <v>2001</v>
      </c>
    </row>
    <row r="386" s="2" customFormat="1" spans="1:6">
      <c r="A386" s="3"/>
      <c r="B386" s="3">
        <v>385</v>
      </c>
      <c r="C386" s="2" t="s">
        <v>2815</v>
      </c>
      <c r="D386" s="3" t="s">
        <v>2816</v>
      </c>
      <c r="E386" s="3">
        <v>2</v>
      </c>
      <c r="F386" s="3" t="s">
        <v>2001</v>
      </c>
    </row>
    <row r="387" s="2" customFormat="1" spans="1:6">
      <c r="A387" s="3"/>
      <c r="B387" s="3">
        <v>386</v>
      </c>
      <c r="C387" s="2" t="s">
        <v>2817</v>
      </c>
      <c r="D387" s="3" t="s">
        <v>2818</v>
      </c>
      <c r="E387" s="3">
        <v>2</v>
      </c>
      <c r="F387" s="3" t="s">
        <v>2001</v>
      </c>
    </row>
    <row r="388" s="2" customFormat="1" spans="1:6">
      <c r="A388" s="3"/>
      <c r="B388" s="3">
        <v>387</v>
      </c>
      <c r="C388" s="2" t="s">
        <v>3993</v>
      </c>
      <c r="D388" s="3" t="s">
        <v>3994</v>
      </c>
      <c r="E388" s="3">
        <v>8</v>
      </c>
      <c r="F388" s="3" t="s">
        <v>2001</v>
      </c>
    </row>
    <row r="389" s="2" customFormat="1" spans="1:6">
      <c r="A389" s="3"/>
      <c r="B389" s="3">
        <v>388</v>
      </c>
      <c r="C389" s="2" t="s">
        <v>2819</v>
      </c>
      <c r="D389" s="3" t="s">
        <v>2820</v>
      </c>
      <c r="E389" s="3">
        <v>12</v>
      </c>
      <c r="F389" s="3" t="s">
        <v>2001</v>
      </c>
    </row>
    <row r="390" s="2" customFormat="1" spans="1:6">
      <c r="A390" s="3"/>
      <c r="B390" s="3">
        <v>389</v>
      </c>
      <c r="C390" s="2" t="s">
        <v>2821</v>
      </c>
      <c r="D390" s="3" t="s">
        <v>2822</v>
      </c>
      <c r="E390" s="3">
        <v>2</v>
      </c>
      <c r="F390" s="3" t="s">
        <v>2001</v>
      </c>
    </row>
    <row r="391" s="2" customFormat="1" spans="1:6">
      <c r="A391" s="3"/>
      <c r="B391" s="3">
        <v>390</v>
      </c>
      <c r="C391" s="2" t="s">
        <v>2823</v>
      </c>
      <c r="D391" s="3" t="s">
        <v>2824</v>
      </c>
      <c r="E391" s="3">
        <v>6</v>
      </c>
      <c r="F391" s="3" t="s">
        <v>2001</v>
      </c>
    </row>
    <row r="392" s="2" customFormat="1" spans="1:6">
      <c r="A392" s="3"/>
      <c r="B392" s="3">
        <v>391</v>
      </c>
      <c r="C392" s="2" t="s">
        <v>3532</v>
      </c>
      <c r="D392" s="3" t="s">
        <v>3533</v>
      </c>
      <c r="E392" s="3">
        <v>8</v>
      </c>
      <c r="F392" s="3" t="s">
        <v>2001</v>
      </c>
    </row>
    <row r="393" s="2" customFormat="1" spans="1:6">
      <c r="A393" s="3"/>
      <c r="B393" s="3">
        <v>392</v>
      </c>
      <c r="C393" s="2" t="s">
        <v>2825</v>
      </c>
      <c r="D393" s="3" t="s">
        <v>2826</v>
      </c>
      <c r="E393" s="3">
        <v>2</v>
      </c>
      <c r="F393" s="3" t="s">
        <v>2001</v>
      </c>
    </row>
    <row r="394" s="2" customFormat="1" spans="1:6">
      <c r="A394" s="3"/>
      <c r="B394" s="3">
        <v>393</v>
      </c>
      <c r="C394" s="2" t="s">
        <v>3536</v>
      </c>
      <c r="D394" s="3" t="s">
        <v>3537</v>
      </c>
      <c r="E394" s="3">
        <v>4</v>
      </c>
      <c r="F394" s="3" t="s">
        <v>2001</v>
      </c>
    </row>
    <row r="395" s="2" customFormat="1" spans="1:6">
      <c r="A395" s="3"/>
      <c r="B395" s="3">
        <v>394</v>
      </c>
      <c r="C395" s="2" t="s">
        <v>2827</v>
      </c>
      <c r="D395" s="3" t="s">
        <v>2828</v>
      </c>
      <c r="E395" s="3">
        <v>2</v>
      </c>
      <c r="F395" s="3" t="s">
        <v>2001</v>
      </c>
    </row>
    <row r="396" s="2" customFormat="1" spans="1:6">
      <c r="A396" s="3"/>
      <c r="B396" s="3">
        <v>395</v>
      </c>
      <c r="C396" s="2" t="s">
        <v>3995</v>
      </c>
      <c r="D396" s="3" t="s">
        <v>3996</v>
      </c>
      <c r="E396" s="3">
        <v>2</v>
      </c>
      <c r="F396" s="3" t="s">
        <v>2001</v>
      </c>
    </row>
    <row r="397" s="2" customFormat="1" spans="1:6">
      <c r="A397" s="3"/>
      <c r="B397" s="3">
        <v>396</v>
      </c>
      <c r="C397" s="2" t="s">
        <v>2829</v>
      </c>
      <c r="D397" s="3" t="s">
        <v>2830</v>
      </c>
      <c r="E397" s="3">
        <v>2</v>
      </c>
      <c r="F397" s="3" t="s">
        <v>2001</v>
      </c>
    </row>
    <row r="398" s="2" customFormat="1" spans="1:6">
      <c r="A398" s="3"/>
      <c r="B398" s="3">
        <v>397</v>
      </c>
      <c r="C398" s="2" t="s">
        <v>2835</v>
      </c>
      <c r="D398" s="3" t="s">
        <v>2836</v>
      </c>
      <c r="E398" s="3">
        <v>294</v>
      </c>
      <c r="F398" s="3" t="s">
        <v>2001</v>
      </c>
    </row>
    <row r="399" s="2" customFormat="1" spans="1:6">
      <c r="A399" s="3"/>
      <c r="B399" s="3">
        <v>398</v>
      </c>
      <c r="C399" s="2" t="s">
        <v>2837</v>
      </c>
      <c r="D399" s="3" t="s">
        <v>2838</v>
      </c>
      <c r="E399" s="3">
        <v>72</v>
      </c>
      <c r="F399" s="3" t="s">
        <v>2001</v>
      </c>
    </row>
    <row r="400" s="2" customFormat="1" spans="1:6">
      <c r="A400" s="3"/>
      <c r="B400" s="3">
        <v>399</v>
      </c>
      <c r="C400" s="2" t="s">
        <v>2841</v>
      </c>
      <c r="D400" s="3" t="s">
        <v>2842</v>
      </c>
      <c r="E400" s="3">
        <v>2</v>
      </c>
      <c r="F400" s="3" t="s">
        <v>2001</v>
      </c>
    </row>
    <row r="401" s="2" customFormat="1" spans="1:6">
      <c r="A401" s="3"/>
      <c r="B401" s="3">
        <v>400</v>
      </c>
      <c r="C401" s="2" t="s">
        <v>2843</v>
      </c>
      <c r="D401" s="3" t="s">
        <v>2844</v>
      </c>
      <c r="E401" s="3">
        <v>2</v>
      </c>
      <c r="F401" s="3" t="s">
        <v>2001</v>
      </c>
    </row>
    <row r="402" s="2" customFormat="1" spans="1:6">
      <c r="A402" s="3"/>
      <c r="B402" s="3">
        <v>401</v>
      </c>
      <c r="C402" s="2" t="s">
        <v>2845</v>
      </c>
      <c r="D402" s="3" t="s">
        <v>2846</v>
      </c>
      <c r="E402" s="3">
        <v>99</v>
      </c>
      <c r="F402" s="3" t="s">
        <v>2001</v>
      </c>
    </row>
    <row r="403" s="2" customFormat="1" spans="1:6">
      <c r="A403" s="3"/>
      <c r="B403" s="3">
        <v>402</v>
      </c>
      <c r="C403" s="2" t="s">
        <v>2847</v>
      </c>
      <c r="D403" s="3" t="s">
        <v>2848</v>
      </c>
      <c r="E403" s="3">
        <v>2</v>
      </c>
      <c r="F403" s="3" t="s">
        <v>2001</v>
      </c>
    </row>
    <row r="404" s="2" customFormat="1" spans="1:6">
      <c r="A404" s="3"/>
      <c r="B404" s="3">
        <v>403</v>
      </c>
      <c r="C404" s="2" t="s">
        <v>3997</v>
      </c>
      <c r="D404" s="3" t="s">
        <v>3998</v>
      </c>
      <c r="E404" s="3">
        <v>-7</v>
      </c>
      <c r="F404" s="3" t="s">
        <v>2001</v>
      </c>
    </row>
    <row r="405" s="2" customFormat="1" spans="1:6">
      <c r="A405" s="3"/>
      <c r="B405" s="3">
        <v>404</v>
      </c>
      <c r="C405" s="2" t="s">
        <v>3999</v>
      </c>
      <c r="D405" s="3" t="s">
        <v>4000</v>
      </c>
      <c r="E405" s="3">
        <v>4</v>
      </c>
      <c r="F405" s="3" t="s">
        <v>2016</v>
      </c>
    </row>
    <row r="406" s="2" customFormat="1" spans="1:6">
      <c r="A406" s="3"/>
      <c r="B406" s="3">
        <v>405</v>
      </c>
      <c r="C406" s="2" t="s">
        <v>2927</v>
      </c>
      <c r="D406" s="3" t="s">
        <v>2928</v>
      </c>
      <c r="E406" s="3">
        <v>1</v>
      </c>
      <c r="F406" s="3" t="s">
        <v>2001</v>
      </c>
    </row>
    <row r="407" s="2" customFormat="1" spans="1:6">
      <c r="A407" s="3"/>
      <c r="B407" s="3">
        <v>406</v>
      </c>
      <c r="C407" s="2" t="s">
        <v>2929</v>
      </c>
      <c r="D407" s="3" t="s">
        <v>2930</v>
      </c>
      <c r="E407" s="3">
        <v>1</v>
      </c>
      <c r="F407" s="3" t="s">
        <v>2001</v>
      </c>
    </row>
    <row r="408" s="2" customFormat="1" spans="1:6">
      <c r="A408" s="3"/>
      <c r="B408" s="3">
        <v>407</v>
      </c>
      <c r="C408" s="2" t="s">
        <v>2931</v>
      </c>
      <c r="D408" s="3" t="s">
        <v>2932</v>
      </c>
      <c r="E408" s="3">
        <v>1</v>
      </c>
      <c r="F408" s="3" t="s">
        <v>2001</v>
      </c>
    </row>
    <row r="409" s="2" customFormat="1" spans="1:6">
      <c r="A409" s="3"/>
      <c r="B409" s="3">
        <v>408</v>
      </c>
      <c r="C409" s="2" t="s">
        <v>2933</v>
      </c>
      <c r="D409" s="3" t="s">
        <v>2934</v>
      </c>
      <c r="E409" s="3">
        <v>1</v>
      </c>
      <c r="F409" s="3" t="s">
        <v>2001</v>
      </c>
    </row>
    <row r="410" s="2" customFormat="1" spans="1:6">
      <c r="A410" s="3"/>
      <c r="B410" s="3">
        <v>409</v>
      </c>
      <c r="C410" s="2" t="s">
        <v>2935</v>
      </c>
      <c r="D410" s="3" t="s">
        <v>2936</v>
      </c>
      <c r="E410" s="3">
        <v>1</v>
      </c>
      <c r="F410" s="3" t="s">
        <v>2001</v>
      </c>
    </row>
    <row r="411" s="2" customFormat="1" spans="1:6">
      <c r="A411" s="3"/>
      <c r="B411" s="3">
        <v>410</v>
      </c>
      <c r="C411" s="2" t="s">
        <v>2937</v>
      </c>
      <c r="D411" s="3" t="s">
        <v>2938</v>
      </c>
      <c r="E411" s="3">
        <v>1</v>
      </c>
      <c r="F411" s="3" t="s">
        <v>2001</v>
      </c>
    </row>
    <row r="412" s="2" customFormat="1" spans="1:6">
      <c r="A412" s="3"/>
      <c r="B412" s="3">
        <v>411</v>
      </c>
      <c r="C412" s="2" t="s">
        <v>2939</v>
      </c>
      <c r="D412" s="3" t="s">
        <v>2940</v>
      </c>
      <c r="E412" s="3">
        <v>1</v>
      </c>
      <c r="F412" s="3" t="s">
        <v>2001</v>
      </c>
    </row>
    <row r="413" s="2" customFormat="1" spans="1:6">
      <c r="A413" s="3"/>
      <c r="B413" s="3">
        <v>412</v>
      </c>
      <c r="C413" s="2" t="s">
        <v>2941</v>
      </c>
      <c r="D413" s="3" t="s">
        <v>2942</v>
      </c>
      <c r="E413" s="3">
        <v>1</v>
      </c>
      <c r="F413" s="3" t="s">
        <v>2001</v>
      </c>
    </row>
    <row r="414" s="2" customFormat="1" spans="1:6">
      <c r="A414" s="3"/>
      <c r="B414" s="3">
        <v>413</v>
      </c>
      <c r="C414" s="2" t="s">
        <v>2943</v>
      </c>
      <c r="D414" s="3" t="s">
        <v>2944</v>
      </c>
      <c r="E414" s="3">
        <v>1</v>
      </c>
      <c r="F414" s="3" t="s">
        <v>2001</v>
      </c>
    </row>
    <row r="415" s="2" customFormat="1" spans="1:6">
      <c r="A415" s="3"/>
      <c r="B415" s="3">
        <v>414</v>
      </c>
      <c r="C415" s="2" t="s">
        <v>2945</v>
      </c>
      <c r="D415" s="3" t="s">
        <v>2946</v>
      </c>
      <c r="E415" s="3">
        <v>1</v>
      </c>
      <c r="F415" s="3" t="s">
        <v>2001</v>
      </c>
    </row>
    <row r="416" s="2" customFormat="1" spans="1:6">
      <c r="A416" s="3"/>
      <c r="B416" s="3">
        <v>415</v>
      </c>
      <c r="C416" s="2" t="s">
        <v>2947</v>
      </c>
      <c r="D416" s="3" t="s">
        <v>2948</v>
      </c>
      <c r="E416" s="3">
        <v>2</v>
      </c>
      <c r="F416" s="3" t="s">
        <v>2001</v>
      </c>
    </row>
    <row r="417" s="2" customFormat="1" spans="1:6">
      <c r="A417" s="3"/>
      <c r="B417" s="3">
        <v>416</v>
      </c>
      <c r="C417" s="2" t="s">
        <v>2949</v>
      </c>
      <c r="D417" s="3" t="s">
        <v>2950</v>
      </c>
      <c r="E417" s="3">
        <v>1</v>
      </c>
      <c r="F417" s="3" t="s">
        <v>2001</v>
      </c>
    </row>
    <row r="418" s="2" customFormat="1" spans="1:6">
      <c r="A418" s="3"/>
      <c r="B418" s="3">
        <v>417</v>
      </c>
      <c r="C418" s="2" t="s">
        <v>2951</v>
      </c>
      <c r="D418" s="3" t="s">
        <v>2952</v>
      </c>
      <c r="E418" s="3">
        <v>1</v>
      </c>
      <c r="F418" s="3" t="s">
        <v>2001</v>
      </c>
    </row>
    <row r="419" s="2" customFormat="1" spans="1:6">
      <c r="A419" s="3"/>
      <c r="B419" s="3">
        <v>418</v>
      </c>
      <c r="C419" s="2" t="s">
        <v>2953</v>
      </c>
      <c r="D419" s="3" t="s">
        <v>2954</v>
      </c>
      <c r="E419" s="3">
        <v>1</v>
      </c>
      <c r="F419" s="3" t="s">
        <v>2001</v>
      </c>
    </row>
    <row r="420" s="2" customFormat="1" spans="1:6">
      <c r="A420" s="3"/>
      <c r="B420" s="3">
        <v>419</v>
      </c>
      <c r="C420" s="2" t="s">
        <v>4001</v>
      </c>
      <c r="D420" s="3" t="s">
        <v>4002</v>
      </c>
      <c r="E420" s="3">
        <v>1</v>
      </c>
      <c r="F420" s="3" t="s">
        <v>2001</v>
      </c>
    </row>
    <row r="421" s="2" customFormat="1" spans="1:6">
      <c r="A421" s="3"/>
      <c r="B421" s="3">
        <v>420</v>
      </c>
      <c r="C421" s="2" t="s">
        <v>2957</v>
      </c>
      <c r="D421" s="3" t="s">
        <v>2958</v>
      </c>
      <c r="E421" s="3">
        <v>1</v>
      </c>
      <c r="F421" s="3" t="s">
        <v>2001</v>
      </c>
    </row>
    <row r="422" s="2" customFormat="1" spans="1:6">
      <c r="A422" s="3"/>
      <c r="B422" s="3">
        <v>421</v>
      </c>
      <c r="C422" s="2" t="s">
        <v>4003</v>
      </c>
      <c r="D422" s="3" t="s">
        <v>4004</v>
      </c>
      <c r="E422" s="6">
        <v>1300</v>
      </c>
      <c r="F422" s="3" t="s">
        <v>2001</v>
      </c>
    </row>
    <row r="423" s="2" customFormat="1" spans="1:6">
      <c r="A423" s="3"/>
      <c r="B423" s="3">
        <v>422</v>
      </c>
      <c r="C423" s="2" t="s">
        <v>4005</v>
      </c>
      <c r="D423" s="3" t="s">
        <v>4006</v>
      </c>
      <c r="E423" s="6">
        <v>1198</v>
      </c>
      <c r="F423" s="3" t="s">
        <v>2001</v>
      </c>
    </row>
    <row r="424" s="2" customFormat="1" spans="1:6">
      <c r="A424" s="3"/>
      <c r="B424" s="3">
        <v>423</v>
      </c>
      <c r="C424" s="2" t="s">
        <v>2963</v>
      </c>
      <c r="D424" s="3" t="s">
        <v>2964</v>
      </c>
      <c r="E424" s="6">
        <v>1068</v>
      </c>
      <c r="F424" s="3" t="s">
        <v>2001</v>
      </c>
    </row>
    <row r="425" s="2" customFormat="1" spans="1:6">
      <c r="A425" s="3"/>
      <c r="B425" s="3">
        <v>424</v>
      </c>
      <c r="C425" s="2" t="s">
        <v>4007</v>
      </c>
      <c r="D425" s="3" t="s">
        <v>4008</v>
      </c>
      <c r="E425" s="3">
        <v>338</v>
      </c>
      <c r="F425" s="3" t="s">
        <v>2001</v>
      </c>
    </row>
    <row r="426" s="2" customFormat="1" spans="1:6">
      <c r="A426" s="3"/>
      <c r="B426" s="3">
        <v>425</v>
      </c>
      <c r="C426" s="2" t="s">
        <v>2965</v>
      </c>
      <c r="D426" s="3" t="s">
        <v>2966</v>
      </c>
      <c r="E426" s="3">
        <v>-1</v>
      </c>
      <c r="F426" s="3" t="s">
        <v>2001</v>
      </c>
    </row>
    <row r="427" s="2" customFormat="1" spans="1:6">
      <c r="A427" s="3"/>
      <c r="B427" s="3">
        <v>426</v>
      </c>
      <c r="C427" s="2" t="s">
        <v>2967</v>
      </c>
      <c r="D427" s="3" t="s">
        <v>2968</v>
      </c>
      <c r="E427" s="3">
        <v>9</v>
      </c>
      <c r="F427" s="3" t="s">
        <v>2001</v>
      </c>
    </row>
    <row r="428" s="2" customFormat="1" spans="1:6">
      <c r="A428" s="3"/>
      <c r="B428" s="3">
        <v>427</v>
      </c>
      <c r="C428" s="2" t="s">
        <v>4009</v>
      </c>
      <c r="D428" s="3" t="s">
        <v>4010</v>
      </c>
      <c r="E428" s="3">
        <v>460</v>
      </c>
      <c r="F428" s="3" t="s">
        <v>2001</v>
      </c>
    </row>
    <row r="429" s="2" customFormat="1" spans="1:6">
      <c r="A429" s="3"/>
      <c r="B429" s="3">
        <v>428</v>
      </c>
      <c r="C429" s="2" t="s">
        <v>3570</v>
      </c>
      <c r="D429" s="3" t="s">
        <v>3571</v>
      </c>
      <c r="E429" s="3">
        <v>120</v>
      </c>
      <c r="F429" s="3" t="s">
        <v>2001</v>
      </c>
    </row>
    <row r="430" s="2" customFormat="1" spans="1:6">
      <c r="A430" s="3"/>
      <c r="B430" s="3">
        <v>429</v>
      </c>
      <c r="C430" s="2" t="s">
        <v>2973</v>
      </c>
      <c r="D430" s="3" t="s">
        <v>2974</v>
      </c>
      <c r="E430" s="3">
        <v>144</v>
      </c>
      <c r="F430" s="3" t="s">
        <v>2001</v>
      </c>
    </row>
    <row r="431" s="2" customFormat="1" spans="1:6">
      <c r="A431" s="3"/>
      <c r="B431" s="3">
        <v>430</v>
      </c>
      <c r="C431" s="2" t="s">
        <v>2975</v>
      </c>
      <c r="D431" s="3" t="s">
        <v>2976</v>
      </c>
      <c r="E431" s="3">
        <v>2</v>
      </c>
      <c r="F431" s="3" t="s">
        <v>2001</v>
      </c>
    </row>
    <row r="432" s="2" customFormat="1" spans="1:6">
      <c r="A432" s="3"/>
      <c r="B432" s="3">
        <v>431</v>
      </c>
      <c r="C432" s="2" t="s">
        <v>4011</v>
      </c>
      <c r="D432" s="3" t="s">
        <v>4012</v>
      </c>
      <c r="E432" s="3">
        <v>2</v>
      </c>
      <c r="F432" s="3" t="s">
        <v>2001</v>
      </c>
    </row>
    <row r="433" s="2" customFormat="1" spans="1:6">
      <c r="A433" s="3"/>
      <c r="B433" s="3">
        <v>432</v>
      </c>
      <c r="C433" s="2" t="s">
        <v>4013</v>
      </c>
      <c r="D433" s="3" t="s">
        <v>4014</v>
      </c>
      <c r="E433" s="3">
        <v>-7</v>
      </c>
      <c r="F433" s="3" t="s">
        <v>2001</v>
      </c>
    </row>
    <row r="434" s="2" customFormat="1" spans="1:6">
      <c r="A434" s="3"/>
      <c r="B434" s="3">
        <v>433</v>
      </c>
      <c r="C434" s="2" t="s">
        <v>2981</v>
      </c>
      <c r="D434" s="3" t="s">
        <v>2982</v>
      </c>
      <c r="E434" s="3">
        <v>500</v>
      </c>
      <c r="F434" s="3" t="s">
        <v>2001</v>
      </c>
    </row>
    <row r="435" s="2" customFormat="1" spans="1:6">
      <c r="A435" s="3"/>
      <c r="B435" s="3">
        <v>434</v>
      </c>
      <c r="C435" s="2" t="s">
        <v>2985</v>
      </c>
      <c r="D435" s="3" t="s">
        <v>2986</v>
      </c>
      <c r="E435" s="3">
        <v>2</v>
      </c>
      <c r="F435" s="3" t="s">
        <v>2001</v>
      </c>
    </row>
    <row r="436" s="2" customFormat="1" spans="1:6">
      <c r="A436" s="3"/>
      <c r="B436" s="3">
        <v>435</v>
      </c>
      <c r="C436" s="2" t="s">
        <v>2987</v>
      </c>
      <c r="D436" s="3" t="s">
        <v>2988</v>
      </c>
      <c r="E436" s="3">
        <v>2</v>
      </c>
      <c r="F436" s="3" t="s">
        <v>2001</v>
      </c>
    </row>
    <row r="437" s="2" customFormat="1" spans="1:6">
      <c r="A437" s="3"/>
      <c r="B437" s="3">
        <v>436</v>
      </c>
      <c r="C437" s="2" t="s">
        <v>4015</v>
      </c>
      <c r="D437" s="3" t="s">
        <v>4016</v>
      </c>
      <c r="E437" s="3">
        <v>6</v>
      </c>
      <c r="F437" s="3" t="s">
        <v>2001</v>
      </c>
    </row>
    <row r="438" s="2" customFormat="1" spans="1:6">
      <c r="A438" s="3"/>
      <c r="B438" s="3">
        <v>437</v>
      </c>
      <c r="C438" s="2" t="s">
        <v>3001</v>
      </c>
      <c r="D438" s="3" t="s">
        <v>3002</v>
      </c>
      <c r="E438" s="3">
        <v>14</v>
      </c>
      <c r="F438" s="3" t="s">
        <v>2001</v>
      </c>
    </row>
    <row r="439" s="2" customFormat="1" spans="1:6">
      <c r="A439" s="3"/>
      <c r="B439" s="3">
        <v>438</v>
      </c>
      <c r="C439" s="2" t="s">
        <v>3003</v>
      </c>
      <c r="D439" s="3" t="s">
        <v>3004</v>
      </c>
      <c r="E439" s="3">
        <v>19</v>
      </c>
      <c r="F439" s="3" t="s">
        <v>2001</v>
      </c>
    </row>
    <row r="440" s="2" customFormat="1" spans="1:6">
      <c r="A440" s="3"/>
      <c r="B440" s="3">
        <v>439</v>
      </c>
      <c r="C440" s="2" t="s">
        <v>3005</v>
      </c>
      <c r="D440" s="3" t="s">
        <v>3006</v>
      </c>
      <c r="E440" s="3">
        <v>21</v>
      </c>
      <c r="F440" s="3" t="s">
        <v>2001</v>
      </c>
    </row>
    <row r="441" s="2" customFormat="1" spans="1:6">
      <c r="A441" s="3"/>
      <c r="B441" s="3">
        <v>440</v>
      </c>
      <c r="C441" s="2" t="s">
        <v>3007</v>
      </c>
      <c r="D441" s="3" t="s">
        <v>3008</v>
      </c>
      <c r="E441" s="3">
        <v>27</v>
      </c>
      <c r="F441" s="3" t="s">
        <v>2001</v>
      </c>
    </row>
    <row r="442" s="2" customFormat="1" spans="1:6">
      <c r="A442" s="3"/>
      <c r="B442" s="3">
        <v>441</v>
      </c>
      <c r="C442" s="2" t="s">
        <v>3009</v>
      </c>
      <c r="D442" s="3" t="s">
        <v>3010</v>
      </c>
      <c r="E442" s="3">
        <v>125</v>
      </c>
      <c r="F442" s="3" t="s">
        <v>2001</v>
      </c>
    </row>
    <row r="443" s="2" customFormat="1" spans="1:6">
      <c r="A443" s="3"/>
      <c r="B443" s="3">
        <v>442</v>
      </c>
      <c r="C443" s="2" t="s">
        <v>4017</v>
      </c>
      <c r="D443" s="3" t="s">
        <v>4018</v>
      </c>
      <c r="E443" s="3">
        <v>12</v>
      </c>
      <c r="F443" s="3" t="s">
        <v>2001</v>
      </c>
    </row>
    <row r="444" s="2" customFormat="1" spans="1:6">
      <c r="A444" s="3"/>
      <c r="B444" s="3">
        <v>443</v>
      </c>
      <c r="C444" s="2" t="s">
        <v>3019</v>
      </c>
      <c r="D444" s="3" t="s">
        <v>3020</v>
      </c>
      <c r="E444" s="3">
        <v>2</v>
      </c>
      <c r="F444" s="3" t="s">
        <v>2001</v>
      </c>
    </row>
    <row r="445" s="2" customFormat="1" spans="1:6">
      <c r="A445" s="3"/>
      <c r="B445" s="3">
        <v>444</v>
      </c>
      <c r="C445" s="2" t="s">
        <v>3025</v>
      </c>
      <c r="D445" s="3" t="s">
        <v>3026</v>
      </c>
      <c r="E445" s="3">
        <v>6</v>
      </c>
      <c r="F445" s="3" t="s">
        <v>2001</v>
      </c>
    </row>
    <row r="446" s="2" customFormat="1" spans="1:6">
      <c r="A446" s="3"/>
      <c r="B446" s="3">
        <v>445</v>
      </c>
      <c r="C446" s="2" t="s">
        <v>3027</v>
      </c>
      <c r="D446" s="3" t="s">
        <v>3028</v>
      </c>
      <c r="E446" s="3">
        <v>33</v>
      </c>
      <c r="F446" s="3" t="s">
        <v>2001</v>
      </c>
    </row>
    <row r="447" s="2" customFormat="1" spans="1:6">
      <c r="A447" s="3"/>
      <c r="B447" s="3">
        <v>446</v>
      </c>
      <c r="C447" s="2" t="s">
        <v>3029</v>
      </c>
      <c r="D447" s="3" t="s">
        <v>3030</v>
      </c>
      <c r="E447" s="3">
        <v>9</v>
      </c>
      <c r="F447" s="3" t="s">
        <v>2001</v>
      </c>
    </row>
    <row r="448" s="2" customFormat="1" spans="1:6">
      <c r="A448" s="3"/>
      <c r="B448" s="3">
        <v>447</v>
      </c>
      <c r="C448" s="2" t="s">
        <v>3031</v>
      </c>
      <c r="D448" s="3" t="s">
        <v>3032</v>
      </c>
      <c r="E448" s="3">
        <v>16</v>
      </c>
      <c r="F448" s="3" t="s">
        <v>2001</v>
      </c>
    </row>
    <row r="449" s="2" customFormat="1" spans="1:6">
      <c r="A449" s="3"/>
      <c r="B449" s="3">
        <v>448</v>
      </c>
      <c r="C449" s="2" t="s">
        <v>3033</v>
      </c>
      <c r="D449" s="3" t="s">
        <v>3034</v>
      </c>
      <c r="E449" s="3">
        <v>4</v>
      </c>
      <c r="F449" s="3" t="s">
        <v>2001</v>
      </c>
    </row>
    <row r="450" s="2" customFormat="1" spans="1:6">
      <c r="A450" s="3"/>
      <c r="B450" s="3">
        <v>449</v>
      </c>
      <c r="C450" s="2" t="s">
        <v>3035</v>
      </c>
      <c r="D450" s="3" t="s">
        <v>3036</v>
      </c>
      <c r="E450" s="3">
        <v>120</v>
      </c>
      <c r="F450" s="3" t="s">
        <v>2001</v>
      </c>
    </row>
    <row r="451" s="2" customFormat="1" spans="1:6">
      <c r="A451" s="3"/>
      <c r="B451" s="3">
        <v>450</v>
      </c>
      <c r="C451" s="2" t="s">
        <v>3037</v>
      </c>
      <c r="D451" s="3" t="s">
        <v>3038</v>
      </c>
      <c r="E451" s="3">
        <v>12</v>
      </c>
      <c r="F451" s="3" t="s">
        <v>2792</v>
      </c>
    </row>
    <row r="452" s="2" customFormat="1" spans="1:6">
      <c r="A452" s="3"/>
      <c r="B452" s="3">
        <v>451</v>
      </c>
      <c r="C452" s="2" t="s">
        <v>3039</v>
      </c>
      <c r="D452" s="3" t="s">
        <v>3040</v>
      </c>
      <c r="E452" s="3">
        <v>25</v>
      </c>
      <c r="F452" s="3" t="s">
        <v>2001</v>
      </c>
    </row>
    <row r="453" s="2" customFormat="1" spans="1:6">
      <c r="A453" s="3"/>
      <c r="B453" s="3">
        <v>452</v>
      </c>
      <c r="C453" s="2" t="s">
        <v>3041</v>
      </c>
      <c r="D453" s="3" t="s">
        <v>3042</v>
      </c>
      <c r="E453" s="3">
        <v>72</v>
      </c>
      <c r="F453" s="3" t="s">
        <v>2001</v>
      </c>
    </row>
    <row r="454" s="2" customFormat="1" spans="1:6">
      <c r="A454" s="3"/>
      <c r="B454" s="3">
        <v>453</v>
      </c>
      <c r="C454" s="2" t="s">
        <v>3043</v>
      </c>
      <c r="D454" s="3" t="s">
        <v>3044</v>
      </c>
      <c r="E454" s="3">
        <v>52</v>
      </c>
      <c r="F454" s="3" t="s">
        <v>2001</v>
      </c>
    </row>
    <row r="455" s="2" customFormat="1" spans="1:6">
      <c r="A455" s="3"/>
      <c r="B455" s="3">
        <v>454</v>
      </c>
      <c r="C455" s="2" t="s">
        <v>3576</v>
      </c>
      <c r="D455" s="3" t="s">
        <v>3577</v>
      </c>
      <c r="E455" s="3">
        <v>48</v>
      </c>
      <c r="F455" s="3" t="s">
        <v>3047</v>
      </c>
    </row>
    <row r="456" s="2" customFormat="1" spans="1:6">
      <c r="A456" s="3"/>
      <c r="B456" s="3">
        <v>455</v>
      </c>
      <c r="C456" s="2" t="s">
        <v>3045</v>
      </c>
      <c r="D456" s="3" t="s">
        <v>3046</v>
      </c>
      <c r="E456" s="3">
        <v>20</v>
      </c>
      <c r="F456" s="3" t="s">
        <v>3047</v>
      </c>
    </row>
    <row r="457" s="2" customFormat="1" spans="1:6">
      <c r="A457" s="3"/>
      <c r="B457" s="3">
        <v>456</v>
      </c>
      <c r="C457" s="2" t="s">
        <v>4019</v>
      </c>
      <c r="D457" s="3" t="s">
        <v>4020</v>
      </c>
      <c r="E457" s="3">
        <v>12</v>
      </c>
      <c r="F457" s="3" t="s">
        <v>3047</v>
      </c>
    </row>
    <row r="458" s="2" customFormat="1" spans="1:6">
      <c r="A458" s="3"/>
      <c r="B458" s="3">
        <v>457</v>
      </c>
      <c r="C458" s="2" t="s">
        <v>102</v>
      </c>
      <c r="D458" s="3" t="s">
        <v>3048</v>
      </c>
      <c r="E458" s="3">
        <v>36</v>
      </c>
      <c r="F458" s="3" t="s">
        <v>2001</v>
      </c>
    </row>
    <row r="459" s="2" customFormat="1" spans="1:6">
      <c r="A459" s="3"/>
      <c r="B459" s="3">
        <v>458</v>
      </c>
      <c r="C459" s="2" t="s">
        <v>105</v>
      </c>
      <c r="D459" s="3" t="s">
        <v>3051</v>
      </c>
      <c r="E459" s="3">
        <v>48</v>
      </c>
      <c r="F459" s="3" t="s">
        <v>2792</v>
      </c>
    </row>
    <row r="460" s="2" customFormat="1" spans="1:6">
      <c r="A460" s="3"/>
      <c r="B460" s="3">
        <v>459</v>
      </c>
      <c r="C460" s="2" t="s">
        <v>84</v>
      </c>
      <c r="D460" s="3" t="s">
        <v>3052</v>
      </c>
      <c r="E460" s="3">
        <v>60</v>
      </c>
      <c r="F460" s="3" t="s">
        <v>2001</v>
      </c>
    </row>
    <row r="461" s="2" customFormat="1" spans="1:6">
      <c r="A461" s="3"/>
      <c r="B461" s="3">
        <v>460</v>
      </c>
      <c r="C461" s="2" t="s">
        <v>3578</v>
      </c>
      <c r="D461" s="3" t="s">
        <v>3579</v>
      </c>
      <c r="E461" s="3">
        <v>2</v>
      </c>
      <c r="F461" s="3" t="s">
        <v>2001</v>
      </c>
    </row>
    <row r="462" s="2" customFormat="1" spans="1:6">
      <c r="A462" s="3"/>
      <c r="B462" s="3">
        <v>461</v>
      </c>
      <c r="C462" s="2" t="s">
        <v>3063</v>
      </c>
      <c r="D462" s="3" t="s">
        <v>3064</v>
      </c>
      <c r="E462" s="3">
        <v>4</v>
      </c>
      <c r="F462" s="3" t="s">
        <v>2001</v>
      </c>
    </row>
    <row r="463" s="2" customFormat="1" spans="1:6">
      <c r="A463" s="3"/>
      <c r="B463" s="3">
        <v>462</v>
      </c>
      <c r="C463" s="2" t="s">
        <v>3580</v>
      </c>
      <c r="D463" s="3" t="s">
        <v>3581</v>
      </c>
      <c r="E463" s="3">
        <v>2</v>
      </c>
      <c r="F463" s="3" t="s">
        <v>2001</v>
      </c>
    </row>
    <row r="464" s="2" customFormat="1" spans="1:6">
      <c r="A464" s="3"/>
      <c r="B464" s="3">
        <v>463</v>
      </c>
      <c r="C464" s="2" t="s">
        <v>3582</v>
      </c>
      <c r="D464" s="3" t="s">
        <v>3583</v>
      </c>
      <c r="E464" s="3">
        <v>2</v>
      </c>
      <c r="F464" s="3" t="s">
        <v>2001</v>
      </c>
    </row>
    <row r="465" s="2" customFormat="1" spans="1:6">
      <c r="A465" s="3"/>
      <c r="B465" s="3">
        <v>464</v>
      </c>
      <c r="C465" s="2" t="s">
        <v>3584</v>
      </c>
      <c r="D465" s="3" t="s">
        <v>3585</v>
      </c>
      <c r="E465" s="3">
        <v>4</v>
      </c>
      <c r="F465" s="3" t="s">
        <v>2001</v>
      </c>
    </row>
    <row r="466" s="2" customFormat="1" spans="1:6">
      <c r="A466" s="3"/>
      <c r="B466" s="3">
        <v>465</v>
      </c>
      <c r="C466" s="2" t="s">
        <v>3067</v>
      </c>
      <c r="D466" s="3" t="s">
        <v>3068</v>
      </c>
      <c r="E466" s="3">
        <v>4</v>
      </c>
      <c r="F466" s="3" t="s">
        <v>2001</v>
      </c>
    </row>
    <row r="467" s="2" customFormat="1" spans="1:6">
      <c r="A467" s="3"/>
      <c r="B467" s="3">
        <v>466</v>
      </c>
      <c r="C467" s="2" t="s">
        <v>3069</v>
      </c>
      <c r="D467" s="3" t="s">
        <v>3070</v>
      </c>
      <c r="E467" s="3">
        <v>2</v>
      </c>
      <c r="F467" s="3" t="s">
        <v>2001</v>
      </c>
    </row>
    <row r="468" s="2" customFormat="1" spans="1:6">
      <c r="A468" s="3"/>
      <c r="B468" s="3">
        <v>467</v>
      </c>
      <c r="C468" s="2" t="s">
        <v>3586</v>
      </c>
      <c r="D468" s="3" t="s">
        <v>3587</v>
      </c>
      <c r="E468" s="3">
        <v>2</v>
      </c>
      <c r="F468" s="3" t="s">
        <v>2001</v>
      </c>
    </row>
    <row r="469" s="2" customFormat="1" spans="1:6">
      <c r="A469" s="3"/>
      <c r="B469" s="3">
        <v>468</v>
      </c>
      <c r="C469" s="2" t="s">
        <v>4021</v>
      </c>
      <c r="D469" s="3" t="s">
        <v>4022</v>
      </c>
      <c r="E469" s="3">
        <v>2</v>
      </c>
      <c r="F469" s="3" t="s">
        <v>2001</v>
      </c>
    </row>
    <row r="470" s="2" customFormat="1" spans="1:6">
      <c r="A470" s="3"/>
      <c r="B470" s="3">
        <v>469</v>
      </c>
      <c r="C470" s="2" t="s">
        <v>3588</v>
      </c>
      <c r="D470" s="3" t="s">
        <v>3589</v>
      </c>
      <c r="E470" s="3">
        <v>2</v>
      </c>
      <c r="F470" s="3" t="s">
        <v>2001</v>
      </c>
    </row>
    <row r="471" s="2" customFormat="1" spans="1:6">
      <c r="A471" s="3"/>
      <c r="B471" s="3">
        <v>470</v>
      </c>
      <c r="C471" s="2" t="s">
        <v>4023</v>
      </c>
      <c r="D471" s="3" t="s">
        <v>4024</v>
      </c>
      <c r="E471" s="3">
        <v>2</v>
      </c>
      <c r="F471" s="3" t="s">
        <v>2001</v>
      </c>
    </row>
    <row r="472" s="2" customFormat="1" spans="1:6">
      <c r="A472" s="3"/>
      <c r="B472" s="3">
        <v>471</v>
      </c>
      <c r="C472" s="2" t="s">
        <v>3598</v>
      </c>
      <c r="D472" s="3" t="s">
        <v>3599</v>
      </c>
      <c r="E472" s="3">
        <v>2</v>
      </c>
      <c r="F472" s="3" t="s">
        <v>2001</v>
      </c>
    </row>
    <row r="473" s="2" customFormat="1" spans="1:6">
      <c r="A473" s="3"/>
      <c r="B473" s="3">
        <v>472</v>
      </c>
      <c r="C473" s="2" t="s">
        <v>4025</v>
      </c>
      <c r="D473" s="3" t="s">
        <v>4026</v>
      </c>
      <c r="E473" s="3">
        <v>2</v>
      </c>
      <c r="F473" s="3" t="s">
        <v>2001</v>
      </c>
    </row>
    <row r="474" s="2" customFormat="1" spans="1:6">
      <c r="A474" s="3"/>
      <c r="B474" s="3">
        <v>473</v>
      </c>
      <c r="C474" s="2" t="s">
        <v>3602</v>
      </c>
      <c r="D474" s="3" t="s">
        <v>3603</v>
      </c>
      <c r="E474" s="3">
        <v>2</v>
      </c>
      <c r="F474" s="3" t="s">
        <v>2001</v>
      </c>
    </row>
    <row r="475" s="2" customFormat="1" spans="1:6">
      <c r="A475" s="3"/>
      <c r="B475" s="3">
        <v>474</v>
      </c>
      <c r="C475" s="2" t="s">
        <v>4027</v>
      </c>
      <c r="D475" s="3" t="s">
        <v>4028</v>
      </c>
      <c r="E475" s="3">
        <v>4</v>
      </c>
      <c r="F475" s="3" t="s">
        <v>2001</v>
      </c>
    </row>
    <row r="476" s="2" customFormat="1" spans="1:6">
      <c r="A476" s="3"/>
      <c r="B476" s="3">
        <v>475</v>
      </c>
      <c r="C476" s="2" t="s">
        <v>3075</v>
      </c>
      <c r="D476" s="3" t="s">
        <v>3076</v>
      </c>
      <c r="E476" s="3">
        <v>2</v>
      </c>
      <c r="F476" s="3" t="s">
        <v>2001</v>
      </c>
    </row>
    <row r="477" s="2" customFormat="1" spans="1:6">
      <c r="A477" s="3"/>
      <c r="B477" s="3">
        <v>476</v>
      </c>
      <c r="C477" s="2" t="s">
        <v>3608</v>
      </c>
      <c r="D477" s="3" t="s">
        <v>3609</v>
      </c>
      <c r="E477" s="3">
        <v>2</v>
      </c>
      <c r="F477" s="3" t="s">
        <v>2001</v>
      </c>
    </row>
    <row r="478" s="2" customFormat="1" spans="1:6">
      <c r="A478" s="3"/>
      <c r="B478" s="3">
        <v>477</v>
      </c>
      <c r="C478" s="2" t="s">
        <v>3610</v>
      </c>
      <c r="D478" s="3" t="s">
        <v>3611</v>
      </c>
      <c r="E478" s="3">
        <v>4</v>
      </c>
      <c r="F478" s="3" t="s">
        <v>2001</v>
      </c>
    </row>
    <row r="479" s="2" customFormat="1" spans="1:6">
      <c r="A479" s="3"/>
      <c r="B479" s="3">
        <v>478</v>
      </c>
      <c r="C479" s="2" t="s">
        <v>3614</v>
      </c>
      <c r="D479" s="3" t="s">
        <v>3615</v>
      </c>
      <c r="E479" s="3">
        <v>2</v>
      </c>
      <c r="F479" s="3" t="s">
        <v>2001</v>
      </c>
    </row>
    <row r="480" s="2" customFormat="1" spans="1:6">
      <c r="A480" s="3"/>
      <c r="B480" s="3">
        <v>479</v>
      </c>
      <c r="C480" s="2" t="s">
        <v>3616</v>
      </c>
      <c r="D480" s="3" t="s">
        <v>3617</v>
      </c>
      <c r="E480" s="3">
        <v>2</v>
      </c>
      <c r="F480" s="3" t="s">
        <v>2001</v>
      </c>
    </row>
    <row r="481" s="2" customFormat="1" spans="1:6">
      <c r="A481" s="3"/>
      <c r="B481" s="3">
        <v>480</v>
      </c>
      <c r="C481" s="2" t="s">
        <v>3618</v>
      </c>
      <c r="D481" s="3" t="s">
        <v>3619</v>
      </c>
      <c r="E481" s="3">
        <v>1</v>
      </c>
      <c r="F481" s="3" t="s">
        <v>2001</v>
      </c>
    </row>
    <row r="482" s="2" customFormat="1" spans="1:6">
      <c r="A482" s="3"/>
      <c r="B482" s="3">
        <v>481</v>
      </c>
      <c r="C482" s="2" t="s">
        <v>3620</v>
      </c>
      <c r="D482" s="3" t="s">
        <v>3621</v>
      </c>
      <c r="E482" s="3">
        <v>1</v>
      </c>
      <c r="F482" s="3" t="s">
        <v>2001</v>
      </c>
    </row>
    <row r="483" s="2" customFormat="1" spans="1:6">
      <c r="A483" s="3"/>
      <c r="B483" s="3">
        <v>482</v>
      </c>
      <c r="C483" s="2" t="s">
        <v>3085</v>
      </c>
      <c r="D483" s="3" t="s">
        <v>3086</v>
      </c>
      <c r="E483" s="3">
        <v>1</v>
      </c>
      <c r="F483" s="3" t="s">
        <v>2001</v>
      </c>
    </row>
    <row r="484" s="2" customFormat="1" spans="1:6">
      <c r="A484" s="3"/>
      <c r="B484" s="3">
        <v>483</v>
      </c>
      <c r="C484" s="2" t="s">
        <v>3087</v>
      </c>
      <c r="D484" s="3" t="s">
        <v>3088</v>
      </c>
      <c r="E484" s="3">
        <v>1</v>
      </c>
      <c r="F484" s="3" t="s">
        <v>2001</v>
      </c>
    </row>
    <row r="485" s="2" customFormat="1" spans="1:6">
      <c r="A485" s="3"/>
      <c r="B485" s="3">
        <v>484</v>
      </c>
      <c r="C485" s="2" t="s">
        <v>3622</v>
      </c>
      <c r="D485" s="3" t="s">
        <v>3623</v>
      </c>
      <c r="E485" s="3">
        <v>2</v>
      </c>
      <c r="F485" s="3" t="s">
        <v>2001</v>
      </c>
    </row>
    <row r="486" s="2" customFormat="1" spans="1:6">
      <c r="A486" s="3"/>
      <c r="B486" s="3">
        <v>485</v>
      </c>
      <c r="C486" s="2" t="s">
        <v>3624</v>
      </c>
      <c r="D486" s="3" t="s">
        <v>3625</v>
      </c>
      <c r="E486" s="3">
        <v>2</v>
      </c>
      <c r="F486" s="3" t="s">
        <v>2001</v>
      </c>
    </row>
    <row r="487" s="2" customFormat="1" spans="1:6">
      <c r="A487" s="3"/>
      <c r="B487" s="3">
        <v>486</v>
      </c>
      <c r="C487" s="2" t="s">
        <v>4029</v>
      </c>
      <c r="D487" s="3" t="s">
        <v>4030</v>
      </c>
      <c r="E487" s="3">
        <v>2</v>
      </c>
      <c r="F487" s="3" t="s">
        <v>2001</v>
      </c>
    </row>
    <row r="488" s="2" customFormat="1" spans="1:6">
      <c r="A488" s="3"/>
      <c r="B488" s="3">
        <v>487</v>
      </c>
      <c r="C488" s="2" t="s">
        <v>3093</v>
      </c>
      <c r="D488" s="3" t="s">
        <v>3094</v>
      </c>
      <c r="E488" s="3">
        <v>1</v>
      </c>
      <c r="F488" s="3" t="s">
        <v>2001</v>
      </c>
    </row>
    <row r="489" s="2" customFormat="1" spans="1:6">
      <c r="A489" s="3"/>
      <c r="B489" s="3">
        <v>488</v>
      </c>
      <c r="C489" s="2" t="s">
        <v>3095</v>
      </c>
      <c r="D489" s="3" t="s">
        <v>3096</v>
      </c>
      <c r="E489" s="3">
        <v>1</v>
      </c>
      <c r="F489" s="3" t="s">
        <v>2001</v>
      </c>
    </row>
    <row r="490" s="2" customFormat="1" spans="1:6">
      <c r="A490" s="3"/>
      <c r="B490" s="3">
        <v>489</v>
      </c>
      <c r="C490" s="2" t="s">
        <v>3630</v>
      </c>
      <c r="D490" s="3" t="s">
        <v>3631</v>
      </c>
      <c r="E490" s="3">
        <v>2</v>
      </c>
      <c r="F490" s="3" t="s">
        <v>2001</v>
      </c>
    </row>
    <row r="491" s="2" customFormat="1" spans="1:6">
      <c r="A491" s="3"/>
      <c r="B491" s="3">
        <v>490</v>
      </c>
      <c r="C491" s="2" t="s">
        <v>3632</v>
      </c>
      <c r="D491" s="3" t="s">
        <v>3633</v>
      </c>
      <c r="E491" s="3">
        <v>2</v>
      </c>
      <c r="F491" s="3" t="s">
        <v>2001</v>
      </c>
    </row>
    <row r="492" s="2" customFormat="1" spans="1:6">
      <c r="A492" s="3"/>
      <c r="B492" s="3">
        <v>491</v>
      </c>
      <c r="C492" s="2" t="s">
        <v>4031</v>
      </c>
      <c r="D492" s="3" t="s">
        <v>4032</v>
      </c>
      <c r="E492" s="3">
        <v>2</v>
      </c>
      <c r="F492" s="3" t="s">
        <v>2001</v>
      </c>
    </row>
    <row r="493" s="2" customFormat="1" spans="1:6">
      <c r="A493" s="3"/>
      <c r="B493" s="3">
        <v>492</v>
      </c>
      <c r="C493" s="2" t="s">
        <v>3105</v>
      </c>
      <c r="D493" s="3" t="s">
        <v>3106</v>
      </c>
      <c r="E493" s="3">
        <v>1</v>
      </c>
      <c r="F493" s="3" t="s">
        <v>2001</v>
      </c>
    </row>
    <row r="494" s="2" customFormat="1" spans="1:6">
      <c r="A494" s="3"/>
      <c r="B494" s="3">
        <v>493</v>
      </c>
      <c r="C494" s="2" t="s">
        <v>3107</v>
      </c>
      <c r="D494" s="3" t="s">
        <v>3108</v>
      </c>
      <c r="E494" s="3">
        <v>1</v>
      </c>
      <c r="F494" s="3" t="s">
        <v>2001</v>
      </c>
    </row>
    <row r="495" s="2" customFormat="1" spans="1:6">
      <c r="A495" s="3"/>
      <c r="B495" s="3">
        <v>494</v>
      </c>
      <c r="C495" s="2" t="s">
        <v>3638</v>
      </c>
      <c r="D495" s="3" t="s">
        <v>3639</v>
      </c>
      <c r="E495" s="3">
        <v>1</v>
      </c>
      <c r="F495" s="3" t="s">
        <v>2001</v>
      </c>
    </row>
    <row r="496" s="2" customFormat="1" spans="1:6">
      <c r="A496" s="3"/>
      <c r="B496" s="3">
        <v>495</v>
      </c>
      <c r="C496" s="2" t="s">
        <v>3640</v>
      </c>
      <c r="D496" s="3" t="s">
        <v>3641</v>
      </c>
      <c r="E496" s="3">
        <v>1</v>
      </c>
      <c r="F496" s="3" t="s">
        <v>2001</v>
      </c>
    </row>
    <row r="497" s="2" customFormat="1" spans="1:6">
      <c r="A497" s="3"/>
      <c r="B497" s="3">
        <v>496</v>
      </c>
      <c r="C497" s="2" t="s">
        <v>4033</v>
      </c>
      <c r="D497" s="3" t="s">
        <v>4034</v>
      </c>
      <c r="E497" s="3">
        <v>1</v>
      </c>
      <c r="F497" s="3" t="s">
        <v>2001</v>
      </c>
    </row>
    <row r="498" s="2" customFormat="1" spans="1:6">
      <c r="A498" s="3"/>
      <c r="B498" s="3">
        <v>497</v>
      </c>
      <c r="C498" s="2" t="s">
        <v>4035</v>
      </c>
      <c r="D498" s="3" t="s">
        <v>4036</v>
      </c>
      <c r="E498" s="3">
        <v>1</v>
      </c>
      <c r="F498" s="3" t="s">
        <v>2001</v>
      </c>
    </row>
    <row r="499" s="2" customFormat="1" spans="1:6">
      <c r="A499" s="3"/>
      <c r="B499" s="3">
        <v>498</v>
      </c>
      <c r="C499" s="2" t="s">
        <v>4037</v>
      </c>
      <c r="D499" s="3" t="s">
        <v>4038</v>
      </c>
      <c r="E499" s="3">
        <v>1</v>
      </c>
      <c r="F499" s="3" t="s">
        <v>2001</v>
      </c>
    </row>
    <row r="500" s="2" customFormat="1" spans="1:6">
      <c r="A500" s="3"/>
      <c r="B500" s="3">
        <v>499</v>
      </c>
      <c r="C500" s="2" t="s">
        <v>4039</v>
      </c>
      <c r="D500" s="3" t="s">
        <v>4040</v>
      </c>
      <c r="E500" s="3">
        <v>1</v>
      </c>
      <c r="F500" s="3" t="s">
        <v>2001</v>
      </c>
    </row>
    <row r="501" s="2" customFormat="1" spans="1:6">
      <c r="A501" s="3"/>
      <c r="B501" s="3">
        <v>500</v>
      </c>
      <c r="C501" s="2" t="s">
        <v>3648</v>
      </c>
      <c r="D501" s="3" t="s">
        <v>3649</v>
      </c>
      <c r="E501" s="3">
        <v>2</v>
      </c>
      <c r="F501" s="3" t="s">
        <v>2001</v>
      </c>
    </row>
    <row r="502" s="2" customFormat="1" spans="1:6">
      <c r="A502" s="3"/>
      <c r="B502" s="3">
        <v>501</v>
      </c>
      <c r="C502" s="2" t="s">
        <v>3650</v>
      </c>
      <c r="D502" s="3" t="s">
        <v>3651</v>
      </c>
      <c r="E502" s="3">
        <v>2</v>
      </c>
      <c r="F502" s="3" t="s">
        <v>2001</v>
      </c>
    </row>
    <row r="503" s="2" customFormat="1" spans="1:6">
      <c r="A503" s="3"/>
      <c r="B503" s="3">
        <v>502</v>
      </c>
      <c r="C503" s="2" t="s">
        <v>3652</v>
      </c>
      <c r="D503" s="3" t="s">
        <v>3653</v>
      </c>
      <c r="E503" s="3">
        <v>2</v>
      </c>
      <c r="F503" s="3" t="s">
        <v>2001</v>
      </c>
    </row>
    <row r="504" s="2" customFormat="1" spans="1:6">
      <c r="A504" s="3"/>
      <c r="B504" s="3">
        <v>503</v>
      </c>
      <c r="C504" s="2" t="s">
        <v>3654</v>
      </c>
      <c r="D504" s="3" t="s">
        <v>3655</v>
      </c>
      <c r="E504" s="3">
        <v>2</v>
      </c>
      <c r="F504" s="3" t="s">
        <v>2001</v>
      </c>
    </row>
    <row r="505" s="2" customFormat="1" spans="1:6">
      <c r="A505" s="3"/>
      <c r="B505" s="3">
        <v>504</v>
      </c>
      <c r="C505" s="2" t="s">
        <v>3656</v>
      </c>
      <c r="D505" s="3" t="s">
        <v>3657</v>
      </c>
      <c r="E505" s="3">
        <v>1</v>
      </c>
      <c r="F505" s="3" t="s">
        <v>2001</v>
      </c>
    </row>
    <row r="506" s="2" customFormat="1" spans="1:6">
      <c r="A506" s="3"/>
      <c r="B506" s="3">
        <v>505</v>
      </c>
      <c r="C506" s="2" t="s">
        <v>3658</v>
      </c>
      <c r="D506" s="3" t="s">
        <v>3659</v>
      </c>
      <c r="E506" s="3">
        <v>1</v>
      </c>
      <c r="F506" s="3" t="s">
        <v>2001</v>
      </c>
    </row>
    <row r="507" s="2" customFormat="1" spans="1:6">
      <c r="A507" s="3"/>
      <c r="B507" s="3">
        <v>506</v>
      </c>
      <c r="C507" s="2" t="s">
        <v>3660</v>
      </c>
      <c r="D507" s="3" t="s">
        <v>3661</v>
      </c>
      <c r="E507" s="3">
        <v>1</v>
      </c>
      <c r="F507" s="3" t="s">
        <v>2001</v>
      </c>
    </row>
    <row r="508" s="2" customFormat="1" spans="1:6">
      <c r="A508" s="3"/>
      <c r="B508" s="3">
        <v>507</v>
      </c>
      <c r="C508" s="2" t="s">
        <v>3662</v>
      </c>
      <c r="D508" s="3" t="s">
        <v>3663</v>
      </c>
      <c r="E508" s="3">
        <v>1</v>
      </c>
      <c r="F508" s="3" t="s">
        <v>2001</v>
      </c>
    </row>
    <row r="509" s="2" customFormat="1" spans="1:6">
      <c r="A509" s="3"/>
      <c r="B509" s="3">
        <v>508</v>
      </c>
      <c r="C509" s="2" t="s">
        <v>3664</v>
      </c>
      <c r="D509" s="3" t="s">
        <v>3665</v>
      </c>
      <c r="E509" s="3">
        <v>1</v>
      </c>
      <c r="F509" s="3" t="s">
        <v>3360</v>
      </c>
    </row>
    <row r="510" s="2" customFormat="1" spans="1:6">
      <c r="A510" s="3"/>
      <c r="B510" s="3">
        <v>509</v>
      </c>
      <c r="C510" s="2" t="s">
        <v>3666</v>
      </c>
      <c r="D510" s="3" t="s">
        <v>3667</v>
      </c>
      <c r="E510" s="3">
        <v>1</v>
      </c>
      <c r="F510" s="3" t="s">
        <v>3360</v>
      </c>
    </row>
    <row r="511" s="2" customFormat="1" spans="1:6">
      <c r="A511" s="3"/>
      <c r="B511" s="3">
        <v>510</v>
      </c>
      <c r="C511" s="2" t="s">
        <v>3668</v>
      </c>
      <c r="D511" s="3" t="s">
        <v>3669</v>
      </c>
      <c r="E511" s="3">
        <v>1</v>
      </c>
      <c r="F511" s="3" t="s">
        <v>2001</v>
      </c>
    </row>
    <row r="512" s="2" customFormat="1" spans="1:6">
      <c r="A512" s="3"/>
      <c r="B512" s="3">
        <v>511</v>
      </c>
      <c r="C512" s="2" t="s">
        <v>3670</v>
      </c>
      <c r="D512" s="3" t="s">
        <v>3671</v>
      </c>
      <c r="E512" s="3">
        <v>1</v>
      </c>
      <c r="F512" s="3" t="s">
        <v>2001</v>
      </c>
    </row>
    <row r="513" s="2" customFormat="1" spans="1:6">
      <c r="A513" s="3"/>
      <c r="B513" s="3">
        <v>512</v>
      </c>
      <c r="C513" s="2" t="s">
        <v>3672</v>
      </c>
      <c r="D513" s="3" t="s">
        <v>3673</v>
      </c>
      <c r="E513" s="3">
        <v>1</v>
      </c>
      <c r="F513" s="3" t="s">
        <v>2001</v>
      </c>
    </row>
    <row r="514" s="2" customFormat="1" spans="1:6">
      <c r="A514" s="3"/>
      <c r="B514" s="3">
        <v>513</v>
      </c>
      <c r="C514" s="2" t="s">
        <v>3674</v>
      </c>
      <c r="D514" s="3" t="s">
        <v>3675</v>
      </c>
      <c r="E514" s="3">
        <v>1</v>
      </c>
      <c r="F514" s="3" t="s">
        <v>2001</v>
      </c>
    </row>
    <row r="515" s="2" customFormat="1" spans="1:6">
      <c r="A515" s="3"/>
      <c r="B515" s="3">
        <v>514</v>
      </c>
      <c r="C515" s="2" t="s">
        <v>3113</v>
      </c>
      <c r="D515" s="3" t="s">
        <v>3114</v>
      </c>
      <c r="E515" s="3">
        <v>1</v>
      </c>
      <c r="F515" s="3" t="s">
        <v>2001</v>
      </c>
    </row>
    <row r="516" s="2" customFormat="1" spans="1:6">
      <c r="A516" s="3"/>
      <c r="B516" s="3">
        <v>515</v>
      </c>
      <c r="C516" s="2" t="s">
        <v>3115</v>
      </c>
      <c r="D516" s="3" t="s">
        <v>3116</v>
      </c>
      <c r="E516" s="3">
        <v>1</v>
      </c>
      <c r="F516" s="3" t="s">
        <v>2001</v>
      </c>
    </row>
    <row r="517" s="2" customFormat="1" spans="1:6">
      <c r="A517" s="3"/>
      <c r="B517" s="3">
        <v>516</v>
      </c>
      <c r="C517" s="2" t="s">
        <v>3676</v>
      </c>
      <c r="D517" s="3" t="s">
        <v>3677</v>
      </c>
      <c r="E517" s="3">
        <v>1</v>
      </c>
      <c r="F517" s="3" t="s">
        <v>2001</v>
      </c>
    </row>
    <row r="518" s="2" customFormat="1" spans="1:6">
      <c r="A518" s="3"/>
      <c r="B518" s="3">
        <v>517</v>
      </c>
      <c r="C518" s="2" t="s">
        <v>3117</v>
      </c>
      <c r="D518" s="3" t="s">
        <v>3118</v>
      </c>
      <c r="E518" s="3">
        <v>1</v>
      </c>
      <c r="F518" s="3" t="s">
        <v>2001</v>
      </c>
    </row>
    <row r="519" s="2" customFormat="1" spans="1:6">
      <c r="A519" s="3"/>
      <c r="B519" s="3">
        <v>518</v>
      </c>
      <c r="C519" s="2" t="s">
        <v>3119</v>
      </c>
      <c r="D519" s="3" t="s">
        <v>3120</v>
      </c>
      <c r="E519" s="3">
        <v>1</v>
      </c>
      <c r="F519" s="3" t="s">
        <v>2001</v>
      </c>
    </row>
    <row r="520" s="2" customFormat="1" spans="1:6">
      <c r="A520" s="3"/>
      <c r="B520" s="3">
        <v>519</v>
      </c>
      <c r="C520" s="2" t="s">
        <v>3682</v>
      </c>
      <c r="D520" s="3" t="s">
        <v>3683</v>
      </c>
      <c r="E520" s="3">
        <v>2</v>
      </c>
      <c r="F520" s="3" t="s">
        <v>2001</v>
      </c>
    </row>
    <row r="521" s="2" customFormat="1" spans="1:6">
      <c r="A521" s="3"/>
      <c r="B521" s="3">
        <v>520</v>
      </c>
      <c r="C521" s="2" t="s">
        <v>3684</v>
      </c>
      <c r="D521" s="3" t="s">
        <v>3685</v>
      </c>
      <c r="E521" s="3">
        <v>3</v>
      </c>
      <c r="F521" s="3" t="s">
        <v>2001</v>
      </c>
    </row>
    <row r="522" s="2" customFormat="1" spans="1:6">
      <c r="A522" s="3"/>
      <c r="B522" s="3">
        <v>521</v>
      </c>
      <c r="C522" s="2" t="s">
        <v>3686</v>
      </c>
      <c r="D522" s="3" t="s">
        <v>3687</v>
      </c>
      <c r="E522" s="3">
        <v>3</v>
      </c>
      <c r="F522" s="3" t="s">
        <v>2001</v>
      </c>
    </row>
    <row r="523" s="2" customFormat="1" spans="1:6">
      <c r="A523" s="3"/>
      <c r="B523" s="3">
        <v>522</v>
      </c>
      <c r="C523" s="2" t="s">
        <v>3692</v>
      </c>
      <c r="D523" s="3" t="s">
        <v>3693</v>
      </c>
      <c r="E523" s="3">
        <v>1</v>
      </c>
      <c r="F523" s="3" t="s">
        <v>2001</v>
      </c>
    </row>
    <row r="524" s="2" customFormat="1" spans="1:6">
      <c r="A524" s="3"/>
      <c r="B524" s="3">
        <v>523</v>
      </c>
      <c r="C524" s="2" t="s">
        <v>3694</v>
      </c>
      <c r="D524" s="3" t="s">
        <v>3695</v>
      </c>
      <c r="E524" s="3">
        <v>1</v>
      </c>
      <c r="F524" s="3" t="s">
        <v>2001</v>
      </c>
    </row>
    <row r="525" s="2" customFormat="1" spans="1:6">
      <c r="A525" s="3"/>
      <c r="B525" s="3">
        <v>524</v>
      </c>
      <c r="C525" s="2" t="s">
        <v>4041</v>
      </c>
      <c r="D525" s="3" t="s">
        <v>4042</v>
      </c>
      <c r="E525" s="3">
        <v>1</v>
      </c>
      <c r="F525" s="3" t="s">
        <v>2001</v>
      </c>
    </row>
    <row r="526" s="2" customFormat="1" spans="1:6">
      <c r="A526" s="3"/>
      <c r="B526" s="3">
        <v>525</v>
      </c>
      <c r="C526" s="2" t="s">
        <v>4043</v>
      </c>
      <c r="D526" s="3" t="s">
        <v>4044</v>
      </c>
      <c r="E526" s="3">
        <v>1</v>
      </c>
      <c r="F526" s="3" t="s">
        <v>2001</v>
      </c>
    </row>
    <row r="527" s="2" customFormat="1" spans="1:6">
      <c r="A527" s="3"/>
      <c r="B527" s="3">
        <v>526</v>
      </c>
      <c r="C527" s="2" t="s">
        <v>3700</v>
      </c>
      <c r="D527" s="3" t="s">
        <v>3701</v>
      </c>
      <c r="E527" s="3">
        <v>1</v>
      </c>
      <c r="F527" s="3" t="s">
        <v>2001</v>
      </c>
    </row>
    <row r="528" s="2" customFormat="1" spans="1:6">
      <c r="A528" s="3"/>
      <c r="B528" s="3">
        <v>527</v>
      </c>
      <c r="C528" s="2" t="s">
        <v>3702</v>
      </c>
      <c r="D528" s="3" t="s">
        <v>3703</v>
      </c>
      <c r="E528" s="3">
        <v>1</v>
      </c>
      <c r="F528" s="3" t="s">
        <v>2001</v>
      </c>
    </row>
    <row r="529" s="2" customFormat="1" spans="1:6">
      <c r="A529" s="3"/>
      <c r="B529" s="3">
        <v>528</v>
      </c>
      <c r="C529" s="2" t="s">
        <v>3714</v>
      </c>
      <c r="D529" s="3" t="s">
        <v>3715</v>
      </c>
      <c r="E529" s="3">
        <v>2</v>
      </c>
      <c r="F529" s="3" t="s">
        <v>2001</v>
      </c>
    </row>
    <row r="530" s="2" customFormat="1" spans="1:6">
      <c r="A530" s="3"/>
      <c r="B530" s="3">
        <v>529</v>
      </c>
      <c r="C530" s="2" t="s">
        <v>3716</v>
      </c>
      <c r="D530" s="3" t="s">
        <v>3717</v>
      </c>
      <c r="E530" s="3">
        <v>2</v>
      </c>
      <c r="F530" s="3" t="s">
        <v>2001</v>
      </c>
    </row>
    <row r="531" s="2" customFormat="1" spans="1:6">
      <c r="A531" s="3"/>
      <c r="B531" s="3">
        <v>530</v>
      </c>
      <c r="C531" s="2" t="s">
        <v>3718</v>
      </c>
      <c r="D531" s="3" t="s">
        <v>3719</v>
      </c>
      <c r="E531" s="3">
        <v>2</v>
      </c>
      <c r="F531" s="3" t="s">
        <v>2001</v>
      </c>
    </row>
    <row r="532" s="2" customFormat="1" spans="1:6">
      <c r="A532" s="3"/>
      <c r="B532" s="3">
        <v>531</v>
      </c>
      <c r="C532" s="2" t="s">
        <v>3720</v>
      </c>
      <c r="D532" s="3" t="s">
        <v>3721</v>
      </c>
      <c r="E532" s="3">
        <v>1</v>
      </c>
      <c r="F532" s="3" t="s">
        <v>2001</v>
      </c>
    </row>
    <row r="533" s="2" customFormat="1" spans="1:6">
      <c r="A533" s="3"/>
      <c r="B533" s="3">
        <v>532</v>
      </c>
      <c r="C533" s="2" t="s">
        <v>3722</v>
      </c>
      <c r="D533" s="3" t="s">
        <v>3723</v>
      </c>
      <c r="E533" s="3">
        <v>1</v>
      </c>
      <c r="F533" s="3" t="s">
        <v>2001</v>
      </c>
    </row>
    <row r="534" s="2" customFormat="1" spans="1:6">
      <c r="A534" s="3"/>
      <c r="B534" s="3">
        <v>533</v>
      </c>
      <c r="C534" s="2" t="s">
        <v>3133</v>
      </c>
      <c r="D534" s="3" t="s">
        <v>3134</v>
      </c>
      <c r="E534" s="3">
        <v>1</v>
      </c>
      <c r="F534" s="3" t="s">
        <v>2001</v>
      </c>
    </row>
    <row r="535" s="2" customFormat="1" spans="1:6">
      <c r="A535" s="3"/>
      <c r="B535" s="3">
        <v>534</v>
      </c>
      <c r="C535" s="2" t="s">
        <v>3135</v>
      </c>
      <c r="D535" s="3" t="s">
        <v>3136</v>
      </c>
      <c r="E535" s="3">
        <v>1</v>
      </c>
      <c r="F535" s="3" t="s">
        <v>2001</v>
      </c>
    </row>
    <row r="536" s="2" customFormat="1" spans="1:6">
      <c r="A536" s="3"/>
      <c r="B536" s="3">
        <v>535</v>
      </c>
      <c r="C536" s="2" t="s">
        <v>3728</v>
      </c>
      <c r="D536" s="3" t="s">
        <v>3729</v>
      </c>
      <c r="E536" s="3">
        <v>1</v>
      </c>
      <c r="F536" s="3" t="s">
        <v>2001</v>
      </c>
    </row>
    <row r="537" s="2" customFormat="1" spans="1:6">
      <c r="A537" s="3"/>
      <c r="B537" s="3">
        <v>536</v>
      </c>
      <c r="C537" s="2" t="s">
        <v>3730</v>
      </c>
      <c r="D537" s="3" t="s">
        <v>3731</v>
      </c>
      <c r="E537" s="3">
        <v>1</v>
      </c>
      <c r="F537" s="3" t="s">
        <v>2001</v>
      </c>
    </row>
    <row r="538" s="2" customFormat="1" spans="1:6">
      <c r="A538" s="3"/>
      <c r="B538" s="3">
        <v>537</v>
      </c>
      <c r="C538" s="2" t="s">
        <v>128</v>
      </c>
      <c r="D538" s="3" t="s">
        <v>3139</v>
      </c>
      <c r="E538" s="3">
        <v>1</v>
      </c>
      <c r="F538" s="3" t="s">
        <v>2001</v>
      </c>
    </row>
    <row r="539" s="2" customFormat="1" spans="1:6">
      <c r="A539" s="3"/>
      <c r="B539" s="3">
        <v>538</v>
      </c>
      <c r="C539" s="2" t="s">
        <v>3140</v>
      </c>
      <c r="D539" s="3" t="s">
        <v>3141</v>
      </c>
      <c r="E539" s="3">
        <v>5</v>
      </c>
      <c r="F539" s="3" t="s">
        <v>2001</v>
      </c>
    </row>
    <row r="540" s="2" customFormat="1" spans="1:6">
      <c r="A540" s="3"/>
      <c r="B540" s="3">
        <v>539</v>
      </c>
      <c r="C540" s="2" t="s">
        <v>3142</v>
      </c>
      <c r="D540" s="3" t="s">
        <v>3143</v>
      </c>
      <c r="E540" s="3">
        <v>5</v>
      </c>
      <c r="F540" s="3" t="s">
        <v>2001</v>
      </c>
    </row>
    <row r="541" s="2" customFormat="1" spans="1:6">
      <c r="A541" s="3"/>
      <c r="B541" s="3">
        <v>540</v>
      </c>
      <c r="C541" s="2" t="s">
        <v>3144</v>
      </c>
      <c r="D541" s="3" t="s">
        <v>3145</v>
      </c>
      <c r="E541" s="3">
        <v>1</v>
      </c>
      <c r="F541" s="3" t="s">
        <v>2001</v>
      </c>
    </row>
    <row r="542" s="2" customFormat="1" spans="1:6">
      <c r="A542" s="3"/>
      <c r="B542" s="3">
        <v>541</v>
      </c>
      <c r="C542" s="2" t="s">
        <v>3146</v>
      </c>
      <c r="D542" s="3" t="s">
        <v>3147</v>
      </c>
      <c r="E542" s="3">
        <v>8</v>
      </c>
      <c r="F542" s="3" t="s">
        <v>2001</v>
      </c>
    </row>
    <row r="543" s="2" customFormat="1" spans="1:6">
      <c r="A543" s="3"/>
      <c r="B543" s="3">
        <v>542</v>
      </c>
      <c r="C543" s="2" t="s">
        <v>3148</v>
      </c>
      <c r="D543" s="3" t="s">
        <v>3149</v>
      </c>
      <c r="E543" s="3">
        <v>1</v>
      </c>
      <c r="F543" s="3" t="s">
        <v>2001</v>
      </c>
    </row>
    <row r="544" s="2" customFormat="1" spans="1:6">
      <c r="A544" s="3"/>
      <c r="B544" s="3">
        <v>543</v>
      </c>
      <c r="C544" s="2" t="s">
        <v>3150</v>
      </c>
      <c r="D544" s="3" t="s">
        <v>3151</v>
      </c>
      <c r="E544" s="3">
        <v>10</v>
      </c>
      <c r="F544" s="3" t="s">
        <v>2001</v>
      </c>
    </row>
    <row r="545" s="2" customFormat="1" spans="1:6">
      <c r="A545" s="3"/>
      <c r="B545" s="3">
        <v>544</v>
      </c>
      <c r="C545" s="2" t="s">
        <v>3152</v>
      </c>
      <c r="D545" s="3" t="s">
        <v>3153</v>
      </c>
      <c r="E545" s="3">
        <v>1</v>
      </c>
      <c r="F545" s="3" t="s">
        <v>2001</v>
      </c>
    </row>
    <row r="546" s="2" customFormat="1" spans="1:6">
      <c r="A546" s="3"/>
      <c r="B546" s="3">
        <v>545</v>
      </c>
      <c r="C546" s="2" t="s">
        <v>3154</v>
      </c>
      <c r="D546" s="3" t="s">
        <v>3155</v>
      </c>
      <c r="E546" s="3">
        <v>21</v>
      </c>
      <c r="F546" s="3" t="s">
        <v>2001</v>
      </c>
    </row>
    <row r="547" s="2" customFormat="1" spans="1:6">
      <c r="A547" s="3"/>
      <c r="B547" s="3">
        <v>546</v>
      </c>
      <c r="C547" s="2" t="s">
        <v>3156</v>
      </c>
      <c r="D547" s="3" t="s">
        <v>3157</v>
      </c>
      <c r="E547" s="3">
        <v>8</v>
      </c>
      <c r="F547" s="3" t="s">
        <v>2001</v>
      </c>
    </row>
    <row r="548" s="2" customFormat="1" spans="1:6">
      <c r="A548" s="3"/>
      <c r="B548" s="3">
        <v>547</v>
      </c>
      <c r="C548" s="2" t="s">
        <v>4045</v>
      </c>
      <c r="D548" s="3" t="s">
        <v>4046</v>
      </c>
      <c r="E548" s="3">
        <v>1</v>
      </c>
      <c r="F548" s="3" t="s">
        <v>2001</v>
      </c>
    </row>
    <row r="549" s="2" customFormat="1" spans="1:6">
      <c r="A549" s="3"/>
      <c r="B549" s="3">
        <v>548</v>
      </c>
      <c r="C549" s="2" t="s">
        <v>125</v>
      </c>
      <c r="D549" s="3" t="s">
        <v>4047</v>
      </c>
      <c r="E549" s="3">
        <v>12</v>
      </c>
      <c r="F549" s="3" t="s">
        <v>2001</v>
      </c>
    </row>
    <row r="550" s="2" customFormat="1" spans="1:6">
      <c r="A550" s="3"/>
      <c r="B550" s="3">
        <v>549</v>
      </c>
      <c r="C550" s="2" t="s">
        <v>122</v>
      </c>
      <c r="D550" s="3" t="s">
        <v>3158</v>
      </c>
      <c r="E550" s="3">
        <v>1</v>
      </c>
      <c r="F550" s="3" t="s">
        <v>2001</v>
      </c>
    </row>
    <row r="551" s="2" customFormat="1" spans="1:6">
      <c r="A551" s="3"/>
      <c r="B551" s="3">
        <v>550</v>
      </c>
      <c r="C551" s="2" t="s">
        <v>120</v>
      </c>
      <c r="D551" s="3" t="s">
        <v>3160</v>
      </c>
      <c r="E551" s="3">
        <v>25</v>
      </c>
      <c r="F551" s="3" t="s">
        <v>2001</v>
      </c>
    </row>
    <row r="552" s="2" customFormat="1" spans="1:6">
      <c r="A552" s="3"/>
      <c r="B552" s="3">
        <v>551</v>
      </c>
      <c r="C552" s="2" t="s">
        <v>4048</v>
      </c>
      <c r="D552" s="3" t="s">
        <v>4049</v>
      </c>
      <c r="E552" s="3">
        <v>24</v>
      </c>
      <c r="F552" s="3" t="s">
        <v>3047</v>
      </c>
    </row>
    <row r="553" s="2" customFormat="1" spans="1:6">
      <c r="A553" s="3"/>
      <c r="B553" s="3">
        <v>552</v>
      </c>
      <c r="C553" s="2" t="s">
        <v>3161</v>
      </c>
      <c r="D553" s="3" t="s">
        <v>3162</v>
      </c>
      <c r="E553" s="3">
        <v>50</v>
      </c>
      <c r="F553" s="3" t="s">
        <v>2001</v>
      </c>
    </row>
    <row r="554" s="2" customFormat="1" spans="1:6">
      <c r="A554" s="3"/>
      <c r="B554" s="3">
        <v>553</v>
      </c>
      <c r="C554" s="2" t="s">
        <v>3163</v>
      </c>
      <c r="D554" s="3" t="s">
        <v>3164</v>
      </c>
      <c r="E554" s="3">
        <v>130</v>
      </c>
      <c r="F554" s="3"/>
    </row>
    <row r="555" s="2" customFormat="1" spans="1:6">
      <c r="A555" s="3"/>
      <c r="B555" s="3">
        <v>554</v>
      </c>
      <c r="C555" s="2" t="s">
        <v>3169</v>
      </c>
      <c r="D555" s="3" t="s">
        <v>3170</v>
      </c>
      <c r="E555" s="3">
        <v>1</v>
      </c>
      <c r="F555" s="3"/>
    </row>
    <row r="556" s="2" customFormat="1" spans="1:6">
      <c r="A556" s="3"/>
      <c r="B556" s="3">
        <v>555</v>
      </c>
      <c r="C556" s="2" t="s">
        <v>3174</v>
      </c>
      <c r="D556" s="3" t="s">
        <v>3175</v>
      </c>
      <c r="E556" s="3">
        <v>3</v>
      </c>
      <c r="F556" s="3"/>
    </row>
    <row r="557" s="2" customFormat="1" spans="1:6">
      <c r="A557" s="3"/>
      <c r="B557" s="3">
        <v>556</v>
      </c>
      <c r="C557" s="2" t="s">
        <v>4050</v>
      </c>
      <c r="D557" s="3" t="s">
        <v>4051</v>
      </c>
      <c r="E557" s="3">
        <v>4</v>
      </c>
      <c r="F557" s="3"/>
    </row>
    <row r="558" s="2" customFormat="1" spans="1:6">
      <c r="A558" s="3"/>
      <c r="B558" s="3">
        <v>557</v>
      </c>
      <c r="C558" s="2" t="s">
        <v>3182</v>
      </c>
      <c r="D558" s="3" t="s">
        <v>3183</v>
      </c>
      <c r="E558" s="3">
        <v>24</v>
      </c>
      <c r="F558" s="3"/>
    </row>
    <row r="559" s="2" customFormat="1" spans="1:6">
      <c r="A559" s="3"/>
      <c r="B559" s="3">
        <v>558</v>
      </c>
      <c r="C559" s="2" t="s">
        <v>3184</v>
      </c>
      <c r="D559" s="3" t="s">
        <v>3185</v>
      </c>
      <c r="E559" s="3">
        <v>1</v>
      </c>
      <c r="F559" s="3"/>
    </row>
    <row r="560" s="2" customFormat="1" spans="1:6">
      <c r="A560" s="3"/>
      <c r="B560" s="3">
        <v>559</v>
      </c>
      <c r="C560" s="2" t="s">
        <v>4052</v>
      </c>
      <c r="D560" s="3" t="s">
        <v>4053</v>
      </c>
      <c r="E560" s="3">
        <v>3</v>
      </c>
      <c r="F560" s="3"/>
    </row>
    <row r="561" s="2" customFormat="1" spans="1:6">
      <c r="A561" s="3"/>
      <c r="B561" s="3">
        <v>560</v>
      </c>
      <c r="C561" s="2" t="s">
        <v>3196</v>
      </c>
      <c r="D561" s="3" t="s">
        <v>3197</v>
      </c>
      <c r="E561" s="3">
        <v>1</v>
      </c>
      <c r="F561" s="3"/>
    </row>
    <row r="562" s="2" customFormat="1" spans="1:6">
      <c r="A562" s="3"/>
      <c r="B562" s="3">
        <v>561</v>
      </c>
      <c r="C562" s="2" t="s">
        <v>3198</v>
      </c>
      <c r="D562" s="3" t="s">
        <v>3199</v>
      </c>
      <c r="E562" s="3">
        <v>1</v>
      </c>
      <c r="F562" s="3"/>
    </row>
    <row r="563" s="2" customFormat="1" spans="1:6">
      <c r="A563" s="3"/>
      <c r="B563" s="3">
        <v>562</v>
      </c>
      <c r="C563" s="2" t="s">
        <v>4054</v>
      </c>
      <c r="D563" s="3" t="s">
        <v>4055</v>
      </c>
      <c r="E563" s="3">
        <v>2</v>
      </c>
      <c r="F563" s="3"/>
    </row>
    <row r="564" s="2" customFormat="1" spans="1:6">
      <c r="A564" s="3"/>
      <c r="B564" s="3">
        <v>563</v>
      </c>
      <c r="C564" s="2" t="s">
        <v>3204</v>
      </c>
      <c r="D564" s="3" t="s">
        <v>3205</v>
      </c>
      <c r="E564" s="3">
        <v>3</v>
      </c>
      <c r="F564" s="3"/>
    </row>
    <row r="565" s="2" customFormat="1" spans="1:6">
      <c r="A565" s="3"/>
      <c r="B565" s="3">
        <v>564</v>
      </c>
      <c r="C565" s="2" t="s">
        <v>4056</v>
      </c>
      <c r="D565" s="3" t="s">
        <v>4057</v>
      </c>
      <c r="E565" s="3">
        <v>3</v>
      </c>
      <c r="F565" s="3"/>
    </row>
    <row r="566" s="2" customFormat="1" spans="1:6">
      <c r="A566" s="3"/>
      <c r="B566" s="3">
        <v>565</v>
      </c>
      <c r="C566" s="2" t="s">
        <v>4058</v>
      </c>
      <c r="D566" s="3" t="s">
        <v>4059</v>
      </c>
      <c r="E566" s="3">
        <v>2</v>
      </c>
      <c r="F566" s="3"/>
    </row>
    <row r="567" s="2" customFormat="1" spans="1:6">
      <c r="A567" s="3"/>
      <c r="B567" s="3">
        <v>566</v>
      </c>
      <c r="C567" s="2" t="s">
        <v>4060</v>
      </c>
      <c r="D567" s="3" t="s">
        <v>4061</v>
      </c>
      <c r="E567" s="3">
        <v>1</v>
      </c>
      <c r="F567" s="3"/>
    </row>
    <row r="568" s="2" customFormat="1" spans="1:6">
      <c r="A568" s="3"/>
      <c r="B568" s="3">
        <v>567</v>
      </c>
      <c r="C568" s="2" t="s">
        <v>4062</v>
      </c>
      <c r="D568" s="3" t="s">
        <v>4063</v>
      </c>
      <c r="E568" s="3">
        <v>1</v>
      </c>
      <c r="F568" s="3"/>
    </row>
    <row r="569" s="2" customFormat="1" spans="1:6">
      <c r="A569" s="3"/>
      <c r="B569" s="3">
        <v>568</v>
      </c>
      <c r="C569" s="2" t="s">
        <v>3206</v>
      </c>
      <c r="D569" s="3" t="s">
        <v>3207</v>
      </c>
      <c r="E569" s="3">
        <v>1</v>
      </c>
      <c r="F569" s="3"/>
    </row>
    <row r="570" s="2" customFormat="1" spans="1:6">
      <c r="A570" s="3"/>
      <c r="B570" s="3">
        <v>569</v>
      </c>
      <c r="C570" s="2" t="s">
        <v>4064</v>
      </c>
      <c r="D570" s="3" t="s">
        <v>4065</v>
      </c>
      <c r="E570" s="3">
        <v>1</v>
      </c>
      <c r="F570" s="3"/>
    </row>
    <row r="571" s="2" customFormat="1" spans="1:6">
      <c r="A571" s="3"/>
      <c r="B571" s="3">
        <v>570</v>
      </c>
      <c r="C571" s="2" t="s">
        <v>4066</v>
      </c>
      <c r="D571" s="3" t="s">
        <v>4067</v>
      </c>
      <c r="E571" s="3">
        <v>1</v>
      </c>
      <c r="F571" s="3"/>
    </row>
    <row r="572" s="2" customFormat="1" spans="1:6">
      <c r="A572" s="3"/>
      <c r="B572" s="3">
        <v>571</v>
      </c>
      <c r="C572" s="2" t="s">
        <v>4068</v>
      </c>
      <c r="D572" s="3" t="s">
        <v>4069</v>
      </c>
      <c r="E572" s="3">
        <v>1</v>
      </c>
      <c r="F572" s="3"/>
    </row>
    <row r="573" s="2" customFormat="1" spans="1:6">
      <c r="A573" s="3"/>
      <c r="B573" s="3">
        <v>572</v>
      </c>
      <c r="C573" s="2" t="s">
        <v>3210</v>
      </c>
      <c r="D573" s="3" t="s">
        <v>3211</v>
      </c>
      <c r="E573" s="3">
        <v>2</v>
      </c>
      <c r="F573" s="3"/>
    </row>
    <row r="574" s="2" customFormat="1" spans="1:6">
      <c r="A574" s="3"/>
      <c r="B574" s="3">
        <v>573</v>
      </c>
      <c r="C574" s="2" t="s">
        <v>4070</v>
      </c>
      <c r="D574" s="3" t="s">
        <v>4071</v>
      </c>
      <c r="E574" s="3">
        <v>4</v>
      </c>
      <c r="F574" s="3"/>
    </row>
    <row r="575" s="2" customFormat="1" spans="1:6">
      <c r="A575" s="3"/>
      <c r="B575" s="3">
        <v>574</v>
      </c>
      <c r="C575" s="2" t="s">
        <v>4072</v>
      </c>
      <c r="D575" s="3" t="s">
        <v>4073</v>
      </c>
      <c r="E575" s="3">
        <v>1</v>
      </c>
      <c r="F575" s="3"/>
    </row>
    <row r="576" s="2" customFormat="1" spans="1:6">
      <c r="A576" s="3"/>
      <c r="B576" s="3">
        <v>575</v>
      </c>
      <c r="C576" s="2" t="s">
        <v>4074</v>
      </c>
      <c r="D576" s="3" t="s">
        <v>4075</v>
      </c>
      <c r="E576" s="3">
        <v>2</v>
      </c>
      <c r="F576" s="3"/>
    </row>
    <row r="577" s="2" customFormat="1" spans="1:6">
      <c r="A577" s="3"/>
      <c r="B577" s="3">
        <v>576</v>
      </c>
      <c r="C577" s="2" t="s">
        <v>4076</v>
      </c>
      <c r="D577" s="3" t="s">
        <v>4077</v>
      </c>
      <c r="E577" s="3">
        <v>2</v>
      </c>
      <c r="F577" s="3"/>
    </row>
    <row r="578" s="2" customFormat="1" spans="1:6">
      <c r="A578" s="3"/>
      <c r="B578" s="3">
        <v>577</v>
      </c>
      <c r="C578" s="2" t="s">
        <v>4078</v>
      </c>
      <c r="D578" s="3" t="s">
        <v>4079</v>
      </c>
      <c r="E578" s="3">
        <v>1</v>
      </c>
      <c r="F578" s="3"/>
    </row>
    <row r="579" s="2" customFormat="1" spans="1:6">
      <c r="A579" s="3"/>
      <c r="B579" s="3">
        <v>578</v>
      </c>
      <c r="C579" s="2" t="s">
        <v>4080</v>
      </c>
      <c r="D579" s="3" t="s">
        <v>4081</v>
      </c>
      <c r="E579" s="3">
        <v>1</v>
      </c>
      <c r="F579" s="3"/>
    </row>
    <row r="580" s="2" customFormat="1" spans="1:6">
      <c r="A580" s="3"/>
      <c r="B580" s="3">
        <v>579</v>
      </c>
      <c r="C580" s="2" t="s">
        <v>4082</v>
      </c>
      <c r="D580" s="3" t="s">
        <v>4083</v>
      </c>
      <c r="E580" s="3">
        <v>1</v>
      </c>
      <c r="F580" s="3"/>
    </row>
    <row r="581" s="2" customFormat="1" spans="1:6">
      <c r="A581" s="3"/>
      <c r="B581" s="3">
        <v>580</v>
      </c>
      <c r="C581" s="2" t="s">
        <v>4084</v>
      </c>
      <c r="D581" s="3" t="s">
        <v>4085</v>
      </c>
      <c r="E581" s="3">
        <v>8</v>
      </c>
      <c r="F581" s="3" t="s">
        <v>2001</v>
      </c>
    </row>
    <row r="582" s="2" customFormat="1" spans="1:6">
      <c r="A582" s="3"/>
      <c r="B582" s="3">
        <v>581</v>
      </c>
      <c r="C582" s="2" t="s">
        <v>3236</v>
      </c>
      <c r="D582" s="3" t="s">
        <v>3237</v>
      </c>
      <c r="E582" s="3">
        <v>27</v>
      </c>
      <c r="F582" s="3" t="s">
        <v>2001</v>
      </c>
    </row>
    <row r="583" s="2" customFormat="1" spans="1:6">
      <c r="A583" s="3"/>
      <c r="B583" s="3">
        <v>582</v>
      </c>
      <c r="C583" s="2" t="s">
        <v>3238</v>
      </c>
      <c r="D583" s="3" t="s">
        <v>3239</v>
      </c>
      <c r="E583" s="3">
        <v>24</v>
      </c>
      <c r="F583" s="3" t="s">
        <v>2001</v>
      </c>
    </row>
    <row r="584" s="2" customFormat="1" spans="1:6">
      <c r="A584" s="3"/>
      <c r="B584" s="3">
        <v>583</v>
      </c>
      <c r="C584" s="2" t="s">
        <v>3246</v>
      </c>
      <c r="D584" s="3" t="s">
        <v>3247</v>
      </c>
      <c r="E584" s="3">
        <v>12</v>
      </c>
      <c r="F584" s="3" t="s">
        <v>2792</v>
      </c>
    </row>
    <row r="585" s="2" customFormat="1" spans="1:6">
      <c r="A585" s="3"/>
      <c r="B585" s="3">
        <v>584</v>
      </c>
      <c r="C585" s="2" t="s">
        <v>4086</v>
      </c>
      <c r="D585" s="3" t="s">
        <v>4087</v>
      </c>
      <c r="E585" s="3">
        <v>17</v>
      </c>
      <c r="F585" s="3" t="s">
        <v>2792</v>
      </c>
    </row>
    <row r="586" s="2" customFormat="1" spans="1:6">
      <c r="A586" s="3"/>
      <c r="B586" s="3">
        <v>585</v>
      </c>
      <c r="C586" s="2" t="s">
        <v>4088</v>
      </c>
      <c r="D586" s="3" t="s">
        <v>4089</v>
      </c>
      <c r="E586" s="6">
        <v>1008</v>
      </c>
      <c r="F586" s="3" t="s">
        <v>2001</v>
      </c>
    </row>
    <row r="587" s="2" customFormat="1" spans="1:6">
      <c r="A587" s="3"/>
      <c r="B587" s="3">
        <v>586</v>
      </c>
      <c r="C587" s="2" t="s">
        <v>4090</v>
      </c>
      <c r="D587" s="3" t="s">
        <v>4091</v>
      </c>
      <c r="E587" s="3">
        <v>27</v>
      </c>
      <c r="F587" s="3" t="s">
        <v>2001</v>
      </c>
    </row>
    <row r="588" s="2" customFormat="1" spans="1:6">
      <c r="A588" s="3"/>
      <c r="B588" s="3">
        <v>587</v>
      </c>
      <c r="C588" s="2" t="s">
        <v>3266</v>
      </c>
      <c r="D588" s="3" t="s">
        <v>3267</v>
      </c>
      <c r="E588" s="3">
        <v>77</v>
      </c>
      <c r="F588" s="3" t="s">
        <v>2001</v>
      </c>
    </row>
    <row r="589" s="2" customFormat="1" spans="1:6">
      <c r="A589" s="3"/>
      <c r="B589" s="3">
        <v>588</v>
      </c>
      <c r="C589" s="2" t="s">
        <v>111</v>
      </c>
      <c r="D589" s="3" t="s">
        <v>3274</v>
      </c>
      <c r="E589" s="3">
        <v>48</v>
      </c>
      <c r="F589" s="3" t="s">
        <v>2792</v>
      </c>
    </row>
    <row r="590" s="2" customFormat="1" spans="1:6">
      <c r="A590" s="3"/>
      <c r="B590" s="3">
        <v>589</v>
      </c>
      <c r="C590" s="2" t="s">
        <v>3279</v>
      </c>
      <c r="D590" s="3" t="s">
        <v>3280</v>
      </c>
      <c r="E590" s="3">
        <v>24</v>
      </c>
      <c r="F590" s="3" t="s">
        <v>2792</v>
      </c>
    </row>
    <row r="591" s="2" customFormat="1" spans="1:6">
      <c r="A591" s="3"/>
      <c r="B591" s="3">
        <v>590</v>
      </c>
      <c r="C591" s="2" t="s">
        <v>3741</v>
      </c>
      <c r="D591" s="3" t="s">
        <v>3742</v>
      </c>
      <c r="E591" s="3">
        <v>24</v>
      </c>
      <c r="F591" s="3" t="s">
        <v>2792</v>
      </c>
    </row>
    <row r="592" s="2" customFormat="1" spans="1:6">
      <c r="A592" s="3"/>
      <c r="B592" s="3">
        <v>591</v>
      </c>
      <c r="C592" s="2" t="s">
        <v>3281</v>
      </c>
      <c r="D592" s="3" t="s">
        <v>3282</v>
      </c>
      <c r="E592" s="3">
        <v>24</v>
      </c>
      <c r="F592" s="3" t="s">
        <v>2792</v>
      </c>
    </row>
    <row r="593" s="2" customFormat="1" spans="1:6">
      <c r="A593" s="3"/>
      <c r="B593" s="3">
        <v>592</v>
      </c>
      <c r="C593" s="2" t="s">
        <v>3283</v>
      </c>
      <c r="D593" s="3" t="s">
        <v>3284</v>
      </c>
      <c r="E593" s="3">
        <v>36</v>
      </c>
      <c r="F593" s="3" t="s">
        <v>2001</v>
      </c>
    </row>
    <row r="594" s="2" customFormat="1" spans="1:6">
      <c r="A594" s="3"/>
      <c r="B594" s="3">
        <v>593</v>
      </c>
      <c r="C594" s="2" t="s">
        <v>3743</v>
      </c>
      <c r="D594" s="3" t="s">
        <v>3744</v>
      </c>
      <c r="E594" s="3">
        <v>40</v>
      </c>
      <c r="F594" s="3" t="s">
        <v>2792</v>
      </c>
    </row>
    <row r="595" s="2" customFormat="1" spans="1:6">
      <c r="A595" s="3"/>
      <c r="B595" s="3">
        <v>594</v>
      </c>
      <c r="C595" s="2" t="s">
        <v>3285</v>
      </c>
      <c r="D595" s="3" t="s">
        <v>3286</v>
      </c>
      <c r="E595" s="3">
        <v>48</v>
      </c>
      <c r="F595" s="3" t="s">
        <v>2792</v>
      </c>
    </row>
    <row r="596" s="2" customFormat="1" spans="1:6">
      <c r="A596" s="3"/>
      <c r="B596" s="3">
        <v>595</v>
      </c>
      <c r="C596" s="2" t="s">
        <v>3287</v>
      </c>
      <c r="D596" s="3" t="s">
        <v>3288</v>
      </c>
      <c r="E596" s="3">
        <v>24</v>
      </c>
      <c r="F596" s="3" t="s">
        <v>2792</v>
      </c>
    </row>
    <row r="597" s="2" customFormat="1" spans="1:6">
      <c r="A597" s="3"/>
      <c r="B597" s="3">
        <v>596</v>
      </c>
      <c r="C597" s="2" t="s">
        <v>3289</v>
      </c>
      <c r="D597" s="3" t="s">
        <v>3290</v>
      </c>
      <c r="E597" s="3">
        <v>65</v>
      </c>
      <c r="F597" s="3" t="s">
        <v>2001</v>
      </c>
    </row>
    <row r="598" s="2" customFormat="1" spans="1:6">
      <c r="A598" s="3"/>
      <c r="B598" s="3">
        <v>597</v>
      </c>
      <c r="C598" s="2" t="s">
        <v>3291</v>
      </c>
      <c r="D598" s="3" t="s">
        <v>3292</v>
      </c>
      <c r="E598" s="3">
        <v>16</v>
      </c>
      <c r="F598" s="3" t="s">
        <v>2001</v>
      </c>
    </row>
    <row r="599" s="2" customFormat="1" spans="1:6">
      <c r="A599" s="3"/>
      <c r="B599" s="3">
        <v>598</v>
      </c>
      <c r="C599" s="2" t="s">
        <v>115</v>
      </c>
      <c r="D599" s="3" t="s">
        <v>3293</v>
      </c>
      <c r="E599" s="3">
        <v>25</v>
      </c>
      <c r="F599" s="3" t="s">
        <v>2792</v>
      </c>
    </row>
    <row r="600" s="2" customFormat="1" spans="1:6">
      <c r="A600" s="3"/>
      <c r="B600" s="3">
        <v>599</v>
      </c>
      <c r="C600" s="2" t="s">
        <v>98</v>
      </c>
      <c r="D600" s="3" t="s">
        <v>3294</v>
      </c>
      <c r="E600" s="3">
        <v>48</v>
      </c>
      <c r="F600" s="3" t="s">
        <v>2001</v>
      </c>
    </row>
    <row r="601" s="2" customFormat="1" spans="1:6">
      <c r="A601" s="3"/>
      <c r="B601" s="3">
        <v>600</v>
      </c>
      <c r="C601" s="2" t="s">
        <v>3296</v>
      </c>
      <c r="D601" s="3" t="s">
        <v>3297</v>
      </c>
      <c r="E601" s="3">
        <v>2</v>
      </c>
      <c r="F601" s="3" t="s">
        <v>2001</v>
      </c>
    </row>
    <row r="602" s="2" customFormat="1" spans="1:6">
      <c r="A602" s="3"/>
      <c r="B602" s="3">
        <v>601</v>
      </c>
      <c r="C602" s="2" t="s">
        <v>3300</v>
      </c>
      <c r="D602" s="3" t="s">
        <v>3301</v>
      </c>
      <c r="E602" s="3">
        <v>2</v>
      </c>
      <c r="F602" s="3" t="s">
        <v>3752</v>
      </c>
    </row>
    <row r="603" s="2" customFormat="1" spans="1:6">
      <c r="A603" s="3"/>
      <c r="B603" s="3">
        <v>602</v>
      </c>
      <c r="C603" s="2" t="s">
        <v>3750</v>
      </c>
      <c r="D603" s="3" t="s">
        <v>3751</v>
      </c>
      <c r="E603" s="3">
        <v>1</v>
      </c>
      <c r="F603" s="3" t="s">
        <v>3752</v>
      </c>
    </row>
    <row r="604" s="2" customFormat="1" spans="1:6">
      <c r="A604" s="3"/>
      <c r="B604" s="3">
        <v>603</v>
      </c>
      <c r="C604" s="2" t="s">
        <v>3753</v>
      </c>
      <c r="D604" s="3" t="s">
        <v>3754</v>
      </c>
      <c r="E604" s="3">
        <v>1</v>
      </c>
      <c r="F604" s="3" t="s">
        <v>3752</v>
      </c>
    </row>
    <row r="605" s="2" customFormat="1" spans="1:6">
      <c r="A605" s="3"/>
      <c r="B605" s="3">
        <v>604</v>
      </c>
      <c r="C605" s="2" t="s">
        <v>3755</v>
      </c>
      <c r="D605" s="3" t="s">
        <v>3756</v>
      </c>
      <c r="E605" s="3">
        <v>1</v>
      </c>
      <c r="F605" s="3" t="s">
        <v>3752</v>
      </c>
    </row>
    <row r="606" s="2" customFormat="1" spans="1:6">
      <c r="A606" s="3"/>
      <c r="B606" s="3">
        <v>605</v>
      </c>
      <c r="C606" s="2" t="s">
        <v>3757</v>
      </c>
      <c r="D606" s="3" t="s">
        <v>3758</v>
      </c>
      <c r="E606" s="3">
        <v>1</v>
      </c>
      <c r="F606" s="3" t="s">
        <v>3752</v>
      </c>
    </row>
    <row r="607" s="2" customFormat="1" spans="1:6">
      <c r="A607" s="3"/>
      <c r="B607" s="3">
        <v>606</v>
      </c>
      <c r="C607" s="2" t="s">
        <v>3759</v>
      </c>
      <c r="D607" s="3" t="s">
        <v>3760</v>
      </c>
      <c r="E607" s="3">
        <v>1</v>
      </c>
      <c r="F607" s="3" t="s">
        <v>3752</v>
      </c>
    </row>
    <row r="608" s="2" customFormat="1" spans="1:6">
      <c r="A608" s="3"/>
      <c r="B608" s="3">
        <v>607</v>
      </c>
      <c r="C608" s="2" t="s">
        <v>3761</v>
      </c>
      <c r="D608" s="3" t="s">
        <v>3762</v>
      </c>
      <c r="E608" s="3">
        <v>1</v>
      </c>
      <c r="F608" s="3" t="s">
        <v>3752</v>
      </c>
    </row>
    <row r="609" s="2" customFormat="1" spans="1:6">
      <c r="A609" s="3"/>
      <c r="B609" s="3">
        <v>608</v>
      </c>
      <c r="C609" s="2" t="s">
        <v>3763</v>
      </c>
      <c r="D609" s="3" t="s">
        <v>3764</v>
      </c>
      <c r="E609" s="3">
        <v>1</v>
      </c>
      <c r="F609" s="3" t="s">
        <v>3752</v>
      </c>
    </row>
    <row r="610" s="2" customFormat="1" spans="1:6">
      <c r="A610" s="3"/>
      <c r="B610" s="3">
        <v>609</v>
      </c>
      <c r="C610" s="2" t="s">
        <v>3310</v>
      </c>
      <c r="D610" s="3" t="s">
        <v>3311</v>
      </c>
      <c r="E610" s="3">
        <v>5</v>
      </c>
      <c r="F610" s="3" t="s">
        <v>2016</v>
      </c>
    </row>
    <row r="611" s="2" customFormat="1" spans="1:6">
      <c r="A611" s="3"/>
      <c r="B611" s="3">
        <v>610</v>
      </c>
      <c r="C611" s="2" t="s">
        <v>3312</v>
      </c>
      <c r="D611" s="3" t="s">
        <v>3313</v>
      </c>
      <c r="E611" s="3">
        <v>30</v>
      </c>
      <c r="F611" s="3" t="s">
        <v>2001</v>
      </c>
    </row>
    <row r="612" s="2" customFormat="1" spans="1:6">
      <c r="A612" s="3"/>
      <c r="B612" s="3">
        <v>611</v>
      </c>
      <c r="C612" s="2" t="s">
        <v>4092</v>
      </c>
      <c r="D612" s="3" t="s">
        <v>4093</v>
      </c>
      <c r="E612" s="3">
        <v>12</v>
      </c>
      <c r="F612" s="3" t="s">
        <v>2001</v>
      </c>
    </row>
    <row r="613" s="2" customFormat="1" spans="1:6">
      <c r="A613" s="3"/>
      <c r="B613" s="3">
        <v>612</v>
      </c>
      <c r="C613" s="2" t="s">
        <v>3316</v>
      </c>
      <c r="D613" s="3" t="s">
        <v>3317</v>
      </c>
      <c r="E613" s="3">
        <v>42</v>
      </c>
      <c r="F613" s="3" t="s">
        <v>2001</v>
      </c>
    </row>
    <row r="614" s="2" customFormat="1" spans="1:6">
      <c r="A614" s="3"/>
      <c r="B614" s="3">
        <v>613</v>
      </c>
      <c r="C614" s="2" t="s">
        <v>3342</v>
      </c>
      <c r="D614" s="3" t="s">
        <v>3343</v>
      </c>
      <c r="E614" s="3">
        <v>60</v>
      </c>
      <c r="F614" s="3" t="s">
        <v>2792</v>
      </c>
    </row>
    <row r="615" s="2" customFormat="1" spans="1:6">
      <c r="A615" s="3"/>
      <c r="B615" s="3">
        <v>614</v>
      </c>
      <c r="C615" s="2" t="s">
        <v>3344</v>
      </c>
      <c r="D615" s="3" t="s">
        <v>3345</v>
      </c>
      <c r="E615" s="3">
        <v>80</v>
      </c>
      <c r="F615" s="3"/>
    </row>
    <row r="616" s="2" customFormat="1" spans="1:6">
      <c r="A616" s="3"/>
      <c r="B616" s="3">
        <v>615</v>
      </c>
      <c r="C616" s="2" t="s">
        <v>4094</v>
      </c>
      <c r="D616" s="3" t="s">
        <v>4095</v>
      </c>
      <c r="E616" s="3">
        <v>2</v>
      </c>
      <c r="F616" s="3" t="s">
        <v>2016</v>
      </c>
    </row>
    <row r="617" s="2" customFormat="1" spans="1:6">
      <c r="A617" s="3"/>
      <c r="B617" s="3">
        <v>616</v>
      </c>
      <c r="C617" s="2" t="s">
        <v>4096</v>
      </c>
      <c r="D617" s="3" t="s">
        <v>4097</v>
      </c>
      <c r="E617" s="3">
        <v>66</v>
      </c>
      <c r="F617" s="3" t="s">
        <v>2016</v>
      </c>
    </row>
    <row r="618" s="2" customFormat="1" spans="1:6">
      <c r="A618" s="3"/>
      <c r="B618" s="3"/>
      <c r="C618" s="2"/>
      <c r="D618" s="3"/>
      <c r="E618" s="3"/>
      <c r="F618" s="3"/>
    </row>
    <row r="619" s="2" customFormat="1" spans="1:6">
      <c r="A619" s="3"/>
      <c r="B619" s="3"/>
      <c r="C619" s="2"/>
      <c r="D619" s="3"/>
      <c r="E619" s="3"/>
      <c r="F619" s="3"/>
    </row>
    <row r="620" s="2" customFormat="1" spans="1:6">
      <c r="A620" s="3"/>
      <c r="B620" s="3"/>
      <c r="C620" s="2"/>
      <c r="D620" s="3"/>
      <c r="E620" s="3"/>
      <c r="F620" s="3"/>
    </row>
    <row r="621" s="2" customFormat="1" spans="1:6">
      <c r="A621" s="3"/>
      <c r="B621" s="3"/>
      <c r="C621" s="2"/>
      <c r="D621" s="3"/>
      <c r="E621" s="3"/>
      <c r="F621" s="3"/>
    </row>
    <row r="622" s="2" customFormat="1" spans="1:6">
      <c r="A622" s="3"/>
      <c r="B622" s="3"/>
      <c r="C622" s="2"/>
      <c r="D622" s="3"/>
      <c r="E622" s="3"/>
      <c r="F622" s="3"/>
    </row>
    <row r="623" s="2" customFormat="1" spans="1:6">
      <c r="A623" s="3"/>
      <c r="B623" s="3"/>
      <c r="C623" s="2"/>
      <c r="D623" s="3"/>
      <c r="E623" s="3"/>
      <c r="F623" s="3"/>
    </row>
    <row r="624" s="2" customFormat="1" spans="1:6">
      <c r="A624" s="3"/>
      <c r="B624" s="3"/>
      <c r="C624" s="2"/>
      <c r="D624" s="3"/>
      <c r="E624" s="3"/>
      <c r="F624" s="3"/>
    </row>
    <row r="625" s="2" customFormat="1" spans="1:6">
      <c r="A625" s="3"/>
      <c r="B625" s="3"/>
      <c r="C625" s="2"/>
      <c r="D625" s="3"/>
      <c r="E625" s="3"/>
      <c r="F625" s="3"/>
    </row>
    <row r="626" s="2" customFormat="1" spans="1:6">
      <c r="A626" s="3"/>
      <c r="B626" s="3"/>
      <c r="C626" s="2"/>
      <c r="D626" s="3"/>
      <c r="E626" s="3"/>
      <c r="F626" s="3"/>
    </row>
    <row r="627" s="2" customFormat="1" spans="1:6">
      <c r="A627" s="3"/>
      <c r="B627" s="3"/>
      <c r="C627" s="2"/>
      <c r="D627" s="3"/>
      <c r="E627" s="3"/>
      <c r="F627" s="3"/>
    </row>
    <row r="628" s="2" customFormat="1" spans="1:6">
      <c r="A628" s="3"/>
      <c r="B628" s="3"/>
      <c r="C628" s="2"/>
      <c r="D628" s="3"/>
      <c r="E628" s="3"/>
      <c r="F628" s="3"/>
    </row>
    <row r="629" s="2" customFormat="1" spans="1:6">
      <c r="A629" s="3"/>
      <c r="B629" s="3"/>
      <c r="C629" s="2"/>
      <c r="D629" s="3"/>
      <c r="E629" s="3"/>
      <c r="F629" s="3"/>
    </row>
    <row r="630" s="2" customFormat="1" spans="1:6">
      <c r="A630" s="3"/>
      <c r="B630" s="3"/>
      <c r="C630" s="2"/>
      <c r="D630" s="3"/>
      <c r="E630" s="3"/>
      <c r="F630" s="3"/>
    </row>
    <row r="631" s="2" customFormat="1" spans="1:6">
      <c r="A631" s="3"/>
      <c r="B631" s="3"/>
      <c r="C631" s="2"/>
      <c r="D631" s="3"/>
      <c r="E631" s="3"/>
      <c r="F631" s="3"/>
    </row>
    <row r="632" s="2" customFormat="1" spans="1:6">
      <c r="A632" s="3"/>
      <c r="B632" s="3"/>
      <c r="C632" s="2"/>
      <c r="D632" s="3"/>
      <c r="E632" s="3"/>
      <c r="F632" s="3"/>
    </row>
    <row r="633" s="2" customFormat="1" spans="1:6">
      <c r="A633" s="3"/>
      <c r="B633" s="3"/>
      <c r="C633" s="2"/>
      <c r="D633" s="3"/>
      <c r="E633" s="3"/>
      <c r="F633" s="3"/>
    </row>
    <row r="634" s="2" customFormat="1" spans="1:6">
      <c r="A634" s="3"/>
      <c r="B634" s="3"/>
      <c r="C634" s="2"/>
      <c r="D634" s="3"/>
      <c r="E634" s="3"/>
      <c r="F634" s="3"/>
    </row>
    <row r="635" s="2" customFormat="1" spans="1:6">
      <c r="A635" s="3"/>
      <c r="B635" s="3"/>
      <c r="C635" s="2"/>
      <c r="D635" s="3"/>
      <c r="E635" s="3"/>
      <c r="F635" s="3"/>
    </row>
    <row r="636" s="2" customFormat="1" spans="1:6">
      <c r="A636" s="3"/>
      <c r="B636" s="3"/>
      <c r="C636" s="2"/>
      <c r="D636" s="3"/>
      <c r="E636" s="3"/>
      <c r="F636" s="3"/>
    </row>
    <row r="637" s="2" customFormat="1" spans="1:6">
      <c r="A637" s="3"/>
      <c r="B637" s="3"/>
      <c r="C637" s="2"/>
      <c r="D637" s="3"/>
      <c r="E637" s="3"/>
      <c r="F637" s="3"/>
    </row>
    <row r="638" s="2" customFormat="1" spans="1:6">
      <c r="A638" s="3"/>
      <c r="B638" s="3"/>
      <c r="C638" s="2"/>
      <c r="D638" s="3"/>
      <c r="E638" s="3"/>
      <c r="F638" s="3"/>
    </row>
    <row r="639" s="2" customFormat="1" spans="1:6">
      <c r="A639" s="3"/>
      <c r="B639" s="3"/>
      <c r="C639" s="2"/>
      <c r="D639" s="3"/>
      <c r="E639" s="3"/>
      <c r="F639" s="3"/>
    </row>
    <row r="640" s="2" customFormat="1" spans="1:6">
      <c r="A640" s="3"/>
      <c r="B640" s="3"/>
      <c r="C640" s="2"/>
      <c r="D640" s="3"/>
      <c r="E640" s="3"/>
      <c r="F640" s="3"/>
    </row>
    <row r="641" s="2" customFormat="1" spans="1:6">
      <c r="A641" s="3"/>
      <c r="B641" s="3"/>
      <c r="C641" s="2"/>
      <c r="D641" s="3"/>
      <c r="E641" s="3"/>
      <c r="F641" s="3"/>
    </row>
    <row r="642" s="2" customFormat="1" spans="1:6">
      <c r="A642" s="3"/>
      <c r="B642" s="3"/>
      <c r="C642" s="2"/>
      <c r="D642" s="3"/>
      <c r="E642" s="3"/>
      <c r="F642" s="3"/>
    </row>
    <row r="643" s="2" customFormat="1" spans="1:6">
      <c r="A643" s="3"/>
      <c r="B643" s="3"/>
      <c r="C643" s="2"/>
      <c r="D643" s="3"/>
      <c r="E643" s="3"/>
      <c r="F643" s="3"/>
    </row>
    <row r="644" s="2" customFormat="1" spans="1:6">
      <c r="A644" s="3"/>
      <c r="B644" s="3"/>
      <c r="C644" s="2"/>
      <c r="D644" s="3"/>
      <c r="E644" s="3"/>
      <c r="F644" s="3"/>
    </row>
    <row r="645" s="2" customFormat="1" spans="1:6">
      <c r="A645" s="3"/>
      <c r="B645" s="3"/>
      <c r="C645" s="2"/>
      <c r="D645" s="3"/>
      <c r="E645" s="3"/>
      <c r="F645" s="3"/>
    </row>
    <row r="646" s="2" customFormat="1" spans="1:6">
      <c r="A646" s="3"/>
      <c r="B646" s="3"/>
      <c r="C646" s="2"/>
      <c r="D646" s="3"/>
      <c r="E646" s="3"/>
      <c r="F646" s="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60"/>
  <sheetViews>
    <sheetView zoomScale="115" zoomScaleNormal="115" workbookViewId="0">
      <pane ySplit="1" topLeftCell="A942" activePane="bottomLeft" state="frozen"/>
      <selection/>
      <selection pane="bottomLeft" activeCell="B4" sqref="B4:B925"/>
    </sheetView>
  </sheetViews>
  <sheetFormatPr defaultColWidth="8.83035714285714" defaultRowHeight="16.8" outlineLevelCol="5"/>
  <cols>
    <col min="1" max="1" width="82.1696428571429" customWidth="1"/>
    <col min="2" max="3" width="39.1696428571429" customWidth="1"/>
    <col min="4" max="4" width="14.8303571428571" customWidth="1"/>
    <col min="5" max="5" width="16.3392857142857" customWidth="1"/>
    <col min="6" max="6" width="12.6607142857143" customWidth="1"/>
  </cols>
  <sheetData>
    <row r="1" spans="1:6">
      <c r="A1" t="s">
        <v>4098</v>
      </c>
      <c r="B1" t="s">
        <v>4099</v>
      </c>
      <c r="C1" t="s">
        <v>4100</v>
      </c>
      <c r="D1" t="s">
        <v>4101</v>
      </c>
      <c r="E1" t="s">
        <v>4102</v>
      </c>
      <c r="F1" t="s">
        <v>4103</v>
      </c>
    </row>
    <row r="2" spans="1:6">
      <c r="A2" t="s">
        <v>4104</v>
      </c>
      <c r="B2" t="s">
        <v>4105</v>
      </c>
      <c r="C2" t="s">
        <v>4106</v>
      </c>
      <c r="D2">
        <v>0</v>
      </c>
      <c r="E2">
        <f t="shared" ref="E2:E65" si="0">D2/210000</f>
        <v>0</v>
      </c>
      <c r="F2">
        <f>CEILING(E2*250000,1000)</f>
        <v>0</v>
      </c>
    </row>
    <row r="3" spans="1:6">
      <c r="A3" t="s">
        <v>4107</v>
      </c>
      <c r="B3" t="s">
        <v>4105</v>
      </c>
      <c r="C3" t="s">
        <v>4106</v>
      </c>
      <c r="D3">
        <v>152000</v>
      </c>
      <c r="E3" s="1">
        <f t="shared" si="0"/>
        <v>0.723809523809524</v>
      </c>
      <c r="F3">
        <f t="shared" ref="F3:F66" si="1">CEILING(E3*250000,1000)</f>
        <v>181000</v>
      </c>
    </row>
    <row r="4" spans="1:6">
      <c r="A4" t="s">
        <v>4108</v>
      </c>
      <c r="B4" t="s">
        <v>4105</v>
      </c>
      <c r="C4" t="s">
        <v>4106</v>
      </c>
      <c r="D4">
        <v>31000</v>
      </c>
      <c r="E4" s="1">
        <f t="shared" si="0"/>
        <v>0.147619047619048</v>
      </c>
      <c r="F4">
        <f t="shared" si="1"/>
        <v>37000</v>
      </c>
    </row>
    <row r="5" spans="1:6">
      <c r="A5" t="s">
        <v>4109</v>
      </c>
      <c r="B5" t="s">
        <v>4105</v>
      </c>
      <c r="C5" t="s">
        <v>4106</v>
      </c>
      <c r="D5">
        <v>41000</v>
      </c>
      <c r="E5" s="1">
        <f t="shared" si="0"/>
        <v>0.195238095238095</v>
      </c>
      <c r="F5">
        <f t="shared" si="1"/>
        <v>49000</v>
      </c>
    </row>
    <row r="6" spans="1:6">
      <c r="A6" t="s">
        <v>4110</v>
      </c>
      <c r="B6" t="s">
        <v>4105</v>
      </c>
      <c r="C6" t="s">
        <v>4106</v>
      </c>
      <c r="D6">
        <v>152000</v>
      </c>
      <c r="E6" s="1">
        <f t="shared" si="0"/>
        <v>0.723809523809524</v>
      </c>
      <c r="F6">
        <f t="shared" si="1"/>
        <v>181000</v>
      </c>
    </row>
    <row r="7" spans="1:6">
      <c r="A7" t="s">
        <v>4111</v>
      </c>
      <c r="B7" t="s">
        <v>4105</v>
      </c>
      <c r="C7" t="s">
        <v>4106</v>
      </c>
      <c r="D7">
        <v>101000</v>
      </c>
      <c r="E7" s="1">
        <f t="shared" si="0"/>
        <v>0.480952380952381</v>
      </c>
      <c r="F7">
        <f t="shared" si="1"/>
        <v>121000</v>
      </c>
    </row>
    <row r="8" spans="1:6">
      <c r="A8" t="s">
        <v>4112</v>
      </c>
      <c r="B8" t="s">
        <v>4105</v>
      </c>
      <c r="C8" t="s">
        <v>4106</v>
      </c>
      <c r="D8">
        <v>202000</v>
      </c>
      <c r="E8" s="1">
        <f t="shared" si="0"/>
        <v>0.961904761904762</v>
      </c>
      <c r="F8">
        <f t="shared" si="1"/>
        <v>241000</v>
      </c>
    </row>
    <row r="9" spans="1:6">
      <c r="A9" t="s">
        <v>4113</v>
      </c>
      <c r="B9" t="s">
        <v>4105</v>
      </c>
      <c r="C9" t="s">
        <v>4106</v>
      </c>
      <c r="D9">
        <v>138000</v>
      </c>
      <c r="E9" s="1">
        <f t="shared" si="0"/>
        <v>0.657142857142857</v>
      </c>
      <c r="F9">
        <f t="shared" si="1"/>
        <v>165000</v>
      </c>
    </row>
    <row r="10" spans="1:6">
      <c r="A10" t="s">
        <v>4114</v>
      </c>
      <c r="B10" t="s">
        <v>4105</v>
      </c>
      <c r="C10" t="s">
        <v>4106</v>
      </c>
      <c r="D10">
        <v>455000</v>
      </c>
      <c r="E10" s="1">
        <f t="shared" si="0"/>
        <v>2.16666666666667</v>
      </c>
      <c r="F10">
        <f t="shared" si="1"/>
        <v>542000</v>
      </c>
    </row>
    <row r="11" spans="1:6">
      <c r="A11" t="s">
        <v>4115</v>
      </c>
      <c r="B11" t="s">
        <v>4105</v>
      </c>
      <c r="C11" t="s">
        <v>4106</v>
      </c>
      <c r="D11">
        <v>10000</v>
      </c>
      <c r="E11" s="1">
        <f t="shared" si="0"/>
        <v>0.0476190476190476</v>
      </c>
      <c r="F11">
        <f t="shared" si="1"/>
        <v>12000</v>
      </c>
    </row>
    <row r="12" spans="1:6">
      <c r="A12" t="s">
        <v>4116</v>
      </c>
      <c r="B12" t="s">
        <v>4105</v>
      </c>
      <c r="C12" t="s">
        <v>4106</v>
      </c>
      <c r="D12">
        <v>224000</v>
      </c>
      <c r="E12" s="1">
        <f t="shared" si="0"/>
        <v>1.06666666666667</v>
      </c>
      <c r="F12">
        <f t="shared" si="1"/>
        <v>267000</v>
      </c>
    </row>
    <row r="13" spans="1:6">
      <c r="A13" t="s">
        <v>4117</v>
      </c>
      <c r="B13" t="s">
        <v>4105</v>
      </c>
      <c r="C13" t="s">
        <v>4106</v>
      </c>
      <c r="D13">
        <v>281000</v>
      </c>
      <c r="E13" s="1">
        <f t="shared" si="0"/>
        <v>1.33809523809524</v>
      </c>
      <c r="F13">
        <f t="shared" si="1"/>
        <v>335000</v>
      </c>
    </row>
    <row r="14" spans="1:6">
      <c r="A14" t="s">
        <v>4118</v>
      </c>
      <c r="B14" t="s">
        <v>4105</v>
      </c>
      <c r="C14" t="s">
        <v>4106</v>
      </c>
      <c r="D14">
        <v>448000</v>
      </c>
      <c r="E14" s="1">
        <f t="shared" si="0"/>
        <v>2.13333333333333</v>
      </c>
      <c r="F14">
        <f t="shared" si="1"/>
        <v>534000</v>
      </c>
    </row>
    <row r="15" spans="1:6">
      <c r="A15" t="s">
        <v>4119</v>
      </c>
      <c r="B15" t="s">
        <v>4105</v>
      </c>
      <c r="C15" t="s">
        <v>4106</v>
      </c>
      <c r="D15">
        <v>11000</v>
      </c>
      <c r="E15" s="1">
        <f t="shared" si="0"/>
        <v>0.0523809523809524</v>
      </c>
      <c r="F15">
        <f t="shared" si="1"/>
        <v>14000</v>
      </c>
    </row>
    <row r="16" spans="1:6">
      <c r="A16" t="s">
        <v>4120</v>
      </c>
      <c r="B16" t="s">
        <v>4105</v>
      </c>
      <c r="C16" t="s">
        <v>4106</v>
      </c>
      <c r="D16">
        <v>61000</v>
      </c>
      <c r="E16" s="1">
        <f t="shared" si="0"/>
        <v>0.29047619047619</v>
      </c>
      <c r="F16">
        <f t="shared" si="1"/>
        <v>73000</v>
      </c>
    </row>
    <row r="17" spans="1:6">
      <c r="A17" t="s">
        <v>4121</v>
      </c>
      <c r="B17" t="s">
        <v>4122</v>
      </c>
      <c r="C17" t="s">
        <v>4123</v>
      </c>
      <c r="D17">
        <v>213000</v>
      </c>
      <c r="E17" s="1">
        <f t="shared" si="0"/>
        <v>1.01428571428571</v>
      </c>
      <c r="F17">
        <f t="shared" si="1"/>
        <v>254000</v>
      </c>
    </row>
    <row r="18" spans="1:6">
      <c r="A18" t="s">
        <v>4124</v>
      </c>
      <c r="B18" t="s">
        <v>4122</v>
      </c>
      <c r="C18" t="s">
        <v>4123</v>
      </c>
      <c r="D18">
        <v>122000</v>
      </c>
      <c r="E18" s="1">
        <f t="shared" si="0"/>
        <v>0.580952380952381</v>
      </c>
      <c r="F18">
        <f t="shared" si="1"/>
        <v>146000</v>
      </c>
    </row>
    <row r="19" spans="1:6">
      <c r="A19" t="s">
        <v>4125</v>
      </c>
      <c r="B19" t="s">
        <v>4122</v>
      </c>
      <c r="C19" t="s">
        <v>4123</v>
      </c>
      <c r="D19">
        <v>122000</v>
      </c>
      <c r="E19" s="1">
        <f t="shared" si="0"/>
        <v>0.580952380952381</v>
      </c>
      <c r="F19">
        <f t="shared" si="1"/>
        <v>146000</v>
      </c>
    </row>
    <row r="20" spans="1:6">
      <c r="A20" t="s">
        <v>4126</v>
      </c>
      <c r="B20" t="s">
        <v>4122</v>
      </c>
      <c r="C20" t="s">
        <v>4123</v>
      </c>
      <c r="D20">
        <v>122000</v>
      </c>
      <c r="E20" s="1">
        <f t="shared" si="0"/>
        <v>0.580952380952381</v>
      </c>
      <c r="F20">
        <f t="shared" si="1"/>
        <v>146000</v>
      </c>
    </row>
    <row r="21" spans="1:6">
      <c r="A21" t="s">
        <v>4127</v>
      </c>
      <c r="B21" t="s">
        <v>4122</v>
      </c>
      <c r="C21" t="s">
        <v>4123</v>
      </c>
      <c r="D21">
        <v>142000</v>
      </c>
      <c r="E21" s="1">
        <f t="shared" si="0"/>
        <v>0.676190476190476</v>
      </c>
      <c r="F21">
        <f t="shared" si="1"/>
        <v>170000</v>
      </c>
    </row>
    <row r="22" spans="1:6">
      <c r="A22" t="s">
        <v>4128</v>
      </c>
      <c r="B22" t="s">
        <v>4122</v>
      </c>
      <c r="C22" t="s">
        <v>4123</v>
      </c>
      <c r="D22">
        <v>122000</v>
      </c>
      <c r="E22" s="1">
        <f t="shared" si="0"/>
        <v>0.580952380952381</v>
      </c>
      <c r="F22">
        <f t="shared" si="1"/>
        <v>146000</v>
      </c>
    </row>
    <row r="23" spans="1:6">
      <c r="A23" t="s">
        <v>4129</v>
      </c>
      <c r="B23" t="s">
        <v>4122</v>
      </c>
      <c r="C23" t="s">
        <v>4123</v>
      </c>
      <c r="D23">
        <v>303000</v>
      </c>
      <c r="E23" s="1">
        <f t="shared" si="0"/>
        <v>1.44285714285714</v>
      </c>
      <c r="F23">
        <f t="shared" si="1"/>
        <v>361000</v>
      </c>
    </row>
    <row r="24" spans="1:6">
      <c r="A24" t="s">
        <v>4130</v>
      </c>
      <c r="B24" t="s">
        <v>4122</v>
      </c>
      <c r="C24" t="s">
        <v>4123</v>
      </c>
      <c r="D24">
        <v>303000</v>
      </c>
      <c r="E24" s="1">
        <f t="shared" si="0"/>
        <v>1.44285714285714</v>
      </c>
      <c r="F24">
        <f t="shared" si="1"/>
        <v>361000</v>
      </c>
    </row>
    <row r="25" spans="1:6">
      <c r="A25" t="s">
        <v>4131</v>
      </c>
      <c r="B25" t="s">
        <v>4122</v>
      </c>
      <c r="C25" t="s">
        <v>4123</v>
      </c>
      <c r="D25">
        <v>606000</v>
      </c>
      <c r="E25" s="1">
        <f t="shared" si="0"/>
        <v>2.88571428571429</v>
      </c>
      <c r="F25">
        <f t="shared" si="1"/>
        <v>722000</v>
      </c>
    </row>
    <row r="26" spans="1:6">
      <c r="A26" t="s">
        <v>4132</v>
      </c>
      <c r="B26" t="s">
        <v>4122</v>
      </c>
      <c r="C26" t="s">
        <v>4123</v>
      </c>
      <c r="D26">
        <v>213000</v>
      </c>
      <c r="E26" s="1">
        <f t="shared" si="0"/>
        <v>1.01428571428571</v>
      </c>
      <c r="F26">
        <f t="shared" si="1"/>
        <v>254000</v>
      </c>
    </row>
    <row r="27" spans="1:6">
      <c r="A27" t="s">
        <v>4133</v>
      </c>
      <c r="B27" t="s">
        <v>4122</v>
      </c>
      <c r="C27" t="s">
        <v>4123</v>
      </c>
      <c r="D27">
        <v>162000</v>
      </c>
      <c r="E27" s="1">
        <f t="shared" si="0"/>
        <v>0.771428571428571</v>
      </c>
      <c r="F27">
        <f t="shared" si="1"/>
        <v>193000</v>
      </c>
    </row>
    <row r="28" spans="1:6">
      <c r="A28" t="s">
        <v>4134</v>
      </c>
      <c r="B28" t="s">
        <v>4122</v>
      </c>
      <c r="C28" t="s">
        <v>4123</v>
      </c>
      <c r="D28">
        <v>283000</v>
      </c>
      <c r="E28" s="1">
        <f t="shared" si="0"/>
        <v>1.34761904761905</v>
      </c>
      <c r="F28">
        <f t="shared" si="1"/>
        <v>337000</v>
      </c>
    </row>
    <row r="29" spans="1:6">
      <c r="A29" t="s">
        <v>4135</v>
      </c>
      <c r="B29" t="s">
        <v>4122</v>
      </c>
      <c r="C29" t="s">
        <v>4123</v>
      </c>
      <c r="D29">
        <v>243000</v>
      </c>
      <c r="E29" s="1">
        <f t="shared" si="0"/>
        <v>1.15714285714286</v>
      </c>
      <c r="F29">
        <f t="shared" si="1"/>
        <v>290000</v>
      </c>
    </row>
    <row r="30" spans="1:6">
      <c r="A30" t="s">
        <v>4136</v>
      </c>
      <c r="B30" t="s">
        <v>4122</v>
      </c>
      <c r="C30" t="s">
        <v>4123</v>
      </c>
      <c r="D30">
        <v>162000</v>
      </c>
      <c r="E30" s="1">
        <f t="shared" si="0"/>
        <v>0.771428571428571</v>
      </c>
      <c r="F30">
        <f t="shared" si="1"/>
        <v>193000</v>
      </c>
    </row>
    <row r="31" spans="1:6">
      <c r="A31" t="s">
        <v>4137</v>
      </c>
      <c r="B31" t="s">
        <v>4122</v>
      </c>
      <c r="C31" t="s">
        <v>4123</v>
      </c>
      <c r="D31">
        <v>283000</v>
      </c>
      <c r="E31" s="1">
        <f t="shared" si="0"/>
        <v>1.34761904761905</v>
      </c>
      <c r="F31">
        <f t="shared" si="1"/>
        <v>337000</v>
      </c>
    </row>
    <row r="32" spans="1:6">
      <c r="A32" t="s">
        <v>4138</v>
      </c>
      <c r="B32" t="s">
        <v>4122</v>
      </c>
      <c r="C32" t="s">
        <v>4123</v>
      </c>
      <c r="D32">
        <v>243000</v>
      </c>
      <c r="E32" s="1">
        <f t="shared" si="0"/>
        <v>1.15714285714286</v>
      </c>
      <c r="F32">
        <f t="shared" si="1"/>
        <v>290000</v>
      </c>
    </row>
    <row r="33" spans="1:6">
      <c r="A33" t="s">
        <v>4139</v>
      </c>
      <c r="B33" t="s">
        <v>4122</v>
      </c>
      <c r="C33" t="s">
        <v>4123</v>
      </c>
      <c r="D33">
        <v>404000</v>
      </c>
      <c r="E33" s="1">
        <f t="shared" si="0"/>
        <v>1.92380952380952</v>
      </c>
      <c r="F33">
        <f t="shared" si="1"/>
        <v>481000</v>
      </c>
    </row>
    <row r="34" spans="1:6">
      <c r="A34" t="s">
        <v>4140</v>
      </c>
      <c r="B34" t="s">
        <v>4122</v>
      </c>
      <c r="C34" t="s">
        <v>4123</v>
      </c>
      <c r="D34">
        <v>101000</v>
      </c>
      <c r="E34" s="1">
        <f t="shared" si="0"/>
        <v>0.480952380952381</v>
      </c>
      <c r="F34">
        <f t="shared" si="1"/>
        <v>121000</v>
      </c>
    </row>
    <row r="35" spans="1:6">
      <c r="A35" t="s">
        <v>4141</v>
      </c>
      <c r="B35" t="s">
        <v>4122</v>
      </c>
      <c r="C35" t="s">
        <v>4123</v>
      </c>
      <c r="D35">
        <v>404000</v>
      </c>
      <c r="E35" s="1">
        <f t="shared" si="0"/>
        <v>1.92380952380952</v>
      </c>
      <c r="F35">
        <f t="shared" si="1"/>
        <v>481000</v>
      </c>
    </row>
    <row r="36" spans="1:6">
      <c r="A36" t="s">
        <v>4142</v>
      </c>
      <c r="B36" t="s">
        <v>4122</v>
      </c>
      <c r="C36" t="s">
        <v>4123</v>
      </c>
      <c r="D36">
        <v>505000</v>
      </c>
      <c r="E36" s="1">
        <f t="shared" si="0"/>
        <v>2.4047619047619</v>
      </c>
      <c r="F36">
        <f t="shared" si="1"/>
        <v>602000</v>
      </c>
    </row>
    <row r="37" spans="1:6">
      <c r="A37" t="s">
        <v>4143</v>
      </c>
      <c r="B37" t="s">
        <v>4122</v>
      </c>
      <c r="C37" t="s">
        <v>4123</v>
      </c>
      <c r="D37">
        <v>444000</v>
      </c>
      <c r="E37" s="1">
        <f t="shared" si="0"/>
        <v>2.11428571428571</v>
      </c>
      <c r="F37">
        <f t="shared" si="1"/>
        <v>529000</v>
      </c>
    </row>
    <row r="38" spans="1:6">
      <c r="A38" t="s">
        <v>4144</v>
      </c>
      <c r="B38" t="s">
        <v>4122</v>
      </c>
      <c r="C38" t="s">
        <v>4123</v>
      </c>
      <c r="D38">
        <v>404000</v>
      </c>
      <c r="E38" s="1">
        <f t="shared" si="0"/>
        <v>1.92380952380952</v>
      </c>
      <c r="F38">
        <f t="shared" si="1"/>
        <v>481000</v>
      </c>
    </row>
    <row r="39" spans="1:6">
      <c r="A39" t="s">
        <v>4145</v>
      </c>
      <c r="B39" t="s">
        <v>4122</v>
      </c>
      <c r="C39" t="s">
        <v>4123</v>
      </c>
      <c r="D39">
        <v>505000</v>
      </c>
      <c r="E39" s="1">
        <f t="shared" si="0"/>
        <v>2.4047619047619</v>
      </c>
      <c r="F39">
        <f t="shared" si="1"/>
        <v>602000</v>
      </c>
    </row>
    <row r="40" spans="1:6">
      <c r="A40" t="s">
        <v>4146</v>
      </c>
      <c r="B40" t="s">
        <v>4122</v>
      </c>
      <c r="C40" t="s">
        <v>4123</v>
      </c>
      <c r="D40">
        <v>444000</v>
      </c>
      <c r="E40" s="1">
        <f t="shared" si="0"/>
        <v>2.11428571428571</v>
      </c>
      <c r="F40">
        <f t="shared" si="1"/>
        <v>529000</v>
      </c>
    </row>
    <row r="41" spans="1:6">
      <c r="A41" t="s">
        <v>4147</v>
      </c>
      <c r="B41" t="s">
        <v>4148</v>
      </c>
      <c r="C41" t="s">
        <v>4149</v>
      </c>
      <c r="D41">
        <v>1010000</v>
      </c>
      <c r="E41" s="1">
        <f t="shared" si="0"/>
        <v>4.80952380952381</v>
      </c>
      <c r="F41">
        <f t="shared" si="1"/>
        <v>1203000</v>
      </c>
    </row>
    <row r="42" spans="1:6">
      <c r="A42" t="s">
        <v>4150</v>
      </c>
      <c r="B42" t="s">
        <v>4148</v>
      </c>
      <c r="C42" t="s">
        <v>4149</v>
      </c>
      <c r="D42">
        <v>384000</v>
      </c>
      <c r="E42" s="1">
        <f t="shared" si="0"/>
        <v>1.82857142857143</v>
      </c>
      <c r="F42">
        <f t="shared" si="1"/>
        <v>458000</v>
      </c>
    </row>
    <row r="43" spans="1:6">
      <c r="A43" t="s">
        <v>4151</v>
      </c>
      <c r="B43" t="s">
        <v>4148</v>
      </c>
      <c r="C43" t="s">
        <v>4149</v>
      </c>
      <c r="D43">
        <v>424000</v>
      </c>
      <c r="E43" s="1">
        <f t="shared" si="0"/>
        <v>2.01904761904762</v>
      </c>
      <c r="F43">
        <f t="shared" si="1"/>
        <v>505000</v>
      </c>
    </row>
    <row r="44" spans="1:6">
      <c r="A44" t="s">
        <v>4152</v>
      </c>
      <c r="B44" t="s">
        <v>4148</v>
      </c>
      <c r="C44" t="s">
        <v>4149</v>
      </c>
      <c r="D44">
        <v>323000</v>
      </c>
      <c r="E44" s="1">
        <f t="shared" si="0"/>
        <v>1.53809523809524</v>
      </c>
      <c r="F44">
        <f t="shared" si="1"/>
        <v>385000</v>
      </c>
    </row>
    <row r="45" spans="1:6">
      <c r="A45" t="s">
        <v>4153</v>
      </c>
      <c r="B45" t="s">
        <v>4148</v>
      </c>
      <c r="C45" t="s">
        <v>4149</v>
      </c>
      <c r="D45">
        <v>323000</v>
      </c>
      <c r="E45" s="1">
        <f t="shared" si="0"/>
        <v>1.53809523809524</v>
      </c>
      <c r="F45">
        <f t="shared" si="1"/>
        <v>385000</v>
      </c>
    </row>
    <row r="46" spans="1:6">
      <c r="A46" t="s">
        <v>4154</v>
      </c>
      <c r="B46" t="s">
        <v>4148</v>
      </c>
      <c r="C46" t="s">
        <v>4149</v>
      </c>
      <c r="D46">
        <v>323000</v>
      </c>
      <c r="E46" s="1">
        <f t="shared" si="0"/>
        <v>1.53809523809524</v>
      </c>
      <c r="F46">
        <f t="shared" si="1"/>
        <v>385000</v>
      </c>
    </row>
    <row r="47" spans="1:6">
      <c r="A47" t="s">
        <v>4155</v>
      </c>
      <c r="B47" t="s">
        <v>4148</v>
      </c>
      <c r="C47" t="s">
        <v>4149</v>
      </c>
      <c r="D47">
        <v>323000</v>
      </c>
      <c r="E47" s="1">
        <f t="shared" si="0"/>
        <v>1.53809523809524</v>
      </c>
      <c r="F47">
        <f t="shared" si="1"/>
        <v>385000</v>
      </c>
    </row>
    <row r="48" spans="1:6">
      <c r="A48" t="s">
        <v>4156</v>
      </c>
      <c r="B48" t="s">
        <v>4148</v>
      </c>
      <c r="C48" t="s">
        <v>4149</v>
      </c>
      <c r="D48">
        <v>505000</v>
      </c>
      <c r="E48" s="1">
        <f t="shared" si="0"/>
        <v>2.4047619047619</v>
      </c>
      <c r="F48">
        <f t="shared" si="1"/>
        <v>602000</v>
      </c>
    </row>
    <row r="49" spans="1:6">
      <c r="A49" t="s">
        <v>4157</v>
      </c>
      <c r="B49" t="s">
        <v>4148</v>
      </c>
      <c r="C49" t="s">
        <v>4149</v>
      </c>
      <c r="D49">
        <v>404000</v>
      </c>
      <c r="E49" s="1">
        <f t="shared" si="0"/>
        <v>1.92380952380952</v>
      </c>
      <c r="F49">
        <f t="shared" si="1"/>
        <v>481000</v>
      </c>
    </row>
    <row r="50" spans="1:6">
      <c r="A50" t="s">
        <v>4158</v>
      </c>
      <c r="B50" t="s">
        <v>4148</v>
      </c>
      <c r="C50" t="s">
        <v>4149</v>
      </c>
      <c r="D50">
        <v>566000</v>
      </c>
      <c r="E50" s="1">
        <f t="shared" si="0"/>
        <v>2.6952380952381</v>
      </c>
      <c r="F50">
        <f t="shared" si="1"/>
        <v>674000</v>
      </c>
    </row>
    <row r="51" spans="1:6">
      <c r="A51" t="s">
        <v>4159</v>
      </c>
      <c r="B51" t="s">
        <v>4148</v>
      </c>
      <c r="C51" t="s">
        <v>4149</v>
      </c>
      <c r="D51">
        <v>424000</v>
      </c>
      <c r="E51" s="1">
        <f t="shared" si="0"/>
        <v>2.01904761904762</v>
      </c>
      <c r="F51">
        <f t="shared" si="1"/>
        <v>505000</v>
      </c>
    </row>
    <row r="52" spans="1:6">
      <c r="A52" t="s">
        <v>4160</v>
      </c>
      <c r="B52" t="s">
        <v>4148</v>
      </c>
      <c r="C52" t="s">
        <v>4149</v>
      </c>
      <c r="D52">
        <v>404000</v>
      </c>
      <c r="E52" s="1">
        <f t="shared" si="0"/>
        <v>1.92380952380952</v>
      </c>
      <c r="F52">
        <f t="shared" si="1"/>
        <v>481000</v>
      </c>
    </row>
    <row r="53" spans="1:6">
      <c r="A53" t="s">
        <v>4161</v>
      </c>
      <c r="B53" t="s">
        <v>4148</v>
      </c>
      <c r="C53" t="s">
        <v>4149</v>
      </c>
      <c r="D53">
        <v>566000</v>
      </c>
      <c r="E53" s="1">
        <f t="shared" si="0"/>
        <v>2.6952380952381</v>
      </c>
      <c r="F53">
        <f t="shared" si="1"/>
        <v>674000</v>
      </c>
    </row>
    <row r="54" spans="1:6">
      <c r="A54" t="s">
        <v>4162</v>
      </c>
      <c r="B54" t="s">
        <v>4148</v>
      </c>
      <c r="C54" t="s">
        <v>4149</v>
      </c>
      <c r="D54">
        <v>424000</v>
      </c>
      <c r="E54" s="1">
        <f t="shared" si="0"/>
        <v>2.01904761904762</v>
      </c>
      <c r="F54">
        <f t="shared" si="1"/>
        <v>505000</v>
      </c>
    </row>
    <row r="55" spans="1:6">
      <c r="A55" t="s">
        <v>4163</v>
      </c>
      <c r="B55" t="s">
        <v>4148</v>
      </c>
      <c r="C55" t="s">
        <v>4149</v>
      </c>
      <c r="D55">
        <v>606000</v>
      </c>
      <c r="E55" s="1">
        <f t="shared" si="0"/>
        <v>2.88571428571429</v>
      </c>
      <c r="F55">
        <f t="shared" si="1"/>
        <v>722000</v>
      </c>
    </row>
    <row r="56" spans="1:6">
      <c r="A56" t="s">
        <v>4164</v>
      </c>
      <c r="B56" t="s">
        <v>4148</v>
      </c>
      <c r="C56" t="s">
        <v>4149</v>
      </c>
      <c r="D56">
        <v>444000</v>
      </c>
      <c r="E56" s="1">
        <f t="shared" si="0"/>
        <v>2.11428571428571</v>
      </c>
      <c r="F56">
        <f t="shared" si="1"/>
        <v>529000</v>
      </c>
    </row>
    <row r="57" spans="1:6">
      <c r="A57" t="s">
        <v>4165</v>
      </c>
      <c r="B57" t="s">
        <v>4148</v>
      </c>
      <c r="C57" t="s">
        <v>4149</v>
      </c>
      <c r="D57">
        <v>606000</v>
      </c>
      <c r="E57" s="1">
        <f t="shared" si="0"/>
        <v>2.88571428571429</v>
      </c>
      <c r="F57">
        <f t="shared" si="1"/>
        <v>722000</v>
      </c>
    </row>
    <row r="58" spans="1:6">
      <c r="A58" t="s">
        <v>4166</v>
      </c>
      <c r="B58" t="s">
        <v>4148</v>
      </c>
      <c r="C58" t="s">
        <v>4149</v>
      </c>
      <c r="D58">
        <v>586000</v>
      </c>
      <c r="E58" s="1">
        <f t="shared" si="0"/>
        <v>2.79047619047619</v>
      </c>
      <c r="F58">
        <f t="shared" si="1"/>
        <v>698000</v>
      </c>
    </row>
    <row r="59" spans="1:6">
      <c r="A59" t="s">
        <v>4167</v>
      </c>
      <c r="B59" t="s">
        <v>4148</v>
      </c>
      <c r="C59" t="s">
        <v>4149</v>
      </c>
      <c r="D59">
        <v>444000</v>
      </c>
      <c r="E59" s="1">
        <f t="shared" si="0"/>
        <v>2.11428571428571</v>
      </c>
      <c r="F59">
        <f t="shared" si="1"/>
        <v>529000</v>
      </c>
    </row>
    <row r="60" spans="1:6">
      <c r="A60" t="s">
        <v>4168</v>
      </c>
      <c r="B60" t="s">
        <v>4148</v>
      </c>
      <c r="C60" t="s">
        <v>4149</v>
      </c>
      <c r="D60">
        <v>344000</v>
      </c>
      <c r="E60" s="1">
        <f t="shared" si="0"/>
        <v>1.63809523809524</v>
      </c>
      <c r="F60">
        <f t="shared" si="1"/>
        <v>410000</v>
      </c>
    </row>
    <row r="61" spans="1:6">
      <c r="A61" t="s">
        <v>4169</v>
      </c>
      <c r="B61" t="s">
        <v>4148</v>
      </c>
      <c r="C61" t="s">
        <v>4149</v>
      </c>
      <c r="D61">
        <v>586000</v>
      </c>
      <c r="E61" s="1">
        <f t="shared" si="0"/>
        <v>2.79047619047619</v>
      </c>
      <c r="F61">
        <f t="shared" si="1"/>
        <v>698000</v>
      </c>
    </row>
    <row r="62" spans="1:6">
      <c r="A62" t="s">
        <v>4170</v>
      </c>
      <c r="B62" t="s">
        <v>4148</v>
      </c>
      <c r="C62" t="s">
        <v>4149</v>
      </c>
      <c r="D62">
        <v>606000</v>
      </c>
      <c r="E62" s="1">
        <f t="shared" si="0"/>
        <v>2.88571428571429</v>
      </c>
      <c r="F62">
        <f t="shared" si="1"/>
        <v>722000</v>
      </c>
    </row>
    <row r="63" spans="1:6">
      <c r="A63" t="s">
        <v>4171</v>
      </c>
      <c r="B63" t="s">
        <v>4148</v>
      </c>
      <c r="C63" t="s">
        <v>4149</v>
      </c>
      <c r="D63">
        <v>202000</v>
      </c>
      <c r="E63" s="1">
        <f t="shared" si="0"/>
        <v>0.961904761904762</v>
      </c>
      <c r="F63">
        <f t="shared" si="1"/>
        <v>241000</v>
      </c>
    </row>
    <row r="64" spans="1:6">
      <c r="A64" t="s">
        <v>4172</v>
      </c>
      <c r="B64" t="s">
        <v>4148</v>
      </c>
      <c r="C64" t="s">
        <v>4149</v>
      </c>
      <c r="D64">
        <v>384000</v>
      </c>
      <c r="E64" s="1">
        <f t="shared" si="0"/>
        <v>1.82857142857143</v>
      </c>
      <c r="F64">
        <f t="shared" si="1"/>
        <v>458000</v>
      </c>
    </row>
    <row r="65" spans="1:6">
      <c r="A65" t="s">
        <v>4173</v>
      </c>
      <c r="B65" t="s">
        <v>4148</v>
      </c>
      <c r="C65" t="s">
        <v>4149</v>
      </c>
      <c r="D65">
        <v>283000</v>
      </c>
      <c r="E65" s="1">
        <f t="shared" si="0"/>
        <v>1.34761904761905</v>
      </c>
      <c r="F65">
        <f t="shared" si="1"/>
        <v>337000</v>
      </c>
    </row>
    <row r="66" spans="1:6">
      <c r="A66" t="s">
        <v>4174</v>
      </c>
      <c r="B66" t="s">
        <v>4148</v>
      </c>
      <c r="C66" t="s">
        <v>4149</v>
      </c>
      <c r="D66">
        <v>202000</v>
      </c>
      <c r="E66" s="1">
        <f t="shared" ref="E66:E129" si="2">D66/210000</f>
        <v>0.961904761904762</v>
      </c>
      <c r="F66">
        <f t="shared" si="1"/>
        <v>241000</v>
      </c>
    </row>
    <row r="67" spans="1:6">
      <c r="A67" t="s">
        <v>4175</v>
      </c>
      <c r="B67" t="s">
        <v>4148</v>
      </c>
      <c r="C67" t="s">
        <v>4149</v>
      </c>
      <c r="D67">
        <v>202000</v>
      </c>
      <c r="E67" s="1">
        <f t="shared" si="2"/>
        <v>0.961904761904762</v>
      </c>
      <c r="F67">
        <f t="shared" ref="F67:F130" si="3">CEILING(E67*250000,1000)</f>
        <v>241000</v>
      </c>
    </row>
    <row r="68" spans="1:6">
      <c r="A68" t="s">
        <v>4176</v>
      </c>
      <c r="B68" t="s">
        <v>4148</v>
      </c>
      <c r="C68" t="s">
        <v>4149</v>
      </c>
      <c r="D68">
        <v>243000</v>
      </c>
      <c r="E68" s="1">
        <f t="shared" si="2"/>
        <v>1.15714285714286</v>
      </c>
      <c r="F68">
        <f t="shared" si="3"/>
        <v>290000</v>
      </c>
    </row>
    <row r="69" spans="1:6">
      <c r="A69" t="s">
        <v>4177</v>
      </c>
      <c r="B69" t="s">
        <v>4148</v>
      </c>
      <c r="C69" t="s">
        <v>4149</v>
      </c>
      <c r="D69">
        <v>404000</v>
      </c>
      <c r="E69" s="1">
        <f t="shared" si="2"/>
        <v>1.92380952380952</v>
      </c>
      <c r="F69">
        <f t="shared" si="3"/>
        <v>481000</v>
      </c>
    </row>
    <row r="70" spans="1:6">
      <c r="A70" t="s">
        <v>4178</v>
      </c>
      <c r="B70" t="s">
        <v>4148</v>
      </c>
      <c r="C70" t="s">
        <v>4149</v>
      </c>
      <c r="D70">
        <v>162000</v>
      </c>
      <c r="E70" s="1">
        <f t="shared" si="2"/>
        <v>0.771428571428571</v>
      </c>
      <c r="F70">
        <f t="shared" si="3"/>
        <v>193000</v>
      </c>
    </row>
    <row r="71" spans="1:6">
      <c r="A71" t="s">
        <v>4179</v>
      </c>
      <c r="B71" t="s">
        <v>4148</v>
      </c>
      <c r="C71" t="s">
        <v>4149</v>
      </c>
      <c r="D71">
        <v>162000</v>
      </c>
      <c r="E71" s="1">
        <f t="shared" si="2"/>
        <v>0.771428571428571</v>
      </c>
      <c r="F71">
        <f t="shared" si="3"/>
        <v>193000</v>
      </c>
    </row>
    <row r="72" spans="1:6">
      <c r="A72" t="s">
        <v>4180</v>
      </c>
      <c r="B72" t="s">
        <v>4148</v>
      </c>
      <c r="C72" t="s">
        <v>4149</v>
      </c>
      <c r="D72">
        <v>142000</v>
      </c>
      <c r="E72" s="1">
        <f t="shared" si="2"/>
        <v>0.676190476190476</v>
      </c>
      <c r="F72">
        <f t="shared" si="3"/>
        <v>170000</v>
      </c>
    </row>
    <row r="73" spans="1:6">
      <c r="A73" t="s">
        <v>4181</v>
      </c>
      <c r="B73" t="s">
        <v>4148</v>
      </c>
      <c r="C73" t="s">
        <v>4149</v>
      </c>
      <c r="D73">
        <v>162000</v>
      </c>
      <c r="E73" s="1">
        <f t="shared" si="2"/>
        <v>0.771428571428571</v>
      </c>
      <c r="F73">
        <f t="shared" si="3"/>
        <v>193000</v>
      </c>
    </row>
    <row r="74" spans="1:6">
      <c r="A74" t="s">
        <v>4182</v>
      </c>
      <c r="B74" t="s">
        <v>4148</v>
      </c>
      <c r="C74" t="s">
        <v>4149</v>
      </c>
      <c r="D74">
        <v>142000</v>
      </c>
      <c r="E74" s="1">
        <f t="shared" si="2"/>
        <v>0.676190476190476</v>
      </c>
      <c r="F74">
        <f t="shared" si="3"/>
        <v>170000</v>
      </c>
    </row>
    <row r="75" spans="1:6">
      <c r="A75" t="s">
        <v>4183</v>
      </c>
      <c r="B75" t="s">
        <v>4148</v>
      </c>
      <c r="C75" t="s">
        <v>4149</v>
      </c>
      <c r="D75">
        <v>162000</v>
      </c>
      <c r="E75" s="1">
        <f t="shared" si="2"/>
        <v>0.771428571428571</v>
      </c>
      <c r="F75">
        <f t="shared" si="3"/>
        <v>193000</v>
      </c>
    </row>
    <row r="76" spans="1:6">
      <c r="A76" t="s">
        <v>4184</v>
      </c>
      <c r="B76" t="s">
        <v>4148</v>
      </c>
      <c r="C76" t="s">
        <v>4149</v>
      </c>
      <c r="D76">
        <v>202000</v>
      </c>
      <c r="E76" s="1">
        <f t="shared" si="2"/>
        <v>0.961904761904762</v>
      </c>
      <c r="F76">
        <f t="shared" si="3"/>
        <v>241000</v>
      </c>
    </row>
    <row r="77" spans="1:6">
      <c r="A77" t="s">
        <v>4185</v>
      </c>
      <c r="B77" t="s">
        <v>4148</v>
      </c>
      <c r="C77" t="s">
        <v>4149</v>
      </c>
      <c r="D77">
        <v>1010000</v>
      </c>
      <c r="E77" s="1">
        <f t="shared" si="2"/>
        <v>4.80952380952381</v>
      </c>
      <c r="F77">
        <f t="shared" si="3"/>
        <v>1203000</v>
      </c>
    </row>
    <row r="78" spans="1:6">
      <c r="A78" t="s">
        <v>4186</v>
      </c>
      <c r="B78" t="s">
        <v>4148</v>
      </c>
      <c r="C78" t="s">
        <v>4149</v>
      </c>
      <c r="D78">
        <v>1050000</v>
      </c>
      <c r="E78" s="1">
        <f t="shared" si="2"/>
        <v>5</v>
      </c>
      <c r="F78">
        <f t="shared" si="3"/>
        <v>1250000</v>
      </c>
    </row>
    <row r="79" spans="1:6">
      <c r="A79" t="s">
        <v>4187</v>
      </c>
      <c r="B79" t="s">
        <v>4148</v>
      </c>
      <c r="C79" t="s">
        <v>4149</v>
      </c>
      <c r="D79">
        <v>1131000</v>
      </c>
      <c r="E79" s="1">
        <f t="shared" si="2"/>
        <v>5.38571428571429</v>
      </c>
      <c r="F79">
        <f t="shared" si="3"/>
        <v>1347000</v>
      </c>
    </row>
    <row r="80" spans="1:6">
      <c r="A80" t="s">
        <v>4188</v>
      </c>
      <c r="B80" t="s">
        <v>4148</v>
      </c>
      <c r="C80" t="s">
        <v>4149</v>
      </c>
      <c r="D80">
        <v>1131000</v>
      </c>
      <c r="E80" s="1">
        <f t="shared" si="2"/>
        <v>5.38571428571429</v>
      </c>
      <c r="F80">
        <f t="shared" si="3"/>
        <v>1347000</v>
      </c>
    </row>
    <row r="81" spans="1:6">
      <c r="A81" t="s">
        <v>4189</v>
      </c>
      <c r="B81" t="s">
        <v>4148</v>
      </c>
      <c r="C81" t="s">
        <v>4149</v>
      </c>
      <c r="D81">
        <v>1131000</v>
      </c>
      <c r="E81" s="1">
        <f t="shared" si="2"/>
        <v>5.38571428571429</v>
      </c>
      <c r="F81">
        <f t="shared" si="3"/>
        <v>1347000</v>
      </c>
    </row>
    <row r="82" spans="1:6">
      <c r="A82" t="s">
        <v>4190</v>
      </c>
      <c r="B82" t="s">
        <v>4148</v>
      </c>
      <c r="C82" t="s">
        <v>4149</v>
      </c>
      <c r="D82">
        <v>5449000</v>
      </c>
      <c r="E82" s="1">
        <f t="shared" si="2"/>
        <v>25.947619047619</v>
      </c>
      <c r="F82">
        <f t="shared" si="3"/>
        <v>6487000</v>
      </c>
    </row>
    <row r="83" spans="1:6">
      <c r="A83" t="s">
        <v>4191</v>
      </c>
      <c r="B83" t="s">
        <v>4148</v>
      </c>
      <c r="C83" t="s">
        <v>4149</v>
      </c>
      <c r="D83">
        <v>5893000</v>
      </c>
      <c r="E83" s="1">
        <f t="shared" si="2"/>
        <v>28.0619047619048</v>
      </c>
      <c r="F83">
        <f t="shared" si="3"/>
        <v>7016000</v>
      </c>
    </row>
    <row r="84" spans="1:6">
      <c r="A84" t="s">
        <v>4192</v>
      </c>
      <c r="B84" t="s">
        <v>4148</v>
      </c>
      <c r="C84" t="s">
        <v>4149</v>
      </c>
      <c r="D84">
        <v>5711000</v>
      </c>
      <c r="E84" s="1">
        <f t="shared" si="2"/>
        <v>27.1952380952381</v>
      </c>
      <c r="F84">
        <f t="shared" si="3"/>
        <v>6799000</v>
      </c>
    </row>
    <row r="85" spans="1:6">
      <c r="A85" t="s">
        <v>4193</v>
      </c>
      <c r="B85" t="s">
        <v>4148</v>
      </c>
      <c r="C85" t="s">
        <v>4149</v>
      </c>
      <c r="D85">
        <v>3310000</v>
      </c>
      <c r="E85" s="1">
        <f t="shared" si="2"/>
        <v>15.7619047619048</v>
      </c>
      <c r="F85">
        <f t="shared" si="3"/>
        <v>3941000</v>
      </c>
    </row>
    <row r="86" spans="1:6">
      <c r="A86" t="s">
        <v>4194</v>
      </c>
      <c r="B86" t="s">
        <v>4148</v>
      </c>
      <c r="C86" t="s">
        <v>4149</v>
      </c>
      <c r="D86">
        <v>6055000</v>
      </c>
      <c r="E86" s="1">
        <f t="shared" si="2"/>
        <v>28.8333333333333</v>
      </c>
      <c r="F86">
        <f t="shared" si="3"/>
        <v>7209000</v>
      </c>
    </row>
    <row r="87" spans="1:6">
      <c r="A87" t="s">
        <v>4195</v>
      </c>
      <c r="B87" t="s">
        <v>4148</v>
      </c>
      <c r="C87" t="s">
        <v>4149</v>
      </c>
      <c r="D87">
        <v>5711000</v>
      </c>
      <c r="E87" s="1">
        <f t="shared" si="2"/>
        <v>27.1952380952381</v>
      </c>
      <c r="F87">
        <f t="shared" si="3"/>
        <v>6799000</v>
      </c>
    </row>
    <row r="88" spans="1:6">
      <c r="A88" t="s">
        <v>4196</v>
      </c>
      <c r="B88" t="s">
        <v>4148</v>
      </c>
      <c r="C88" t="s">
        <v>4149</v>
      </c>
      <c r="D88">
        <v>3189000</v>
      </c>
      <c r="E88" s="1">
        <f t="shared" si="2"/>
        <v>15.1857142857143</v>
      </c>
      <c r="F88">
        <f t="shared" si="3"/>
        <v>3797000</v>
      </c>
    </row>
    <row r="89" spans="1:6">
      <c r="A89" t="s">
        <v>4197</v>
      </c>
      <c r="B89" t="s">
        <v>4148</v>
      </c>
      <c r="C89" t="s">
        <v>4149</v>
      </c>
      <c r="D89">
        <v>162000</v>
      </c>
      <c r="E89" s="1">
        <f t="shared" si="2"/>
        <v>0.771428571428571</v>
      </c>
      <c r="F89">
        <f t="shared" si="3"/>
        <v>193000</v>
      </c>
    </row>
    <row r="90" spans="1:6">
      <c r="A90" t="s">
        <v>4198</v>
      </c>
      <c r="B90" t="s">
        <v>4148</v>
      </c>
      <c r="C90" t="s">
        <v>4149</v>
      </c>
      <c r="D90">
        <v>182000</v>
      </c>
      <c r="E90" s="1">
        <f t="shared" si="2"/>
        <v>0.866666666666667</v>
      </c>
      <c r="F90">
        <f t="shared" si="3"/>
        <v>217000</v>
      </c>
    </row>
    <row r="91" spans="1:6">
      <c r="A91" t="s">
        <v>4199</v>
      </c>
      <c r="B91" t="s">
        <v>4148</v>
      </c>
      <c r="C91" t="s">
        <v>4149</v>
      </c>
      <c r="D91">
        <v>162000</v>
      </c>
      <c r="E91" s="1">
        <f t="shared" si="2"/>
        <v>0.771428571428571</v>
      </c>
      <c r="F91">
        <f t="shared" si="3"/>
        <v>193000</v>
      </c>
    </row>
    <row r="92" spans="1:6">
      <c r="A92" t="s">
        <v>4200</v>
      </c>
      <c r="B92" t="s">
        <v>4148</v>
      </c>
      <c r="C92" t="s">
        <v>4149</v>
      </c>
      <c r="D92">
        <v>162000</v>
      </c>
      <c r="E92" s="1">
        <f t="shared" si="2"/>
        <v>0.771428571428571</v>
      </c>
      <c r="F92">
        <f t="shared" si="3"/>
        <v>193000</v>
      </c>
    </row>
    <row r="93" spans="1:6">
      <c r="A93" t="s">
        <v>4201</v>
      </c>
      <c r="B93" t="s">
        <v>4148</v>
      </c>
      <c r="C93" t="s">
        <v>4149</v>
      </c>
      <c r="D93">
        <v>182000</v>
      </c>
      <c r="E93" s="1">
        <f t="shared" si="2"/>
        <v>0.866666666666667</v>
      </c>
      <c r="F93">
        <f t="shared" si="3"/>
        <v>217000</v>
      </c>
    </row>
    <row r="94" spans="1:6">
      <c r="A94" t="s">
        <v>4202</v>
      </c>
      <c r="B94" t="s">
        <v>4148</v>
      </c>
      <c r="C94" t="s">
        <v>4149</v>
      </c>
      <c r="D94">
        <v>162000</v>
      </c>
      <c r="E94" s="1">
        <f t="shared" si="2"/>
        <v>0.771428571428571</v>
      </c>
      <c r="F94">
        <f t="shared" si="3"/>
        <v>193000</v>
      </c>
    </row>
    <row r="95" spans="1:6">
      <c r="A95" t="s">
        <v>4203</v>
      </c>
      <c r="B95" t="s">
        <v>4148</v>
      </c>
      <c r="C95" t="s">
        <v>4149</v>
      </c>
      <c r="D95">
        <v>263000</v>
      </c>
      <c r="E95" s="1">
        <f t="shared" si="2"/>
        <v>1.25238095238095</v>
      </c>
      <c r="F95">
        <f t="shared" si="3"/>
        <v>314000</v>
      </c>
    </row>
    <row r="96" spans="1:6">
      <c r="A96" t="s">
        <v>4204</v>
      </c>
      <c r="B96" t="s">
        <v>4148</v>
      </c>
      <c r="C96" t="s">
        <v>4149</v>
      </c>
      <c r="D96">
        <v>303000</v>
      </c>
      <c r="E96" s="1">
        <f t="shared" si="2"/>
        <v>1.44285714285714</v>
      </c>
      <c r="F96">
        <f t="shared" si="3"/>
        <v>361000</v>
      </c>
    </row>
    <row r="97" spans="1:6">
      <c r="A97" t="s">
        <v>4205</v>
      </c>
      <c r="B97" t="s">
        <v>4148</v>
      </c>
      <c r="C97" t="s">
        <v>4149</v>
      </c>
      <c r="D97">
        <v>364000</v>
      </c>
      <c r="E97" s="1">
        <f t="shared" si="2"/>
        <v>1.73333333333333</v>
      </c>
      <c r="F97">
        <f t="shared" si="3"/>
        <v>434000</v>
      </c>
    </row>
    <row r="98" spans="1:6">
      <c r="A98" t="s">
        <v>4206</v>
      </c>
      <c r="B98" t="s">
        <v>4148</v>
      </c>
      <c r="C98" t="s">
        <v>4149</v>
      </c>
      <c r="D98">
        <v>303000</v>
      </c>
      <c r="E98" s="1">
        <f t="shared" si="2"/>
        <v>1.44285714285714</v>
      </c>
      <c r="F98">
        <f t="shared" si="3"/>
        <v>361000</v>
      </c>
    </row>
    <row r="99" spans="1:6">
      <c r="A99" t="s">
        <v>4207</v>
      </c>
      <c r="B99" t="s">
        <v>4148</v>
      </c>
      <c r="C99" t="s">
        <v>4149</v>
      </c>
      <c r="D99">
        <v>303000</v>
      </c>
      <c r="E99" s="1">
        <f t="shared" si="2"/>
        <v>1.44285714285714</v>
      </c>
      <c r="F99">
        <f t="shared" si="3"/>
        <v>361000</v>
      </c>
    </row>
    <row r="100" spans="1:6">
      <c r="A100" t="s">
        <v>4208</v>
      </c>
      <c r="B100" t="s">
        <v>4148</v>
      </c>
      <c r="C100" t="s">
        <v>4149</v>
      </c>
      <c r="D100">
        <v>364000</v>
      </c>
      <c r="E100" s="1">
        <f t="shared" si="2"/>
        <v>1.73333333333333</v>
      </c>
      <c r="F100">
        <f t="shared" si="3"/>
        <v>434000</v>
      </c>
    </row>
    <row r="101" spans="1:6">
      <c r="A101" t="s">
        <v>4209</v>
      </c>
      <c r="B101" t="s">
        <v>4148</v>
      </c>
      <c r="C101" t="s">
        <v>4149</v>
      </c>
      <c r="D101">
        <v>303000</v>
      </c>
      <c r="E101" s="1">
        <f t="shared" si="2"/>
        <v>1.44285714285714</v>
      </c>
      <c r="F101">
        <f t="shared" si="3"/>
        <v>361000</v>
      </c>
    </row>
    <row r="102" spans="1:6">
      <c r="A102" t="s">
        <v>4210</v>
      </c>
      <c r="B102" t="s">
        <v>4148</v>
      </c>
      <c r="C102" t="s">
        <v>4149</v>
      </c>
      <c r="D102">
        <v>566000</v>
      </c>
      <c r="E102" s="1">
        <f t="shared" si="2"/>
        <v>2.6952380952381</v>
      </c>
      <c r="F102">
        <f t="shared" si="3"/>
        <v>674000</v>
      </c>
    </row>
    <row r="103" spans="1:6">
      <c r="A103" t="s">
        <v>4211</v>
      </c>
      <c r="B103" t="s">
        <v>4148</v>
      </c>
      <c r="C103" t="s">
        <v>4149</v>
      </c>
      <c r="D103">
        <v>1110000</v>
      </c>
      <c r="E103" s="1">
        <f t="shared" si="2"/>
        <v>5.28571428571429</v>
      </c>
      <c r="F103">
        <f t="shared" si="3"/>
        <v>1322000</v>
      </c>
    </row>
    <row r="104" spans="1:6">
      <c r="A104" t="s">
        <v>4212</v>
      </c>
      <c r="B104" t="s">
        <v>4148</v>
      </c>
      <c r="C104" t="s">
        <v>4149</v>
      </c>
      <c r="D104">
        <v>1312000</v>
      </c>
      <c r="E104" s="1">
        <f t="shared" si="2"/>
        <v>6.24761904761905</v>
      </c>
      <c r="F104">
        <f t="shared" si="3"/>
        <v>1562000</v>
      </c>
    </row>
    <row r="105" spans="1:6">
      <c r="A105" t="s">
        <v>4213</v>
      </c>
      <c r="B105" t="s">
        <v>4148</v>
      </c>
      <c r="C105" t="s">
        <v>4149</v>
      </c>
      <c r="D105">
        <v>1151000</v>
      </c>
      <c r="E105" s="1">
        <f t="shared" si="2"/>
        <v>5.48095238095238</v>
      </c>
      <c r="F105">
        <f t="shared" si="3"/>
        <v>1371000</v>
      </c>
    </row>
    <row r="106" spans="1:6">
      <c r="A106" t="s">
        <v>4214</v>
      </c>
      <c r="B106" t="s">
        <v>4148</v>
      </c>
      <c r="C106" t="s">
        <v>4149</v>
      </c>
      <c r="D106">
        <v>505000</v>
      </c>
      <c r="E106" s="1">
        <f t="shared" si="2"/>
        <v>2.4047619047619</v>
      </c>
      <c r="F106">
        <f t="shared" si="3"/>
        <v>602000</v>
      </c>
    </row>
    <row r="107" spans="1:6">
      <c r="A107" t="s">
        <v>4215</v>
      </c>
      <c r="B107" t="s">
        <v>4148</v>
      </c>
      <c r="C107" t="s">
        <v>4149</v>
      </c>
      <c r="D107">
        <v>687000</v>
      </c>
      <c r="E107" s="1">
        <f t="shared" si="2"/>
        <v>3.27142857142857</v>
      </c>
      <c r="F107">
        <f t="shared" si="3"/>
        <v>818000</v>
      </c>
    </row>
    <row r="108" spans="1:6">
      <c r="A108" t="s">
        <v>4216</v>
      </c>
      <c r="B108" t="s">
        <v>4148</v>
      </c>
      <c r="C108" t="s">
        <v>4149</v>
      </c>
      <c r="D108">
        <v>404000</v>
      </c>
      <c r="E108" s="1">
        <f t="shared" si="2"/>
        <v>1.92380952380952</v>
      </c>
      <c r="F108">
        <f t="shared" si="3"/>
        <v>481000</v>
      </c>
    </row>
    <row r="109" spans="1:6">
      <c r="A109" t="s">
        <v>4217</v>
      </c>
      <c r="B109" t="s">
        <v>4148</v>
      </c>
      <c r="C109" t="s">
        <v>4149</v>
      </c>
      <c r="D109">
        <v>283000</v>
      </c>
      <c r="E109" s="1">
        <f t="shared" si="2"/>
        <v>1.34761904761905</v>
      </c>
      <c r="F109">
        <f t="shared" si="3"/>
        <v>337000</v>
      </c>
    </row>
    <row r="110" spans="1:6">
      <c r="A110" t="s">
        <v>4218</v>
      </c>
      <c r="B110" t="s">
        <v>4148</v>
      </c>
      <c r="C110" t="s">
        <v>4149</v>
      </c>
      <c r="D110">
        <v>344000</v>
      </c>
      <c r="E110" s="1">
        <f t="shared" si="2"/>
        <v>1.63809523809524</v>
      </c>
      <c r="F110">
        <f t="shared" si="3"/>
        <v>410000</v>
      </c>
    </row>
    <row r="111" spans="1:6">
      <c r="A111" t="s">
        <v>4219</v>
      </c>
      <c r="B111" t="s">
        <v>4148</v>
      </c>
      <c r="C111" t="s">
        <v>4149</v>
      </c>
      <c r="D111">
        <v>303000</v>
      </c>
      <c r="E111" s="1">
        <f t="shared" si="2"/>
        <v>1.44285714285714</v>
      </c>
      <c r="F111">
        <f t="shared" si="3"/>
        <v>361000</v>
      </c>
    </row>
    <row r="112" spans="1:6">
      <c r="A112" t="s">
        <v>4220</v>
      </c>
      <c r="B112" t="s">
        <v>4148</v>
      </c>
      <c r="C112" t="s">
        <v>4149</v>
      </c>
      <c r="D112">
        <v>283000</v>
      </c>
      <c r="E112" s="1">
        <f t="shared" si="2"/>
        <v>1.34761904761905</v>
      </c>
      <c r="F112">
        <f t="shared" si="3"/>
        <v>337000</v>
      </c>
    </row>
    <row r="113" spans="1:6">
      <c r="A113" t="s">
        <v>4221</v>
      </c>
      <c r="B113" t="s">
        <v>4148</v>
      </c>
      <c r="C113" t="s">
        <v>4149</v>
      </c>
      <c r="D113">
        <v>344000</v>
      </c>
      <c r="E113" s="1">
        <f t="shared" si="2"/>
        <v>1.63809523809524</v>
      </c>
      <c r="F113">
        <f t="shared" si="3"/>
        <v>410000</v>
      </c>
    </row>
    <row r="114" spans="1:6">
      <c r="A114" t="s">
        <v>4222</v>
      </c>
      <c r="B114" t="s">
        <v>4148</v>
      </c>
      <c r="C114" t="s">
        <v>4149</v>
      </c>
      <c r="D114">
        <v>303000</v>
      </c>
      <c r="E114" s="1">
        <f t="shared" si="2"/>
        <v>1.44285714285714</v>
      </c>
      <c r="F114">
        <f t="shared" si="3"/>
        <v>361000</v>
      </c>
    </row>
    <row r="115" spans="1:6">
      <c r="A115" t="s">
        <v>4223</v>
      </c>
      <c r="B115" t="s">
        <v>4148</v>
      </c>
      <c r="C115" t="s">
        <v>4149</v>
      </c>
      <c r="D115">
        <v>404000</v>
      </c>
      <c r="E115" s="1">
        <f t="shared" si="2"/>
        <v>1.92380952380952</v>
      </c>
      <c r="F115">
        <f t="shared" si="3"/>
        <v>481000</v>
      </c>
    </row>
    <row r="116" spans="1:6">
      <c r="A116" t="s">
        <v>4224</v>
      </c>
      <c r="B116" t="s">
        <v>4148</v>
      </c>
      <c r="C116" t="s">
        <v>4149</v>
      </c>
      <c r="D116">
        <v>404000</v>
      </c>
      <c r="E116" s="1">
        <f t="shared" si="2"/>
        <v>1.92380952380952</v>
      </c>
      <c r="F116">
        <f t="shared" si="3"/>
        <v>481000</v>
      </c>
    </row>
    <row r="117" spans="1:6">
      <c r="A117" t="s">
        <v>4225</v>
      </c>
      <c r="B117" t="s">
        <v>4148</v>
      </c>
      <c r="C117" t="s">
        <v>4149</v>
      </c>
      <c r="D117">
        <v>424000</v>
      </c>
      <c r="E117" s="1">
        <f t="shared" si="2"/>
        <v>2.01904761904762</v>
      </c>
      <c r="F117">
        <f t="shared" si="3"/>
        <v>505000</v>
      </c>
    </row>
    <row r="118" spans="1:6">
      <c r="A118" t="s">
        <v>4226</v>
      </c>
      <c r="B118" t="s">
        <v>4148</v>
      </c>
      <c r="C118" t="s">
        <v>4149</v>
      </c>
      <c r="D118">
        <v>404000</v>
      </c>
      <c r="E118" s="1">
        <f t="shared" si="2"/>
        <v>1.92380952380952</v>
      </c>
      <c r="F118">
        <f t="shared" si="3"/>
        <v>481000</v>
      </c>
    </row>
    <row r="119" spans="1:6">
      <c r="A119" t="s">
        <v>4227</v>
      </c>
      <c r="B119" t="s">
        <v>4148</v>
      </c>
      <c r="C119" t="s">
        <v>4149</v>
      </c>
      <c r="D119">
        <v>404000</v>
      </c>
      <c r="E119" s="1">
        <f t="shared" si="2"/>
        <v>1.92380952380952</v>
      </c>
      <c r="F119">
        <f t="shared" si="3"/>
        <v>481000</v>
      </c>
    </row>
    <row r="120" spans="1:6">
      <c r="A120" t="s">
        <v>4228</v>
      </c>
      <c r="B120" t="s">
        <v>4148</v>
      </c>
      <c r="C120" t="s">
        <v>4149</v>
      </c>
      <c r="D120">
        <v>424000</v>
      </c>
      <c r="E120" s="1">
        <f t="shared" si="2"/>
        <v>2.01904761904762</v>
      </c>
      <c r="F120">
        <f t="shared" si="3"/>
        <v>505000</v>
      </c>
    </row>
    <row r="121" spans="1:6">
      <c r="A121" t="s">
        <v>4229</v>
      </c>
      <c r="B121" t="s">
        <v>4148</v>
      </c>
      <c r="C121" t="s">
        <v>4149</v>
      </c>
      <c r="D121">
        <v>404000</v>
      </c>
      <c r="E121" s="1">
        <f t="shared" si="2"/>
        <v>1.92380952380952</v>
      </c>
      <c r="F121">
        <f t="shared" si="3"/>
        <v>481000</v>
      </c>
    </row>
    <row r="122" spans="1:6">
      <c r="A122" t="s">
        <v>4230</v>
      </c>
      <c r="B122" t="s">
        <v>4148</v>
      </c>
      <c r="C122" t="s">
        <v>4149</v>
      </c>
      <c r="D122">
        <v>687000</v>
      </c>
      <c r="E122" s="1">
        <f t="shared" si="2"/>
        <v>3.27142857142857</v>
      </c>
      <c r="F122">
        <f t="shared" si="3"/>
        <v>818000</v>
      </c>
    </row>
    <row r="123" spans="1:6">
      <c r="A123" t="s">
        <v>4231</v>
      </c>
      <c r="B123" t="s">
        <v>4148</v>
      </c>
      <c r="C123" t="s">
        <v>4149</v>
      </c>
      <c r="D123">
        <v>444000</v>
      </c>
      <c r="E123" s="1">
        <f t="shared" si="2"/>
        <v>2.11428571428571</v>
      </c>
      <c r="F123">
        <f t="shared" si="3"/>
        <v>529000</v>
      </c>
    </row>
    <row r="124" spans="1:6">
      <c r="A124" t="s">
        <v>4232</v>
      </c>
      <c r="B124" t="s">
        <v>4148</v>
      </c>
      <c r="C124" t="s">
        <v>4149</v>
      </c>
      <c r="D124">
        <v>707000</v>
      </c>
      <c r="E124" s="1">
        <f t="shared" si="2"/>
        <v>3.36666666666667</v>
      </c>
      <c r="F124">
        <f t="shared" si="3"/>
        <v>842000</v>
      </c>
    </row>
    <row r="125" spans="1:6">
      <c r="A125" t="s">
        <v>4233</v>
      </c>
      <c r="B125" t="s">
        <v>4148</v>
      </c>
      <c r="C125" t="s">
        <v>4149</v>
      </c>
      <c r="D125">
        <v>364000</v>
      </c>
      <c r="E125" s="1">
        <f t="shared" si="2"/>
        <v>1.73333333333333</v>
      </c>
      <c r="F125">
        <f t="shared" si="3"/>
        <v>434000</v>
      </c>
    </row>
    <row r="126" spans="1:6">
      <c r="A126" t="s">
        <v>4234</v>
      </c>
      <c r="B126" t="s">
        <v>4148</v>
      </c>
      <c r="C126" t="s">
        <v>4149</v>
      </c>
      <c r="D126">
        <v>323000</v>
      </c>
      <c r="E126" s="1">
        <f t="shared" si="2"/>
        <v>1.53809523809524</v>
      </c>
      <c r="F126">
        <f t="shared" si="3"/>
        <v>385000</v>
      </c>
    </row>
    <row r="127" spans="1:6">
      <c r="A127" t="s">
        <v>4235</v>
      </c>
      <c r="B127" t="s">
        <v>4148</v>
      </c>
      <c r="C127" t="s">
        <v>4149</v>
      </c>
      <c r="D127">
        <v>344000</v>
      </c>
      <c r="E127" s="1">
        <f t="shared" si="2"/>
        <v>1.63809523809524</v>
      </c>
      <c r="F127">
        <f t="shared" si="3"/>
        <v>410000</v>
      </c>
    </row>
    <row r="128" spans="1:6">
      <c r="A128" t="s">
        <v>4236</v>
      </c>
      <c r="B128" t="s">
        <v>4148</v>
      </c>
      <c r="C128" t="s">
        <v>4149</v>
      </c>
      <c r="D128">
        <v>364000</v>
      </c>
      <c r="E128" s="1">
        <f t="shared" si="2"/>
        <v>1.73333333333333</v>
      </c>
      <c r="F128">
        <f t="shared" si="3"/>
        <v>434000</v>
      </c>
    </row>
    <row r="129" spans="1:6">
      <c r="A129" t="s">
        <v>4237</v>
      </c>
      <c r="B129" t="s">
        <v>4148</v>
      </c>
      <c r="C129" t="s">
        <v>4149</v>
      </c>
      <c r="D129">
        <v>606000</v>
      </c>
      <c r="E129" s="1">
        <f t="shared" si="2"/>
        <v>2.88571428571429</v>
      </c>
      <c r="F129">
        <f t="shared" si="3"/>
        <v>722000</v>
      </c>
    </row>
    <row r="130" spans="1:6">
      <c r="A130" t="s">
        <v>4238</v>
      </c>
      <c r="B130" t="s">
        <v>4148</v>
      </c>
      <c r="C130" t="s">
        <v>4149</v>
      </c>
      <c r="D130">
        <v>364000</v>
      </c>
      <c r="E130" s="1">
        <f t="shared" ref="E130:E193" si="4">D130/210000</f>
        <v>1.73333333333333</v>
      </c>
      <c r="F130">
        <f t="shared" si="3"/>
        <v>434000</v>
      </c>
    </row>
    <row r="131" spans="1:6">
      <c r="A131" t="s">
        <v>4239</v>
      </c>
      <c r="B131" t="s">
        <v>4148</v>
      </c>
      <c r="C131" t="s">
        <v>4149</v>
      </c>
      <c r="D131">
        <v>465000</v>
      </c>
      <c r="E131" s="1">
        <f t="shared" si="4"/>
        <v>2.21428571428571</v>
      </c>
      <c r="F131">
        <f t="shared" ref="F131:F194" si="5">CEILING(E131*250000,1000)</f>
        <v>554000</v>
      </c>
    </row>
    <row r="132" spans="1:6">
      <c r="A132" t="s">
        <v>4240</v>
      </c>
      <c r="B132" t="s">
        <v>4148</v>
      </c>
      <c r="C132" t="s">
        <v>4149</v>
      </c>
      <c r="D132">
        <v>243000</v>
      </c>
      <c r="E132" s="1">
        <f t="shared" si="4"/>
        <v>1.15714285714286</v>
      </c>
      <c r="F132">
        <f t="shared" si="5"/>
        <v>290000</v>
      </c>
    </row>
    <row r="133" spans="1:6">
      <c r="A133" t="s">
        <v>4241</v>
      </c>
      <c r="B133" t="s">
        <v>4148</v>
      </c>
      <c r="C133" t="s">
        <v>4149</v>
      </c>
      <c r="D133">
        <v>283000</v>
      </c>
      <c r="E133" s="1">
        <f t="shared" si="4"/>
        <v>1.34761904761905</v>
      </c>
      <c r="F133">
        <f t="shared" si="5"/>
        <v>337000</v>
      </c>
    </row>
    <row r="134" spans="1:6">
      <c r="A134" t="s">
        <v>4242</v>
      </c>
      <c r="B134" t="s">
        <v>4148</v>
      </c>
      <c r="C134" t="s">
        <v>4149</v>
      </c>
      <c r="D134">
        <v>263000</v>
      </c>
      <c r="E134" s="1">
        <f t="shared" si="4"/>
        <v>1.25238095238095</v>
      </c>
      <c r="F134">
        <f t="shared" si="5"/>
        <v>314000</v>
      </c>
    </row>
    <row r="135" spans="1:6">
      <c r="A135" t="s">
        <v>4243</v>
      </c>
      <c r="B135" t="s">
        <v>4148</v>
      </c>
      <c r="C135" t="s">
        <v>4149</v>
      </c>
      <c r="D135">
        <v>263000</v>
      </c>
      <c r="E135" s="1">
        <f t="shared" si="4"/>
        <v>1.25238095238095</v>
      </c>
      <c r="F135">
        <f t="shared" si="5"/>
        <v>314000</v>
      </c>
    </row>
    <row r="136" spans="1:6">
      <c r="A136" t="s">
        <v>4244</v>
      </c>
      <c r="B136" t="s">
        <v>4148</v>
      </c>
      <c r="C136" t="s">
        <v>4149</v>
      </c>
      <c r="D136">
        <v>263000</v>
      </c>
      <c r="E136" s="1">
        <f t="shared" si="4"/>
        <v>1.25238095238095</v>
      </c>
      <c r="F136">
        <f t="shared" si="5"/>
        <v>314000</v>
      </c>
    </row>
    <row r="137" spans="1:6">
      <c r="A137" t="s">
        <v>4245</v>
      </c>
      <c r="B137" t="s">
        <v>4148</v>
      </c>
      <c r="C137" t="s">
        <v>4149</v>
      </c>
      <c r="D137">
        <v>263000</v>
      </c>
      <c r="E137" s="1">
        <f t="shared" si="4"/>
        <v>1.25238095238095</v>
      </c>
      <c r="F137">
        <f t="shared" si="5"/>
        <v>314000</v>
      </c>
    </row>
    <row r="138" spans="1:6">
      <c r="A138" t="s">
        <v>4246</v>
      </c>
      <c r="B138" t="s">
        <v>4148</v>
      </c>
      <c r="C138" t="s">
        <v>4149</v>
      </c>
      <c r="D138">
        <v>545000</v>
      </c>
      <c r="E138" s="1">
        <f t="shared" si="4"/>
        <v>2.5952380952381</v>
      </c>
      <c r="F138">
        <f t="shared" si="5"/>
        <v>649000</v>
      </c>
    </row>
    <row r="139" spans="1:6">
      <c r="A139" t="s">
        <v>4247</v>
      </c>
      <c r="B139" t="s">
        <v>4148</v>
      </c>
      <c r="C139" t="s">
        <v>4149</v>
      </c>
      <c r="D139">
        <v>1534000</v>
      </c>
      <c r="E139" s="1">
        <f t="shared" si="4"/>
        <v>7.3047619047619</v>
      </c>
      <c r="F139">
        <f t="shared" si="5"/>
        <v>1827000</v>
      </c>
    </row>
    <row r="140" spans="1:6">
      <c r="A140" t="s">
        <v>4248</v>
      </c>
      <c r="B140" t="s">
        <v>4148</v>
      </c>
      <c r="C140" t="s">
        <v>4149</v>
      </c>
      <c r="D140">
        <v>3633000</v>
      </c>
      <c r="E140" s="1">
        <f t="shared" si="4"/>
        <v>17.3</v>
      </c>
      <c r="F140">
        <f t="shared" si="5"/>
        <v>4325000</v>
      </c>
    </row>
    <row r="141" spans="1:6">
      <c r="A141" t="s">
        <v>4249</v>
      </c>
      <c r="B141" t="s">
        <v>4148</v>
      </c>
      <c r="C141" t="s">
        <v>4149</v>
      </c>
      <c r="D141">
        <v>1736000</v>
      </c>
      <c r="E141" s="1">
        <f t="shared" si="4"/>
        <v>8.26666666666667</v>
      </c>
      <c r="F141">
        <f t="shared" si="5"/>
        <v>2067000</v>
      </c>
    </row>
    <row r="142" spans="1:6">
      <c r="A142" t="s">
        <v>4250</v>
      </c>
      <c r="B142" t="s">
        <v>4148</v>
      </c>
      <c r="C142" t="s">
        <v>4149</v>
      </c>
      <c r="D142">
        <v>3048000</v>
      </c>
      <c r="E142" s="1">
        <f t="shared" si="4"/>
        <v>14.5142857142857</v>
      </c>
      <c r="F142">
        <f t="shared" si="5"/>
        <v>3629000</v>
      </c>
    </row>
    <row r="143" spans="1:6">
      <c r="A143" t="s">
        <v>4251</v>
      </c>
      <c r="B143" t="s">
        <v>4148</v>
      </c>
      <c r="C143" t="s">
        <v>4149</v>
      </c>
      <c r="D143">
        <v>2422000</v>
      </c>
      <c r="E143" s="1">
        <f t="shared" si="4"/>
        <v>11.5333333333333</v>
      </c>
      <c r="F143">
        <f t="shared" si="5"/>
        <v>2884000</v>
      </c>
    </row>
    <row r="144" spans="1:6">
      <c r="A144" t="s">
        <v>4252</v>
      </c>
      <c r="B144" t="s">
        <v>4148</v>
      </c>
      <c r="C144" t="s">
        <v>4149</v>
      </c>
      <c r="D144">
        <v>2341000</v>
      </c>
      <c r="E144" s="1">
        <f t="shared" si="4"/>
        <v>11.147619047619</v>
      </c>
      <c r="F144">
        <f t="shared" si="5"/>
        <v>2787000</v>
      </c>
    </row>
    <row r="145" spans="1:6">
      <c r="A145" t="s">
        <v>4253</v>
      </c>
      <c r="B145" t="s">
        <v>4148</v>
      </c>
      <c r="C145" t="s">
        <v>4149</v>
      </c>
      <c r="D145">
        <v>2362000</v>
      </c>
      <c r="E145" s="1">
        <f t="shared" si="4"/>
        <v>11.247619047619</v>
      </c>
      <c r="F145">
        <f t="shared" si="5"/>
        <v>2812000</v>
      </c>
    </row>
    <row r="146" spans="1:6">
      <c r="A146" t="s">
        <v>4254</v>
      </c>
      <c r="B146" t="s">
        <v>4148</v>
      </c>
      <c r="C146" t="s">
        <v>4149</v>
      </c>
      <c r="D146">
        <v>1817000</v>
      </c>
      <c r="E146" s="1">
        <f t="shared" si="4"/>
        <v>8.65238095238095</v>
      </c>
      <c r="F146">
        <f t="shared" si="5"/>
        <v>2164000</v>
      </c>
    </row>
    <row r="147" spans="1:6">
      <c r="A147" t="s">
        <v>4255</v>
      </c>
      <c r="B147" t="s">
        <v>4148</v>
      </c>
      <c r="C147" t="s">
        <v>4149</v>
      </c>
      <c r="D147">
        <v>1211000</v>
      </c>
      <c r="E147" s="1">
        <f t="shared" si="4"/>
        <v>5.76666666666667</v>
      </c>
      <c r="F147">
        <f t="shared" si="5"/>
        <v>1442000</v>
      </c>
    </row>
    <row r="148" spans="1:6">
      <c r="A148" t="s">
        <v>4256</v>
      </c>
      <c r="B148" t="s">
        <v>4148</v>
      </c>
      <c r="C148" t="s">
        <v>4149</v>
      </c>
      <c r="D148">
        <v>1655000</v>
      </c>
      <c r="E148" s="1">
        <f t="shared" si="4"/>
        <v>7.88095238095238</v>
      </c>
      <c r="F148">
        <f t="shared" si="5"/>
        <v>1971000</v>
      </c>
    </row>
    <row r="149" spans="1:6">
      <c r="A149" t="s">
        <v>4257</v>
      </c>
      <c r="B149" t="s">
        <v>4148</v>
      </c>
      <c r="C149" t="s">
        <v>4149</v>
      </c>
      <c r="D149">
        <v>1292000</v>
      </c>
      <c r="E149" s="1">
        <f t="shared" si="4"/>
        <v>6.15238095238095</v>
      </c>
      <c r="F149">
        <f t="shared" si="5"/>
        <v>1539000</v>
      </c>
    </row>
    <row r="150" spans="1:6">
      <c r="A150" t="s">
        <v>4258</v>
      </c>
      <c r="B150" t="s">
        <v>4148</v>
      </c>
      <c r="C150" t="s">
        <v>4149</v>
      </c>
      <c r="D150">
        <v>3028000</v>
      </c>
      <c r="E150" s="1">
        <f t="shared" si="4"/>
        <v>14.4190476190476</v>
      </c>
      <c r="F150">
        <f t="shared" si="5"/>
        <v>3605000</v>
      </c>
    </row>
    <row r="151" spans="1:6">
      <c r="A151" t="s">
        <v>4259</v>
      </c>
      <c r="B151" t="s">
        <v>4148</v>
      </c>
      <c r="C151" t="s">
        <v>4149</v>
      </c>
      <c r="D151">
        <v>364000</v>
      </c>
      <c r="E151" s="1">
        <f t="shared" si="4"/>
        <v>1.73333333333333</v>
      </c>
      <c r="F151">
        <f t="shared" si="5"/>
        <v>434000</v>
      </c>
    </row>
    <row r="152" spans="1:6">
      <c r="A152" t="s">
        <v>4260</v>
      </c>
      <c r="B152" t="s">
        <v>4148</v>
      </c>
      <c r="C152" t="s">
        <v>4149</v>
      </c>
      <c r="D152">
        <v>404000</v>
      </c>
      <c r="E152" s="1">
        <f t="shared" si="4"/>
        <v>1.92380952380952</v>
      </c>
      <c r="F152">
        <f t="shared" si="5"/>
        <v>481000</v>
      </c>
    </row>
    <row r="153" spans="1:6">
      <c r="A153" t="s">
        <v>4261</v>
      </c>
      <c r="B153" t="s">
        <v>4148</v>
      </c>
      <c r="C153" t="s">
        <v>4149</v>
      </c>
      <c r="D153">
        <v>364000</v>
      </c>
      <c r="E153" s="1">
        <f t="shared" si="4"/>
        <v>1.73333333333333</v>
      </c>
      <c r="F153">
        <f t="shared" si="5"/>
        <v>434000</v>
      </c>
    </row>
    <row r="154" spans="1:6">
      <c r="A154" t="s">
        <v>4262</v>
      </c>
      <c r="B154" t="s">
        <v>4148</v>
      </c>
      <c r="C154" t="s">
        <v>4149</v>
      </c>
      <c r="D154">
        <v>384000</v>
      </c>
      <c r="E154" s="1">
        <f t="shared" si="4"/>
        <v>1.82857142857143</v>
      </c>
      <c r="F154">
        <f t="shared" si="5"/>
        <v>458000</v>
      </c>
    </row>
    <row r="155" spans="1:6">
      <c r="A155" t="s">
        <v>4263</v>
      </c>
      <c r="B155" t="s">
        <v>4148</v>
      </c>
      <c r="C155" t="s">
        <v>4149</v>
      </c>
      <c r="D155">
        <v>465000</v>
      </c>
      <c r="E155" s="1">
        <f t="shared" si="4"/>
        <v>2.21428571428571</v>
      </c>
      <c r="F155">
        <f t="shared" si="5"/>
        <v>554000</v>
      </c>
    </row>
    <row r="156" spans="1:6">
      <c r="A156" t="s">
        <v>4264</v>
      </c>
      <c r="B156" t="s">
        <v>4265</v>
      </c>
      <c r="C156" t="s">
        <v>4266</v>
      </c>
      <c r="D156">
        <v>153000</v>
      </c>
      <c r="E156" s="1">
        <f t="shared" si="4"/>
        <v>0.728571428571429</v>
      </c>
      <c r="F156">
        <f t="shared" si="5"/>
        <v>183000</v>
      </c>
    </row>
    <row r="157" spans="1:6">
      <c r="A157" t="s">
        <v>4267</v>
      </c>
      <c r="B157" t="s">
        <v>4265</v>
      </c>
      <c r="C157" t="s">
        <v>4266</v>
      </c>
      <c r="D157">
        <v>259000</v>
      </c>
      <c r="E157" s="1">
        <f t="shared" si="4"/>
        <v>1.23333333333333</v>
      </c>
      <c r="F157">
        <f t="shared" si="5"/>
        <v>309000</v>
      </c>
    </row>
    <row r="158" spans="1:6">
      <c r="A158" t="s">
        <v>4268</v>
      </c>
      <c r="B158" t="s">
        <v>4265</v>
      </c>
      <c r="C158" t="s">
        <v>4266</v>
      </c>
      <c r="D158">
        <v>363000</v>
      </c>
      <c r="E158" s="1">
        <f t="shared" si="4"/>
        <v>1.72857142857143</v>
      </c>
      <c r="F158">
        <f t="shared" si="5"/>
        <v>433000</v>
      </c>
    </row>
    <row r="159" spans="1:6">
      <c r="A159" t="s">
        <v>4269</v>
      </c>
      <c r="B159" t="s">
        <v>4265</v>
      </c>
      <c r="C159" t="s">
        <v>4266</v>
      </c>
      <c r="D159">
        <v>153000</v>
      </c>
      <c r="E159" s="1">
        <f t="shared" si="4"/>
        <v>0.728571428571429</v>
      </c>
      <c r="F159">
        <f t="shared" si="5"/>
        <v>183000</v>
      </c>
    </row>
    <row r="160" spans="1:6">
      <c r="A160" t="s">
        <v>4270</v>
      </c>
      <c r="B160" t="s">
        <v>4271</v>
      </c>
      <c r="C160" t="s">
        <v>4272</v>
      </c>
      <c r="D160">
        <v>101000</v>
      </c>
      <c r="E160" s="1">
        <f t="shared" si="4"/>
        <v>0.480952380952381</v>
      </c>
      <c r="F160">
        <f t="shared" si="5"/>
        <v>121000</v>
      </c>
    </row>
    <row r="161" spans="1:6">
      <c r="A161" t="s">
        <v>4273</v>
      </c>
      <c r="B161" t="s">
        <v>4271</v>
      </c>
      <c r="C161" t="s">
        <v>4272</v>
      </c>
      <c r="D161">
        <v>101000</v>
      </c>
      <c r="E161" s="1">
        <f t="shared" si="4"/>
        <v>0.480952380952381</v>
      </c>
      <c r="F161">
        <f t="shared" si="5"/>
        <v>121000</v>
      </c>
    </row>
    <row r="162" spans="1:6">
      <c r="A162" t="s">
        <v>4274</v>
      </c>
      <c r="B162" t="s">
        <v>4271</v>
      </c>
      <c r="C162" t="s">
        <v>4272</v>
      </c>
      <c r="D162">
        <v>101000</v>
      </c>
      <c r="E162" s="1">
        <f t="shared" si="4"/>
        <v>0.480952380952381</v>
      </c>
      <c r="F162">
        <f t="shared" si="5"/>
        <v>121000</v>
      </c>
    </row>
    <row r="163" spans="1:6">
      <c r="A163" t="s">
        <v>4275</v>
      </c>
      <c r="B163" t="s">
        <v>4271</v>
      </c>
      <c r="C163" t="s">
        <v>4272</v>
      </c>
      <c r="D163">
        <v>101000</v>
      </c>
      <c r="E163" s="1">
        <f t="shared" si="4"/>
        <v>0.480952380952381</v>
      </c>
      <c r="F163">
        <f t="shared" si="5"/>
        <v>121000</v>
      </c>
    </row>
    <row r="164" spans="1:6">
      <c r="A164" t="s">
        <v>4276</v>
      </c>
      <c r="B164" t="s">
        <v>4271</v>
      </c>
      <c r="C164" t="s">
        <v>4272</v>
      </c>
      <c r="D164">
        <v>101000</v>
      </c>
      <c r="E164" s="1">
        <f t="shared" si="4"/>
        <v>0.480952380952381</v>
      </c>
      <c r="F164">
        <f t="shared" si="5"/>
        <v>121000</v>
      </c>
    </row>
    <row r="165" spans="1:6">
      <c r="A165" t="s">
        <v>4277</v>
      </c>
      <c r="B165" t="s">
        <v>4271</v>
      </c>
      <c r="C165" t="s">
        <v>4272</v>
      </c>
      <c r="D165">
        <v>101000</v>
      </c>
      <c r="E165" s="1">
        <f t="shared" si="4"/>
        <v>0.480952380952381</v>
      </c>
      <c r="F165">
        <f t="shared" si="5"/>
        <v>121000</v>
      </c>
    </row>
    <row r="166" spans="1:6">
      <c r="A166" t="s">
        <v>4278</v>
      </c>
      <c r="B166" t="s">
        <v>4271</v>
      </c>
      <c r="C166" t="s">
        <v>4272</v>
      </c>
      <c r="D166">
        <v>101000</v>
      </c>
      <c r="E166" s="1">
        <f t="shared" si="4"/>
        <v>0.480952380952381</v>
      </c>
      <c r="F166">
        <f t="shared" si="5"/>
        <v>121000</v>
      </c>
    </row>
    <row r="167" spans="1:6">
      <c r="A167" t="s">
        <v>4279</v>
      </c>
      <c r="B167" t="s">
        <v>4271</v>
      </c>
      <c r="C167" t="s">
        <v>4272</v>
      </c>
      <c r="D167">
        <v>505000</v>
      </c>
      <c r="E167" s="1">
        <f t="shared" si="4"/>
        <v>2.4047619047619</v>
      </c>
      <c r="F167">
        <f t="shared" si="5"/>
        <v>602000</v>
      </c>
    </row>
    <row r="168" spans="1:6">
      <c r="A168" t="s">
        <v>4280</v>
      </c>
      <c r="B168" t="s">
        <v>4271</v>
      </c>
      <c r="C168" t="s">
        <v>4272</v>
      </c>
      <c r="D168">
        <v>606000</v>
      </c>
      <c r="E168" s="1">
        <f t="shared" si="4"/>
        <v>2.88571428571429</v>
      </c>
      <c r="F168">
        <f t="shared" si="5"/>
        <v>722000</v>
      </c>
    </row>
    <row r="169" spans="1:6">
      <c r="A169" t="s">
        <v>4281</v>
      </c>
      <c r="B169" t="s">
        <v>4271</v>
      </c>
      <c r="C169" t="s">
        <v>4272</v>
      </c>
      <c r="D169">
        <v>606000</v>
      </c>
      <c r="E169" s="1">
        <f t="shared" si="4"/>
        <v>2.88571428571429</v>
      </c>
      <c r="F169">
        <f t="shared" si="5"/>
        <v>722000</v>
      </c>
    </row>
    <row r="170" spans="1:6">
      <c r="A170" t="s">
        <v>4282</v>
      </c>
      <c r="B170" t="s">
        <v>4271</v>
      </c>
      <c r="C170" t="s">
        <v>4272</v>
      </c>
      <c r="D170">
        <v>505000</v>
      </c>
      <c r="E170" s="1">
        <f t="shared" si="4"/>
        <v>2.4047619047619</v>
      </c>
      <c r="F170">
        <f t="shared" si="5"/>
        <v>602000</v>
      </c>
    </row>
    <row r="171" spans="1:6">
      <c r="A171" t="s">
        <v>4283</v>
      </c>
      <c r="B171" t="s">
        <v>4271</v>
      </c>
      <c r="C171" t="s">
        <v>4272</v>
      </c>
      <c r="D171">
        <v>606000</v>
      </c>
      <c r="E171" s="1">
        <f t="shared" si="4"/>
        <v>2.88571428571429</v>
      </c>
      <c r="F171">
        <f t="shared" si="5"/>
        <v>722000</v>
      </c>
    </row>
    <row r="172" spans="1:6">
      <c r="A172" t="s">
        <v>4284</v>
      </c>
      <c r="B172" t="s">
        <v>4271</v>
      </c>
      <c r="C172" t="s">
        <v>4272</v>
      </c>
      <c r="D172">
        <v>606000</v>
      </c>
      <c r="E172" s="1">
        <f t="shared" si="4"/>
        <v>2.88571428571429</v>
      </c>
      <c r="F172">
        <f t="shared" si="5"/>
        <v>722000</v>
      </c>
    </row>
    <row r="173" spans="1:6">
      <c r="A173" t="s">
        <v>4285</v>
      </c>
      <c r="B173" t="s">
        <v>4271</v>
      </c>
      <c r="C173" t="s">
        <v>4272</v>
      </c>
      <c r="D173">
        <v>505000</v>
      </c>
      <c r="E173" s="1">
        <f t="shared" si="4"/>
        <v>2.4047619047619</v>
      </c>
      <c r="F173">
        <f t="shared" si="5"/>
        <v>602000</v>
      </c>
    </row>
    <row r="174" spans="1:6">
      <c r="A174" t="s">
        <v>4286</v>
      </c>
      <c r="B174" t="s">
        <v>4271</v>
      </c>
      <c r="C174" t="s">
        <v>4272</v>
      </c>
      <c r="D174">
        <v>50000</v>
      </c>
      <c r="E174" s="1">
        <f t="shared" si="4"/>
        <v>0.238095238095238</v>
      </c>
      <c r="F174">
        <f t="shared" si="5"/>
        <v>60000</v>
      </c>
    </row>
    <row r="175" spans="1:6">
      <c r="A175" t="s">
        <v>4287</v>
      </c>
      <c r="B175" t="s">
        <v>4271</v>
      </c>
      <c r="C175" t="s">
        <v>4272</v>
      </c>
      <c r="D175">
        <v>24000</v>
      </c>
      <c r="E175" s="1">
        <f t="shared" si="4"/>
        <v>0.114285714285714</v>
      </c>
      <c r="F175">
        <f t="shared" si="5"/>
        <v>29000</v>
      </c>
    </row>
    <row r="176" spans="1:6">
      <c r="A176" t="s">
        <v>4288</v>
      </c>
      <c r="B176" t="s">
        <v>4271</v>
      </c>
      <c r="C176" t="s">
        <v>4272</v>
      </c>
      <c r="D176">
        <v>323000</v>
      </c>
      <c r="E176" s="1">
        <f t="shared" si="4"/>
        <v>1.53809523809524</v>
      </c>
      <c r="F176">
        <f t="shared" si="5"/>
        <v>385000</v>
      </c>
    </row>
    <row r="177" spans="1:6">
      <c r="A177" t="s">
        <v>4289</v>
      </c>
      <c r="B177" t="s">
        <v>4271</v>
      </c>
      <c r="C177" t="s">
        <v>4272</v>
      </c>
      <c r="D177">
        <v>364000</v>
      </c>
      <c r="E177" s="1">
        <f t="shared" si="4"/>
        <v>1.73333333333333</v>
      </c>
      <c r="F177">
        <f t="shared" si="5"/>
        <v>434000</v>
      </c>
    </row>
    <row r="178" spans="1:6">
      <c r="A178" t="s">
        <v>4290</v>
      </c>
      <c r="B178" t="s">
        <v>4271</v>
      </c>
      <c r="C178" t="s">
        <v>4272</v>
      </c>
      <c r="D178">
        <v>263000</v>
      </c>
      <c r="E178" s="1">
        <f t="shared" si="4"/>
        <v>1.25238095238095</v>
      </c>
      <c r="F178">
        <f t="shared" si="5"/>
        <v>314000</v>
      </c>
    </row>
    <row r="179" spans="1:6">
      <c r="A179" t="s">
        <v>4291</v>
      </c>
      <c r="B179" t="s">
        <v>4271</v>
      </c>
      <c r="C179" t="s">
        <v>4272</v>
      </c>
      <c r="D179">
        <v>263000</v>
      </c>
      <c r="E179" s="1">
        <f t="shared" si="4"/>
        <v>1.25238095238095</v>
      </c>
      <c r="F179">
        <f t="shared" si="5"/>
        <v>314000</v>
      </c>
    </row>
    <row r="180" spans="1:6">
      <c r="A180" t="s">
        <v>4292</v>
      </c>
      <c r="B180" t="s">
        <v>4271</v>
      </c>
      <c r="C180" t="s">
        <v>4272</v>
      </c>
      <c r="D180">
        <v>263000</v>
      </c>
      <c r="E180" s="1">
        <f t="shared" si="4"/>
        <v>1.25238095238095</v>
      </c>
      <c r="F180">
        <f t="shared" si="5"/>
        <v>314000</v>
      </c>
    </row>
    <row r="181" spans="1:6">
      <c r="A181" t="s">
        <v>4293</v>
      </c>
      <c r="B181" t="s">
        <v>4271</v>
      </c>
      <c r="C181" t="s">
        <v>4272</v>
      </c>
      <c r="D181">
        <v>263000</v>
      </c>
      <c r="E181" s="1">
        <f t="shared" si="4"/>
        <v>1.25238095238095</v>
      </c>
      <c r="F181">
        <f t="shared" si="5"/>
        <v>314000</v>
      </c>
    </row>
    <row r="182" spans="1:6">
      <c r="A182" t="s">
        <v>4294</v>
      </c>
      <c r="B182" t="s">
        <v>4271</v>
      </c>
      <c r="C182" t="s">
        <v>4272</v>
      </c>
      <c r="D182">
        <v>404000</v>
      </c>
      <c r="E182" s="1">
        <f t="shared" si="4"/>
        <v>1.92380952380952</v>
      </c>
      <c r="F182">
        <f t="shared" si="5"/>
        <v>481000</v>
      </c>
    </row>
    <row r="183" spans="1:6">
      <c r="A183" t="s">
        <v>4295</v>
      </c>
      <c r="B183" t="s">
        <v>4271</v>
      </c>
      <c r="C183" t="s">
        <v>4272</v>
      </c>
      <c r="D183">
        <v>41000</v>
      </c>
      <c r="E183" s="1">
        <f t="shared" si="4"/>
        <v>0.195238095238095</v>
      </c>
      <c r="F183">
        <f t="shared" si="5"/>
        <v>49000</v>
      </c>
    </row>
    <row r="184" spans="1:6">
      <c r="A184" t="s">
        <v>4296</v>
      </c>
      <c r="B184" t="s">
        <v>4271</v>
      </c>
      <c r="C184" t="s">
        <v>4272</v>
      </c>
      <c r="D184">
        <v>122000</v>
      </c>
      <c r="E184" s="1">
        <f t="shared" si="4"/>
        <v>0.580952380952381</v>
      </c>
      <c r="F184">
        <f t="shared" si="5"/>
        <v>146000</v>
      </c>
    </row>
    <row r="185" spans="1:6">
      <c r="A185" t="s">
        <v>4297</v>
      </c>
      <c r="B185" t="s">
        <v>4271</v>
      </c>
      <c r="C185" t="s">
        <v>4272</v>
      </c>
      <c r="D185">
        <v>202000</v>
      </c>
      <c r="E185" s="1">
        <f t="shared" si="4"/>
        <v>0.961904761904762</v>
      </c>
      <c r="F185">
        <f t="shared" si="5"/>
        <v>241000</v>
      </c>
    </row>
    <row r="186" spans="1:6">
      <c r="A186" t="s">
        <v>4298</v>
      </c>
      <c r="B186" t="s">
        <v>4271</v>
      </c>
      <c r="C186" t="s">
        <v>4272</v>
      </c>
      <c r="D186">
        <v>101000</v>
      </c>
      <c r="E186" s="1">
        <f t="shared" si="4"/>
        <v>0.480952380952381</v>
      </c>
      <c r="F186">
        <f t="shared" si="5"/>
        <v>121000</v>
      </c>
    </row>
    <row r="187" spans="1:6">
      <c r="A187" t="s">
        <v>4299</v>
      </c>
      <c r="B187" t="s">
        <v>4271</v>
      </c>
      <c r="C187" t="s">
        <v>4272</v>
      </c>
      <c r="D187">
        <v>142000</v>
      </c>
      <c r="E187" s="1">
        <f t="shared" si="4"/>
        <v>0.676190476190476</v>
      </c>
      <c r="F187">
        <f t="shared" si="5"/>
        <v>170000</v>
      </c>
    </row>
    <row r="188" spans="1:6">
      <c r="A188" t="s">
        <v>4300</v>
      </c>
      <c r="B188" t="s">
        <v>4271</v>
      </c>
      <c r="C188" t="s">
        <v>4272</v>
      </c>
      <c r="D188">
        <v>243000</v>
      </c>
      <c r="E188" s="1">
        <f t="shared" si="4"/>
        <v>1.15714285714286</v>
      </c>
      <c r="F188">
        <f t="shared" si="5"/>
        <v>290000</v>
      </c>
    </row>
    <row r="189" spans="1:6">
      <c r="A189" t="s">
        <v>4301</v>
      </c>
      <c r="B189" t="s">
        <v>4271</v>
      </c>
      <c r="C189" t="s">
        <v>4272</v>
      </c>
      <c r="D189">
        <v>101000</v>
      </c>
      <c r="E189" s="1">
        <f t="shared" si="4"/>
        <v>0.480952380952381</v>
      </c>
      <c r="F189">
        <f t="shared" si="5"/>
        <v>121000</v>
      </c>
    </row>
    <row r="190" spans="1:6">
      <c r="A190" t="s">
        <v>4302</v>
      </c>
      <c r="B190" t="s">
        <v>4271</v>
      </c>
      <c r="C190" t="s">
        <v>4272</v>
      </c>
      <c r="D190">
        <v>162000</v>
      </c>
      <c r="E190" s="1">
        <f t="shared" si="4"/>
        <v>0.771428571428571</v>
      </c>
      <c r="F190">
        <f t="shared" si="5"/>
        <v>193000</v>
      </c>
    </row>
    <row r="191" spans="1:6">
      <c r="A191" t="s">
        <v>4303</v>
      </c>
      <c r="B191" t="s">
        <v>4271</v>
      </c>
      <c r="C191" t="s">
        <v>4272</v>
      </c>
      <c r="D191">
        <v>162000</v>
      </c>
      <c r="E191" s="1">
        <f t="shared" si="4"/>
        <v>0.771428571428571</v>
      </c>
      <c r="F191">
        <f t="shared" si="5"/>
        <v>193000</v>
      </c>
    </row>
    <row r="192" spans="1:6">
      <c r="A192" t="s">
        <v>4304</v>
      </c>
      <c r="B192" t="s">
        <v>4271</v>
      </c>
      <c r="C192" t="s">
        <v>4272</v>
      </c>
      <c r="D192">
        <v>101000</v>
      </c>
      <c r="E192" s="1">
        <f t="shared" si="4"/>
        <v>0.480952380952381</v>
      </c>
      <c r="F192">
        <f t="shared" si="5"/>
        <v>121000</v>
      </c>
    </row>
    <row r="193" spans="1:6">
      <c r="A193" t="s">
        <v>4305</v>
      </c>
      <c r="B193" t="s">
        <v>4271</v>
      </c>
      <c r="C193" t="s">
        <v>4272</v>
      </c>
      <c r="D193">
        <v>202000</v>
      </c>
      <c r="E193" s="1">
        <f t="shared" si="4"/>
        <v>0.961904761904762</v>
      </c>
      <c r="F193">
        <f t="shared" si="5"/>
        <v>241000</v>
      </c>
    </row>
    <row r="194" spans="1:6">
      <c r="A194" t="s">
        <v>4306</v>
      </c>
      <c r="B194" t="s">
        <v>4271</v>
      </c>
      <c r="C194" t="s">
        <v>4272</v>
      </c>
      <c r="D194">
        <v>101000</v>
      </c>
      <c r="E194" s="1">
        <f t="shared" ref="E194:E257" si="6">D194/210000</f>
        <v>0.480952380952381</v>
      </c>
      <c r="F194">
        <f t="shared" si="5"/>
        <v>121000</v>
      </c>
    </row>
    <row r="195" spans="1:6">
      <c r="A195" t="s">
        <v>4307</v>
      </c>
      <c r="B195" t="s">
        <v>4271</v>
      </c>
      <c r="C195" t="s">
        <v>4272</v>
      </c>
      <c r="D195">
        <v>142000</v>
      </c>
      <c r="E195" s="1">
        <f t="shared" si="6"/>
        <v>0.676190476190476</v>
      </c>
      <c r="F195">
        <f t="shared" ref="F195:F258" si="7">CEILING(E195*250000,1000)</f>
        <v>170000</v>
      </c>
    </row>
    <row r="196" spans="1:6">
      <c r="A196" t="s">
        <v>4308</v>
      </c>
      <c r="B196" t="s">
        <v>4271</v>
      </c>
      <c r="C196" t="s">
        <v>4272</v>
      </c>
      <c r="D196">
        <v>41000</v>
      </c>
      <c r="E196" s="1">
        <f t="shared" si="6"/>
        <v>0.195238095238095</v>
      </c>
      <c r="F196">
        <f t="shared" si="7"/>
        <v>49000</v>
      </c>
    </row>
    <row r="197" spans="1:6">
      <c r="A197" t="s">
        <v>4309</v>
      </c>
      <c r="B197" t="s">
        <v>4271</v>
      </c>
      <c r="C197" t="s">
        <v>4272</v>
      </c>
      <c r="D197">
        <v>61000</v>
      </c>
      <c r="E197" s="1">
        <f t="shared" si="6"/>
        <v>0.29047619047619</v>
      </c>
      <c r="F197">
        <f t="shared" si="7"/>
        <v>73000</v>
      </c>
    </row>
    <row r="198" spans="1:6">
      <c r="A198" t="s">
        <v>4310</v>
      </c>
      <c r="B198" t="s">
        <v>4271</v>
      </c>
      <c r="C198" t="s">
        <v>4272</v>
      </c>
      <c r="D198">
        <v>41000</v>
      </c>
      <c r="E198" s="1">
        <f t="shared" si="6"/>
        <v>0.195238095238095</v>
      </c>
      <c r="F198">
        <f t="shared" si="7"/>
        <v>49000</v>
      </c>
    </row>
    <row r="199" spans="1:6">
      <c r="A199" t="s">
        <v>4311</v>
      </c>
      <c r="B199" t="s">
        <v>4271</v>
      </c>
      <c r="C199" t="s">
        <v>4272</v>
      </c>
      <c r="D199">
        <v>41000</v>
      </c>
      <c r="E199" s="1">
        <f t="shared" si="6"/>
        <v>0.195238095238095</v>
      </c>
      <c r="F199">
        <f t="shared" si="7"/>
        <v>49000</v>
      </c>
    </row>
    <row r="200" spans="1:6">
      <c r="A200" t="s">
        <v>4312</v>
      </c>
      <c r="B200" t="s">
        <v>4271</v>
      </c>
      <c r="C200" t="s">
        <v>4272</v>
      </c>
      <c r="D200">
        <v>81000</v>
      </c>
      <c r="E200" s="1">
        <f t="shared" si="6"/>
        <v>0.385714285714286</v>
      </c>
      <c r="F200">
        <f t="shared" si="7"/>
        <v>97000</v>
      </c>
    </row>
    <row r="201" spans="1:6">
      <c r="A201" t="s">
        <v>4313</v>
      </c>
      <c r="B201" t="s">
        <v>4271</v>
      </c>
      <c r="C201" t="s">
        <v>4272</v>
      </c>
      <c r="D201">
        <v>101000</v>
      </c>
      <c r="E201" s="1">
        <f t="shared" si="6"/>
        <v>0.480952380952381</v>
      </c>
      <c r="F201">
        <f t="shared" si="7"/>
        <v>121000</v>
      </c>
    </row>
    <row r="202" spans="1:6">
      <c r="A202" t="s">
        <v>4314</v>
      </c>
      <c r="B202" t="s">
        <v>4271</v>
      </c>
      <c r="C202" t="s">
        <v>4272</v>
      </c>
      <c r="D202">
        <v>81000</v>
      </c>
      <c r="E202" s="1">
        <f t="shared" si="6"/>
        <v>0.385714285714286</v>
      </c>
      <c r="F202">
        <f t="shared" si="7"/>
        <v>97000</v>
      </c>
    </row>
    <row r="203" spans="1:6">
      <c r="A203" t="s">
        <v>4315</v>
      </c>
      <c r="B203" t="s">
        <v>4271</v>
      </c>
      <c r="C203" t="s">
        <v>4272</v>
      </c>
      <c r="D203">
        <v>81000</v>
      </c>
      <c r="E203" s="1">
        <f t="shared" si="6"/>
        <v>0.385714285714286</v>
      </c>
      <c r="F203">
        <f t="shared" si="7"/>
        <v>97000</v>
      </c>
    </row>
    <row r="204" spans="1:6">
      <c r="A204" t="s">
        <v>4316</v>
      </c>
      <c r="B204" t="s">
        <v>4271</v>
      </c>
      <c r="C204" t="s">
        <v>4272</v>
      </c>
      <c r="D204">
        <v>81000</v>
      </c>
      <c r="E204" s="1">
        <f t="shared" si="6"/>
        <v>0.385714285714286</v>
      </c>
      <c r="F204">
        <f t="shared" si="7"/>
        <v>97000</v>
      </c>
    </row>
    <row r="205" spans="1:6">
      <c r="A205" t="s">
        <v>4317</v>
      </c>
      <c r="B205" t="s">
        <v>4271</v>
      </c>
      <c r="C205" t="s">
        <v>4272</v>
      </c>
      <c r="D205">
        <v>81000</v>
      </c>
      <c r="E205" s="1">
        <f t="shared" si="6"/>
        <v>0.385714285714286</v>
      </c>
      <c r="F205">
        <f t="shared" si="7"/>
        <v>97000</v>
      </c>
    </row>
    <row r="206" spans="1:6">
      <c r="A206" t="s">
        <v>4318</v>
      </c>
      <c r="B206" t="s">
        <v>4271</v>
      </c>
      <c r="C206" t="s">
        <v>4272</v>
      </c>
      <c r="D206">
        <v>41000</v>
      </c>
      <c r="E206" s="1">
        <f t="shared" si="6"/>
        <v>0.195238095238095</v>
      </c>
      <c r="F206">
        <f t="shared" si="7"/>
        <v>49000</v>
      </c>
    </row>
    <row r="207" spans="1:6">
      <c r="A207" t="s">
        <v>4319</v>
      </c>
      <c r="B207" t="s">
        <v>4271</v>
      </c>
      <c r="C207" t="s">
        <v>4272</v>
      </c>
      <c r="D207">
        <v>41000</v>
      </c>
      <c r="E207" s="1">
        <f t="shared" si="6"/>
        <v>0.195238095238095</v>
      </c>
      <c r="F207">
        <f t="shared" si="7"/>
        <v>49000</v>
      </c>
    </row>
    <row r="208" spans="1:6">
      <c r="A208" t="s">
        <v>4320</v>
      </c>
      <c r="B208" t="s">
        <v>4271</v>
      </c>
      <c r="C208" t="s">
        <v>4272</v>
      </c>
      <c r="D208">
        <v>81000</v>
      </c>
      <c r="E208" s="1">
        <f t="shared" si="6"/>
        <v>0.385714285714286</v>
      </c>
      <c r="F208">
        <f t="shared" si="7"/>
        <v>97000</v>
      </c>
    </row>
    <row r="209" spans="1:6">
      <c r="A209" t="s">
        <v>4321</v>
      </c>
      <c r="B209" t="s">
        <v>4271</v>
      </c>
      <c r="C209" t="s">
        <v>4272</v>
      </c>
      <c r="D209">
        <v>61000</v>
      </c>
      <c r="E209" s="1">
        <f t="shared" si="6"/>
        <v>0.29047619047619</v>
      </c>
      <c r="F209">
        <f t="shared" si="7"/>
        <v>73000</v>
      </c>
    </row>
    <row r="210" spans="1:6">
      <c r="A210" t="s">
        <v>4322</v>
      </c>
      <c r="B210" t="s">
        <v>4271</v>
      </c>
      <c r="C210" t="s">
        <v>4272</v>
      </c>
      <c r="D210">
        <v>122000</v>
      </c>
      <c r="E210" s="1">
        <f t="shared" si="6"/>
        <v>0.580952380952381</v>
      </c>
      <c r="F210">
        <f t="shared" si="7"/>
        <v>146000</v>
      </c>
    </row>
    <row r="211" spans="1:6">
      <c r="A211" t="s">
        <v>4323</v>
      </c>
      <c r="B211" t="s">
        <v>4271</v>
      </c>
      <c r="C211" t="s">
        <v>4272</v>
      </c>
      <c r="D211">
        <v>101000</v>
      </c>
      <c r="E211" s="1">
        <f t="shared" si="6"/>
        <v>0.480952380952381</v>
      </c>
      <c r="F211">
        <f t="shared" si="7"/>
        <v>121000</v>
      </c>
    </row>
    <row r="212" spans="1:6">
      <c r="A212" t="s">
        <v>4324</v>
      </c>
      <c r="B212" t="s">
        <v>4271</v>
      </c>
      <c r="C212" t="s">
        <v>4272</v>
      </c>
      <c r="D212">
        <v>101000</v>
      </c>
      <c r="E212" s="1">
        <f t="shared" si="6"/>
        <v>0.480952380952381</v>
      </c>
      <c r="F212">
        <f t="shared" si="7"/>
        <v>121000</v>
      </c>
    </row>
    <row r="213" spans="1:6">
      <c r="A213" t="s">
        <v>4325</v>
      </c>
      <c r="B213" t="s">
        <v>4271</v>
      </c>
      <c r="C213" t="s">
        <v>4272</v>
      </c>
      <c r="D213">
        <v>101000</v>
      </c>
      <c r="E213" s="1">
        <f t="shared" si="6"/>
        <v>0.480952380952381</v>
      </c>
      <c r="F213">
        <f t="shared" si="7"/>
        <v>121000</v>
      </c>
    </row>
    <row r="214" spans="1:6">
      <c r="A214" t="s">
        <v>4326</v>
      </c>
      <c r="B214" t="s">
        <v>4271</v>
      </c>
      <c r="C214" t="s">
        <v>4272</v>
      </c>
      <c r="D214">
        <v>101000</v>
      </c>
      <c r="E214" s="1">
        <f t="shared" si="6"/>
        <v>0.480952380952381</v>
      </c>
      <c r="F214">
        <f t="shared" si="7"/>
        <v>121000</v>
      </c>
    </row>
    <row r="215" spans="1:6">
      <c r="A215" t="s">
        <v>4327</v>
      </c>
      <c r="B215" t="s">
        <v>4271</v>
      </c>
      <c r="C215" t="s">
        <v>4272</v>
      </c>
      <c r="D215">
        <v>101000</v>
      </c>
      <c r="E215" s="1">
        <f t="shared" si="6"/>
        <v>0.480952380952381</v>
      </c>
      <c r="F215">
        <f t="shared" si="7"/>
        <v>121000</v>
      </c>
    </row>
    <row r="216" spans="1:6">
      <c r="A216" t="s">
        <v>4328</v>
      </c>
      <c r="B216" t="s">
        <v>4271</v>
      </c>
      <c r="C216" t="s">
        <v>4272</v>
      </c>
      <c r="D216">
        <v>101000</v>
      </c>
      <c r="E216" s="1">
        <f t="shared" si="6"/>
        <v>0.480952380952381</v>
      </c>
      <c r="F216">
        <f t="shared" si="7"/>
        <v>121000</v>
      </c>
    </row>
    <row r="217" spans="1:6">
      <c r="A217" t="s">
        <v>4329</v>
      </c>
      <c r="B217" t="s">
        <v>4271</v>
      </c>
      <c r="C217" t="s">
        <v>4272</v>
      </c>
      <c r="D217">
        <v>61000</v>
      </c>
      <c r="E217" s="1">
        <f t="shared" si="6"/>
        <v>0.29047619047619</v>
      </c>
      <c r="F217">
        <f t="shared" si="7"/>
        <v>73000</v>
      </c>
    </row>
    <row r="218" spans="1:6">
      <c r="A218" t="s">
        <v>4330</v>
      </c>
      <c r="B218" t="s">
        <v>4271</v>
      </c>
      <c r="C218" t="s">
        <v>4272</v>
      </c>
      <c r="D218">
        <v>61000</v>
      </c>
      <c r="E218" s="1">
        <f t="shared" si="6"/>
        <v>0.29047619047619</v>
      </c>
      <c r="F218">
        <f t="shared" si="7"/>
        <v>73000</v>
      </c>
    </row>
    <row r="219" spans="1:6">
      <c r="A219" t="s">
        <v>4331</v>
      </c>
      <c r="B219" t="s">
        <v>4271</v>
      </c>
      <c r="C219" t="s">
        <v>4272</v>
      </c>
      <c r="D219">
        <v>61000</v>
      </c>
      <c r="E219" s="1">
        <f t="shared" si="6"/>
        <v>0.29047619047619</v>
      </c>
      <c r="F219">
        <f t="shared" si="7"/>
        <v>73000</v>
      </c>
    </row>
    <row r="220" spans="1:6">
      <c r="A220" t="s">
        <v>4332</v>
      </c>
      <c r="B220" t="s">
        <v>4271</v>
      </c>
      <c r="C220" t="s">
        <v>4272</v>
      </c>
      <c r="D220">
        <v>61000</v>
      </c>
      <c r="E220" s="1">
        <f t="shared" si="6"/>
        <v>0.29047619047619</v>
      </c>
      <c r="F220">
        <f t="shared" si="7"/>
        <v>73000</v>
      </c>
    </row>
    <row r="221" spans="1:6">
      <c r="A221" t="s">
        <v>4333</v>
      </c>
      <c r="B221" t="s">
        <v>4271</v>
      </c>
      <c r="C221" t="s">
        <v>4272</v>
      </c>
      <c r="D221">
        <v>81000</v>
      </c>
      <c r="E221" s="1">
        <f t="shared" si="6"/>
        <v>0.385714285714286</v>
      </c>
      <c r="F221">
        <f t="shared" si="7"/>
        <v>97000</v>
      </c>
    </row>
    <row r="222" spans="1:6">
      <c r="A222" t="s">
        <v>4334</v>
      </c>
      <c r="B222" t="s">
        <v>4271</v>
      </c>
      <c r="C222" t="s">
        <v>4272</v>
      </c>
      <c r="D222">
        <v>61000</v>
      </c>
      <c r="E222" s="1">
        <f t="shared" si="6"/>
        <v>0.29047619047619</v>
      </c>
      <c r="F222">
        <f t="shared" si="7"/>
        <v>73000</v>
      </c>
    </row>
    <row r="223" spans="1:6">
      <c r="A223" t="s">
        <v>4335</v>
      </c>
      <c r="B223" t="s">
        <v>4271</v>
      </c>
      <c r="C223" t="s">
        <v>4272</v>
      </c>
      <c r="D223">
        <v>122000</v>
      </c>
      <c r="E223" s="1">
        <f t="shared" si="6"/>
        <v>0.580952380952381</v>
      </c>
      <c r="F223">
        <f t="shared" si="7"/>
        <v>146000</v>
      </c>
    </row>
    <row r="224" spans="1:6">
      <c r="A224" t="s">
        <v>4336</v>
      </c>
      <c r="B224" t="s">
        <v>4271</v>
      </c>
      <c r="C224" t="s">
        <v>4272</v>
      </c>
      <c r="D224">
        <v>80000</v>
      </c>
      <c r="E224" s="1">
        <f t="shared" si="6"/>
        <v>0.380952380952381</v>
      </c>
      <c r="F224">
        <f t="shared" si="7"/>
        <v>96000</v>
      </c>
    </row>
    <row r="225" spans="1:6">
      <c r="A225" t="s">
        <v>4337</v>
      </c>
      <c r="B225" t="s">
        <v>4271</v>
      </c>
      <c r="C225" t="s">
        <v>4272</v>
      </c>
      <c r="D225">
        <v>11000</v>
      </c>
      <c r="E225" s="1">
        <f t="shared" si="6"/>
        <v>0.0523809523809524</v>
      </c>
      <c r="F225">
        <f t="shared" si="7"/>
        <v>14000</v>
      </c>
    </row>
    <row r="226" spans="1:6">
      <c r="A226" t="s">
        <v>4338</v>
      </c>
      <c r="B226" t="s">
        <v>4271</v>
      </c>
      <c r="C226" t="s">
        <v>4272</v>
      </c>
      <c r="D226">
        <v>384000</v>
      </c>
      <c r="E226" s="1">
        <f t="shared" si="6"/>
        <v>1.82857142857143</v>
      </c>
      <c r="F226">
        <f t="shared" si="7"/>
        <v>458000</v>
      </c>
    </row>
    <row r="227" spans="1:6">
      <c r="A227" t="s">
        <v>4339</v>
      </c>
      <c r="B227" t="s">
        <v>4271</v>
      </c>
      <c r="C227" t="s">
        <v>4272</v>
      </c>
      <c r="D227">
        <v>606000</v>
      </c>
      <c r="E227" s="1">
        <f t="shared" si="6"/>
        <v>2.88571428571429</v>
      </c>
      <c r="F227">
        <f t="shared" si="7"/>
        <v>722000</v>
      </c>
    </row>
    <row r="228" spans="1:6">
      <c r="A228" t="s">
        <v>4340</v>
      </c>
      <c r="B228" t="s">
        <v>4271</v>
      </c>
      <c r="C228" t="s">
        <v>4272</v>
      </c>
      <c r="D228">
        <v>566000</v>
      </c>
      <c r="E228" s="1">
        <f t="shared" si="6"/>
        <v>2.6952380952381</v>
      </c>
      <c r="F228">
        <f t="shared" si="7"/>
        <v>674000</v>
      </c>
    </row>
    <row r="229" spans="1:6">
      <c r="A229" t="s">
        <v>4341</v>
      </c>
      <c r="B229" t="s">
        <v>4271</v>
      </c>
      <c r="C229" t="s">
        <v>4272</v>
      </c>
      <c r="D229">
        <v>243000</v>
      </c>
      <c r="E229" s="1">
        <f t="shared" si="6"/>
        <v>1.15714285714286</v>
      </c>
      <c r="F229">
        <f t="shared" si="7"/>
        <v>290000</v>
      </c>
    </row>
    <row r="230" spans="1:6">
      <c r="A230" t="s">
        <v>4342</v>
      </c>
      <c r="B230" t="s">
        <v>4271</v>
      </c>
      <c r="C230" t="s">
        <v>4272</v>
      </c>
      <c r="D230">
        <v>243000</v>
      </c>
      <c r="E230" s="1">
        <f t="shared" si="6"/>
        <v>1.15714285714286</v>
      </c>
      <c r="F230">
        <f t="shared" si="7"/>
        <v>290000</v>
      </c>
    </row>
    <row r="231" spans="1:6">
      <c r="A231" t="s">
        <v>4343</v>
      </c>
      <c r="B231" t="s">
        <v>4271</v>
      </c>
      <c r="C231" t="s">
        <v>4272</v>
      </c>
      <c r="D231">
        <v>243000</v>
      </c>
      <c r="E231" s="1">
        <f t="shared" si="6"/>
        <v>1.15714285714286</v>
      </c>
      <c r="F231">
        <f t="shared" si="7"/>
        <v>290000</v>
      </c>
    </row>
    <row r="232" spans="1:6">
      <c r="A232" t="s">
        <v>4344</v>
      </c>
      <c r="B232" t="s">
        <v>4271</v>
      </c>
      <c r="C232" t="s">
        <v>4272</v>
      </c>
      <c r="D232">
        <v>303000</v>
      </c>
      <c r="E232" s="1">
        <f t="shared" si="6"/>
        <v>1.44285714285714</v>
      </c>
      <c r="F232">
        <f t="shared" si="7"/>
        <v>361000</v>
      </c>
    </row>
    <row r="233" spans="1:6">
      <c r="A233" t="s">
        <v>4345</v>
      </c>
      <c r="B233" t="s">
        <v>4271</v>
      </c>
      <c r="C233" t="s">
        <v>4272</v>
      </c>
      <c r="D233">
        <v>687000</v>
      </c>
      <c r="E233" s="1">
        <f t="shared" si="6"/>
        <v>3.27142857142857</v>
      </c>
      <c r="F233">
        <f t="shared" si="7"/>
        <v>818000</v>
      </c>
    </row>
    <row r="234" spans="1:6">
      <c r="A234" t="s">
        <v>4346</v>
      </c>
      <c r="B234" t="s">
        <v>4271</v>
      </c>
      <c r="C234" t="s">
        <v>4272</v>
      </c>
      <c r="D234">
        <v>1211000</v>
      </c>
      <c r="E234" s="1">
        <f t="shared" si="6"/>
        <v>5.76666666666667</v>
      </c>
      <c r="F234">
        <f t="shared" si="7"/>
        <v>1442000</v>
      </c>
    </row>
    <row r="235" spans="1:6">
      <c r="A235" t="s">
        <v>4347</v>
      </c>
      <c r="B235" t="s">
        <v>4271</v>
      </c>
      <c r="C235" t="s">
        <v>4272</v>
      </c>
      <c r="D235">
        <v>1010000</v>
      </c>
      <c r="E235" s="1">
        <f t="shared" si="6"/>
        <v>4.80952380952381</v>
      </c>
      <c r="F235">
        <f t="shared" si="7"/>
        <v>1203000</v>
      </c>
    </row>
    <row r="236" spans="1:6">
      <c r="A236" t="s">
        <v>4348</v>
      </c>
      <c r="B236" t="s">
        <v>4271</v>
      </c>
      <c r="C236" t="s">
        <v>4272</v>
      </c>
      <c r="D236">
        <v>444000</v>
      </c>
      <c r="E236" s="1">
        <f t="shared" si="6"/>
        <v>2.11428571428571</v>
      </c>
      <c r="F236">
        <f t="shared" si="7"/>
        <v>529000</v>
      </c>
    </row>
    <row r="237" spans="1:6">
      <c r="A237" t="s">
        <v>4349</v>
      </c>
      <c r="B237" t="s">
        <v>4271</v>
      </c>
      <c r="C237" t="s">
        <v>4272</v>
      </c>
      <c r="D237">
        <v>444000</v>
      </c>
      <c r="E237" s="1">
        <f t="shared" si="6"/>
        <v>2.11428571428571</v>
      </c>
      <c r="F237">
        <f t="shared" si="7"/>
        <v>529000</v>
      </c>
    </row>
    <row r="238" spans="1:6">
      <c r="A238" t="s">
        <v>4350</v>
      </c>
      <c r="B238" t="s">
        <v>4271</v>
      </c>
      <c r="C238" t="s">
        <v>4272</v>
      </c>
      <c r="D238">
        <v>444000</v>
      </c>
      <c r="E238" s="1">
        <f t="shared" si="6"/>
        <v>2.11428571428571</v>
      </c>
      <c r="F238">
        <f t="shared" si="7"/>
        <v>529000</v>
      </c>
    </row>
    <row r="239" spans="1:6">
      <c r="A239" t="s">
        <v>4351</v>
      </c>
      <c r="B239" t="s">
        <v>4271</v>
      </c>
      <c r="C239" t="s">
        <v>4272</v>
      </c>
      <c r="D239">
        <v>606000</v>
      </c>
      <c r="E239" s="1">
        <f t="shared" si="6"/>
        <v>2.88571428571429</v>
      </c>
      <c r="F239">
        <f t="shared" si="7"/>
        <v>722000</v>
      </c>
    </row>
    <row r="240" spans="1:6">
      <c r="A240" t="s">
        <v>4352</v>
      </c>
      <c r="B240" t="s">
        <v>4271</v>
      </c>
      <c r="C240" t="s">
        <v>4272</v>
      </c>
      <c r="D240">
        <v>101000</v>
      </c>
      <c r="E240" s="1">
        <f t="shared" si="6"/>
        <v>0.480952380952381</v>
      </c>
      <c r="F240">
        <f t="shared" si="7"/>
        <v>121000</v>
      </c>
    </row>
    <row r="241" spans="1:6">
      <c r="A241" t="s">
        <v>4353</v>
      </c>
      <c r="B241" t="s">
        <v>4271</v>
      </c>
      <c r="C241" t="s">
        <v>4272</v>
      </c>
      <c r="D241">
        <v>101000</v>
      </c>
      <c r="E241" s="1">
        <f t="shared" si="6"/>
        <v>0.480952380952381</v>
      </c>
      <c r="F241">
        <f t="shared" si="7"/>
        <v>121000</v>
      </c>
    </row>
    <row r="242" spans="1:6">
      <c r="A242" t="s">
        <v>4354</v>
      </c>
      <c r="B242" t="s">
        <v>4271</v>
      </c>
      <c r="C242" t="s">
        <v>4272</v>
      </c>
      <c r="D242">
        <v>101000</v>
      </c>
      <c r="E242" s="1">
        <f t="shared" si="6"/>
        <v>0.480952380952381</v>
      </c>
      <c r="F242">
        <f t="shared" si="7"/>
        <v>121000</v>
      </c>
    </row>
    <row r="243" spans="1:6">
      <c r="A243" t="s">
        <v>4355</v>
      </c>
      <c r="B243" t="s">
        <v>4271</v>
      </c>
      <c r="C243" t="s">
        <v>4272</v>
      </c>
      <c r="D243">
        <v>101000</v>
      </c>
      <c r="E243" s="1">
        <f t="shared" si="6"/>
        <v>0.480952380952381</v>
      </c>
      <c r="F243">
        <f t="shared" si="7"/>
        <v>121000</v>
      </c>
    </row>
    <row r="244" spans="1:6">
      <c r="A244" t="s">
        <v>4356</v>
      </c>
      <c r="B244" t="s">
        <v>4271</v>
      </c>
      <c r="C244" t="s">
        <v>4272</v>
      </c>
      <c r="D244">
        <v>101000</v>
      </c>
      <c r="E244" s="1">
        <f t="shared" si="6"/>
        <v>0.480952380952381</v>
      </c>
      <c r="F244">
        <f t="shared" si="7"/>
        <v>121000</v>
      </c>
    </row>
    <row r="245" spans="1:6">
      <c r="A245" t="s">
        <v>4357</v>
      </c>
      <c r="B245" t="s">
        <v>4271</v>
      </c>
      <c r="C245" t="s">
        <v>4272</v>
      </c>
      <c r="D245">
        <v>101000</v>
      </c>
      <c r="E245" s="1">
        <f t="shared" si="6"/>
        <v>0.480952380952381</v>
      </c>
      <c r="F245">
        <f t="shared" si="7"/>
        <v>121000</v>
      </c>
    </row>
    <row r="246" spans="1:6">
      <c r="A246" t="s">
        <v>4358</v>
      </c>
      <c r="B246" t="s">
        <v>4271</v>
      </c>
      <c r="C246" t="s">
        <v>4272</v>
      </c>
      <c r="D246">
        <v>101000</v>
      </c>
      <c r="E246" s="1">
        <f t="shared" si="6"/>
        <v>0.480952380952381</v>
      </c>
      <c r="F246">
        <f t="shared" si="7"/>
        <v>121000</v>
      </c>
    </row>
    <row r="247" spans="1:6">
      <c r="A247" t="s">
        <v>4359</v>
      </c>
      <c r="B247" t="s">
        <v>4271</v>
      </c>
      <c r="C247" t="s">
        <v>4272</v>
      </c>
      <c r="D247">
        <v>101000</v>
      </c>
      <c r="E247" s="1">
        <f t="shared" si="6"/>
        <v>0.480952380952381</v>
      </c>
      <c r="F247">
        <f t="shared" si="7"/>
        <v>121000</v>
      </c>
    </row>
    <row r="248" spans="1:6">
      <c r="A248" t="s">
        <v>4360</v>
      </c>
      <c r="B248" t="s">
        <v>4271</v>
      </c>
      <c r="C248" t="s">
        <v>4272</v>
      </c>
      <c r="D248">
        <v>101000</v>
      </c>
      <c r="E248" s="1">
        <f t="shared" si="6"/>
        <v>0.480952380952381</v>
      </c>
      <c r="F248">
        <f t="shared" si="7"/>
        <v>121000</v>
      </c>
    </row>
    <row r="249" spans="1:6">
      <c r="A249" t="s">
        <v>4361</v>
      </c>
      <c r="B249" t="s">
        <v>4271</v>
      </c>
      <c r="C249" t="s">
        <v>4272</v>
      </c>
      <c r="D249">
        <v>101000</v>
      </c>
      <c r="E249" s="1">
        <f t="shared" si="6"/>
        <v>0.480952380952381</v>
      </c>
      <c r="F249">
        <f t="shared" si="7"/>
        <v>121000</v>
      </c>
    </row>
    <row r="250" spans="1:6">
      <c r="A250" t="s">
        <v>4362</v>
      </c>
      <c r="B250" t="s">
        <v>4271</v>
      </c>
      <c r="C250" t="s">
        <v>4272</v>
      </c>
      <c r="D250">
        <v>101000</v>
      </c>
      <c r="E250" s="1">
        <f t="shared" si="6"/>
        <v>0.480952380952381</v>
      </c>
      <c r="F250">
        <f t="shared" si="7"/>
        <v>121000</v>
      </c>
    </row>
    <row r="251" spans="1:6">
      <c r="A251" t="s">
        <v>4363</v>
      </c>
      <c r="B251" t="s">
        <v>4271</v>
      </c>
      <c r="C251" t="s">
        <v>4272</v>
      </c>
      <c r="D251">
        <v>101000</v>
      </c>
      <c r="E251" s="1">
        <f t="shared" si="6"/>
        <v>0.480952380952381</v>
      </c>
      <c r="F251">
        <f t="shared" si="7"/>
        <v>121000</v>
      </c>
    </row>
    <row r="252" spans="1:6">
      <c r="A252" t="s">
        <v>4364</v>
      </c>
      <c r="B252" t="s">
        <v>4271</v>
      </c>
      <c r="C252" t="s">
        <v>4272</v>
      </c>
      <c r="D252">
        <v>505000</v>
      </c>
      <c r="E252" s="1">
        <f t="shared" si="6"/>
        <v>2.4047619047619</v>
      </c>
      <c r="F252">
        <f t="shared" si="7"/>
        <v>602000</v>
      </c>
    </row>
    <row r="253" spans="1:6">
      <c r="A253" t="s">
        <v>4365</v>
      </c>
      <c r="B253" t="s">
        <v>4271</v>
      </c>
      <c r="C253" t="s">
        <v>4272</v>
      </c>
      <c r="D253">
        <v>344000</v>
      </c>
      <c r="E253" s="1">
        <f t="shared" si="6"/>
        <v>1.63809523809524</v>
      </c>
      <c r="F253">
        <f t="shared" si="7"/>
        <v>410000</v>
      </c>
    </row>
    <row r="254" spans="1:6">
      <c r="A254" t="s">
        <v>4366</v>
      </c>
      <c r="B254" t="s">
        <v>4271</v>
      </c>
      <c r="C254" t="s">
        <v>4272</v>
      </c>
      <c r="D254">
        <v>525000</v>
      </c>
      <c r="E254" s="1">
        <f t="shared" si="6"/>
        <v>2.5</v>
      </c>
      <c r="F254">
        <f t="shared" si="7"/>
        <v>625000</v>
      </c>
    </row>
    <row r="255" spans="1:6">
      <c r="A255" t="s">
        <v>4367</v>
      </c>
      <c r="B255" t="s">
        <v>4271</v>
      </c>
      <c r="C255" t="s">
        <v>4272</v>
      </c>
      <c r="D255">
        <v>303000</v>
      </c>
      <c r="E255" s="1">
        <f t="shared" si="6"/>
        <v>1.44285714285714</v>
      </c>
      <c r="F255">
        <f t="shared" si="7"/>
        <v>361000</v>
      </c>
    </row>
    <row r="256" spans="1:6">
      <c r="A256" t="s">
        <v>4368</v>
      </c>
      <c r="B256" t="s">
        <v>4271</v>
      </c>
      <c r="C256" t="s">
        <v>4272</v>
      </c>
      <c r="D256">
        <v>283000</v>
      </c>
      <c r="E256" s="1">
        <f t="shared" si="6"/>
        <v>1.34761904761905</v>
      </c>
      <c r="F256">
        <f t="shared" si="7"/>
        <v>337000</v>
      </c>
    </row>
    <row r="257" spans="1:6">
      <c r="A257" t="s">
        <v>4369</v>
      </c>
      <c r="B257" t="s">
        <v>4271</v>
      </c>
      <c r="C257" t="s">
        <v>4272</v>
      </c>
      <c r="D257">
        <v>323000</v>
      </c>
      <c r="E257" s="1">
        <f t="shared" si="6"/>
        <v>1.53809523809524</v>
      </c>
      <c r="F257">
        <f t="shared" si="7"/>
        <v>385000</v>
      </c>
    </row>
    <row r="258" spans="1:6">
      <c r="A258" t="s">
        <v>4370</v>
      </c>
      <c r="B258" t="s">
        <v>4271</v>
      </c>
      <c r="C258" t="s">
        <v>4272</v>
      </c>
      <c r="D258">
        <v>122000</v>
      </c>
      <c r="E258" s="1">
        <f t="shared" ref="E258:E321" si="8">D258/210000</f>
        <v>0.580952380952381</v>
      </c>
      <c r="F258">
        <f t="shared" si="7"/>
        <v>146000</v>
      </c>
    </row>
    <row r="259" spans="1:6">
      <c r="A259" t="s">
        <v>4371</v>
      </c>
      <c r="B259" t="s">
        <v>4271</v>
      </c>
      <c r="C259" t="s">
        <v>4272</v>
      </c>
      <c r="D259">
        <v>606000</v>
      </c>
      <c r="E259" s="1">
        <f t="shared" si="8"/>
        <v>2.88571428571429</v>
      </c>
      <c r="F259">
        <f t="shared" ref="F259:F322" si="9">CEILING(E259*250000,1000)</f>
        <v>722000</v>
      </c>
    </row>
    <row r="260" spans="1:6">
      <c r="A260" t="s">
        <v>4372</v>
      </c>
      <c r="B260" t="s">
        <v>4271</v>
      </c>
      <c r="C260" t="s">
        <v>4272</v>
      </c>
      <c r="D260">
        <v>101000</v>
      </c>
      <c r="E260" s="1">
        <f t="shared" si="8"/>
        <v>0.480952380952381</v>
      </c>
      <c r="F260">
        <f t="shared" si="9"/>
        <v>121000</v>
      </c>
    </row>
    <row r="261" spans="1:6">
      <c r="A261" t="s">
        <v>4373</v>
      </c>
      <c r="B261" t="s">
        <v>4271</v>
      </c>
      <c r="C261" t="s">
        <v>4272</v>
      </c>
      <c r="D261">
        <v>222000</v>
      </c>
      <c r="E261" s="1">
        <f t="shared" si="8"/>
        <v>1.05714285714286</v>
      </c>
      <c r="F261">
        <f t="shared" si="9"/>
        <v>265000</v>
      </c>
    </row>
    <row r="262" spans="1:6">
      <c r="A262" t="s">
        <v>4374</v>
      </c>
      <c r="B262" t="s">
        <v>4271</v>
      </c>
      <c r="C262" t="s">
        <v>4272</v>
      </c>
      <c r="D262">
        <v>222000</v>
      </c>
      <c r="E262" s="1">
        <f t="shared" si="8"/>
        <v>1.05714285714286</v>
      </c>
      <c r="F262">
        <f t="shared" si="9"/>
        <v>265000</v>
      </c>
    </row>
    <row r="263" spans="1:6">
      <c r="A263" t="s">
        <v>4375</v>
      </c>
      <c r="B263" t="s">
        <v>4271</v>
      </c>
      <c r="C263" t="s">
        <v>4272</v>
      </c>
      <c r="D263">
        <v>222000</v>
      </c>
      <c r="E263" s="1">
        <f t="shared" si="8"/>
        <v>1.05714285714286</v>
      </c>
      <c r="F263">
        <f t="shared" si="9"/>
        <v>265000</v>
      </c>
    </row>
    <row r="264" spans="1:6">
      <c r="A264" t="s">
        <v>4376</v>
      </c>
      <c r="B264" t="s">
        <v>4271</v>
      </c>
      <c r="C264" t="s">
        <v>4272</v>
      </c>
      <c r="D264">
        <v>222000</v>
      </c>
      <c r="E264" s="1">
        <f t="shared" si="8"/>
        <v>1.05714285714286</v>
      </c>
      <c r="F264">
        <f t="shared" si="9"/>
        <v>265000</v>
      </c>
    </row>
    <row r="265" spans="1:6">
      <c r="A265" t="s">
        <v>4377</v>
      </c>
      <c r="B265" t="s">
        <v>4271</v>
      </c>
      <c r="C265" t="s">
        <v>4272</v>
      </c>
      <c r="D265">
        <v>222000</v>
      </c>
      <c r="E265" s="1">
        <f t="shared" si="8"/>
        <v>1.05714285714286</v>
      </c>
      <c r="F265">
        <f t="shared" si="9"/>
        <v>265000</v>
      </c>
    </row>
    <row r="266" spans="1:6">
      <c r="A266" t="s">
        <v>4378</v>
      </c>
      <c r="B266" t="s">
        <v>4271</v>
      </c>
      <c r="C266" t="s">
        <v>4272</v>
      </c>
      <c r="D266">
        <v>222000</v>
      </c>
      <c r="E266" s="1">
        <f t="shared" si="8"/>
        <v>1.05714285714286</v>
      </c>
      <c r="F266">
        <f t="shared" si="9"/>
        <v>265000</v>
      </c>
    </row>
    <row r="267" spans="1:6">
      <c r="A267" t="s">
        <v>4379</v>
      </c>
      <c r="B267" t="s">
        <v>4271</v>
      </c>
      <c r="C267" t="s">
        <v>4272</v>
      </c>
      <c r="D267">
        <v>404000</v>
      </c>
      <c r="E267" s="1">
        <f t="shared" si="8"/>
        <v>1.92380952380952</v>
      </c>
      <c r="F267">
        <f t="shared" si="9"/>
        <v>481000</v>
      </c>
    </row>
    <row r="268" spans="1:6">
      <c r="A268" t="s">
        <v>4380</v>
      </c>
      <c r="B268" t="s">
        <v>4271</v>
      </c>
      <c r="C268" t="s">
        <v>4272</v>
      </c>
      <c r="D268">
        <v>21000</v>
      </c>
      <c r="E268" s="1">
        <f t="shared" si="8"/>
        <v>0.1</v>
      </c>
      <c r="F268">
        <f t="shared" si="9"/>
        <v>25000</v>
      </c>
    </row>
    <row r="269" spans="1:6">
      <c r="A269" t="s">
        <v>4381</v>
      </c>
      <c r="B269" t="s">
        <v>4271</v>
      </c>
      <c r="C269" t="s">
        <v>4272</v>
      </c>
      <c r="D269">
        <v>41000</v>
      </c>
      <c r="E269" s="1">
        <f t="shared" si="8"/>
        <v>0.195238095238095</v>
      </c>
      <c r="F269">
        <f t="shared" si="9"/>
        <v>49000</v>
      </c>
    </row>
    <row r="270" spans="1:6">
      <c r="A270" t="s">
        <v>4382</v>
      </c>
      <c r="B270" t="s">
        <v>4271</v>
      </c>
      <c r="C270" t="s">
        <v>4272</v>
      </c>
      <c r="D270">
        <v>21000</v>
      </c>
      <c r="E270" s="1">
        <f t="shared" si="8"/>
        <v>0.1</v>
      </c>
      <c r="F270">
        <f t="shared" si="9"/>
        <v>25000</v>
      </c>
    </row>
    <row r="271" spans="1:6">
      <c r="A271" t="s">
        <v>4383</v>
      </c>
      <c r="B271" t="s">
        <v>4271</v>
      </c>
      <c r="C271" t="s">
        <v>4272</v>
      </c>
      <c r="D271">
        <v>21000</v>
      </c>
      <c r="E271" s="1">
        <f t="shared" si="8"/>
        <v>0.1</v>
      </c>
      <c r="F271">
        <f t="shared" si="9"/>
        <v>25000</v>
      </c>
    </row>
    <row r="272" spans="1:6">
      <c r="A272" t="s">
        <v>4384</v>
      </c>
      <c r="B272" t="s">
        <v>4271</v>
      </c>
      <c r="C272" t="s">
        <v>4272</v>
      </c>
      <c r="D272">
        <v>41000</v>
      </c>
      <c r="E272" s="1">
        <f t="shared" si="8"/>
        <v>0.195238095238095</v>
      </c>
      <c r="F272">
        <f t="shared" si="9"/>
        <v>49000</v>
      </c>
    </row>
    <row r="273" spans="1:6">
      <c r="A273" t="s">
        <v>4385</v>
      </c>
      <c r="B273" t="s">
        <v>4271</v>
      </c>
      <c r="C273" t="s">
        <v>4272</v>
      </c>
      <c r="D273">
        <v>21000</v>
      </c>
      <c r="E273" s="1">
        <f t="shared" si="8"/>
        <v>0.1</v>
      </c>
      <c r="F273">
        <f t="shared" si="9"/>
        <v>25000</v>
      </c>
    </row>
    <row r="274" spans="1:6">
      <c r="A274" t="s">
        <v>4386</v>
      </c>
      <c r="B274" t="s">
        <v>4271</v>
      </c>
      <c r="C274" t="s">
        <v>4272</v>
      </c>
      <c r="D274">
        <v>41000</v>
      </c>
      <c r="E274" s="1">
        <f t="shared" si="8"/>
        <v>0.195238095238095</v>
      </c>
      <c r="F274">
        <f t="shared" si="9"/>
        <v>49000</v>
      </c>
    </row>
    <row r="275" spans="1:6">
      <c r="A275" t="s">
        <v>4387</v>
      </c>
      <c r="B275" t="s">
        <v>4271</v>
      </c>
      <c r="C275" t="s">
        <v>4272</v>
      </c>
      <c r="D275">
        <v>202000</v>
      </c>
      <c r="E275" s="1">
        <f t="shared" si="8"/>
        <v>0.961904761904762</v>
      </c>
      <c r="F275">
        <f t="shared" si="9"/>
        <v>241000</v>
      </c>
    </row>
    <row r="276" spans="1:6">
      <c r="A276" t="s">
        <v>4388</v>
      </c>
      <c r="B276" t="s">
        <v>4271</v>
      </c>
      <c r="C276" t="s">
        <v>4272</v>
      </c>
      <c r="D276">
        <v>202000</v>
      </c>
      <c r="E276" s="1">
        <f t="shared" si="8"/>
        <v>0.961904761904762</v>
      </c>
      <c r="F276">
        <f t="shared" si="9"/>
        <v>241000</v>
      </c>
    </row>
    <row r="277" spans="1:6">
      <c r="A277" t="s">
        <v>4389</v>
      </c>
      <c r="B277" t="s">
        <v>4271</v>
      </c>
      <c r="C277" t="s">
        <v>4272</v>
      </c>
      <c r="D277">
        <v>202000</v>
      </c>
      <c r="E277" s="1">
        <f t="shared" si="8"/>
        <v>0.961904761904762</v>
      </c>
      <c r="F277">
        <f t="shared" si="9"/>
        <v>241000</v>
      </c>
    </row>
    <row r="278" spans="1:6">
      <c r="A278" t="s">
        <v>4390</v>
      </c>
      <c r="B278" t="s">
        <v>4271</v>
      </c>
      <c r="C278" t="s">
        <v>4272</v>
      </c>
      <c r="D278">
        <v>202000</v>
      </c>
      <c r="E278" s="1">
        <f t="shared" si="8"/>
        <v>0.961904761904762</v>
      </c>
      <c r="F278">
        <f t="shared" si="9"/>
        <v>241000</v>
      </c>
    </row>
    <row r="279" spans="1:6">
      <c r="A279" t="s">
        <v>4391</v>
      </c>
      <c r="B279" t="s">
        <v>4271</v>
      </c>
      <c r="C279" t="s">
        <v>4272</v>
      </c>
      <c r="D279">
        <v>202000</v>
      </c>
      <c r="E279" s="1">
        <f t="shared" si="8"/>
        <v>0.961904761904762</v>
      </c>
      <c r="F279">
        <f t="shared" si="9"/>
        <v>241000</v>
      </c>
    </row>
    <row r="280" spans="1:6">
      <c r="A280" t="s">
        <v>4392</v>
      </c>
      <c r="B280" t="s">
        <v>4271</v>
      </c>
      <c r="C280" t="s">
        <v>4272</v>
      </c>
      <c r="D280">
        <v>202000</v>
      </c>
      <c r="E280" s="1">
        <f t="shared" si="8"/>
        <v>0.961904761904762</v>
      </c>
      <c r="F280">
        <f t="shared" si="9"/>
        <v>241000</v>
      </c>
    </row>
    <row r="281" spans="1:6">
      <c r="A281" t="s">
        <v>4393</v>
      </c>
      <c r="B281" t="s">
        <v>4271</v>
      </c>
      <c r="C281" t="s">
        <v>4272</v>
      </c>
      <c r="D281">
        <v>202000</v>
      </c>
      <c r="E281" s="1">
        <f t="shared" si="8"/>
        <v>0.961904761904762</v>
      </c>
      <c r="F281">
        <f t="shared" si="9"/>
        <v>241000</v>
      </c>
    </row>
    <row r="282" spans="1:6">
      <c r="A282" t="s">
        <v>4394</v>
      </c>
      <c r="B282" t="s">
        <v>4271</v>
      </c>
      <c r="C282" t="s">
        <v>4272</v>
      </c>
      <c r="D282">
        <v>101000</v>
      </c>
      <c r="E282" s="1">
        <f t="shared" si="8"/>
        <v>0.480952380952381</v>
      </c>
      <c r="F282">
        <f t="shared" si="9"/>
        <v>121000</v>
      </c>
    </row>
    <row r="283" spans="1:6">
      <c r="A283" t="s">
        <v>4395</v>
      </c>
      <c r="B283" t="s">
        <v>4271</v>
      </c>
      <c r="C283" t="s">
        <v>4272</v>
      </c>
      <c r="D283">
        <v>303000</v>
      </c>
      <c r="E283" s="1">
        <f t="shared" si="8"/>
        <v>1.44285714285714</v>
      </c>
      <c r="F283">
        <f t="shared" si="9"/>
        <v>361000</v>
      </c>
    </row>
    <row r="284" spans="1:6">
      <c r="A284" t="s">
        <v>4396</v>
      </c>
      <c r="B284" t="s">
        <v>4271</v>
      </c>
      <c r="C284" t="s">
        <v>4272</v>
      </c>
      <c r="D284">
        <v>303000</v>
      </c>
      <c r="E284" s="1">
        <f t="shared" si="8"/>
        <v>1.44285714285714</v>
      </c>
      <c r="F284">
        <f t="shared" si="9"/>
        <v>361000</v>
      </c>
    </row>
    <row r="285" spans="1:6">
      <c r="A285" t="s">
        <v>4397</v>
      </c>
      <c r="B285" t="s">
        <v>4271</v>
      </c>
      <c r="C285" t="s">
        <v>4272</v>
      </c>
      <c r="D285">
        <v>101000</v>
      </c>
      <c r="E285" s="1">
        <f t="shared" si="8"/>
        <v>0.480952380952381</v>
      </c>
      <c r="F285">
        <f t="shared" si="9"/>
        <v>121000</v>
      </c>
    </row>
    <row r="286" spans="1:6">
      <c r="A286" t="s">
        <v>4398</v>
      </c>
      <c r="B286" t="s">
        <v>4271</v>
      </c>
      <c r="C286" t="s">
        <v>4272</v>
      </c>
      <c r="D286">
        <v>101000</v>
      </c>
      <c r="E286" s="1">
        <f t="shared" si="8"/>
        <v>0.480952380952381</v>
      </c>
      <c r="F286">
        <f t="shared" si="9"/>
        <v>121000</v>
      </c>
    </row>
    <row r="287" spans="1:6">
      <c r="A287" t="s">
        <v>4399</v>
      </c>
      <c r="B287" t="s">
        <v>4271</v>
      </c>
      <c r="C287" t="s">
        <v>4272</v>
      </c>
      <c r="D287">
        <v>101000</v>
      </c>
      <c r="E287" s="1">
        <f t="shared" si="8"/>
        <v>0.480952380952381</v>
      </c>
      <c r="F287">
        <f t="shared" si="9"/>
        <v>121000</v>
      </c>
    </row>
    <row r="288" spans="1:6">
      <c r="A288" t="s">
        <v>4400</v>
      </c>
      <c r="B288" t="s">
        <v>4271</v>
      </c>
      <c r="C288" t="s">
        <v>4272</v>
      </c>
      <c r="D288">
        <v>404000</v>
      </c>
      <c r="E288" s="1">
        <f t="shared" si="8"/>
        <v>1.92380952380952</v>
      </c>
      <c r="F288">
        <f t="shared" si="9"/>
        <v>481000</v>
      </c>
    </row>
    <row r="289" spans="1:6">
      <c r="A289" t="s">
        <v>4401</v>
      </c>
      <c r="B289" t="s">
        <v>4271</v>
      </c>
      <c r="C289" t="s">
        <v>4272</v>
      </c>
      <c r="D289">
        <v>0</v>
      </c>
      <c r="E289" s="1">
        <f t="shared" si="8"/>
        <v>0</v>
      </c>
      <c r="F289">
        <f t="shared" si="9"/>
        <v>0</v>
      </c>
    </row>
    <row r="290" spans="1:6">
      <c r="A290" t="s">
        <v>4402</v>
      </c>
      <c r="B290" t="s">
        <v>4271</v>
      </c>
      <c r="C290" t="s">
        <v>4272</v>
      </c>
      <c r="D290">
        <v>525000</v>
      </c>
      <c r="E290" s="1">
        <f t="shared" si="8"/>
        <v>2.5</v>
      </c>
      <c r="F290">
        <f t="shared" si="9"/>
        <v>625000</v>
      </c>
    </row>
    <row r="291" spans="1:6">
      <c r="A291" t="s">
        <v>4403</v>
      </c>
      <c r="B291" t="s">
        <v>4271</v>
      </c>
      <c r="C291" t="s">
        <v>4272</v>
      </c>
      <c r="D291">
        <v>788000</v>
      </c>
      <c r="E291" s="1">
        <f t="shared" si="8"/>
        <v>3.75238095238095</v>
      </c>
      <c r="F291">
        <f t="shared" si="9"/>
        <v>939000</v>
      </c>
    </row>
    <row r="292" spans="1:6">
      <c r="A292" t="s">
        <v>4404</v>
      </c>
      <c r="B292" t="s">
        <v>4271</v>
      </c>
      <c r="C292" t="s">
        <v>4272</v>
      </c>
      <c r="D292">
        <v>424000</v>
      </c>
      <c r="E292" s="1">
        <f t="shared" si="8"/>
        <v>2.01904761904762</v>
      </c>
      <c r="F292">
        <f t="shared" si="9"/>
        <v>505000</v>
      </c>
    </row>
    <row r="293" spans="1:6">
      <c r="A293" t="s">
        <v>4405</v>
      </c>
      <c r="B293" t="s">
        <v>4271</v>
      </c>
      <c r="C293" t="s">
        <v>4272</v>
      </c>
      <c r="D293">
        <v>566000</v>
      </c>
      <c r="E293" s="1">
        <f t="shared" si="8"/>
        <v>2.6952380952381</v>
      </c>
      <c r="F293">
        <f t="shared" si="9"/>
        <v>674000</v>
      </c>
    </row>
    <row r="294" spans="1:6">
      <c r="A294" t="s">
        <v>4406</v>
      </c>
      <c r="B294" t="s">
        <v>4271</v>
      </c>
      <c r="C294" t="s">
        <v>4272</v>
      </c>
      <c r="D294">
        <v>566000</v>
      </c>
      <c r="E294" s="1">
        <f t="shared" si="8"/>
        <v>2.6952380952381</v>
      </c>
      <c r="F294">
        <f t="shared" si="9"/>
        <v>674000</v>
      </c>
    </row>
    <row r="295" spans="1:6">
      <c r="A295" t="s">
        <v>4407</v>
      </c>
      <c r="B295" t="s">
        <v>4271</v>
      </c>
      <c r="C295" t="s">
        <v>4272</v>
      </c>
      <c r="D295">
        <v>404000</v>
      </c>
      <c r="E295" s="1">
        <f t="shared" si="8"/>
        <v>1.92380952380952</v>
      </c>
      <c r="F295">
        <f t="shared" si="9"/>
        <v>481000</v>
      </c>
    </row>
    <row r="296" spans="1:6">
      <c r="A296" t="s">
        <v>4408</v>
      </c>
      <c r="B296" t="s">
        <v>4271</v>
      </c>
      <c r="C296" t="s">
        <v>4272</v>
      </c>
      <c r="D296">
        <v>808000</v>
      </c>
      <c r="E296" s="1">
        <f t="shared" si="8"/>
        <v>3.84761904761905</v>
      </c>
      <c r="F296">
        <f t="shared" si="9"/>
        <v>962000</v>
      </c>
    </row>
    <row r="297" spans="1:6">
      <c r="A297" t="s">
        <v>4409</v>
      </c>
      <c r="B297" t="s">
        <v>4271</v>
      </c>
      <c r="C297" t="s">
        <v>4272</v>
      </c>
      <c r="D297">
        <v>303000</v>
      </c>
      <c r="E297" s="1">
        <f t="shared" si="8"/>
        <v>1.44285714285714</v>
      </c>
      <c r="F297">
        <f t="shared" si="9"/>
        <v>361000</v>
      </c>
    </row>
    <row r="298" spans="1:6">
      <c r="A298" t="s">
        <v>4410</v>
      </c>
      <c r="B298" t="s">
        <v>4271</v>
      </c>
      <c r="C298" t="s">
        <v>4272</v>
      </c>
      <c r="D298">
        <v>101000</v>
      </c>
      <c r="E298" s="1">
        <f t="shared" si="8"/>
        <v>0.480952380952381</v>
      </c>
      <c r="F298">
        <f t="shared" si="9"/>
        <v>121000</v>
      </c>
    </row>
    <row r="299" spans="1:6">
      <c r="A299" t="s">
        <v>4411</v>
      </c>
      <c r="B299" t="s">
        <v>4271</v>
      </c>
      <c r="C299" t="s">
        <v>4272</v>
      </c>
      <c r="D299">
        <v>142000</v>
      </c>
      <c r="E299" s="1">
        <f t="shared" si="8"/>
        <v>0.676190476190476</v>
      </c>
      <c r="F299">
        <f t="shared" si="9"/>
        <v>170000</v>
      </c>
    </row>
    <row r="300" spans="1:6">
      <c r="A300" t="s">
        <v>4412</v>
      </c>
      <c r="B300" t="s">
        <v>4271</v>
      </c>
      <c r="C300" t="s">
        <v>4272</v>
      </c>
      <c r="D300">
        <v>122000</v>
      </c>
      <c r="E300" s="1">
        <f t="shared" si="8"/>
        <v>0.580952380952381</v>
      </c>
      <c r="F300">
        <f t="shared" si="9"/>
        <v>146000</v>
      </c>
    </row>
    <row r="301" spans="1:6">
      <c r="A301" t="s">
        <v>4413</v>
      </c>
      <c r="B301" t="s">
        <v>4271</v>
      </c>
      <c r="C301" t="s">
        <v>4272</v>
      </c>
      <c r="D301">
        <v>283000</v>
      </c>
      <c r="E301" s="1">
        <f t="shared" si="8"/>
        <v>1.34761904761905</v>
      </c>
      <c r="F301">
        <f t="shared" si="9"/>
        <v>337000</v>
      </c>
    </row>
    <row r="302" spans="1:6">
      <c r="A302" t="s">
        <v>4414</v>
      </c>
      <c r="B302" t="s">
        <v>4271</v>
      </c>
      <c r="C302" t="s">
        <v>4272</v>
      </c>
      <c r="D302">
        <v>202000</v>
      </c>
      <c r="E302" s="1">
        <f t="shared" si="8"/>
        <v>0.961904761904762</v>
      </c>
      <c r="F302">
        <f t="shared" si="9"/>
        <v>241000</v>
      </c>
    </row>
    <row r="303" spans="1:6">
      <c r="A303" t="s">
        <v>4415</v>
      </c>
      <c r="B303" t="s">
        <v>4271</v>
      </c>
      <c r="C303" t="s">
        <v>4272</v>
      </c>
      <c r="D303">
        <v>364000</v>
      </c>
      <c r="E303" s="1">
        <f t="shared" si="8"/>
        <v>1.73333333333333</v>
      </c>
      <c r="F303">
        <f t="shared" si="9"/>
        <v>434000</v>
      </c>
    </row>
    <row r="304" spans="1:6">
      <c r="A304" t="s">
        <v>4416</v>
      </c>
      <c r="B304" t="s">
        <v>4271</v>
      </c>
      <c r="C304" t="s">
        <v>4272</v>
      </c>
      <c r="D304">
        <v>81000</v>
      </c>
      <c r="E304" s="1">
        <f t="shared" si="8"/>
        <v>0.385714285714286</v>
      </c>
      <c r="F304">
        <f t="shared" si="9"/>
        <v>97000</v>
      </c>
    </row>
    <row r="305" spans="1:6">
      <c r="A305" t="s">
        <v>4417</v>
      </c>
      <c r="B305" t="s">
        <v>4271</v>
      </c>
      <c r="C305" t="s">
        <v>4272</v>
      </c>
      <c r="D305">
        <v>81000</v>
      </c>
      <c r="E305" s="1">
        <f t="shared" si="8"/>
        <v>0.385714285714286</v>
      </c>
      <c r="F305">
        <f t="shared" si="9"/>
        <v>97000</v>
      </c>
    </row>
    <row r="306" spans="1:6">
      <c r="A306" t="s">
        <v>4418</v>
      </c>
      <c r="B306" t="s">
        <v>4271</v>
      </c>
      <c r="C306" t="s">
        <v>4272</v>
      </c>
      <c r="D306">
        <v>81000</v>
      </c>
      <c r="E306" s="1">
        <f t="shared" si="8"/>
        <v>0.385714285714286</v>
      </c>
      <c r="F306">
        <f t="shared" si="9"/>
        <v>97000</v>
      </c>
    </row>
    <row r="307" spans="1:6">
      <c r="A307" t="s">
        <v>4419</v>
      </c>
      <c r="B307" t="s">
        <v>4271</v>
      </c>
      <c r="C307" t="s">
        <v>4272</v>
      </c>
      <c r="D307">
        <v>81000</v>
      </c>
      <c r="E307" s="1">
        <f t="shared" si="8"/>
        <v>0.385714285714286</v>
      </c>
      <c r="F307">
        <f t="shared" si="9"/>
        <v>97000</v>
      </c>
    </row>
    <row r="308" spans="1:6">
      <c r="A308" t="s">
        <v>4420</v>
      </c>
      <c r="B308" t="s">
        <v>4271</v>
      </c>
      <c r="C308" t="s">
        <v>4272</v>
      </c>
      <c r="D308">
        <v>81000</v>
      </c>
      <c r="E308" s="1">
        <f t="shared" si="8"/>
        <v>0.385714285714286</v>
      </c>
      <c r="F308">
        <f t="shared" si="9"/>
        <v>97000</v>
      </c>
    </row>
    <row r="309" spans="1:6">
      <c r="A309" t="s">
        <v>4421</v>
      </c>
      <c r="B309" t="s">
        <v>4271</v>
      </c>
      <c r="C309" t="s">
        <v>4272</v>
      </c>
      <c r="D309">
        <v>81000</v>
      </c>
      <c r="E309" s="1">
        <f t="shared" si="8"/>
        <v>0.385714285714286</v>
      </c>
      <c r="F309">
        <f t="shared" si="9"/>
        <v>97000</v>
      </c>
    </row>
    <row r="310" spans="1:6">
      <c r="A310" t="s">
        <v>4422</v>
      </c>
      <c r="B310" t="s">
        <v>4271</v>
      </c>
      <c r="C310" t="s">
        <v>4272</v>
      </c>
      <c r="D310">
        <v>81000</v>
      </c>
      <c r="E310" s="1">
        <f t="shared" si="8"/>
        <v>0.385714285714286</v>
      </c>
      <c r="F310">
        <f t="shared" si="9"/>
        <v>97000</v>
      </c>
    </row>
    <row r="311" spans="1:6">
      <c r="A311" t="s">
        <v>4423</v>
      </c>
      <c r="B311" t="s">
        <v>4271</v>
      </c>
      <c r="C311" t="s">
        <v>4272</v>
      </c>
      <c r="D311">
        <v>21000</v>
      </c>
      <c r="E311" s="1">
        <f t="shared" si="8"/>
        <v>0.1</v>
      </c>
      <c r="F311">
        <f t="shared" si="9"/>
        <v>25000</v>
      </c>
    </row>
    <row r="312" spans="1:6">
      <c r="A312" t="s">
        <v>4424</v>
      </c>
      <c r="B312" t="s">
        <v>4271</v>
      </c>
      <c r="C312" t="s">
        <v>4272</v>
      </c>
      <c r="D312">
        <v>21000</v>
      </c>
      <c r="E312" s="1">
        <f t="shared" si="8"/>
        <v>0.1</v>
      </c>
      <c r="F312">
        <f t="shared" si="9"/>
        <v>25000</v>
      </c>
    </row>
    <row r="313" spans="1:6">
      <c r="A313" t="s">
        <v>4425</v>
      </c>
      <c r="B313" t="s">
        <v>4271</v>
      </c>
      <c r="C313" t="s">
        <v>4272</v>
      </c>
      <c r="D313">
        <v>61000</v>
      </c>
      <c r="E313" s="1">
        <f t="shared" si="8"/>
        <v>0.29047619047619</v>
      </c>
      <c r="F313">
        <f t="shared" si="9"/>
        <v>73000</v>
      </c>
    </row>
    <row r="314" spans="1:6">
      <c r="A314" t="s">
        <v>4426</v>
      </c>
      <c r="B314" t="s">
        <v>4271</v>
      </c>
      <c r="C314" t="s">
        <v>4272</v>
      </c>
      <c r="D314">
        <v>41000</v>
      </c>
      <c r="E314" s="1">
        <f t="shared" si="8"/>
        <v>0.195238095238095</v>
      </c>
      <c r="F314">
        <f t="shared" si="9"/>
        <v>49000</v>
      </c>
    </row>
    <row r="315" spans="1:6">
      <c r="A315" t="s">
        <v>4427</v>
      </c>
      <c r="B315" t="s">
        <v>4271</v>
      </c>
      <c r="C315" t="s">
        <v>4272</v>
      </c>
      <c r="D315">
        <v>61000</v>
      </c>
      <c r="E315" s="1">
        <f t="shared" si="8"/>
        <v>0.29047619047619</v>
      </c>
      <c r="F315">
        <f t="shared" si="9"/>
        <v>73000</v>
      </c>
    </row>
    <row r="316" spans="1:6">
      <c r="A316" t="s">
        <v>4428</v>
      </c>
      <c r="B316" t="s">
        <v>4271</v>
      </c>
      <c r="C316" t="s">
        <v>4272</v>
      </c>
      <c r="D316">
        <v>41000</v>
      </c>
      <c r="E316" s="1">
        <f t="shared" si="8"/>
        <v>0.195238095238095</v>
      </c>
      <c r="F316">
        <f t="shared" si="9"/>
        <v>49000</v>
      </c>
    </row>
    <row r="317" spans="1:6">
      <c r="A317" t="s">
        <v>4429</v>
      </c>
      <c r="B317" t="s">
        <v>4271</v>
      </c>
      <c r="C317" t="s">
        <v>4272</v>
      </c>
      <c r="D317">
        <v>101000</v>
      </c>
      <c r="E317" s="1">
        <f t="shared" si="8"/>
        <v>0.480952380952381</v>
      </c>
      <c r="F317">
        <f t="shared" si="9"/>
        <v>121000</v>
      </c>
    </row>
    <row r="318" spans="1:6">
      <c r="A318" t="s">
        <v>4430</v>
      </c>
      <c r="B318" t="s">
        <v>4271</v>
      </c>
      <c r="C318" t="s">
        <v>4272</v>
      </c>
      <c r="D318">
        <v>41000</v>
      </c>
      <c r="E318" s="1">
        <f t="shared" si="8"/>
        <v>0.195238095238095</v>
      </c>
      <c r="F318">
        <f t="shared" si="9"/>
        <v>49000</v>
      </c>
    </row>
    <row r="319" spans="1:6">
      <c r="A319" t="s">
        <v>4431</v>
      </c>
      <c r="B319" t="s">
        <v>4271</v>
      </c>
      <c r="C319" t="s">
        <v>4272</v>
      </c>
      <c r="D319">
        <v>525000</v>
      </c>
      <c r="E319" s="1">
        <f t="shared" si="8"/>
        <v>2.5</v>
      </c>
      <c r="F319">
        <f t="shared" si="9"/>
        <v>625000</v>
      </c>
    </row>
    <row r="320" spans="1:6">
      <c r="A320" t="s">
        <v>4432</v>
      </c>
      <c r="B320" t="s">
        <v>4271</v>
      </c>
      <c r="C320" t="s">
        <v>4272</v>
      </c>
      <c r="D320">
        <v>788000</v>
      </c>
      <c r="E320" s="1">
        <f t="shared" si="8"/>
        <v>3.75238095238095</v>
      </c>
      <c r="F320">
        <f t="shared" si="9"/>
        <v>939000</v>
      </c>
    </row>
    <row r="321" spans="1:6">
      <c r="A321" t="s">
        <v>4433</v>
      </c>
      <c r="B321" t="s">
        <v>4271</v>
      </c>
      <c r="C321" t="s">
        <v>4272</v>
      </c>
      <c r="D321">
        <v>788000</v>
      </c>
      <c r="E321" s="1">
        <f t="shared" si="8"/>
        <v>3.75238095238095</v>
      </c>
      <c r="F321">
        <f t="shared" si="9"/>
        <v>939000</v>
      </c>
    </row>
    <row r="322" spans="1:6">
      <c r="A322" t="s">
        <v>4434</v>
      </c>
      <c r="B322" t="s">
        <v>4271</v>
      </c>
      <c r="C322" t="s">
        <v>4272</v>
      </c>
      <c r="D322">
        <v>475000</v>
      </c>
      <c r="E322" s="1">
        <f t="shared" ref="E322:E385" si="10">D322/210000</f>
        <v>2.26190476190476</v>
      </c>
      <c r="F322">
        <f t="shared" si="9"/>
        <v>566000</v>
      </c>
    </row>
    <row r="323" spans="1:6">
      <c r="A323" t="s">
        <v>4435</v>
      </c>
      <c r="B323" t="s">
        <v>4271</v>
      </c>
      <c r="C323" t="s">
        <v>4272</v>
      </c>
      <c r="D323">
        <v>666000</v>
      </c>
      <c r="E323" s="1">
        <f t="shared" si="10"/>
        <v>3.17142857142857</v>
      </c>
      <c r="F323">
        <f t="shared" ref="F323:F386" si="11">CEILING(E323*250000,1000)</f>
        <v>793000</v>
      </c>
    </row>
    <row r="324" spans="1:6">
      <c r="A324" t="s">
        <v>4436</v>
      </c>
      <c r="B324" t="s">
        <v>4271</v>
      </c>
      <c r="C324" t="s">
        <v>4272</v>
      </c>
      <c r="D324">
        <v>666000</v>
      </c>
      <c r="E324" s="1">
        <f t="shared" si="10"/>
        <v>3.17142857142857</v>
      </c>
      <c r="F324">
        <f t="shared" si="11"/>
        <v>793000</v>
      </c>
    </row>
    <row r="325" spans="1:6">
      <c r="A325" t="s">
        <v>4437</v>
      </c>
      <c r="B325" t="s">
        <v>4271</v>
      </c>
      <c r="C325" t="s">
        <v>4272</v>
      </c>
      <c r="D325">
        <v>1010000</v>
      </c>
      <c r="E325" s="1">
        <f t="shared" si="10"/>
        <v>4.80952380952381</v>
      </c>
      <c r="F325">
        <f t="shared" si="11"/>
        <v>1203000</v>
      </c>
    </row>
    <row r="326" spans="1:6">
      <c r="A326" t="s">
        <v>4438</v>
      </c>
      <c r="B326" t="s">
        <v>4271</v>
      </c>
      <c r="C326" t="s">
        <v>4272</v>
      </c>
      <c r="D326">
        <v>162000</v>
      </c>
      <c r="E326" s="1">
        <f t="shared" si="10"/>
        <v>0.771428571428571</v>
      </c>
      <c r="F326">
        <f t="shared" si="11"/>
        <v>193000</v>
      </c>
    </row>
    <row r="327" spans="1:6">
      <c r="A327" t="s">
        <v>4439</v>
      </c>
      <c r="B327" t="s">
        <v>4271</v>
      </c>
      <c r="C327" t="s">
        <v>4272</v>
      </c>
      <c r="D327">
        <v>364000</v>
      </c>
      <c r="E327" s="1">
        <f t="shared" si="10"/>
        <v>1.73333333333333</v>
      </c>
      <c r="F327">
        <f t="shared" si="11"/>
        <v>434000</v>
      </c>
    </row>
    <row r="328" spans="1:6">
      <c r="A328" t="s">
        <v>4440</v>
      </c>
      <c r="B328" t="s">
        <v>4271</v>
      </c>
      <c r="C328" t="s">
        <v>4272</v>
      </c>
      <c r="D328">
        <v>142000</v>
      </c>
      <c r="E328" s="1">
        <f t="shared" si="10"/>
        <v>0.676190476190476</v>
      </c>
      <c r="F328">
        <f t="shared" si="11"/>
        <v>170000</v>
      </c>
    </row>
    <row r="329" spans="1:6">
      <c r="A329" t="s">
        <v>4441</v>
      </c>
      <c r="B329" t="s">
        <v>4271</v>
      </c>
      <c r="C329" t="s">
        <v>4272</v>
      </c>
      <c r="D329">
        <v>162000</v>
      </c>
      <c r="E329" s="1">
        <f t="shared" si="10"/>
        <v>0.771428571428571</v>
      </c>
      <c r="F329">
        <f t="shared" si="11"/>
        <v>193000</v>
      </c>
    </row>
    <row r="330" spans="1:6">
      <c r="A330" t="s">
        <v>4442</v>
      </c>
      <c r="B330" t="s">
        <v>4271</v>
      </c>
      <c r="C330" t="s">
        <v>4272</v>
      </c>
      <c r="D330">
        <v>182000</v>
      </c>
      <c r="E330" s="1">
        <f t="shared" si="10"/>
        <v>0.866666666666667</v>
      </c>
      <c r="F330">
        <f t="shared" si="11"/>
        <v>217000</v>
      </c>
    </row>
    <row r="331" spans="1:6">
      <c r="A331" t="s">
        <v>4443</v>
      </c>
      <c r="B331" t="s">
        <v>4271</v>
      </c>
      <c r="C331" t="s">
        <v>4272</v>
      </c>
      <c r="D331">
        <v>202000</v>
      </c>
      <c r="E331" s="1">
        <f t="shared" si="10"/>
        <v>0.961904761904762</v>
      </c>
      <c r="F331">
        <f t="shared" si="11"/>
        <v>241000</v>
      </c>
    </row>
    <row r="332" spans="1:6">
      <c r="A332" t="s">
        <v>4444</v>
      </c>
      <c r="B332" t="s">
        <v>4271</v>
      </c>
      <c r="C332" t="s">
        <v>4272</v>
      </c>
      <c r="D332">
        <v>222000</v>
      </c>
      <c r="E332" s="1">
        <f t="shared" si="10"/>
        <v>1.05714285714286</v>
      </c>
      <c r="F332">
        <f t="shared" si="11"/>
        <v>265000</v>
      </c>
    </row>
    <row r="333" spans="1:6">
      <c r="A333" t="s">
        <v>4445</v>
      </c>
      <c r="B333" t="s">
        <v>4271</v>
      </c>
      <c r="C333" t="s">
        <v>4272</v>
      </c>
      <c r="D333">
        <v>122000</v>
      </c>
      <c r="E333" s="1">
        <f t="shared" si="10"/>
        <v>0.580952380952381</v>
      </c>
      <c r="F333">
        <f t="shared" si="11"/>
        <v>146000</v>
      </c>
    </row>
    <row r="334" spans="1:6">
      <c r="A334" t="s">
        <v>4446</v>
      </c>
      <c r="B334" t="s">
        <v>4271</v>
      </c>
      <c r="C334" t="s">
        <v>4272</v>
      </c>
      <c r="D334">
        <v>122000</v>
      </c>
      <c r="E334" s="1">
        <f t="shared" si="10"/>
        <v>0.580952380952381</v>
      </c>
      <c r="F334">
        <f t="shared" si="11"/>
        <v>146000</v>
      </c>
    </row>
    <row r="335" spans="1:6">
      <c r="A335" t="s">
        <v>4447</v>
      </c>
      <c r="B335" t="s">
        <v>4271</v>
      </c>
      <c r="C335" t="s">
        <v>4272</v>
      </c>
      <c r="D335">
        <v>142000</v>
      </c>
      <c r="E335" s="1">
        <f t="shared" si="10"/>
        <v>0.676190476190476</v>
      </c>
      <c r="F335">
        <f t="shared" si="11"/>
        <v>170000</v>
      </c>
    </row>
    <row r="336" spans="1:6">
      <c r="A336" t="s">
        <v>4448</v>
      </c>
      <c r="B336" t="s">
        <v>4271</v>
      </c>
      <c r="C336" t="s">
        <v>4272</v>
      </c>
      <c r="D336">
        <v>142000</v>
      </c>
      <c r="E336" s="1">
        <f t="shared" si="10"/>
        <v>0.676190476190476</v>
      </c>
      <c r="F336">
        <f t="shared" si="11"/>
        <v>170000</v>
      </c>
    </row>
    <row r="337" spans="1:6">
      <c r="A337" t="s">
        <v>4449</v>
      </c>
      <c r="B337" t="s">
        <v>4271</v>
      </c>
      <c r="C337" t="s">
        <v>4272</v>
      </c>
      <c r="D337">
        <v>122000</v>
      </c>
      <c r="E337" s="1">
        <f t="shared" si="10"/>
        <v>0.580952380952381</v>
      </c>
      <c r="F337">
        <f t="shared" si="11"/>
        <v>146000</v>
      </c>
    </row>
    <row r="338" spans="1:6">
      <c r="A338" t="s">
        <v>4450</v>
      </c>
      <c r="B338" t="s">
        <v>4271</v>
      </c>
      <c r="C338" t="s">
        <v>4272</v>
      </c>
      <c r="D338">
        <v>142000</v>
      </c>
      <c r="E338" s="1">
        <f t="shared" si="10"/>
        <v>0.676190476190476</v>
      </c>
      <c r="F338">
        <f t="shared" si="11"/>
        <v>170000</v>
      </c>
    </row>
    <row r="339" spans="1:6">
      <c r="A339" t="s">
        <v>4451</v>
      </c>
      <c r="B339" t="s">
        <v>4271</v>
      </c>
      <c r="C339" t="s">
        <v>4272</v>
      </c>
      <c r="D339">
        <v>122000</v>
      </c>
      <c r="E339" s="1">
        <f t="shared" si="10"/>
        <v>0.580952380952381</v>
      </c>
      <c r="F339">
        <f t="shared" si="11"/>
        <v>146000</v>
      </c>
    </row>
    <row r="340" spans="1:6">
      <c r="A340" t="s">
        <v>4452</v>
      </c>
      <c r="B340" t="s">
        <v>4271</v>
      </c>
      <c r="C340" t="s">
        <v>4272</v>
      </c>
      <c r="D340">
        <v>142000</v>
      </c>
      <c r="E340" s="1">
        <f t="shared" si="10"/>
        <v>0.676190476190476</v>
      </c>
      <c r="F340">
        <f t="shared" si="11"/>
        <v>170000</v>
      </c>
    </row>
    <row r="341" spans="1:6">
      <c r="A341" t="s">
        <v>4453</v>
      </c>
      <c r="B341" t="s">
        <v>4271</v>
      </c>
      <c r="C341" t="s">
        <v>4272</v>
      </c>
      <c r="D341">
        <v>202000</v>
      </c>
      <c r="E341" s="1">
        <f t="shared" si="10"/>
        <v>0.961904761904762</v>
      </c>
      <c r="F341">
        <f t="shared" si="11"/>
        <v>241000</v>
      </c>
    </row>
    <row r="342" spans="1:6">
      <c r="A342" t="s">
        <v>4454</v>
      </c>
      <c r="B342" t="s">
        <v>4271</v>
      </c>
      <c r="C342" t="s">
        <v>4272</v>
      </c>
      <c r="D342">
        <v>61000</v>
      </c>
      <c r="E342" s="1">
        <f t="shared" si="10"/>
        <v>0.29047619047619</v>
      </c>
      <c r="F342">
        <f t="shared" si="11"/>
        <v>73000</v>
      </c>
    </row>
    <row r="343" spans="1:6">
      <c r="A343" t="s">
        <v>4455</v>
      </c>
      <c r="B343" t="s">
        <v>4271</v>
      </c>
      <c r="C343" t="s">
        <v>4272</v>
      </c>
      <c r="D343">
        <v>41000</v>
      </c>
      <c r="E343" s="1">
        <f t="shared" si="10"/>
        <v>0.195238095238095</v>
      </c>
      <c r="F343">
        <f t="shared" si="11"/>
        <v>49000</v>
      </c>
    </row>
    <row r="344" spans="1:6">
      <c r="A344" t="s">
        <v>4456</v>
      </c>
      <c r="B344" t="s">
        <v>4271</v>
      </c>
      <c r="C344" t="s">
        <v>4272</v>
      </c>
      <c r="D344">
        <v>61000</v>
      </c>
      <c r="E344" s="1">
        <f t="shared" si="10"/>
        <v>0.29047619047619</v>
      </c>
      <c r="F344">
        <f t="shared" si="11"/>
        <v>73000</v>
      </c>
    </row>
    <row r="345" spans="1:6">
      <c r="A345" t="s">
        <v>4457</v>
      </c>
      <c r="B345" t="s">
        <v>4271</v>
      </c>
      <c r="C345" t="s">
        <v>4272</v>
      </c>
      <c r="D345">
        <v>61000</v>
      </c>
      <c r="E345" s="1">
        <f t="shared" si="10"/>
        <v>0.29047619047619</v>
      </c>
      <c r="F345">
        <f t="shared" si="11"/>
        <v>73000</v>
      </c>
    </row>
    <row r="346" spans="1:6">
      <c r="A346" t="s">
        <v>4458</v>
      </c>
      <c r="B346" t="s">
        <v>4271</v>
      </c>
      <c r="C346" t="s">
        <v>4272</v>
      </c>
      <c r="D346">
        <v>182000</v>
      </c>
      <c r="E346" s="1">
        <f t="shared" si="10"/>
        <v>0.866666666666667</v>
      </c>
      <c r="F346">
        <f t="shared" si="11"/>
        <v>217000</v>
      </c>
    </row>
    <row r="347" spans="1:6">
      <c r="A347" t="s">
        <v>4459</v>
      </c>
      <c r="B347" t="s">
        <v>4271</v>
      </c>
      <c r="C347" t="s">
        <v>4272</v>
      </c>
      <c r="D347">
        <v>61000</v>
      </c>
      <c r="E347" s="1">
        <f t="shared" si="10"/>
        <v>0.29047619047619</v>
      </c>
      <c r="F347">
        <f t="shared" si="11"/>
        <v>73000</v>
      </c>
    </row>
    <row r="348" spans="1:6">
      <c r="A348" t="s">
        <v>4460</v>
      </c>
      <c r="B348" t="s">
        <v>4271</v>
      </c>
      <c r="C348" t="s">
        <v>4272</v>
      </c>
      <c r="D348">
        <v>142000</v>
      </c>
      <c r="E348" s="1">
        <f t="shared" si="10"/>
        <v>0.676190476190476</v>
      </c>
      <c r="F348">
        <f t="shared" si="11"/>
        <v>170000</v>
      </c>
    </row>
    <row r="349" spans="1:6">
      <c r="A349" t="s">
        <v>4461</v>
      </c>
      <c r="B349" t="s">
        <v>4271</v>
      </c>
      <c r="C349" t="s">
        <v>4272</v>
      </c>
      <c r="D349">
        <v>404000</v>
      </c>
      <c r="E349" s="1">
        <f t="shared" si="10"/>
        <v>1.92380952380952</v>
      </c>
      <c r="F349">
        <f t="shared" si="11"/>
        <v>481000</v>
      </c>
    </row>
    <row r="350" spans="1:6">
      <c r="A350" t="s">
        <v>4462</v>
      </c>
      <c r="B350" t="s">
        <v>4271</v>
      </c>
      <c r="C350" t="s">
        <v>4272</v>
      </c>
      <c r="D350">
        <v>505000</v>
      </c>
      <c r="E350" s="1">
        <f t="shared" si="10"/>
        <v>2.4047619047619</v>
      </c>
      <c r="F350">
        <f t="shared" si="11"/>
        <v>602000</v>
      </c>
    </row>
    <row r="351" spans="1:6">
      <c r="A351" t="s">
        <v>4463</v>
      </c>
      <c r="B351" t="s">
        <v>4271</v>
      </c>
      <c r="C351" t="s">
        <v>4272</v>
      </c>
      <c r="D351">
        <v>505000</v>
      </c>
      <c r="E351" s="1">
        <f t="shared" si="10"/>
        <v>2.4047619047619</v>
      </c>
      <c r="F351">
        <f t="shared" si="11"/>
        <v>602000</v>
      </c>
    </row>
    <row r="352" spans="1:6">
      <c r="A352" t="s">
        <v>4464</v>
      </c>
      <c r="B352" t="s">
        <v>4271</v>
      </c>
      <c r="C352" t="s">
        <v>4272</v>
      </c>
      <c r="D352">
        <v>404000</v>
      </c>
      <c r="E352" s="1">
        <f t="shared" si="10"/>
        <v>1.92380952380952</v>
      </c>
      <c r="F352">
        <f t="shared" si="11"/>
        <v>481000</v>
      </c>
    </row>
    <row r="353" spans="1:6">
      <c r="A353" t="s">
        <v>4465</v>
      </c>
      <c r="B353" t="s">
        <v>4271</v>
      </c>
      <c r="C353" t="s">
        <v>4272</v>
      </c>
      <c r="D353">
        <v>505000</v>
      </c>
      <c r="E353" s="1">
        <f t="shared" si="10"/>
        <v>2.4047619047619</v>
      </c>
      <c r="F353">
        <f t="shared" si="11"/>
        <v>602000</v>
      </c>
    </row>
    <row r="354" spans="1:6">
      <c r="A354" t="s">
        <v>4466</v>
      </c>
      <c r="B354" t="s">
        <v>4271</v>
      </c>
      <c r="C354" t="s">
        <v>4272</v>
      </c>
      <c r="D354">
        <v>505000</v>
      </c>
      <c r="E354" s="1">
        <f t="shared" si="10"/>
        <v>2.4047619047619</v>
      </c>
      <c r="F354">
        <f t="shared" si="11"/>
        <v>602000</v>
      </c>
    </row>
    <row r="355" spans="1:6">
      <c r="A355" t="s">
        <v>4467</v>
      </c>
      <c r="B355" t="s">
        <v>4271</v>
      </c>
      <c r="C355" t="s">
        <v>4272</v>
      </c>
      <c r="D355">
        <v>404000</v>
      </c>
      <c r="E355" s="1">
        <f t="shared" si="10"/>
        <v>1.92380952380952</v>
      </c>
      <c r="F355">
        <f t="shared" si="11"/>
        <v>481000</v>
      </c>
    </row>
    <row r="356" spans="1:6">
      <c r="A356" t="s">
        <v>4468</v>
      </c>
      <c r="B356" t="s">
        <v>4271</v>
      </c>
      <c r="C356" t="s">
        <v>4272</v>
      </c>
      <c r="D356">
        <v>202000</v>
      </c>
      <c r="E356" s="1">
        <f t="shared" si="10"/>
        <v>0.961904761904762</v>
      </c>
      <c r="F356">
        <f t="shared" si="11"/>
        <v>241000</v>
      </c>
    </row>
    <row r="357" spans="1:6">
      <c r="A357" t="s">
        <v>4469</v>
      </c>
      <c r="B357" t="s">
        <v>4271</v>
      </c>
      <c r="C357" t="s">
        <v>4272</v>
      </c>
      <c r="D357">
        <v>283000</v>
      </c>
      <c r="E357" s="1">
        <f t="shared" si="10"/>
        <v>1.34761904761905</v>
      </c>
      <c r="F357">
        <f t="shared" si="11"/>
        <v>337000</v>
      </c>
    </row>
    <row r="358" spans="1:6">
      <c r="A358" t="s">
        <v>4470</v>
      </c>
      <c r="B358" t="s">
        <v>4271</v>
      </c>
      <c r="C358" t="s">
        <v>4272</v>
      </c>
      <c r="D358">
        <v>263000</v>
      </c>
      <c r="E358" s="1">
        <f t="shared" si="10"/>
        <v>1.25238095238095</v>
      </c>
      <c r="F358">
        <f t="shared" si="11"/>
        <v>314000</v>
      </c>
    </row>
    <row r="359" spans="1:6">
      <c r="A359" t="s">
        <v>4471</v>
      </c>
      <c r="B359" t="s">
        <v>4271</v>
      </c>
      <c r="C359" t="s">
        <v>4272</v>
      </c>
      <c r="D359">
        <v>283000</v>
      </c>
      <c r="E359" s="1">
        <f t="shared" si="10"/>
        <v>1.34761904761905</v>
      </c>
      <c r="F359">
        <f t="shared" si="11"/>
        <v>337000</v>
      </c>
    </row>
    <row r="360" spans="1:6">
      <c r="A360" t="s">
        <v>4472</v>
      </c>
      <c r="B360" t="s">
        <v>4271</v>
      </c>
      <c r="C360" t="s">
        <v>4272</v>
      </c>
      <c r="D360">
        <v>182000</v>
      </c>
      <c r="E360" s="1">
        <f t="shared" si="10"/>
        <v>0.866666666666667</v>
      </c>
      <c r="F360">
        <f t="shared" si="11"/>
        <v>217000</v>
      </c>
    </row>
    <row r="361" spans="1:6">
      <c r="A361" t="s">
        <v>4473</v>
      </c>
      <c r="B361" t="s">
        <v>4271</v>
      </c>
      <c r="C361" t="s">
        <v>4272</v>
      </c>
      <c r="D361">
        <v>182000</v>
      </c>
      <c r="E361" s="1">
        <f t="shared" si="10"/>
        <v>0.866666666666667</v>
      </c>
      <c r="F361">
        <f t="shared" si="11"/>
        <v>217000</v>
      </c>
    </row>
    <row r="362" spans="1:6">
      <c r="A362" t="s">
        <v>4474</v>
      </c>
      <c r="B362" t="s">
        <v>4271</v>
      </c>
      <c r="C362" t="s">
        <v>4272</v>
      </c>
      <c r="D362">
        <v>263000</v>
      </c>
      <c r="E362" s="1">
        <f t="shared" si="10"/>
        <v>1.25238095238095</v>
      </c>
      <c r="F362">
        <f t="shared" si="11"/>
        <v>314000</v>
      </c>
    </row>
    <row r="363" spans="1:6">
      <c r="A363" t="s">
        <v>4475</v>
      </c>
      <c r="B363" t="s">
        <v>4271</v>
      </c>
      <c r="C363" t="s">
        <v>4272</v>
      </c>
      <c r="D363">
        <v>162000</v>
      </c>
      <c r="E363" s="1">
        <f t="shared" si="10"/>
        <v>0.771428571428571</v>
      </c>
      <c r="F363">
        <f t="shared" si="11"/>
        <v>193000</v>
      </c>
    </row>
    <row r="364" spans="1:6">
      <c r="A364" t="s">
        <v>4476</v>
      </c>
      <c r="B364" t="s">
        <v>4271</v>
      </c>
      <c r="C364" t="s">
        <v>4272</v>
      </c>
      <c r="D364">
        <v>142000</v>
      </c>
      <c r="E364" s="1">
        <f t="shared" si="10"/>
        <v>0.676190476190476</v>
      </c>
      <c r="F364">
        <f t="shared" si="11"/>
        <v>170000</v>
      </c>
    </row>
    <row r="365" spans="1:6">
      <c r="A365" t="s">
        <v>4477</v>
      </c>
      <c r="B365" t="s">
        <v>4271</v>
      </c>
      <c r="C365" t="s">
        <v>4272</v>
      </c>
      <c r="D365">
        <v>263000</v>
      </c>
      <c r="E365" s="1">
        <f t="shared" si="10"/>
        <v>1.25238095238095</v>
      </c>
      <c r="F365">
        <f t="shared" si="11"/>
        <v>314000</v>
      </c>
    </row>
    <row r="366" spans="1:6">
      <c r="A366" t="s">
        <v>4478</v>
      </c>
      <c r="B366" t="s">
        <v>4271</v>
      </c>
      <c r="C366" t="s">
        <v>4272</v>
      </c>
      <c r="D366">
        <v>303000</v>
      </c>
      <c r="E366" s="1">
        <f t="shared" si="10"/>
        <v>1.44285714285714</v>
      </c>
      <c r="F366">
        <f t="shared" si="11"/>
        <v>361000</v>
      </c>
    </row>
    <row r="367" spans="1:6">
      <c r="A367" t="s">
        <v>4479</v>
      </c>
      <c r="B367" t="s">
        <v>4271</v>
      </c>
      <c r="C367" t="s">
        <v>4272</v>
      </c>
      <c r="D367">
        <v>202000</v>
      </c>
      <c r="E367" s="1">
        <f t="shared" si="10"/>
        <v>0.961904761904762</v>
      </c>
      <c r="F367">
        <f t="shared" si="11"/>
        <v>241000</v>
      </c>
    </row>
    <row r="368" spans="1:6">
      <c r="A368" t="s">
        <v>4480</v>
      </c>
      <c r="B368" t="s">
        <v>4271</v>
      </c>
      <c r="C368" t="s">
        <v>4272</v>
      </c>
      <c r="D368">
        <v>525000</v>
      </c>
      <c r="E368" s="1">
        <f t="shared" si="10"/>
        <v>2.5</v>
      </c>
      <c r="F368">
        <f t="shared" si="11"/>
        <v>625000</v>
      </c>
    </row>
    <row r="369" spans="1:6">
      <c r="A369" t="s">
        <v>4481</v>
      </c>
      <c r="B369" t="s">
        <v>4271</v>
      </c>
      <c r="C369" t="s">
        <v>4272</v>
      </c>
      <c r="D369">
        <v>162000</v>
      </c>
      <c r="E369" s="1">
        <f t="shared" si="10"/>
        <v>0.771428571428571</v>
      </c>
      <c r="F369">
        <f t="shared" si="11"/>
        <v>193000</v>
      </c>
    </row>
    <row r="370" spans="1:6">
      <c r="A370" t="s">
        <v>4482</v>
      </c>
      <c r="B370" t="s">
        <v>4271</v>
      </c>
      <c r="C370" t="s">
        <v>4272</v>
      </c>
      <c r="D370">
        <v>142000</v>
      </c>
      <c r="E370" s="1">
        <f t="shared" si="10"/>
        <v>0.676190476190476</v>
      </c>
      <c r="F370">
        <f t="shared" si="11"/>
        <v>170000</v>
      </c>
    </row>
    <row r="371" spans="1:6">
      <c r="A371" t="s">
        <v>4483</v>
      </c>
      <c r="B371" t="s">
        <v>4271</v>
      </c>
      <c r="C371" t="s">
        <v>4272</v>
      </c>
      <c r="D371">
        <v>122000</v>
      </c>
      <c r="E371" s="1">
        <f t="shared" si="10"/>
        <v>0.580952380952381</v>
      </c>
      <c r="F371">
        <f t="shared" si="11"/>
        <v>146000</v>
      </c>
    </row>
    <row r="372" spans="1:6">
      <c r="A372" t="s">
        <v>4484</v>
      </c>
      <c r="B372" t="s">
        <v>4271</v>
      </c>
      <c r="C372" t="s">
        <v>4272</v>
      </c>
      <c r="D372">
        <v>101000</v>
      </c>
      <c r="E372" s="1">
        <f t="shared" si="10"/>
        <v>0.480952380952381</v>
      </c>
      <c r="F372">
        <f t="shared" si="11"/>
        <v>121000</v>
      </c>
    </row>
    <row r="373" spans="1:6">
      <c r="A373" t="s">
        <v>4485</v>
      </c>
      <c r="B373" t="s">
        <v>4271</v>
      </c>
      <c r="C373" t="s">
        <v>4272</v>
      </c>
      <c r="D373">
        <v>243000</v>
      </c>
      <c r="E373" s="1">
        <f t="shared" si="10"/>
        <v>1.15714285714286</v>
      </c>
      <c r="F373">
        <f t="shared" si="11"/>
        <v>290000</v>
      </c>
    </row>
    <row r="374" spans="1:6">
      <c r="A374" t="s">
        <v>4486</v>
      </c>
      <c r="B374" t="s">
        <v>4271</v>
      </c>
      <c r="C374" t="s">
        <v>4272</v>
      </c>
      <c r="D374">
        <v>182000</v>
      </c>
      <c r="E374" s="1">
        <f t="shared" si="10"/>
        <v>0.866666666666667</v>
      </c>
      <c r="F374">
        <f t="shared" si="11"/>
        <v>217000</v>
      </c>
    </row>
    <row r="375" spans="1:6">
      <c r="A375" t="s">
        <v>4487</v>
      </c>
      <c r="B375" t="s">
        <v>4271</v>
      </c>
      <c r="C375" t="s">
        <v>4272</v>
      </c>
      <c r="D375">
        <v>384000</v>
      </c>
      <c r="E375" s="1">
        <f t="shared" si="10"/>
        <v>1.82857142857143</v>
      </c>
      <c r="F375">
        <f t="shared" si="11"/>
        <v>458000</v>
      </c>
    </row>
    <row r="376" spans="1:6">
      <c r="A376" t="s">
        <v>4488</v>
      </c>
      <c r="B376" t="s">
        <v>4271</v>
      </c>
      <c r="C376" t="s">
        <v>4272</v>
      </c>
      <c r="D376">
        <v>788000</v>
      </c>
      <c r="E376" s="1">
        <f t="shared" si="10"/>
        <v>3.75238095238095</v>
      </c>
      <c r="F376">
        <f t="shared" si="11"/>
        <v>939000</v>
      </c>
    </row>
    <row r="377" spans="1:6">
      <c r="A377" t="s">
        <v>4489</v>
      </c>
      <c r="B377" t="s">
        <v>4271</v>
      </c>
      <c r="C377" t="s">
        <v>4272</v>
      </c>
      <c r="D377">
        <v>1736000</v>
      </c>
      <c r="E377" s="1">
        <f t="shared" si="10"/>
        <v>8.26666666666667</v>
      </c>
      <c r="F377">
        <f t="shared" si="11"/>
        <v>2067000</v>
      </c>
    </row>
    <row r="378" spans="1:6">
      <c r="A378" t="s">
        <v>4490</v>
      </c>
      <c r="B378" t="s">
        <v>4271</v>
      </c>
      <c r="C378" t="s">
        <v>4272</v>
      </c>
      <c r="D378">
        <v>788000</v>
      </c>
      <c r="E378" s="1">
        <f t="shared" si="10"/>
        <v>3.75238095238095</v>
      </c>
      <c r="F378">
        <f t="shared" si="11"/>
        <v>939000</v>
      </c>
    </row>
    <row r="379" spans="1:6">
      <c r="A379" t="s">
        <v>4491</v>
      </c>
      <c r="B379" t="s">
        <v>4271</v>
      </c>
      <c r="C379" t="s">
        <v>4272</v>
      </c>
      <c r="D379">
        <v>1252000</v>
      </c>
      <c r="E379" s="1">
        <f t="shared" si="10"/>
        <v>5.96190476190476</v>
      </c>
      <c r="F379">
        <f t="shared" si="11"/>
        <v>1491000</v>
      </c>
    </row>
    <row r="380" spans="1:6">
      <c r="A380" t="s">
        <v>4492</v>
      </c>
      <c r="B380" t="s">
        <v>4271</v>
      </c>
      <c r="C380" t="s">
        <v>4272</v>
      </c>
      <c r="D380">
        <v>707000</v>
      </c>
      <c r="E380" s="1">
        <f t="shared" si="10"/>
        <v>3.36666666666667</v>
      </c>
      <c r="F380">
        <f t="shared" si="11"/>
        <v>842000</v>
      </c>
    </row>
    <row r="381" spans="1:6">
      <c r="A381" t="s">
        <v>4493</v>
      </c>
      <c r="B381" t="s">
        <v>4271</v>
      </c>
      <c r="C381" t="s">
        <v>4272</v>
      </c>
      <c r="D381">
        <v>1292000</v>
      </c>
      <c r="E381" s="1">
        <f t="shared" si="10"/>
        <v>6.15238095238095</v>
      </c>
      <c r="F381">
        <f t="shared" si="11"/>
        <v>1539000</v>
      </c>
    </row>
    <row r="382" spans="1:6">
      <c r="A382" t="s">
        <v>4494</v>
      </c>
      <c r="B382" t="s">
        <v>4271</v>
      </c>
      <c r="C382" t="s">
        <v>4272</v>
      </c>
      <c r="D382">
        <v>1675000</v>
      </c>
      <c r="E382" s="1">
        <f t="shared" si="10"/>
        <v>7.97619047619048</v>
      </c>
      <c r="F382">
        <f t="shared" si="11"/>
        <v>1995000</v>
      </c>
    </row>
    <row r="383" spans="1:6">
      <c r="A383" t="s">
        <v>4495</v>
      </c>
      <c r="B383" t="s">
        <v>4271</v>
      </c>
      <c r="C383" t="s">
        <v>4272</v>
      </c>
      <c r="D383">
        <v>1252000</v>
      </c>
      <c r="E383" s="1">
        <f t="shared" si="10"/>
        <v>5.96190476190476</v>
      </c>
      <c r="F383">
        <f t="shared" si="11"/>
        <v>1491000</v>
      </c>
    </row>
    <row r="384" spans="1:6">
      <c r="A384" t="s">
        <v>4496</v>
      </c>
      <c r="B384" t="s">
        <v>4271</v>
      </c>
      <c r="C384" t="s">
        <v>4272</v>
      </c>
      <c r="D384">
        <v>424000</v>
      </c>
      <c r="E384" s="1">
        <f t="shared" si="10"/>
        <v>2.01904761904762</v>
      </c>
      <c r="F384">
        <f t="shared" si="11"/>
        <v>505000</v>
      </c>
    </row>
    <row r="385" spans="1:6">
      <c r="A385" t="s">
        <v>4497</v>
      </c>
      <c r="B385" t="s">
        <v>4271</v>
      </c>
      <c r="C385" t="s">
        <v>4272</v>
      </c>
      <c r="D385">
        <v>828000</v>
      </c>
      <c r="E385" s="1">
        <f t="shared" si="10"/>
        <v>3.94285714285714</v>
      </c>
      <c r="F385">
        <f t="shared" si="11"/>
        <v>986000</v>
      </c>
    </row>
    <row r="386" spans="1:6">
      <c r="A386" t="s">
        <v>4498</v>
      </c>
      <c r="B386" t="s">
        <v>4271</v>
      </c>
      <c r="C386" t="s">
        <v>4272</v>
      </c>
      <c r="D386">
        <v>525000</v>
      </c>
      <c r="E386" s="1">
        <f t="shared" ref="E386:E449" si="12">D386/210000</f>
        <v>2.5</v>
      </c>
      <c r="F386">
        <f t="shared" si="11"/>
        <v>625000</v>
      </c>
    </row>
    <row r="387" spans="1:6">
      <c r="A387" t="s">
        <v>4499</v>
      </c>
      <c r="B387" t="s">
        <v>4271</v>
      </c>
      <c r="C387" t="s">
        <v>4272</v>
      </c>
      <c r="D387">
        <v>1010000</v>
      </c>
      <c r="E387" s="1">
        <f t="shared" si="12"/>
        <v>4.80952380952381</v>
      </c>
      <c r="F387">
        <f t="shared" ref="F387:F450" si="13">CEILING(E387*250000,1000)</f>
        <v>1203000</v>
      </c>
    </row>
    <row r="388" spans="1:6">
      <c r="A388" t="s">
        <v>4500</v>
      </c>
      <c r="B388" t="s">
        <v>4271</v>
      </c>
      <c r="C388" t="s">
        <v>4272</v>
      </c>
      <c r="D388">
        <v>142000</v>
      </c>
      <c r="E388" s="1">
        <f t="shared" si="12"/>
        <v>0.676190476190476</v>
      </c>
      <c r="F388">
        <f t="shared" si="13"/>
        <v>170000</v>
      </c>
    </row>
    <row r="389" spans="1:6">
      <c r="A389" t="s">
        <v>4501</v>
      </c>
      <c r="B389" t="s">
        <v>4271</v>
      </c>
      <c r="C389" t="s">
        <v>4272</v>
      </c>
      <c r="D389">
        <v>3673000</v>
      </c>
      <c r="E389" s="1">
        <f t="shared" si="12"/>
        <v>17.4904761904762</v>
      </c>
      <c r="F389">
        <f t="shared" si="13"/>
        <v>4373000</v>
      </c>
    </row>
    <row r="390" spans="1:6">
      <c r="A390" t="s">
        <v>4502</v>
      </c>
      <c r="B390" t="s">
        <v>4271</v>
      </c>
      <c r="C390" t="s">
        <v>4272</v>
      </c>
      <c r="D390">
        <v>3754000</v>
      </c>
      <c r="E390" s="1">
        <f t="shared" si="12"/>
        <v>17.8761904761905</v>
      </c>
      <c r="F390">
        <f t="shared" si="13"/>
        <v>4470000</v>
      </c>
    </row>
    <row r="391" spans="1:6">
      <c r="A391" t="s">
        <v>4503</v>
      </c>
      <c r="B391" t="s">
        <v>4271</v>
      </c>
      <c r="C391" t="s">
        <v>4272</v>
      </c>
      <c r="D391">
        <v>3330000</v>
      </c>
      <c r="E391" s="1">
        <f t="shared" si="12"/>
        <v>15.8571428571429</v>
      </c>
      <c r="F391">
        <f t="shared" si="13"/>
        <v>3965000</v>
      </c>
    </row>
    <row r="392" spans="1:6">
      <c r="A392" t="s">
        <v>4504</v>
      </c>
      <c r="B392" t="s">
        <v>4271</v>
      </c>
      <c r="C392" t="s">
        <v>4272</v>
      </c>
      <c r="D392">
        <v>3371000</v>
      </c>
      <c r="E392" s="1">
        <f t="shared" si="12"/>
        <v>16.052380952381</v>
      </c>
      <c r="F392">
        <f t="shared" si="13"/>
        <v>4014000</v>
      </c>
    </row>
    <row r="393" spans="1:6">
      <c r="A393" t="s">
        <v>4505</v>
      </c>
      <c r="B393" t="s">
        <v>4271</v>
      </c>
      <c r="C393" t="s">
        <v>4272</v>
      </c>
      <c r="D393">
        <v>3330000</v>
      </c>
      <c r="E393" s="1">
        <f t="shared" si="12"/>
        <v>15.8571428571429</v>
      </c>
      <c r="F393">
        <f t="shared" si="13"/>
        <v>3965000</v>
      </c>
    </row>
    <row r="394" spans="1:6">
      <c r="A394" t="s">
        <v>4506</v>
      </c>
      <c r="B394" t="s">
        <v>4271</v>
      </c>
      <c r="C394" t="s">
        <v>4272</v>
      </c>
      <c r="D394">
        <v>3915000</v>
      </c>
      <c r="E394" s="1">
        <f t="shared" si="12"/>
        <v>18.6428571428571</v>
      </c>
      <c r="F394">
        <f t="shared" si="13"/>
        <v>4661000</v>
      </c>
    </row>
    <row r="395" spans="1:6">
      <c r="A395" t="s">
        <v>4507</v>
      </c>
      <c r="B395" t="s">
        <v>4271</v>
      </c>
      <c r="C395" t="s">
        <v>4272</v>
      </c>
      <c r="D395">
        <v>2806000</v>
      </c>
      <c r="E395" s="1">
        <f t="shared" si="12"/>
        <v>13.3619047619048</v>
      </c>
      <c r="F395">
        <f t="shared" si="13"/>
        <v>3341000</v>
      </c>
    </row>
    <row r="396" spans="1:6">
      <c r="A396" t="s">
        <v>4508</v>
      </c>
      <c r="B396" t="s">
        <v>4271</v>
      </c>
      <c r="C396" t="s">
        <v>4272</v>
      </c>
      <c r="D396">
        <v>162000</v>
      </c>
      <c r="E396" s="1">
        <f t="shared" si="12"/>
        <v>0.771428571428571</v>
      </c>
      <c r="F396">
        <f t="shared" si="13"/>
        <v>193000</v>
      </c>
    </row>
    <row r="397" spans="1:6">
      <c r="A397" t="s">
        <v>4509</v>
      </c>
      <c r="B397" t="s">
        <v>4271</v>
      </c>
      <c r="C397" t="s">
        <v>4272</v>
      </c>
      <c r="D397">
        <v>202000</v>
      </c>
      <c r="E397" s="1">
        <f t="shared" si="12"/>
        <v>0.961904761904762</v>
      </c>
      <c r="F397">
        <f t="shared" si="13"/>
        <v>241000</v>
      </c>
    </row>
    <row r="398" spans="1:6">
      <c r="A398" t="s">
        <v>4510</v>
      </c>
      <c r="B398" t="s">
        <v>4271</v>
      </c>
      <c r="C398" t="s">
        <v>4272</v>
      </c>
      <c r="D398">
        <v>162000</v>
      </c>
      <c r="E398" s="1">
        <f t="shared" si="12"/>
        <v>0.771428571428571</v>
      </c>
      <c r="F398">
        <f t="shared" si="13"/>
        <v>193000</v>
      </c>
    </row>
    <row r="399" spans="1:6">
      <c r="A399" t="s">
        <v>4511</v>
      </c>
      <c r="B399" t="s">
        <v>4271</v>
      </c>
      <c r="C399" t="s">
        <v>4272</v>
      </c>
      <c r="D399">
        <v>162000</v>
      </c>
      <c r="E399" s="1">
        <f t="shared" si="12"/>
        <v>0.771428571428571</v>
      </c>
      <c r="F399">
        <f t="shared" si="13"/>
        <v>193000</v>
      </c>
    </row>
    <row r="400" spans="1:6">
      <c r="A400" t="s">
        <v>4512</v>
      </c>
      <c r="B400" t="s">
        <v>4271</v>
      </c>
      <c r="C400" t="s">
        <v>4272</v>
      </c>
      <c r="D400">
        <v>202000</v>
      </c>
      <c r="E400" s="1">
        <f t="shared" si="12"/>
        <v>0.961904761904762</v>
      </c>
      <c r="F400">
        <f t="shared" si="13"/>
        <v>241000</v>
      </c>
    </row>
    <row r="401" spans="1:6">
      <c r="A401" t="s">
        <v>4513</v>
      </c>
      <c r="B401" t="s">
        <v>4271</v>
      </c>
      <c r="C401" t="s">
        <v>4272</v>
      </c>
      <c r="D401">
        <v>162000</v>
      </c>
      <c r="E401" s="1">
        <f t="shared" si="12"/>
        <v>0.771428571428571</v>
      </c>
      <c r="F401">
        <f t="shared" si="13"/>
        <v>193000</v>
      </c>
    </row>
    <row r="402" spans="1:6">
      <c r="A402" t="s">
        <v>4514</v>
      </c>
      <c r="B402" t="s">
        <v>4271</v>
      </c>
      <c r="C402" t="s">
        <v>4272</v>
      </c>
      <c r="D402">
        <v>303000</v>
      </c>
      <c r="E402" s="1">
        <f t="shared" si="12"/>
        <v>1.44285714285714</v>
      </c>
      <c r="F402">
        <f t="shared" si="13"/>
        <v>361000</v>
      </c>
    </row>
    <row r="403" spans="1:6">
      <c r="A403" t="s">
        <v>4515</v>
      </c>
      <c r="B403" t="s">
        <v>4271</v>
      </c>
      <c r="C403" t="s">
        <v>4272</v>
      </c>
      <c r="D403">
        <v>3028000</v>
      </c>
      <c r="E403" s="1">
        <f t="shared" si="12"/>
        <v>14.4190476190476</v>
      </c>
      <c r="F403">
        <f t="shared" si="13"/>
        <v>3605000</v>
      </c>
    </row>
    <row r="404" spans="1:6">
      <c r="A404" t="s">
        <v>4516</v>
      </c>
      <c r="B404" t="s">
        <v>4271</v>
      </c>
      <c r="C404" t="s">
        <v>4272</v>
      </c>
      <c r="D404">
        <v>3229000</v>
      </c>
      <c r="E404" s="1">
        <f t="shared" si="12"/>
        <v>15.3761904761905</v>
      </c>
      <c r="F404">
        <f t="shared" si="13"/>
        <v>3845000</v>
      </c>
    </row>
    <row r="405" spans="1:6">
      <c r="A405" t="s">
        <v>4517</v>
      </c>
      <c r="B405" t="s">
        <v>4271</v>
      </c>
      <c r="C405" t="s">
        <v>4272</v>
      </c>
      <c r="D405">
        <v>3128000</v>
      </c>
      <c r="E405" s="1">
        <f t="shared" si="12"/>
        <v>14.8952380952381</v>
      </c>
      <c r="F405">
        <f t="shared" si="13"/>
        <v>3724000</v>
      </c>
    </row>
    <row r="406" spans="1:6">
      <c r="A406" t="s">
        <v>4518</v>
      </c>
      <c r="B406" t="s">
        <v>4271</v>
      </c>
      <c r="C406" t="s">
        <v>4272</v>
      </c>
      <c r="D406">
        <v>3108000</v>
      </c>
      <c r="E406" s="1">
        <f t="shared" si="12"/>
        <v>14.8</v>
      </c>
      <c r="F406">
        <f t="shared" si="13"/>
        <v>3700000</v>
      </c>
    </row>
    <row r="407" spans="1:6">
      <c r="A407" t="s">
        <v>4519</v>
      </c>
      <c r="B407" t="s">
        <v>4271</v>
      </c>
      <c r="C407" t="s">
        <v>4272</v>
      </c>
      <c r="D407">
        <v>3028000</v>
      </c>
      <c r="E407" s="1">
        <f t="shared" si="12"/>
        <v>14.4190476190476</v>
      </c>
      <c r="F407">
        <f t="shared" si="13"/>
        <v>3605000</v>
      </c>
    </row>
    <row r="408" spans="1:6">
      <c r="A408" t="s">
        <v>4520</v>
      </c>
      <c r="B408" t="s">
        <v>4271</v>
      </c>
      <c r="C408" t="s">
        <v>4272</v>
      </c>
      <c r="D408">
        <v>3552000</v>
      </c>
      <c r="E408" s="1">
        <f t="shared" si="12"/>
        <v>16.9142857142857</v>
      </c>
      <c r="F408">
        <f t="shared" si="13"/>
        <v>4229000</v>
      </c>
    </row>
    <row r="409" spans="1:6">
      <c r="A409" t="s">
        <v>4521</v>
      </c>
      <c r="B409" t="s">
        <v>4271</v>
      </c>
      <c r="C409" t="s">
        <v>4272</v>
      </c>
      <c r="D409">
        <v>1211000</v>
      </c>
      <c r="E409" s="1">
        <f t="shared" si="12"/>
        <v>5.76666666666667</v>
      </c>
      <c r="F409">
        <f t="shared" si="13"/>
        <v>1442000</v>
      </c>
    </row>
    <row r="410" spans="1:6">
      <c r="A410" t="s">
        <v>4522</v>
      </c>
      <c r="B410" t="s">
        <v>4271</v>
      </c>
      <c r="C410" t="s">
        <v>4272</v>
      </c>
      <c r="D410">
        <v>1131000</v>
      </c>
      <c r="E410" s="1">
        <f t="shared" si="12"/>
        <v>5.38571428571429</v>
      </c>
      <c r="F410">
        <f t="shared" si="13"/>
        <v>1347000</v>
      </c>
    </row>
    <row r="411" spans="1:6">
      <c r="A411" t="s">
        <v>4523</v>
      </c>
      <c r="B411" t="s">
        <v>4271</v>
      </c>
      <c r="C411" t="s">
        <v>4272</v>
      </c>
      <c r="D411">
        <v>666000</v>
      </c>
      <c r="E411" s="1">
        <f t="shared" si="12"/>
        <v>3.17142857142857</v>
      </c>
      <c r="F411">
        <f t="shared" si="13"/>
        <v>793000</v>
      </c>
    </row>
    <row r="412" spans="1:6">
      <c r="A412" t="s">
        <v>4524</v>
      </c>
      <c r="B412" t="s">
        <v>4271</v>
      </c>
      <c r="C412" t="s">
        <v>4272</v>
      </c>
      <c r="D412">
        <v>2462000</v>
      </c>
      <c r="E412" s="1">
        <f t="shared" si="12"/>
        <v>11.7238095238095</v>
      </c>
      <c r="F412">
        <f t="shared" si="13"/>
        <v>2931000</v>
      </c>
    </row>
    <row r="413" spans="1:6">
      <c r="A413" t="s">
        <v>4525</v>
      </c>
      <c r="B413" t="s">
        <v>4271</v>
      </c>
      <c r="C413" t="s">
        <v>4272</v>
      </c>
      <c r="D413">
        <v>888000</v>
      </c>
      <c r="E413" s="1">
        <f t="shared" si="12"/>
        <v>4.22857142857143</v>
      </c>
      <c r="F413">
        <f t="shared" si="13"/>
        <v>1058000</v>
      </c>
    </row>
    <row r="414" spans="1:6">
      <c r="A414" t="s">
        <v>4526</v>
      </c>
      <c r="B414" t="s">
        <v>4271</v>
      </c>
      <c r="C414" t="s">
        <v>4272</v>
      </c>
      <c r="D414">
        <v>2059000</v>
      </c>
      <c r="E414" s="1">
        <f t="shared" si="12"/>
        <v>9.80476190476191</v>
      </c>
      <c r="F414">
        <f t="shared" si="13"/>
        <v>2452000</v>
      </c>
    </row>
    <row r="415" spans="1:6">
      <c r="A415" t="s">
        <v>4527</v>
      </c>
      <c r="B415" t="s">
        <v>4271</v>
      </c>
      <c r="C415" t="s">
        <v>4272</v>
      </c>
      <c r="D415">
        <v>1696000</v>
      </c>
      <c r="E415" s="1">
        <f t="shared" si="12"/>
        <v>8.07619047619048</v>
      </c>
      <c r="F415">
        <f t="shared" si="13"/>
        <v>2020000</v>
      </c>
    </row>
    <row r="416" spans="1:6">
      <c r="A416" t="s">
        <v>4528</v>
      </c>
      <c r="B416" t="s">
        <v>4271</v>
      </c>
      <c r="C416" t="s">
        <v>4272</v>
      </c>
      <c r="D416">
        <v>2119000</v>
      </c>
      <c r="E416" s="1">
        <f t="shared" si="12"/>
        <v>10.0904761904762</v>
      </c>
      <c r="F416">
        <f t="shared" si="13"/>
        <v>2523000</v>
      </c>
    </row>
    <row r="417" spans="1:6">
      <c r="A417" t="s">
        <v>4529</v>
      </c>
      <c r="B417" t="s">
        <v>4271</v>
      </c>
      <c r="C417" t="s">
        <v>4272</v>
      </c>
      <c r="D417">
        <v>525000</v>
      </c>
      <c r="E417" s="1">
        <f t="shared" si="12"/>
        <v>2.5</v>
      </c>
      <c r="F417">
        <f t="shared" si="13"/>
        <v>625000</v>
      </c>
    </row>
    <row r="418" spans="1:6">
      <c r="A418" t="s">
        <v>4530</v>
      </c>
      <c r="B418" t="s">
        <v>4271</v>
      </c>
      <c r="C418" t="s">
        <v>4272</v>
      </c>
      <c r="D418">
        <v>606000</v>
      </c>
      <c r="E418" s="1">
        <f t="shared" si="12"/>
        <v>2.88571428571429</v>
      </c>
      <c r="F418">
        <f t="shared" si="13"/>
        <v>722000</v>
      </c>
    </row>
    <row r="419" spans="1:6">
      <c r="A419" t="s">
        <v>4531</v>
      </c>
      <c r="B419" t="s">
        <v>4271</v>
      </c>
      <c r="C419" t="s">
        <v>4272</v>
      </c>
      <c r="D419">
        <v>344000</v>
      </c>
      <c r="E419" s="1">
        <f t="shared" si="12"/>
        <v>1.63809523809524</v>
      </c>
      <c r="F419">
        <f t="shared" si="13"/>
        <v>410000</v>
      </c>
    </row>
    <row r="420" spans="1:6">
      <c r="A420" t="s">
        <v>4532</v>
      </c>
      <c r="B420" t="s">
        <v>4271</v>
      </c>
      <c r="C420" t="s">
        <v>4272</v>
      </c>
      <c r="D420">
        <v>344000</v>
      </c>
      <c r="E420" s="1">
        <f t="shared" si="12"/>
        <v>1.63809523809524</v>
      </c>
      <c r="F420">
        <f t="shared" si="13"/>
        <v>410000</v>
      </c>
    </row>
    <row r="421" spans="1:6">
      <c r="A421" t="s">
        <v>4533</v>
      </c>
      <c r="B421" t="s">
        <v>4271</v>
      </c>
      <c r="C421" t="s">
        <v>4272</v>
      </c>
      <c r="D421">
        <v>404000</v>
      </c>
      <c r="E421" s="1">
        <f t="shared" si="12"/>
        <v>1.92380952380952</v>
      </c>
      <c r="F421">
        <f t="shared" si="13"/>
        <v>481000</v>
      </c>
    </row>
    <row r="422" spans="1:6">
      <c r="A422" t="s">
        <v>4534</v>
      </c>
      <c r="B422" t="s">
        <v>4271</v>
      </c>
      <c r="C422" t="s">
        <v>4272</v>
      </c>
      <c r="D422">
        <v>404000</v>
      </c>
      <c r="E422" s="1">
        <f t="shared" si="12"/>
        <v>1.92380952380952</v>
      </c>
      <c r="F422">
        <f t="shared" si="13"/>
        <v>481000</v>
      </c>
    </row>
    <row r="423" spans="1:6">
      <c r="A423" t="s">
        <v>4535</v>
      </c>
      <c r="B423" t="s">
        <v>4271</v>
      </c>
      <c r="C423" t="s">
        <v>4272</v>
      </c>
      <c r="D423">
        <v>303000</v>
      </c>
      <c r="E423" s="1">
        <f t="shared" si="12"/>
        <v>1.44285714285714</v>
      </c>
      <c r="F423">
        <f t="shared" si="13"/>
        <v>361000</v>
      </c>
    </row>
    <row r="424" spans="1:6">
      <c r="A424" t="s">
        <v>4536</v>
      </c>
      <c r="B424" t="s">
        <v>4271</v>
      </c>
      <c r="C424" t="s">
        <v>4272</v>
      </c>
      <c r="D424">
        <v>344000</v>
      </c>
      <c r="E424" s="1">
        <f t="shared" si="12"/>
        <v>1.63809523809524</v>
      </c>
      <c r="F424">
        <f t="shared" si="13"/>
        <v>410000</v>
      </c>
    </row>
    <row r="425" spans="1:6">
      <c r="A425" t="s">
        <v>4537</v>
      </c>
      <c r="B425" t="s">
        <v>4271</v>
      </c>
      <c r="C425" t="s">
        <v>4272</v>
      </c>
      <c r="D425">
        <v>384000</v>
      </c>
      <c r="E425" s="1">
        <f t="shared" si="12"/>
        <v>1.82857142857143</v>
      </c>
      <c r="F425">
        <f t="shared" si="13"/>
        <v>458000</v>
      </c>
    </row>
    <row r="426" spans="1:6">
      <c r="A426" t="s">
        <v>4538</v>
      </c>
      <c r="B426" t="s">
        <v>4271</v>
      </c>
      <c r="C426" t="s">
        <v>4272</v>
      </c>
      <c r="D426">
        <v>606000</v>
      </c>
      <c r="E426" s="1">
        <f t="shared" si="12"/>
        <v>2.88571428571429</v>
      </c>
      <c r="F426">
        <f t="shared" si="13"/>
        <v>722000</v>
      </c>
    </row>
    <row r="427" spans="1:6">
      <c r="A427" t="s">
        <v>4539</v>
      </c>
      <c r="B427" t="s">
        <v>4271</v>
      </c>
      <c r="C427" t="s">
        <v>4272</v>
      </c>
      <c r="D427">
        <v>61000</v>
      </c>
      <c r="E427" s="1">
        <f t="shared" si="12"/>
        <v>0.29047619047619</v>
      </c>
      <c r="F427">
        <f t="shared" si="13"/>
        <v>73000</v>
      </c>
    </row>
    <row r="428" spans="1:6">
      <c r="A428" t="s">
        <v>4540</v>
      </c>
      <c r="B428" t="s">
        <v>4271</v>
      </c>
      <c r="C428" t="s">
        <v>4272</v>
      </c>
      <c r="D428">
        <v>61000</v>
      </c>
      <c r="E428" s="1">
        <f t="shared" si="12"/>
        <v>0.29047619047619</v>
      </c>
      <c r="F428">
        <f t="shared" si="13"/>
        <v>73000</v>
      </c>
    </row>
    <row r="429" spans="1:6">
      <c r="A429" t="s">
        <v>4541</v>
      </c>
      <c r="B429" t="s">
        <v>4271</v>
      </c>
      <c r="C429" t="s">
        <v>4272</v>
      </c>
      <c r="D429">
        <v>41000</v>
      </c>
      <c r="E429" s="1">
        <f t="shared" si="12"/>
        <v>0.195238095238095</v>
      </c>
      <c r="F429">
        <f t="shared" si="13"/>
        <v>49000</v>
      </c>
    </row>
    <row r="430" spans="1:6">
      <c r="A430" t="s">
        <v>4542</v>
      </c>
      <c r="B430" t="s">
        <v>4271</v>
      </c>
      <c r="C430" t="s">
        <v>4272</v>
      </c>
      <c r="D430">
        <v>142000</v>
      </c>
      <c r="E430" s="1">
        <f t="shared" si="12"/>
        <v>0.676190476190476</v>
      </c>
      <c r="F430">
        <f t="shared" si="13"/>
        <v>170000</v>
      </c>
    </row>
    <row r="431" spans="1:6">
      <c r="A431" t="s">
        <v>4543</v>
      </c>
      <c r="B431" t="s">
        <v>4271</v>
      </c>
      <c r="C431" t="s">
        <v>4272</v>
      </c>
      <c r="D431">
        <v>41000</v>
      </c>
      <c r="E431" s="1">
        <f t="shared" si="12"/>
        <v>0.195238095238095</v>
      </c>
      <c r="F431">
        <f t="shared" si="13"/>
        <v>49000</v>
      </c>
    </row>
    <row r="432" spans="1:6">
      <c r="A432" t="s">
        <v>4544</v>
      </c>
      <c r="B432" t="s">
        <v>4271</v>
      </c>
      <c r="C432" t="s">
        <v>4272</v>
      </c>
      <c r="D432">
        <v>21000</v>
      </c>
      <c r="E432" s="1">
        <f t="shared" si="12"/>
        <v>0.1</v>
      </c>
      <c r="F432">
        <f t="shared" si="13"/>
        <v>25000</v>
      </c>
    </row>
    <row r="433" spans="1:6">
      <c r="A433" t="s">
        <v>4545</v>
      </c>
      <c r="B433" t="s">
        <v>4271</v>
      </c>
      <c r="C433" t="s">
        <v>4272</v>
      </c>
      <c r="D433">
        <v>21000</v>
      </c>
      <c r="E433" s="1">
        <f t="shared" si="12"/>
        <v>0.1</v>
      </c>
      <c r="F433">
        <f t="shared" si="13"/>
        <v>25000</v>
      </c>
    </row>
    <row r="434" spans="1:6">
      <c r="A434" t="s">
        <v>4546</v>
      </c>
      <c r="B434" t="s">
        <v>4271</v>
      </c>
      <c r="C434" t="s">
        <v>4272</v>
      </c>
      <c r="D434">
        <v>21000</v>
      </c>
      <c r="E434" s="1">
        <f t="shared" si="12"/>
        <v>0.1</v>
      </c>
      <c r="F434">
        <f t="shared" si="13"/>
        <v>25000</v>
      </c>
    </row>
    <row r="435" spans="1:6">
      <c r="A435" t="s">
        <v>4547</v>
      </c>
      <c r="B435" t="s">
        <v>4271</v>
      </c>
      <c r="C435" t="s">
        <v>4272</v>
      </c>
      <c r="D435">
        <v>21000</v>
      </c>
      <c r="E435" s="1">
        <f t="shared" si="12"/>
        <v>0.1</v>
      </c>
      <c r="F435">
        <f t="shared" si="13"/>
        <v>25000</v>
      </c>
    </row>
    <row r="436" spans="1:6">
      <c r="A436" t="s">
        <v>4548</v>
      </c>
      <c r="B436" t="s">
        <v>4271</v>
      </c>
      <c r="C436" t="s">
        <v>4272</v>
      </c>
      <c r="D436">
        <v>21000</v>
      </c>
      <c r="E436" s="1">
        <f t="shared" si="12"/>
        <v>0.1</v>
      </c>
      <c r="F436">
        <f t="shared" si="13"/>
        <v>25000</v>
      </c>
    </row>
    <row r="437" spans="1:6">
      <c r="A437" t="s">
        <v>4549</v>
      </c>
      <c r="B437" t="s">
        <v>4271</v>
      </c>
      <c r="C437" t="s">
        <v>4272</v>
      </c>
      <c r="D437">
        <v>21000</v>
      </c>
      <c r="E437" s="1">
        <f t="shared" si="12"/>
        <v>0.1</v>
      </c>
      <c r="F437">
        <f t="shared" si="13"/>
        <v>25000</v>
      </c>
    </row>
    <row r="438" spans="1:6">
      <c r="A438" t="s">
        <v>4550</v>
      </c>
      <c r="B438" t="s">
        <v>4271</v>
      </c>
      <c r="C438" t="s">
        <v>4272</v>
      </c>
      <c r="D438">
        <v>303000</v>
      </c>
      <c r="E438" s="1">
        <f t="shared" si="12"/>
        <v>1.44285714285714</v>
      </c>
      <c r="F438">
        <f t="shared" si="13"/>
        <v>361000</v>
      </c>
    </row>
    <row r="439" spans="1:6">
      <c r="A439" t="s">
        <v>4551</v>
      </c>
      <c r="B439" t="s">
        <v>4271</v>
      </c>
      <c r="C439" t="s">
        <v>4272</v>
      </c>
      <c r="D439">
        <v>525000</v>
      </c>
      <c r="E439" s="1">
        <f t="shared" si="12"/>
        <v>2.5</v>
      </c>
      <c r="F439">
        <f t="shared" si="13"/>
        <v>625000</v>
      </c>
    </row>
    <row r="440" spans="1:6">
      <c r="A440" t="s">
        <v>4552</v>
      </c>
      <c r="B440" t="s">
        <v>4271</v>
      </c>
      <c r="C440" t="s">
        <v>4272</v>
      </c>
      <c r="D440">
        <v>505000</v>
      </c>
      <c r="E440" s="1">
        <f t="shared" si="12"/>
        <v>2.4047619047619</v>
      </c>
      <c r="F440">
        <f t="shared" si="13"/>
        <v>602000</v>
      </c>
    </row>
    <row r="441" spans="1:6">
      <c r="A441" t="s">
        <v>4553</v>
      </c>
      <c r="B441" t="s">
        <v>4271</v>
      </c>
      <c r="C441" t="s">
        <v>4272</v>
      </c>
      <c r="D441">
        <v>666000</v>
      </c>
      <c r="E441" s="1">
        <f t="shared" si="12"/>
        <v>3.17142857142857</v>
      </c>
      <c r="F441">
        <f t="shared" si="13"/>
        <v>793000</v>
      </c>
    </row>
    <row r="442" spans="1:6">
      <c r="A442" t="s">
        <v>4554</v>
      </c>
      <c r="B442" t="s">
        <v>4271</v>
      </c>
      <c r="C442" t="s">
        <v>4272</v>
      </c>
      <c r="D442">
        <v>949000</v>
      </c>
      <c r="E442" s="1">
        <f t="shared" si="12"/>
        <v>4.51904761904762</v>
      </c>
      <c r="F442">
        <f t="shared" si="13"/>
        <v>1130000</v>
      </c>
    </row>
    <row r="443" spans="1:6">
      <c r="A443" t="s">
        <v>4555</v>
      </c>
      <c r="B443" t="s">
        <v>4271</v>
      </c>
      <c r="C443" t="s">
        <v>4272</v>
      </c>
      <c r="D443">
        <v>1211000</v>
      </c>
      <c r="E443" s="1">
        <f t="shared" si="12"/>
        <v>5.76666666666667</v>
      </c>
      <c r="F443">
        <f t="shared" si="13"/>
        <v>1442000</v>
      </c>
    </row>
    <row r="444" spans="1:6">
      <c r="A444" t="s">
        <v>4556</v>
      </c>
      <c r="B444" t="s">
        <v>4271</v>
      </c>
      <c r="C444" t="s">
        <v>4272</v>
      </c>
      <c r="D444">
        <v>1191000</v>
      </c>
      <c r="E444" s="1">
        <f t="shared" si="12"/>
        <v>5.67142857142857</v>
      </c>
      <c r="F444">
        <f t="shared" si="13"/>
        <v>1418000</v>
      </c>
    </row>
    <row r="445" spans="1:6">
      <c r="A445" t="s">
        <v>4557</v>
      </c>
      <c r="B445" t="s">
        <v>4271</v>
      </c>
      <c r="C445" t="s">
        <v>4272</v>
      </c>
      <c r="D445">
        <v>1413000</v>
      </c>
      <c r="E445" s="1">
        <f t="shared" si="12"/>
        <v>6.72857142857143</v>
      </c>
      <c r="F445">
        <f t="shared" si="13"/>
        <v>1683000</v>
      </c>
    </row>
    <row r="446" spans="1:6">
      <c r="A446" t="s">
        <v>4558</v>
      </c>
      <c r="B446" t="s">
        <v>4271</v>
      </c>
      <c r="C446" t="s">
        <v>4272</v>
      </c>
      <c r="D446">
        <v>1897000</v>
      </c>
      <c r="E446" s="1">
        <f t="shared" si="12"/>
        <v>9.03333333333333</v>
      </c>
      <c r="F446">
        <f t="shared" si="13"/>
        <v>2259000</v>
      </c>
    </row>
    <row r="447" spans="1:6">
      <c r="A447" t="s">
        <v>4559</v>
      </c>
      <c r="B447" t="s">
        <v>4271</v>
      </c>
      <c r="C447" t="s">
        <v>4272</v>
      </c>
      <c r="D447">
        <v>1575000</v>
      </c>
      <c r="E447" s="1">
        <f t="shared" si="12"/>
        <v>7.5</v>
      </c>
      <c r="F447">
        <f t="shared" si="13"/>
        <v>1875000</v>
      </c>
    </row>
    <row r="448" spans="1:6">
      <c r="A448" t="s">
        <v>4560</v>
      </c>
      <c r="B448" t="s">
        <v>4271</v>
      </c>
      <c r="C448" t="s">
        <v>4272</v>
      </c>
      <c r="D448">
        <v>1453000</v>
      </c>
      <c r="E448" s="1">
        <f t="shared" si="12"/>
        <v>6.91904761904762</v>
      </c>
      <c r="F448">
        <f t="shared" si="13"/>
        <v>1730000</v>
      </c>
    </row>
    <row r="449" spans="1:6">
      <c r="A449" t="s">
        <v>4561</v>
      </c>
      <c r="B449" t="s">
        <v>4271</v>
      </c>
      <c r="C449" t="s">
        <v>4272</v>
      </c>
      <c r="D449">
        <v>1817000</v>
      </c>
      <c r="E449" s="1">
        <f t="shared" si="12"/>
        <v>8.65238095238095</v>
      </c>
      <c r="F449">
        <f t="shared" si="13"/>
        <v>2164000</v>
      </c>
    </row>
    <row r="450" spans="1:6">
      <c r="A450" t="s">
        <v>4562</v>
      </c>
      <c r="B450" t="s">
        <v>4271</v>
      </c>
      <c r="C450" t="s">
        <v>4272</v>
      </c>
      <c r="D450">
        <v>1514000</v>
      </c>
      <c r="E450" s="1">
        <f t="shared" ref="E450:E513" si="14">D450/210000</f>
        <v>7.20952380952381</v>
      </c>
      <c r="F450">
        <f t="shared" si="13"/>
        <v>1803000</v>
      </c>
    </row>
    <row r="451" spans="1:6">
      <c r="A451" t="s">
        <v>4563</v>
      </c>
      <c r="B451" t="s">
        <v>4271</v>
      </c>
      <c r="C451" t="s">
        <v>4272</v>
      </c>
      <c r="D451">
        <v>101000</v>
      </c>
      <c r="E451" s="1">
        <f t="shared" si="14"/>
        <v>0.480952380952381</v>
      </c>
      <c r="F451">
        <f t="shared" ref="F451:F514" si="15">CEILING(E451*250000,1000)</f>
        <v>121000</v>
      </c>
    </row>
    <row r="452" spans="1:6">
      <c r="A452" t="s">
        <v>4564</v>
      </c>
      <c r="B452" t="s">
        <v>4271</v>
      </c>
      <c r="C452" t="s">
        <v>4272</v>
      </c>
      <c r="D452">
        <v>303000</v>
      </c>
      <c r="E452" s="1">
        <f t="shared" si="14"/>
        <v>1.44285714285714</v>
      </c>
      <c r="F452">
        <f t="shared" si="15"/>
        <v>361000</v>
      </c>
    </row>
    <row r="453" spans="1:6">
      <c r="A453" t="s">
        <v>4565</v>
      </c>
      <c r="B453" t="s">
        <v>4271</v>
      </c>
      <c r="C453" t="s">
        <v>4272</v>
      </c>
      <c r="D453">
        <v>162000</v>
      </c>
      <c r="E453" s="1">
        <f t="shared" si="14"/>
        <v>0.771428571428571</v>
      </c>
      <c r="F453">
        <f t="shared" si="15"/>
        <v>193000</v>
      </c>
    </row>
    <row r="454" spans="1:6">
      <c r="A454" t="s">
        <v>4566</v>
      </c>
      <c r="B454" t="s">
        <v>4271</v>
      </c>
      <c r="C454" t="s">
        <v>4272</v>
      </c>
      <c r="D454">
        <v>101000</v>
      </c>
      <c r="E454" s="1">
        <f t="shared" si="14"/>
        <v>0.480952380952381</v>
      </c>
      <c r="F454">
        <f t="shared" si="15"/>
        <v>121000</v>
      </c>
    </row>
    <row r="455" spans="1:6">
      <c r="A455" t="s">
        <v>4567</v>
      </c>
      <c r="B455" t="s">
        <v>4271</v>
      </c>
      <c r="C455" t="s">
        <v>4272</v>
      </c>
      <c r="D455">
        <v>202000</v>
      </c>
      <c r="E455" s="1">
        <f t="shared" si="14"/>
        <v>0.961904761904762</v>
      </c>
      <c r="F455">
        <f t="shared" si="15"/>
        <v>241000</v>
      </c>
    </row>
    <row r="456" spans="1:6">
      <c r="A456" t="s">
        <v>4568</v>
      </c>
      <c r="B456" t="s">
        <v>4271</v>
      </c>
      <c r="C456" t="s">
        <v>4272</v>
      </c>
      <c r="D456">
        <v>162000</v>
      </c>
      <c r="E456" s="1">
        <f t="shared" si="14"/>
        <v>0.771428571428571</v>
      </c>
      <c r="F456">
        <f t="shared" si="15"/>
        <v>193000</v>
      </c>
    </row>
    <row r="457" spans="1:6">
      <c r="A457" t="s">
        <v>4569</v>
      </c>
      <c r="B457" t="s">
        <v>4271</v>
      </c>
      <c r="C457" t="s">
        <v>4272</v>
      </c>
      <c r="D457">
        <v>303000</v>
      </c>
      <c r="E457" s="1">
        <f t="shared" si="14"/>
        <v>1.44285714285714</v>
      </c>
      <c r="F457">
        <f t="shared" si="15"/>
        <v>361000</v>
      </c>
    </row>
    <row r="458" spans="1:6">
      <c r="A458" t="s">
        <v>4570</v>
      </c>
      <c r="B458" t="s">
        <v>4271</v>
      </c>
      <c r="C458" t="s">
        <v>4272</v>
      </c>
      <c r="D458">
        <v>61000</v>
      </c>
      <c r="E458" s="1">
        <f t="shared" si="14"/>
        <v>0.29047619047619</v>
      </c>
      <c r="F458">
        <f t="shared" si="15"/>
        <v>73000</v>
      </c>
    </row>
    <row r="459" spans="1:6">
      <c r="A459" t="s">
        <v>4571</v>
      </c>
      <c r="B459" t="s">
        <v>4271</v>
      </c>
      <c r="C459" t="s">
        <v>4272</v>
      </c>
      <c r="D459">
        <v>81000</v>
      </c>
      <c r="E459" s="1">
        <f t="shared" si="14"/>
        <v>0.385714285714286</v>
      </c>
      <c r="F459">
        <f t="shared" si="15"/>
        <v>97000</v>
      </c>
    </row>
    <row r="460" spans="1:6">
      <c r="A460" t="s">
        <v>4572</v>
      </c>
      <c r="B460" t="s">
        <v>4271</v>
      </c>
      <c r="C460" t="s">
        <v>4272</v>
      </c>
      <c r="D460">
        <v>81000</v>
      </c>
      <c r="E460" s="1">
        <f t="shared" si="14"/>
        <v>0.385714285714286</v>
      </c>
      <c r="F460">
        <f t="shared" si="15"/>
        <v>97000</v>
      </c>
    </row>
    <row r="461" spans="1:6">
      <c r="A461" t="s">
        <v>4573</v>
      </c>
      <c r="B461" t="s">
        <v>4271</v>
      </c>
      <c r="C461" t="s">
        <v>4272</v>
      </c>
      <c r="D461">
        <v>61000</v>
      </c>
      <c r="E461" s="1">
        <f t="shared" si="14"/>
        <v>0.29047619047619</v>
      </c>
      <c r="F461">
        <f t="shared" si="15"/>
        <v>73000</v>
      </c>
    </row>
    <row r="462" spans="1:6">
      <c r="A462" t="s">
        <v>4574</v>
      </c>
      <c r="B462" t="s">
        <v>4271</v>
      </c>
      <c r="C462" t="s">
        <v>4272</v>
      </c>
      <c r="D462">
        <v>81000</v>
      </c>
      <c r="E462" s="1">
        <f t="shared" si="14"/>
        <v>0.385714285714286</v>
      </c>
      <c r="F462">
        <f t="shared" si="15"/>
        <v>97000</v>
      </c>
    </row>
    <row r="463" spans="1:6">
      <c r="A463" t="s">
        <v>4575</v>
      </c>
      <c r="B463" t="s">
        <v>4271</v>
      </c>
      <c r="C463" t="s">
        <v>4272</v>
      </c>
      <c r="D463">
        <v>61000</v>
      </c>
      <c r="E463" s="1">
        <f t="shared" si="14"/>
        <v>0.29047619047619</v>
      </c>
      <c r="F463">
        <f t="shared" si="15"/>
        <v>73000</v>
      </c>
    </row>
    <row r="464" spans="1:6">
      <c r="A464" t="s">
        <v>4576</v>
      </c>
      <c r="B464" t="s">
        <v>4271</v>
      </c>
      <c r="C464" t="s">
        <v>4272</v>
      </c>
      <c r="D464">
        <v>101000</v>
      </c>
      <c r="E464" s="1">
        <f t="shared" si="14"/>
        <v>0.480952380952381</v>
      </c>
      <c r="F464">
        <f t="shared" si="15"/>
        <v>121000</v>
      </c>
    </row>
    <row r="465" spans="1:6">
      <c r="A465" t="s">
        <v>4577</v>
      </c>
      <c r="B465" t="s">
        <v>4271</v>
      </c>
      <c r="C465" t="s">
        <v>4272</v>
      </c>
      <c r="D465">
        <v>2019000</v>
      </c>
      <c r="E465" s="1">
        <f t="shared" si="14"/>
        <v>9.61428571428571</v>
      </c>
      <c r="F465">
        <f t="shared" si="15"/>
        <v>2404000</v>
      </c>
    </row>
    <row r="466" spans="1:6">
      <c r="A466" t="s">
        <v>4578</v>
      </c>
      <c r="B466" t="s">
        <v>4271</v>
      </c>
      <c r="C466" t="s">
        <v>4272</v>
      </c>
      <c r="D466">
        <v>202000</v>
      </c>
      <c r="E466" s="1">
        <f t="shared" si="14"/>
        <v>0.961904761904762</v>
      </c>
      <c r="F466">
        <f t="shared" si="15"/>
        <v>241000</v>
      </c>
    </row>
    <row r="467" spans="1:6">
      <c r="A467" t="s">
        <v>4579</v>
      </c>
      <c r="B467" t="s">
        <v>4271</v>
      </c>
      <c r="C467" t="s">
        <v>4272</v>
      </c>
      <c r="D467">
        <v>263000</v>
      </c>
      <c r="E467" s="1">
        <f t="shared" si="14"/>
        <v>1.25238095238095</v>
      </c>
      <c r="F467">
        <f t="shared" si="15"/>
        <v>314000</v>
      </c>
    </row>
    <row r="468" spans="1:6">
      <c r="A468" t="s">
        <v>4580</v>
      </c>
      <c r="B468" t="s">
        <v>4271</v>
      </c>
      <c r="C468" t="s">
        <v>4272</v>
      </c>
      <c r="D468">
        <v>202000</v>
      </c>
      <c r="E468" s="1">
        <f t="shared" si="14"/>
        <v>0.961904761904762</v>
      </c>
      <c r="F468">
        <f t="shared" si="15"/>
        <v>241000</v>
      </c>
    </row>
    <row r="469" spans="1:6">
      <c r="A469" t="s">
        <v>4581</v>
      </c>
      <c r="B469" t="s">
        <v>4271</v>
      </c>
      <c r="C469" t="s">
        <v>4272</v>
      </c>
      <c r="D469">
        <v>142000</v>
      </c>
      <c r="E469" s="1">
        <f t="shared" si="14"/>
        <v>0.676190476190476</v>
      </c>
      <c r="F469">
        <f t="shared" si="15"/>
        <v>170000</v>
      </c>
    </row>
    <row r="470" spans="1:6">
      <c r="A470" t="s">
        <v>4582</v>
      </c>
      <c r="B470" t="s">
        <v>4271</v>
      </c>
      <c r="C470" t="s">
        <v>4272</v>
      </c>
      <c r="D470">
        <v>202000</v>
      </c>
      <c r="E470" s="1">
        <f t="shared" si="14"/>
        <v>0.961904761904762</v>
      </c>
      <c r="F470">
        <f t="shared" si="15"/>
        <v>241000</v>
      </c>
    </row>
    <row r="471" spans="1:6">
      <c r="A471" t="s">
        <v>4583</v>
      </c>
      <c r="B471" t="s">
        <v>4271</v>
      </c>
      <c r="C471" t="s">
        <v>4272</v>
      </c>
      <c r="D471">
        <v>303000</v>
      </c>
      <c r="E471" s="1">
        <f t="shared" si="14"/>
        <v>1.44285714285714</v>
      </c>
      <c r="F471">
        <f t="shared" si="15"/>
        <v>361000</v>
      </c>
    </row>
    <row r="472" spans="1:6">
      <c r="A472" t="s">
        <v>4584</v>
      </c>
      <c r="B472" t="s">
        <v>4271</v>
      </c>
      <c r="C472" t="s">
        <v>4272</v>
      </c>
      <c r="D472">
        <v>202000</v>
      </c>
      <c r="E472" s="1">
        <f t="shared" si="14"/>
        <v>0.961904761904762</v>
      </c>
      <c r="F472">
        <f t="shared" si="15"/>
        <v>241000</v>
      </c>
    </row>
    <row r="473" spans="1:6">
      <c r="A473" t="s">
        <v>4585</v>
      </c>
      <c r="B473" t="s">
        <v>4271</v>
      </c>
      <c r="C473" t="s">
        <v>4272</v>
      </c>
      <c r="D473">
        <v>263000</v>
      </c>
      <c r="E473" s="1">
        <f t="shared" si="14"/>
        <v>1.25238095238095</v>
      </c>
      <c r="F473">
        <f t="shared" si="15"/>
        <v>314000</v>
      </c>
    </row>
    <row r="474" spans="1:6">
      <c r="A474" t="s">
        <v>4586</v>
      </c>
      <c r="B474" t="s">
        <v>4271</v>
      </c>
      <c r="C474" t="s">
        <v>4272</v>
      </c>
      <c r="D474">
        <v>243000</v>
      </c>
      <c r="E474" s="1">
        <f t="shared" si="14"/>
        <v>1.15714285714286</v>
      </c>
      <c r="F474">
        <f t="shared" si="15"/>
        <v>290000</v>
      </c>
    </row>
    <row r="475" spans="1:6">
      <c r="A475" t="s">
        <v>4587</v>
      </c>
      <c r="B475" t="s">
        <v>4271</v>
      </c>
      <c r="C475" t="s">
        <v>4272</v>
      </c>
      <c r="D475">
        <v>101000</v>
      </c>
      <c r="E475" s="1">
        <f t="shared" si="14"/>
        <v>0.480952380952381</v>
      </c>
      <c r="F475">
        <f t="shared" si="15"/>
        <v>121000</v>
      </c>
    </row>
    <row r="476" spans="1:6">
      <c r="A476" t="s">
        <v>4588</v>
      </c>
      <c r="B476" t="s">
        <v>4271</v>
      </c>
      <c r="C476" t="s">
        <v>4272</v>
      </c>
      <c r="D476">
        <v>142000</v>
      </c>
      <c r="E476" s="1">
        <f t="shared" si="14"/>
        <v>0.676190476190476</v>
      </c>
      <c r="F476">
        <f t="shared" si="15"/>
        <v>170000</v>
      </c>
    </row>
    <row r="477" spans="1:6">
      <c r="A477" t="s">
        <v>4589</v>
      </c>
      <c r="B477" t="s">
        <v>4271</v>
      </c>
      <c r="C477" t="s">
        <v>4272</v>
      </c>
      <c r="D477">
        <v>202000</v>
      </c>
      <c r="E477" s="1">
        <f t="shared" si="14"/>
        <v>0.961904761904762</v>
      </c>
      <c r="F477">
        <f t="shared" si="15"/>
        <v>241000</v>
      </c>
    </row>
    <row r="478" spans="1:6">
      <c r="A478" t="s">
        <v>4590</v>
      </c>
      <c r="B478" t="s">
        <v>4271</v>
      </c>
      <c r="C478" t="s">
        <v>4272</v>
      </c>
      <c r="D478">
        <v>202000</v>
      </c>
      <c r="E478" s="1">
        <f t="shared" si="14"/>
        <v>0.961904761904762</v>
      </c>
      <c r="F478">
        <f t="shared" si="15"/>
        <v>241000</v>
      </c>
    </row>
    <row r="479" spans="1:6">
      <c r="A479" t="s">
        <v>4591</v>
      </c>
      <c r="B479" t="s">
        <v>4271</v>
      </c>
      <c r="C479" t="s">
        <v>4272</v>
      </c>
      <c r="D479">
        <v>283000</v>
      </c>
      <c r="E479" s="1">
        <f t="shared" si="14"/>
        <v>1.34761904761905</v>
      </c>
      <c r="F479">
        <f t="shared" si="15"/>
        <v>337000</v>
      </c>
    </row>
    <row r="480" spans="1:6">
      <c r="A480" t="s">
        <v>4592</v>
      </c>
      <c r="B480" t="s">
        <v>4271</v>
      </c>
      <c r="C480" t="s">
        <v>4272</v>
      </c>
      <c r="D480">
        <v>122000</v>
      </c>
      <c r="E480" s="1">
        <f t="shared" si="14"/>
        <v>0.580952380952381</v>
      </c>
      <c r="F480">
        <f t="shared" si="15"/>
        <v>146000</v>
      </c>
    </row>
    <row r="481" spans="1:6">
      <c r="A481" t="s">
        <v>4593</v>
      </c>
      <c r="B481" t="s">
        <v>4271</v>
      </c>
      <c r="C481" t="s">
        <v>4272</v>
      </c>
      <c r="D481">
        <v>142000</v>
      </c>
      <c r="E481" s="1">
        <f t="shared" si="14"/>
        <v>0.676190476190476</v>
      </c>
      <c r="F481">
        <f t="shared" si="15"/>
        <v>170000</v>
      </c>
    </row>
    <row r="482" spans="1:6">
      <c r="A482" t="s">
        <v>4594</v>
      </c>
      <c r="B482" t="s">
        <v>4271</v>
      </c>
      <c r="C482" t="s">
        <v>4272</v>
      </c>
      <c r="D482">
        <v>263000</v>
      </c>
      <c r="E482" s="1">
        <f t="shared" si="14"/>
        <v>1.25238095238095</v>
      </c>
      <c r="F482">
        <f t="shared" si="15"/>
        <v>314000</v>
      </c>
    </row>
    <row r="483" spans="1:6">
      <c r="A483" t="s">
        <v>4595</v>
      </c>
      <c r="B483" t="s">
        <v>4271</v>
      </c>
      <c r="C483" t="s">
        <v>4272</v>
      </c>
      <c r="D483">
        <v>162000</v>
      </c>
      <c r="E483" s="1">
        <f t="shared" si="14"/>
        <v>0.771428571428571</v>
      </c>
      <c r="F483">
        <f t="shared" si="15"/>
        <v>193000</v>
      </c>
    </row>
    <row r="484" spans="1:6">
      <c r="A484" t="s">
        <v>4596</v>
      </c>
      <c r="B484" t="s">
        <v>4271</v>
      </c>
      <c r="C484" t="s">
        <v>4272</v>
      </c>
      <c r="D484">
        <v>303000</v>
      </c>
      <c r="E484" s="1">
        <f t="shared" si="14"/>
        <v>1.44285714285714</v>
      </c>
      <c r="F484">
        <f t="shared" si="15"/>
        <v>361000</v>
      </c>
    </row>
    <row r="485" spans="1:6">
      <c r="A485" t="s">
        <v>4597</v>
      </c>
      <c r="B485" t="s">
        <v>4271</v>
      </c>
      <c r="C485" t="s">
        <v>4272</v>
      </c>
      <c r="D485">
        <v>202000</v>
      </c>
      <c r="E485" s="1">
        <f t="shared" si="14"/>
        <v>0.961904761904762</v>
      </c>
      <c r="F485">
        <f t="shared" si="15"/>
        <v>241000</v>
      </c>
    </row>
    <row r="486" spans="1:6">
      <c r="A486" t="s">
        <v>4598</v>
      </c>
      <c r="B486" t="s">
        <v>4271</v>
      </c>
      <c r="C486" t="s">
        <v>4272</v>
      </c>
      <c r="D486">
        <v>263000</v>
      </c>
      <c r="E486" s="1">
        <f t="shared" si="14"/>
        <v>1.25238095238095</v>
      </c>
      <c r="F486">
        <f t="shared" si="15"/>
        <v>314000</v>
      </c>
    </row>
    <row r="487" spans="1:6">
      <c r="A487" t="s">
        <v>4599</v>
      </c>
      <c r="B487" t="s">
        <v>4271</v>
      </c>
      <c r="C487" t="s">
        <v>4272</v>
      </c>
      <c r="D487">
        <v>101000</v>
      </c>
      <c r="E487" s="1">
        <f t="shared" si="14"/>
        <v>0.480952380952381</v>
      </c>
      <c r="F487">
        <f t="shared" si="15"/>
        <v>121000</v>
      </c>
    </row>
    <row r="488" spans="1:6">
      <c r="A488" t="s">
        <v>4600</v>
      </c>
      <c r="B488" t="s">
        <v>4271</v>
      </c>
      <c r="C488" t="s">
        <v>4272</v>
      </c>
      <c r="D488">
        <v>122000</v>
      </c>
      <c r="E488" s="1">
        <f t="shared" si="14"/>
        <v>0.580952380952381</v>
      </c>
      <c r="F488">
        <f t="shared" si="15"/>
        <v>146000</v>
      </c>
    </row>
    <row r="489" spans="1:6">
      <c r="A489" t="s">
        <v>4601</v>
      </c>
      <c r="B489" t="s">
        <v>4271</v>
      </c>
      <c r="C489" t="s">
        <v>4272</v>
      </c>
      <c r="D489">
        <v>122000</v>
      </c>
      <c r="E489" s="1">
        <f t="shared" si="14"/>
        <v>0.580952380952381</v>
      </c>
      <c r="F489">
        <f t="shared" si="15"/>
        <v>146000</v>
      </c>
    </row>
    <row r="490" spans="1:6">
      <c r="A490" t="s">
        <v>4602</v>
      </c>
      <c r="B490" t="s">
        <v>4271</v>
      </c>
      <c r="C490" t="s">
        <v>4272</v>
      </c>
      <c r="D490">
        <v>81000</v>
      </c>
      <c r="E490" s="1">
        <f t="shared" si="14"/>
        <v>0.385714285714286</v>
      </c>
      <c r="F490">
        <f t="shared" si="15"/>
        <v>97000</v>
      </c>
    </row>
    <row r="491" spans="1:6">
      <c r="A491" t="s">
        <v>4603</v>
      </c>
      <c r="B491" t="s">
        <v>4271</v>
      </c>
      <c r="C491" t="s">
        <v>4272</v>
      </c>
      <c r="D491">
        <v>202000</v>
      </c>
      <c r="E491" s="1">
        <f t="shared" si="14"/>
        <v>0.961904761904762</v>
      </c>
      <c r="F491">
        <f t="shared" si="15"/>
        <v>241000</v>
      </c>
    </row>
    <row r="492" spans="1:6">
      <c r="A492" t="s">
        <v>4604</v>
      </c>
      <c r="B492" t="s">
        <v>4271</v>
      </c>
      <c r="C492" t="s">
        <v>4272</v>
      </c>
      <c r="D492">
        <v>202000</v>
      </c>
      <c r="E492" s="1">
        <f t="shared" si="14"/>
        <v>0.961904761904762</v>
      </c>
      <c r="F492">
        <f t="shared" si="15"/>
        <v>241000</v>
      </c>
    </row>
    <row r="493" spans="1:6">
      <c r="A493" t="s">
        <v>4605</v>
      </c>
      <c r="B493" t="s">
        <v>4271</v>
      </c>
      <c r="C493" t="s">
        <v>4272</v>
      </c>
      <c r="D493">
        <v>202000</v>
      </c>
      <c r="E493" s="1">
        <f t="shared" si="14"/>
        <v>0.961904761904762</v>
      </c>
      <c r="F493">
        <f t="shared" si="15"/>
        <v>241000</v>
      </c>
    </row>
    <row r="494" spans="1:6">
      <c r="A494" t="s">
        <v>4606</v>
      </c>
      <c r="B494" t="s">
        <v>4271</v>
      </c>
      <c r="C494" t="s">
        <v>4272</v>
      </c>
      <c r="D494">
        <v>202000</v>
      </c>
      <c r="E494" s="1">
        <f t="shared" si="14"/>
        <v>0.961904761904762</v>
      </c>
      <c r="F494">
        <f t="shared" si="15"/>
        <v>241000</v>
      </c>
    </row>
    <row r="495" spans="1:6">
      <c r="A495" t="s">
        <v>4607</v>
      </c>
      <c r="B495" t="s">
        <v>4271</v>
      </c>
      <c r="C495" t="s">
        <v>4272</v>
      </c>
      <c r="D495">
        <v>202000</v>
      </c>
      <c r="E495" s="1">
        <f t="shared" si="14"/>
        <v>0.961904761904762</v>
      </c>
      <c r="F495">
        <f t="shared" si="15"/>
        <v>241000</v>
      </c>
    </row>
    <row r="496" spans="1:6">
      <c r="A496" t="s">
        <v>4608</v>
      </c>
      <c r="B496" t="s">
        <v>4271</v>
      </c>
      <c r="C496" t="s">
        <v>4272</v>
      </c>
      <c r="D496">
        <v>364000</v>
      </c>
      <c r="E496" s="1">
        <f t="shared" si="14"/>
        <v>1.73333333333333</v>
      </c>
      <c r="F496">
        <f t="shared" si="15"/>
        <v>434000</v>
      </c>
    </row>
    <row r="497" spans="1:6">
      <c r="A497" t="s">
        <v>4609</v>
      </c>
      <c r="B497" t="s">
        <v>4271</v>
      </c>
      <c r="C497" t="s">
        <v>4272</v>
      </c>
      <c r="D497">
        <v>243000</v>
      </c>
      <c r="E497" s="1">
        <f t="shared" si="14"/>
        <v>1.15714285714286</v>
      </c>
      <c r="F497">
        <f t="shared" si="15"/>
        <v>290000</v>
      </c>
    </row>
    <row r="498" spans="1:6">
      <c r="A498" t="s">
        <v>4610</v>
      </c>
      <c r="B498" t="s">
        <v>4271</v>
      </c>
      <c r="C498" t="s">
        <v>4272</v>
      </c>
      <c r="D498">
        <v>666000</v>
      </c>
      <c r="E498" s="1">
        <f t="shared" si="14"/>
        <v>3.17142857142857</v>
      </c>
      <c r="F498">
        <f t="shared" si="15"/>
        <v>793000</v>
      </c>
    </row>
    <row r="499" spans="1:6">
      <c r="A499" t="s">
        <v>4611</v>
      </c>
      <c r="B499" t="s">
        <v>4271</v>
      </c>
      <c r="C499" t="s">
        <v>4272</v>
      </c>
      <c r="D499">
        <v>283000</v>
      </c>
      <c r="E499" s="1">
        <f t="shared" si="14"/>
        <v>1.34761904761905</v>
      </c>
      <c r="F499">
        <f t="shared" si="15"/>
        <v>337000</v>
      </c>
    </row>
    <row r="500" spans="1:6">
      <c r="A500" t="s">
        <v>4612</v>
      </c>
      <c r="B500" t="s">
        <v>4271</v>
      </c>
      <c r="C500" t="s">
        <v>4272</v>
      </c>
      <c r="D500">
        <v>263000</v>
      </c>
      <c r="E500" s="1">
        <f t="shared" si="14"/>
        <v>1.25238095238095</v>
      </c>
      <c r="F500">
        <f t="shared" si="15"/>
        <v>314000</v>
      </c>
    </row>
    <row r="501" spans="1:6">
      <c r="A501" t="s">
        <v>4613</v>
      </c>
      <c r="B501" t="s">
        <v>4271</v>
      </c>
      <c r="C501" t="s">
        <v>4272</v>
      </c>
      <c r="D501">
        <v>101000</v>
      </c>
      <c r="E501" s="1">
        <f t="shared" si="14"/>
        <v>0.480952380952381</v>
      </c>
      <c r="F501">
        <f t="shared" si="15"/>
        <v>121000</v>
      </c>
    </row>
    <row r="502" spans="1:6">
      <c r="A502" t="s">
        <v>4614</v>
      </c>
      <c r="B502" t="s">
        <v>4271</v>
      </c>
      <c r="C502" t="s">
        <v>4272</v>
      </c>
      <c r="D502">
        <v>182000</v>
      </c>
      <c r="E502" s="1">
        <f t="shared" si="14"/>
        <v>0.866666666666667</v>
      </c>
      <c r="F502">
        <f t="shared" si="15"/>
        <v>217000</v>
      </c>
    </row>
    <row r="503" spans="1:6">
      <c r="A503" t="s">
        <v>4615</v>
      </c>
      <c r="B503" t="s">
        <v>4271</v>
      </c>
      <c r="C503" t="s">
        <v>4272</v>
      </c>
      <c r="D503">
        <v>61000</v>
      </c>
      <c r="E503" s="1">
        <f t="shared" si="14"/>
        <v>0.29047619047619</v>
      </c>
      <c r="F503">
        <f t="shared" si="15"/>
        <v>73000</v>
      </c>
    </row>
    <row r="504" spans="1:6">
      <c r="A504" t="s">
        <v>4616</v>
      </c>
      <c r="B504" t="s">
        <v>4271</v>
      </c>
      <c r="C504" t="s">
        <v>4272</v>
      </c>
      <c r="D504">
        <v>243000</v>
      </c>
      <c r="E504" s="1">
        <f t="shared" si="14"/>
        <v>1.15714285714286</v>
      </c>
      <c r="F504">
        <f t="shared" si="15"/>
        <v>290000</v>
      </c>
    </row>
    <row r="505" spans="1:6">
      <c r="A505" t="s">
        <v>4617</v>
      </c>
      <c r="B505" t="s">
        <v>4271</v>
      </c>
      <c r="C505" t="s">
        <v>4272</v>
      </c>
      <c r="D505">
        <v>303000</v>
      </c>
      <c r="E505" s="1">
        <f t="shared" si="14"/>
        <v>1.44285714285714</v>
      </c>
      <c r="F505">
        <f t="shared" si="15"/>
        <v>361000</v>
      </c>
    </row>
    <row r="506" spans="1:6">
      <c r="A506" t="s">
        <v>4618</v>
      </c>
      <c r="B506" t="s">
        <v>4271</v>
      </c>
      <c r="C506" t="s">
        <v>4272</v>
      </c>
      <c r="D506">
        <v>263000</v>
      </c>
      <c r="E506" s="1">
        <f t="shared" si="14"/>
        <v>1.25238095238095</v>
      </c>
      <c r="F506">
        <f t="shared" si="15"/>
        <v>314000</v>
      </c>
    </row>
    <row r="507" spans="1:6">
      <c r="A507" t="s">
        <v>4619</v>
      </c>
      <c r="B507" t="s">
        <v>4271</v>
      </c>
      <c r="C507" t="s">
        <v>4272</v>
      </c>
      <c r="D507">
        <v>202000</v>
      </c>
      <c r="E507" s="1">
        <f t="shared" si="14"/>
        <v>0.961904761904762</v>
      </c>
      <c r="F507">
        <f t="shared" si="15"/>
        <v>241000</v>
      </c>
    </row>
    <row r="508" spans="1:6">
      <c r="A508" t="s">
        <v>4620</v>
      </c>
      <c r="B508" t="s">
        <v>4271</v>
      </c>
      <c r="C508" t="s">
        <v>4272</v>
      </c>
      <c r="D508">
        <v>202000</v>
      </c>
      <c r="E508" s="1">
        <f t="shared" si="14"/>
        <v>0.961904761904762</v>
      </c>
      <c r="F508">
        <f t="shared" si="15"/>
        <v>241000</v>
      </c>
    </row>
    <row r="509" spans="1:6">
      <c r="A509" t="s">
        <v>4621</v>
      </c>
      <c r="B509" t="s">
        <v>4271</v>
      </c>
      <c r="C509" t="s">
        <v>4272</v>
      </c>
      <c r="D509">
        <v>202000</v>
      </c>
      <c r="E509" s="1">
        <f t="shared" si="14"/>
        <v>0.961904761904762</v>
      </c>
      <c r="F509">
        <f t="shared" si="15"/>
        <v>241000</v>
      </c>
    </row>
    <row r="510" spans="1:6">
      <c r="A510" t="s">
        <v>4622</v>
      </c>
      <c r="B510" t="s">
        <v>4271</v>
      </c>
      <c r="C510" t="s">
        <v>4272</v>
      </c>
      <c r="D510">
        <v>202000</v>
      </c>
      <c r="E510" s="1">
        <f t="shared" si="14"/>
        <v>0.961904761904762</v>
      </c>
      <c r="F510">
        <f t="shared" si="15"/>
        <v>241000</v>
      </c>
    </row>
    <row r="511" spans="1:6">
      <c r="A511" t="s">
        <v>4623</v>
      </c>
      <c r="B511" t="s">
        <v>4271</v>
      </c>
      <c r="C511" t="s">
        <v>4272</v>
      </c>
      <c r="D511">
        <v>101000</v>
      </c>
      <c r="E511" s="1">
        <f t="shared" si="14"/>
        <v>0.480952380952381</v>
      </c>
      <c r="F511">
        <f t="shared" si="15"/>
        <v>121000</v>
      </c>
    </row>
    <row r="512" spans="1:6">
      <c r="A512" t="s">
        <v>4624</v>
      </c>
      <c r="B512" t="s">
        <v>4271</v>
      </c>
      <c r="C512" t="s">
        <v>4272</v>
      </c>
      <c r="D512">
        <v>101000</v>
      </c>
      <c r="E512" s="1">
        <f t="shared" si="14"/>
        <v>0.480952380952381</v>
      </c>
      <c r="F512">
        <f t="shared" si="15"/>
        <v>121000</v>
      </c>
    </row>
    <row r="513" spans="1:6">
      <c r="A513" t="s">
        <v>4625</v>
      </c>
      <c r="B513" t="s">
        <v>4271</v>
      </c>
      <c r="C513" t="s">
        <v>4272</v>
      </c>
      <c r="D513">
        <v>101000</v>
      </c>
      <c r="E513" s="1">
        <f t="shared" si="14"/>
        <v>0.480952380952381</v>
      </c>
      <c r="F513">
        <f t="shared" si="15"/>
        <v>121000</v>
      </c>
    </row>
    <row r="514" spans="1:6">
      <c r="A514" t="s">
        <v>4626</v>
      </c>
      <c r="B514" t="s">
        <v>4271</v>
      </c>
      <c r="C514" t="s">
        <v>4272</v>
      </c>
      <c r="D514">
        <v>101000</v>
      </c>
      <c r="E514" s="1">
        <f t="shared" ref="E514:E577" si="16">D514/210000</f>
        <v>0.480952380952381</v>
      </c>
      <c r="F514">
        <f t="shared" si="15"/>
        <v>121000</v>
      </c>
    </row>
    <row r="515" spans="1:6">
      <c r="A515" t="s">
        <v>4627</v>
      </c>
      <c r="B515" t="s">
        <v>4271</v>
      </c>
      <c r="C515" t="s">
        <v>4272</v>
      </c>
      <c r="D515">
        <v>101000</v>
      </c>
      <c r="E515" s="1">
        <f t="shared" si="16"/>
        <v>0.480952380952381</v>
      </c>
      <c r="F515">
        <f t="shared" ref="F515:F578" si="17">CEILING(E515*250000,1000)</f>
        <v>121000</v>
      </c>
    </row>
    <row r="516" spans="1:6">
      <c r="A516" t="s">
        <v>4628</v>
      </c>
      <c r="B516" t="s">
        <v>4271</v>
      </c>
      <c r="C516" t="s">
        <v>4272</v>
      </c>
      <c r="D516">
        <v>101000</v>
      </c>
      <c r="E516" s="1">
        <f t="shared" si="16"/>
        <v>0.480952380952381</v>
      </c>
      <c r="F516">
        <f t="shared" si="17"/>
        <v>121000</v>
      </c>
    </row>
    <row r="517" spans="1:6">
      <c r="A517" t="s">
        <v>4629</v>
      </c>
      <c r="B517" t="s">
        <v>4271</v>
      </c>
      <c r="C517" t="s">
        <v>4272</v>
      </c>
      <c r="D517">
        <v>202000</v>
      </c>
      <c r="E517" s="1">
        <f t="shared" si="16"/>
        <v>0.961904761904762</v>
      </c>
      <c r="F517">
        <f t="shared" si="17"/>
        <v>241000</v>
      </c>
    </row>
    <row r="518" spans="1:6">
      <c r="A518" t="s">
        <v>4630</v>
      </c>
      <c r="B518" t="s">
        <v>4271</v>
      </c>
      <c r="C518" t="s">
        <v>4272</v>
      </c>
      <c r="D518">
        <v>202000</v>
      </c>
      <c r="E518" s="1">
        <f t="shared" si="16"/>
        <v>0.961904761904762</v>
      </c>
      <c r="F518">
        <f t="shared" si="17"/>
        <v>241000</v>
      </c>
    </row>
    <row r="519" spans="1:6">
      <c r="A519" t="s">
        <v>4631</v>
      </c>
      <c r="B519" t="s">
        <v>4271</v>
      </c>
      <c r="C519" t="s">
        <v>4272</v>
      </c>
      <c r="D519">
        <v>202000</v>
      </c>
      <c r="E519" s="1">
        <f t="shared" si="16"/>
        <v>0.961904761904762</v>
      </c>
      <c r="F519">
        <f t="shared" si="17"/>
        <v>241000</v>
      </c>
    </row>
    <row r="520" spans="1:6">
      <c r="A520" t="s">
        <v>4632</v>
      </c>
      <c r="B520" t="s">
        <v>4271</v>
      </c>
      <c r="C520" t="s">
        <v>4272</v>
      </c>
      <c r="D520">
        <v>202000</v>
      </c>
      <c r="E520" s="1">
        <f t="shared" si="16"/>
        <v>0.961904761904762</v>
      </c>
      <c r="F520">
        <f t="shared" si="17"/>
        <v>241000</v>
      </c>
    </row>
    <row r="521" spans="1:6">
      <c r="A521" t="s">
        <v>4633</v>
      </c>
      <c r="B521" t="s">
        <v>4271</v>
      </c>
      <c r="C521" t="s">
        <v>4272</v>
      </c>
      <c r="D521">
        <v>122000</v>
      </c>
      <c r="E521" s="1">
        <f t="shared" si="16"/>
        <v>0.580952380952381</v>
      </c>
      <c r="F521">
        <f t="shared" si="17"/>
        <v>146000</v>
      </c>
    </row>
    <row r="522" spans="1:6">
      <c r="A522" t="s">
        <v>4634</v>
      </c>
      <c r="B522" t="s">
        <v>4271</v>
      </c>
      <c r="C522" t="s">
        <v>4272</v>
      </c>
      <c r="D522">
        <v>122000</v>
      </c>
      <c r="E522" s="1">
        <f t="shared" si="16"/>
        <v>0.580952380952381</v>
      </c>
      <c r="F522">
        <f t="shared" si="17"/>
        <v>146000</v>
      </c>
    </row>
    <row r="523" spans="1:6">
      <c r="A523" t="s">
        <v>4635</v>
      </c>
      <c r="B523" t="s">
        <v>4271</v>
      </c>
      <c r="C523" t="s">
        <v>4272</v>
      </c>
      <c r="D523">
        <v>122000</v>
      </c>
      <c r="E523" s="1">
        <f t="shared" si="16"/>
        <v>0.580952380952381</v>
      </c>
      <c r="F523">
        <f t="shared" si="17"/>
        <v>146000</v>
      </c>
    </row>
    <row r="524" spans="1:6">
      <c r="A524" t="s">
        <v>4636</v>
      </c>
      <c r="B524" t="s">
        <v>4271</v>
      </c>
      <c r="C524" t="s">
        <v>4272</v>
      </c>
      <c r="D524">
        <v>122000</v>
      </c>
      <c r="E524" s="1">
        <f t="shared" si="16"/>
        <v>0.580952380952381</v>
      </c>
      <c r="F524">
        <f t="shared" si="17"/>
        <v>146000</v>
      </c>
    </row>
    <row r="525" spans="1:6">
      <c r="A525" t="s">
        <v>4637</v>
      </c>
      <c r="B525" t="s">
        <v>4271</v>
      </c>
      <c r="C525" t="s">
        <v>4272</v>
      </c>
      <c r="D525">
        <v>122000</v>
      </c>
      <c r="E525" s="1">
        <f t="shared" si="16"/>
        <v>0.580952380952381</v>
      </c>
      <c r="F525">
        <f t="shared" si="17"/>
        <v>146000</v>
      </c>
    </row>
    <row r="526" spans="1:6">
      <c r="A526" t="s">
        <v>4638</v>
      </c>
      <c r="B526" t="s">
        <v>4271</v>
      </c>
      <c r="C526" t="s">
        <v>4272</v>
      </c>
      <c r="D526">
        <v>122000</v>
      </c>
      <c r="E526" s="1">
        <f t="shared" si="16"/>
        <v>0.580952380952381</v>
      </c>
      <c r="F526">
        <f t="shared" si="17"/>
        <v>146000</v>
      </c>
    </row>
    <row r="527" spans="1:6">
      <c r="A527" t="s">
        <v>4639</v>
      </c>
      <c r="B527" t="s">
        <v>4271</v>
      </c>
      <c r="C527" t="s">
        <v>4272</v>
      </c>
      <c r="D527">
        <v>61000</v>
      </c>
      <c r="E527" s="1">
        <f t="shared" si="16"/>
        <v>0.29047619047619</v>
      </c>
      <c r="F527">
        <f t="shared" si="17"/>
        <v>73000</v>
      </c>
    </row>
    <row r="528" spans="1:6">
      <c r="A528" t="s">
        <v>4640</v>
      </c>
      <c r="B528" t="s">
        <v>4271</v>
      </c>
      <c r="C528" t="s">
        <v>4272</v>
      </c>
      <c r="D528">
        <v>41000</v>
      </c>
      <c r="E528" s="1">
        <f t="shared" si="16"/>
        <v>0.195238095238095</v>
      </c>
      <c r="F528">
        <f t="shared" si="17"/>
        <v>49000</v>
      </c>
    </row>
    <row r="529" spans="1:6">
      <c r="A529" t="s">
        <v>4641</v>
      </c>
      <c r="B529" t="s">
        <v>4271</v>
      </c>
      <c r="C529" t="s">
        <v>4272</v>
      </c>
      <c r="D529">
        <v>41000</v>
      </c>
      <c r="E529" s="1">
        <f t="shared" si="16"/>
        <v>0.195238095238095</v>
      </c>
      <c r="F529">
        <f t="shared" si="17"/>
        <v>49000</v>
      </c>
    </row>
    <row r="530" spans="1:6">
      <c r="A530" t="s">
        <v>4642</v>
      </c>
      <c r="B530" t="s">
        <v>4271</v>
      </c>
      <c r="C530" t="s">
        <v>4272</v>
      </c>
      <c r="D530">
        <v>41000</v>
      </c>
      <c r="E530" s="1">
        <f t="shared" si="16"/>
        <v>0.195238095238095</v>
      </c>
      <c r="F530">
        <f t="shared" si="17"/>
        <v>49000</v>
      </c>
    </row>
    <row r="531" spans="1:6">
      <c r="A531" t="s">
        <v>4643</v>
      </c>
      <c r="B531" t="s">
        <v>4271</v>
      </c>
      <c r="C531" t="s">
        <v>4272</v>
      </c>
      <c r="D531">
        <v>41000</v>
      </c>
      <c r="E531" s="1">
        <f t="shared" si="16"/>
        <v>0.195238095238095</v>
      </c>
      <c r="F531">
        <f t="shared" si="17"/>
        <v>49000</v>
      </c>
    </row>
    <row r="532" spans="1:6">
      <c r="A532" t="s">
        <v>4644</v>
      </c>
      <c r="B532" t="s">
        <v>4271</v>
      </c>
      <c r="C532" t="s">
        <v>4272</v>
      </c>
      <c r="D532">
        <v>41000</v>
      </c>
      <c r="E532" s="1">
        <f t="shared" si="16"/>
        <v>0.195238095238095</v>
      </c>
      <c r="F532">
        <f t="shared" si="17"/>
        <v>49000</v>
      </c>
    </row>
    <row r="533" spans="1:6">
      <c r="A533" t="s">
        <v>4645</v>
      </c>
      <c r="B533" t="s">
        <v>4271</v>
      </c>
      <c r="C533" t="s">
        <v>4272</v>
      </c>
      <c r="D533">
        <v>21000</v>
      </c>
      <c r="E533" s="1">
        <f t="shared" si="16"/>
        <v>0.1</v>
      </c>
      <c r="F533">
        <f t="shared" si="17"/>
        <v>25000</v>
      </c>
    </row>
    <row r="534" spans="1:6">
      <c r="A534" t="s">
        <v>4646</v>
      </c>
      <c r="B534" t="s">
        <v>4271</v>
      </c>
      <c r="C534" t="s">
        <v>4272</v>
      </c>
      <c r="D534">
        <v>41000</v>
      </c>
      <c r="E534" s="1">
        <f t="shared" si="16"/>
        <v>0.195238095238095</v>
      </c>
      <c r="F534">
        <f t="shared" si="17"/>
        <v>49000</v>
      </c>
    </row>
    <row r="535" spans="1:6">
      <c r="A535" t="s">
        <v>4647</v>
      </c>
      <c r="B535" t="s">
        <v>4271</v>
      </c>
      <c r="C535" t="s">
        <v>4272</v>
      </c>
      <c r="D535">
        <v>182000</v>
      </c>
      <c r="E535" s="1">
        <f t="shared" si="16"/>
        <v>0.866666666666667</v>
      </c>
      <c r="F535">
        <f t="shared" si="17"/>
        <v>217000</v>
      </c>
    </row>
    <row r="536" spans="1:6">
      <c r="A536" t="s">
        <v>4648</v>
      </c>
      <c r="B536" t="s">
        <v>4271</v>
      </c>
      <c r="C536" t="s">
        <v>4272</v>
      </c>
      <c r="D536">
        <v>101000</v>
      </c>
      <c r="E536" s="1">
        <f t="shared" si="16"/>
        <v>0.480952380952381</v>
      </c>
      <c r="F536">
        <f t="shared" si="17"/>
        <v>121000</v>
      </c>
    </row>
    <row r="537" spans="1:6">
      <c r="A537" t="s">
        <v>4649</v>
      </c>
      <c r="B537" t="s">
        <v>4271</v>
      </c>
      <c r="C537" t="s">
        <v>4272</v>
      </c>
      <c r="D537">
        <v>61000</v>
      </c>
      <c r="E537" s="1">
        <f t="shared" si="16"/>
        <v>0.29047619047619</v>
      </c>
      <c r="F537">
        <f t="shared" si="17"/>
        <v>73000</v>
      </c>
    </row>
    <row r="538" spans="1:6">
      <c r="A538" t="s">
        <v>4650</v>
      </c>
      <c r="B538" t="s">
        <v>4271</v>
      </c>
      <c r="C538" t="s">
        <v>4272</v>
      </c>
      <c r="D538">
        <v>202000</v>
      </c>
      <c r="E538" s="1">
        <f t="shared" si="16"/>
        <v>0.961904761904762</v>
      </c>
      <c r="F538">
        <f t="shared" si="17"/>
        <v>241000</v>
      </c>
    </row>
    <row r="539" spans="1:6">
      <c r="A539" t="s">
        <v>4651</v>
      </c>
      <c r="B539" t="s">
        <v>4271</v>
      </c>
      <c r="C539" t="s">
        <v>4272</v>
      </c>
      <c r="D539">
        <v>142000</v>
      </c>
      <c r="E539" s="1">
        <f t="shared" si="16"/>
        <v>0.676190476190476</v>
      </c>
      <c r="F539">
        <f t="shared" si="17"/>
        <v>170000</v>
      </c>
    </row>
    <row r="540" spans="1:6">
      <c r="A540" t="s">
        <v>4652</v>
      </c>
      <c r="B540" t="s">
        <v>4271</v>
      </c>
      <c r="C540" t="s">
        <v>4272</v>
      </c>
      <c r="D540">
        <v>81000</v>
      </c>
      <c r="E540" s="1">
        <f t="shared" si="16"/>
        <v>0.385714285714286</v>
      </c>
      <c r="F540">
        <f t="shared" si="17"/>
        <v>97000</v>
      </c>
    </row>
    <row r="541" spans="1:6">
      <c r="A541" t="s">
        <v>4653</v>
      </c>
      <c r="B541" t="s">
        <v>4271</v>
      </c>
      <c r="C541" t="s">
        <v>4272</v>
      </c>
      <c r="D541">
        <v>404000</v>
      </c>
      <c r="E541" s="1">
        <f t="shared" si="16"/>
        <v>1.92380952380952</v>
      </c>
      <c r="F541">
        <f t="shared" si="17"/>
        <v>481000</v>
      </c>
    </row>
    <row r="542" spans="1:6">
      <c r="A542" t="s">
        <v>4654</v>
      </c>
      <c r="B542" t="s">
        <v>4271</v>
      </c>
      <c r="C542" t="s">
        <v>4272</v>
      </c>
      <c r="D542">
        <v>404000</v>
      </c>
      <c r="E542" s="1">
        <f t="shared" si="16"/>
        <v>1.92380952380952</v>
      </c>
      <c r="F542">
        <f t="shared" si="17"/>
        <v>481000</v>
      </c>
    </row>
    <row r="543" spans="1:6">
      <c r="A543" t="s">
        <v>4655</v>
      </c>
      <c r="B543" t="s">
        <v>4271</v>
      </c>
      <c r="C543" t="s">
        <v>4272</v>
      </c>
      <c r="D543">
        <v>162000</v>
      </c>
      <c r="E543" s="1">
        <f t="shared" si="16"/>
        <v>0.771428571428571</v>
      </c>
      <c r="F543">
        <f t="shared" si="17"/>
        <v>193000</v>
      </c>
    </row>
    <row r="544" spans="1:6">
      <c r="A544" t="s">
        <v>4656</v>
      </c>
      <c r="B544" t="s">
        <v>4271</v>
      </c>
      <c r="C544" t="s">
        <v>4272</v>
      </c>
      <c r="D544">
        <v>202000</v>
      </c>
      <c r="E544" s="1">
        <f t="shared" si="16"/>
        <v>0.961904761904762</v>
      </c>
      <c r="F544">
        <f t="shared" si="17"/>
        <v>241000</v>
      </c>
    </row>
    <row r="545" spans="1:6">
      <c r="A545" t="s">
        <v>4657</v>
      </c>
      <c r="B545" t="s">
        <v>4271</v>
      </c>
      <c r="C545" t="s">
        <v>4272</v>
      </c>
      <c r="D545">
        <v>162000</v>
      </c>
      <c r="E545" s="1">
        <f t="shared" si="16"/>
        <v>0.771428571428571</v>
      </c>
      <c r="F545">
        <f t="shared" si="17"/>
        <v>193000</v>
      </c>
    </row>
    <row r="546" spans="1:6">
      <c r="A546" t="s">
        <v>4658</v>
      </c>
      <c r="B546" t="s">
        <v>4271</v>
      </c>
      <c r="C546" t="s">
        <v>4272</v>
      </c>
      <c r="D546">
        <v>162000</v>
      </c>
      <c r="E546" s="1">
        <f t="shared" si="16"/>
        <v>0.771428571428571</v>
      </c>
      <c r="F546">
        <f t="shared" si="17"/>
        <v>193000</v>
      </c>
    </row>
    <row r="547" spans="1:6">
      <c r="A547" t="s">
        <v>4659</v>
      </c>
      <c r="B547" t="s">
        <v>4271</v>
      </c>
      <c r="C547" t="s">
        <v>4272</v>
      </c>
      <c r="D547">
        <v>202000</v>
      </c>
      <c r="E547" s="1">
        <f t="shared" si="16"/>
        <v>0.961904761904762</v>
      </c>
      <c r="F547">
        <f t="shared" si="17"/>
        <v>241000</v>
      </c>
    </row>
    <row r="548" spans="1:6">
      <c r="A548" t="s">
        <v>4660</v>
      </c>
      <c r="B548" t="s">
        <v>4271</v>
      </c>
      <c r="C548" t="s">
        <v>4272</v>
      </c>
      <c r="D548">
        <v>162000</v>
      </c>
      <c r="E548" s="1">
        <f t="shared" si="16"/>
        <v>0.771428571428571</v>
      </c>
      <c r="F548">
        <f t="shared" si="17"/>
        <v>193000</v>
      </c>
    </row>
    <row r="549" spans="1:6">
      <c r="A549" t="s">
        <v>4661</v>
      </c>
      <c r="B549" t="s">
        <v>4271</v>
      </c>
      <c r="C549" t="s">
        <v>4272</v>
      </c>
      <c r="D549">
        <v>384000</v>
      </c>
      <c r="E549" s="1">
        <f t="shared" si="16"/>
        <v>1.82857142857143</v>
      </c>
      <c r="F549">
        <f t="shared" si="17"/>
        <v>458000</v>
      </c>
    </row>
    <row r="550" spans="1:6">
      <c r="A550" t="s">
        <v>4662</v>
      </c>
      <c r="B550" t="s">
        <v>4271</v>
      </c>
      <c r="C550" t="s">
        <v>4272</v>
      </c>
      <c r="D550">
        <v>384000</v>
      </c>
      <c r="E550" s="1">
        <f t="shared" si="16"/>
        <v>1.82857142857143</v>
      </c>
      <c r="F550">
        <f t="shared" si="17"/>
        <v>458000</v>
      </c>
    </row>
    <row r="551" spans="1:6">
      <c r="A551" t="s">
        <v>4663</v>
      </c>
      <c r="B551" t="s">
        <v>4271</v>
      </c>
      <c r="C551" t="s">
        <v>4272</v>
      </c>
      <c r="D551">
        <v>384000</v>
      </c>
      <c r="E551" s="1">
        <f t="shared" si="16"/>
        <v>1.82857142857143</v>
      </c>
      <c r="F551">
        <f t="shared" si="17"/>
        <v>458000</v>
      </c>
    </row>
    <row r="552" spans="1:6">
      <c r="A552" t="s">
        <v>4664</v>
      </c>
      <c r="B552" t="s">
        <v>4271</v>
      </c>
      <c r="C552" t="s">
        <v>4272</v>
      </c>
      <c r="D552">
        <v>384000</v>
      </c>
      <c r="E552" s="1">
        <f t="shared" si="16"/>
        <v>1.82857142857143</v>
      </c>
      <c r="F552">
        <f t="shared" si="17"/>
        <v>458000</v>
      </c>
    </row>
    <row r="553" spans="1:6">
      <c r="A553" t="s">
        <v>4665</v>
      </c>
      <c r="B553" t="s">
        <v>4271</v>
      </c>
      <c r="C553" t="s">
        <v>4272</v>
      </c>
      <c r="D553">
        <v>263000</v>
      </c>
      <c r="E553" s="1">
        <f t="shared" si="16"/>
        <v>1.25238095238095</v>
      </c>
      <c r="F553">
        <f t="shared" si="17"/>
        <v>314000</v>
      </c>
    </row>
    <row r="554" spans="1:6">
      <c r="A554" t="s">
        <v>4666</v>
      </c>
      <c r="B554" t="s">
        <v>4271</v>
      </c>
      <c r="C554" t="s">
        <v>4272</v>
      </c>
      <c r="D554">
        <v>283000</v>
      </c>
      <c r="E554" s="1">
        <f t="shared" si="16"/>
        <v>1.34761904761905</v>
      </c>
      <c r="F554">
        <f t="shared" si="17"/>
        <v>337000</v>
      </c>
    </row>
    <row r="555" spans="1:6">
      <c r="A555" t="s">
        <v>4667</v>
      </c>
      <c r="B555" t="s">
        <v>4271</v>
      </c>
      <c r="C555" t="s">
        <v>4272</v>
      </c>
      <c r="D555">
        <v>505000</v>
      </c>
      <c r="E555" s="1">
        <f t="shared" si="16"/>
        <v>2.4047619047619</v>
      </c>
      <c r="F555">
        <f t="shared" si="17"/>
        <v>602000</v>
      </c>
    </row>
    <row r="556" spans="1:6">
      <c r="A556" t="s">
        <v>4668</v>
      </c>
      <c r="B556" t="s">
        <v>4271</v>
      </c>
      <c r="C556" t="s">
        <v>4272</v>
      </c>
      <c r="D556">
        <v>767000</v>
      </c>
      <c r="E556" s="1">
        <f t="shared" si="16"/>
        <v>3.65238095238095</v>
      </c>
      <c r="F556">
        <f t="shared" si="17"/>
        <v>914000</v>
      </c>
    </row>
    <row r="557" spans="1:6">
      <c r="A557" t="s">
        <v>4669</v>
      </c>
      <c r="B557" t="s">
        <v>4271</v>
      </c>
      <c r="C557" t="s">
        <v>4272</v>
      </c>
      <c r="D557">
        <v>687000</v>
      </c>
      <c r="E557" s="1">
        <f t="shared" si="16"/>
        <v>3.27142857142857</v>
      </c>
      <c r="F557">
        <f t="shared" si="17"/>
        <v>818000</v>
      </c>
    </row>
    <row r="558" spans="1:6">
      <c r="A558" t="s">
        <v>4670</v>
      </c>
      <c r="B558" t="s">
        <v>4271</v>
      </c>
      <c r="C558" t="s">
        <v>4272</v>
      </c>
      <c r="D558">
        <v>505000</v>
      </c>
      <c r="E558" s="1">
        <f t="shared" si="16"/>
        <v>2.4047619047619</v>
      </c>
      <c r="F558">
        <f t="shared" si="17"/>
        <v>602000</v>
      </c>
    </row>
    <row r="559" spans="1:6">
      <c r="A559" t="s">
        <v>4671</v>
      </c>
      <c r="B559" t="s">
        <v>4271</v>
      </c>
      <c r="C559" t="s">
        <v>4272</v>
      </c>
      <c r="D559">
        <v>606000</v>
      </c>
      <c r="E559" s="1">
        <f t="shared" si="16"/>
        <v>2.88571428571429</v>
      </c>
      <c r="F559">
        <f t="shared" si="17"/>
        <v>722000</v>
      </c>
    </row>
    <row r="560" spans="1:6">
      <c r="A560" t="s">
        <v>4672</v>
      </c>
      <c r="B560" t="s">
        <v>4271</v>
      </c>
      <c r="C560" t="s">
        <v>4272</v>
      </c>
      <c r="D560">
        <v>344000</v>
      </c>
      <c r="E560" s="1">
        <f t="shared" si="16"/>
        <v>1.63809523809524</v>
      </c>
      <c r="F560">
        <f t="shared" si="17"/>
        <v>410000</v>
      </c>
    </row>
    <row r="561" spans="1:6">
      <c r="A561" t="s">
        <v>4673</v>
      </c>
      <c r="B561" t="s">
        <v>4271</v>
      </c>
      <c r="C561" t="s">
        <v>4272</v>
      </c>
      <c r="D561">
        <v>182000</v>
      </c>
      <c r="E561" s="1">
        <f t="shared" si="16"/>
        <v>0.866666666666667</v>
      </c>
      <c r="F561">
        <f t="shared" si="17"/>
        <v>217000</v>
      </c>
    </row>
    <row r="562" spans="1:6">
      <c r="A562" t="s">
        <v>4674</v>
      </c>
      <c r="B562" t="s">
        <v>4271</v>
      </c>
      <c r="C562" t="s">
        <v>4272</v>
      </c>
      <c r="D562">
        <v>182000</v>
      </c>
      <c r="E562" s="1">
        <f t="shared" si="16"/>
        <v>0.866666666666667</v>
      </c>
      <c r="F562">
        <f t="shared" si="17"/>
        <v>217000</v>
      </c>
    </row>
    <row r="563" spans="1:6">
      <c r="A563" t="s">
        <v>4675</v>
      </c>
      <c r="B563" t="s">
        <v>4271</v>
      </c>
      <c r="C563" t="s">
        <v>4272</v>
      </c>
      <c r="D563">
        <v>101000</v>
      </c>
      <c r="E563" s="1">
        <f t="shared" si="16"/>
        <v>0.480952380952381</v>
      </c>
      <c r="F563">
        <f t="shared" si="17"/>
        <v>121000</v>
      </c>
    </row>
    <row r="564" spans="1:6">
      <c r="A564" t="s">
        <v>4676</v>
      </c>
      <c r="B564" t="s">
        <v>4271</v>
      </c>
      <c r="C564" t="s">
        <v>4272</v>
      </c>
      <c r="D564">
        <v>142000</v>
      </c>
      <c r="E564" s="1">
        <f t="shared" si="16"/>
        <v>0.676190476190476</v>
      </c>
      <c r="F564">
        <f t="shared" si="17"/>
        <v>170000</v>
      </c>
    </row>
    <row r="565" spans="1:6">
      <c r="A565" t="s">
        <v>4677</v>
      </c>
      <c r="B565" t="s">
        <v>4271</v>
      </c>
      <c r="C565" t="s">
        <v>4272</v>
      </c>
      <c r="D565">
        <v>162000</v>
      </c>
      <c r="E565" s="1">
        <f t="shared" si="16"/>
        <v>0.771428571428571</v>
      </c>
      <c r="F565">
        <f t="shared" si="17"/>
        <v>193000</v>
      </c>
    </row>
    <row r="566" spans="1:6">
      <c r="A566" t="s">
        <v>4678</v>
      </c>
      <c r="B566" t="s">
        <v>4271</v>
      </c>
      <c r="C566" t="s">
        <v>4272</v>
      </c>
      <c r="D566">
        <v>142000</v>
      </c>
      <c r="E566" s="1">
        <f t="shared" si="16"/>
        <v>0.676190476190476</v>
      </c>
      <c r="F566">
        <f t="shared" si="17"/>
        <v>170000</v>
      </c>
    </row>
    <row r="567" spans="1:6">
      <c r="A567" t="s">
        <v>4679</v>
      </c>
      <c r="B567" t="s">
        <v>4271</v>
      </c>
      <c r="C567" t="s">
        <v>4272</v>
      </c>
      <c r="D567">
        <v>162000</v>
      </c>
      <c r="E567" s="1">
        <f t="shared" si="16"/>
        <v>0.771428571428571</v>
      </c>
      <c r="F567">
        <f t="shared" si="17"/>
        <v>193000</v>
      </c>
    </row>
    <row r="568" spans="1:6">
      <c r="A568" t="s">
        <v>4680</v>
      </c>
      <c r="B568" t="s">
        <v>4271</v>
      </c>
      <c r="C568" t="s">
        <v>4272</v>
      </c>
      <c r="D568">
        <v>101000</v>
      </c>
      <c r="E568" s="1">
        <f t="shared" si="16"/>
        <v>0.480952380952381</v>
      </c>
      <c r="F568">
        <f t="shared" si="17"/>
        <v>121000</v>
      </c>
    </row>
    <row r="569" spans="1:6">
      <c r="A569" t="s">
        <v>4681</v>
      </c>
      <c r="B569" t="s">
        <v>4271</v>
      </c>
      <c r="C569" t="s">
        <v>4272</v>
      </c>
      <c r="D569">
        <v>122000</v>
      </c>
      <c r="E569" s="1">
        <f t="shared" si="16"/>
        <v>0.580952380952381</v>
      </c>
      <c r="F569">
        <f t="shared" si="17"/>
        <v>146000</v>
      </c>
    </row>
    <row r="570" spans="1:6">
      <c r="A570" t="s">
        <v>4682</v>
      </c>
      <c r="B570" t="s">
        <v>4271</v>
      </c>
      <c r="C570" t="s">
        <v>4272</v>
      </c>
      <c r="D570">
        <v>122000</v>
      </c>
      <c r="E570" s="1">
        <f t="shared" si="16"/>
        <v>0.580952380952381</v>
      </c>
      <c r="F570">
        <f t="shared" si="17"/>
        <v>146000</v>
      </c>
    </row>
    <row r="571" spans="1:6">
      <c r="A571" t="s">
        <v>4683</v>
      </c>
      <c r="B571" t="s">
        <v>4271</v>
      </c>
      <c r="C571" t="s">
        <v>4272</v>
      </c>
      <c r="D571">
        <v>101000</v>
      </c>
      <c r="E571" s="1">
        <f t="shared" si="16"/>
        <v>0.480952380952381</v>
      </c>
      <c r="F571">
        <f t="shared" si="17"/>
        <v>121000</v>
      </c>
    </row>
    <row r="572" spans="1:6">
      <c r="A572" t="s">
        <v>4684</v>
      </c>
      <c r="B572" t="s">
        <v>4271</v>
      </c>
      <c r="C572" t="s">
        <v>4272</v>
      </c>
      <c r="D572">
        <v>101000</v>
      </c>
      <c r="E572" s="1">
        <f t="shared" si="16"/>
        <v>0.480952380952381</v>
      </c>
      <c r="F572">
        <f t="shared" si="17"/>
        <v>121000</v>
      </c>
    </row>
    <row r="573" spans="1:6">
      <c r="A573" t="s">
        <v>4685</v>
      </c>
      <c r="B573" t="s">
        <v>4271</v>
      </c>
      <c r="C573" t="s">
        <v>4272</v>
      </c>
      <c r="D573">
        <v>303000</v>
      </c>
      <c r="E573" s="1">
        <f t="shared" si="16"/>
        <v>1.44285714285714</v>
      </c>
      <c r="F573">
        <f t="shared" si="17"/>
        <v>361000</v>
      </c>
    </row>
    <row r="574" spans="1:6">
      <c r="A574" t="s">
        <v>4686</v>
      </c>
      <c r="B574" t="s">
        <v>4271</v>
      </c>
      <c r="C574" t="s">
        <v>4272</v>
      </c>
      <c r="D574">
        <v>81000</v>
      </c>
      <c r="E574" s="1">
        <f t="shared" si="16"/>
        <v>0.385714285714286</v>
      </c>
      <c r="F574">
        <f t="shared" si="17"/>
        <v>97000</v>
      </c>
    </row>
    <row r="575" spans="1:6">
      <c r="A575" t="s">
        <v>4687</v>
      </c>
      <c r="B575" t="s">
        <v>4271</v>
      </c>
      <c r="C575" t="s">
        <v>4272</v>
      </c>
      <c r="D575">
        <v>61000</v>
      </c>
      <c r="E575" s="1">
        <f t="shared" si="16"/>
        <v>0.29047619047619</v>
      </c>
      <c r="F575">
        <f t="shared" si="17"/>
        <v>73000</v>
      </c>
    </row>
    <row r="576" spans="1:6">
      <c r="A576" t="s">
        <v>4688</v>
      </c>
      <c r="B576" t="s">
        <v>4271</v>
      </c>
      <c r="C576" t="s">
        <v>4272</v>
      </c>
      <c r="D576">
        <v>81000</v>
      </c>
      <c r="E576" s="1">
        <f t="shared" si="16"/>
        <v>0.385714285714286</v>
      </c>
      <c r="F576">
        <f t="shared" si="17"/>
        <v>97000</v>
      </c>
    </row>
    <row r="577" spans="1:6">
      <c r="A577" t="s">
        <v>4689</v>
      </c>
      <c r="B577" t="s">
        <v>4271</v>
      </c>
      <c r="C577" t="s">
        <v>4272</v>
      </c>
      <c r="D577">
        <v>81000</v>
      </c>
      <c r="E577" s="1">
        <f t="shared" si="16"/>
        <v>0.385714285714286</v>
      </c>
      <c r="F577">
        <f t="shared" si="17"/>
        <v>97000</v>
      </c>
    </row>
    <row r="578" spans="1:6">
      <c r="A578" t="s">
        <v>4690</v>
      </c>
      <c r="B578" t="s">
        <v>4271</v>
      </c>
      <c r="C578" t="s">
        <v>4272</v>
      </c>
      <c r="D578">
        <v>61000</v>
      </c>
      <c r="E578" s="1">
        <f t="shared" ref="E578:E641" si="18">D578/210000</f>
        <v>0.29047619047619</v>
      </c>
      <c r="F578">
        <f t="shared" si="17"/>
        <v>73000</v>
      </c>
    </row>
    <row r="579" spans="1:6">
      <c r="A579" t="s">
        <v>4691</v>
      </c>
      <c r="B579" t="s">
        <v>4271</v>
      </c>
      <c r="C579" t="s">
        <v>4272</v>
      </c>
      <c r="D579">
        <v>81000</v>
      </c>
      <c r="E579" s="1">
        <f t="shared" si="18"/>
        <v>0.385714285714286</v>
      </c>
      <c r="F579">
        <f t="shared" ref="F579:F642" si="19">CEILING(E579*250000,1000)</f>
        <v>97000</v>
      </c>
    </row>
    <row r="580" spans="1:6">
      <c r="A580" t="s">
        <v>4692</v>
      </c>
      <c r="B580" t="s">
        <v>4271</v>
      </c>
      <c r="C580" t="s">
        <v>4272</v>
      </c>
      <c r="D580">
        <v>41000</v>
      </c>
      <c r="E580" s="1">
        <f t="shared" si="18"/>
        <v>0.195238095238095</v>
      </c>
      <c r="F580">
        <f t="shared" si="19"/>
        <v>49000</v>
      </c>
    </row>
    <row r="581" spans="1:6">
      <c r="A581" t="s">
        <v>4693</v>
      </c>
      <c r="B581" t="s">
        <v>4271</v>
      </c>
      <c r="C581" t="s">
        <v>4272</v>
      </c>
      <c r="D581">
        <v>81000</v>
      </c>
      <c r="E581" s="1">
        <f t="shared" si="18"/>
        <v>0.385714285714286</v>
      </c>
      <c r="F581">
        <f t="shared" si="19"/>
        <v>97000</v>
      </c>
    </row>
    <row r="582" spans="1:6">
      <c r="A582" t="s">
        <v>4694</v>
      </c>
      <c r="B582" t="s">
        <v>4271</v>
      </c>
      <c r="C582" t="s">
        <v>4272</v>
      </c>
      <c r="D582">
        <v>81000</v>
      </c>
      <c r="E582" s="1">
        <f t="shared" si="18"/>
        <v>0.385714285714286</v>
      </c>
      <c r="F582">
        <f t="shared" si="19"/>
        <v>97000</v>
      </c>
    </row>
    <row r="583" spans="1:6">
      <c r="A583" t="s">
        <v>4695</v>
      </c>
      <c r="B583" t="s">
        <v>4271</v>
      </c>
      <c r="C583" t="s">
        <v>4272</v>
      </c>
      <c r="D583">
        <v>122000</v>
      </c>
      <c r="E583" s="1">
        <f t="shared" si="18"/>
        <v>0.580952380952381</v>
      </c>
      <c r="F583">
        <f t="shared" si="19"/>
        <v>146000</v>
      </c>
    </row>
    <row r="584" spans="1:6">
      <c r="A584" t="s">
        <v>4696</v>
      </c>
      <c r="B584" t="s">
        <v>4271</v>
      </c>
      <c r="C584" t="s">
        <v>4272</v>
      </c>
      <c r="D584">
        <v>162000</v>
      </c>
      <c r="E584" s="1">
        <f t="shared" si="18"/>
        <v>0.771428571428571</v>
      </c>
      <c r="F584">
        <f t="shared" si="19"/>
        <v>193000</v>
      </c>
    </row>
    <row r="585" spans="1:6">
      <c r="A585" t="s">
        <v>4697</v>
      </c>
      <c r="B585" t="s">
        <v>4271</v>
      </c>
      <c r="C585" t="s">
        <v>4272</v>
      </c>
      <c r="D585">
        <v>41000</v>
      </c>
      <c r="E585" s="1">
        <f t="shared" si="18"/>
        <v>0.195238095238095</v>
      </c>
      <c r="F585">
        <f t="shared" si="19"/>
        <v>49000</v>
      </c>
    </row>
    <row r="586" spans="1:6">
      <c r="A586" t="s">
        <v>4698</v>
      </c>
      <c r="B586" t="s">
        <v>4271</v>
      </c>
      <c r="C586" t="s">
        <v>4272</v>
      </c>
      <c r="D586">
        <v>41000</v>
      </c>
      <c r="E586" s="1">
        <f t="shared" si="18"/>
        <v>0.195238095238095</v>
      </c>
      <c r="F586">
        <f t="shared" si="19"/>
        <v>49000</v>
      </c>
    </row>
    <row r="587" spans="1:6">
      <c r="A587" t="s">
        <v>4699</v>
      </c>
      <c r="B587" t="s">
        <v>4271</v>
      </c>
      <c r="C587" t="s">
        <v>4272</v>
      </c>
      <c r="D587">
        <v>122000</v>
      </c>
      <c r="E587" s="1">
        <f t="shared" si="18"/>
        <v>0.580952380952381</v>
      </c>
      <c r="F587">
        <f t="shared" si="19"/>
        <v>146000</v>
      </c>
    </row>
    <row r="588" spans="1:6">
      <c r="A588" t="s">
        <v>4700</v>
      </c>
      <c r="B588" t="s">
        <v>4271</v>
      </c>
      <c r="C588" t="s">
        <v>4272</v>
      </c>
      <c r="D588">
        <v>101000</v>
      </c>
      <c r="E588" s="1">
        <f t="shared" si="18"/>
        <v>0.480952380952381</v>
      </c>
      <c r="F588">
        <f t="shared" si="19"/>
        <v>121000</v>
      </c>
    </row>
    <row r="589" spans="1:6">
      <c r="A589" t="s">
        <v>4701</v>
      </c>
      <c r="B589" t="s">
        <v>4271</v>
      </c>
      <c r="C589" t="s">
        <v>4272</v>
      </c>
      <c r="D589">
        <v>101000</v>
      </c>
      <c r="E589" s="1">
        <f t="shared" si="18"/>
        <v>0.480952380952381</v>
      </c>
      <c r="F589">
        <f t="shared" si="19"/>
        <v>121000</v>
      </c>
    </row>
    <row r="590" spans="1:6">
      <c r="A590" t="s">
        <v>4702</v>
      </c>
      <c r="B590" t="s">
        <v>4271</v>
      </c>
      <c r="C590" t="s">
        <v>4272</v>
      </c>
      <c r="D590">
        <v>202000</v>
      </c>
      <c r="E590" s="1">
        <f t="shared" si="18"/>
        <v>0.961904761904762</v>
      </c>
      <c r="F590">
        <f t="shared" si="19"/>
        <v>241000</v>
      </c>
    </row>
    <row r="591" spans="1:6">
      <c r="A591" t="s">
        <v>4703</v>
      </c>
      <c r="B591" t="s">
        <v>4271</v>
      </c>
      <c r="C591" t="s">
        <v>4272</v>
      </c>
      <c r="D591">
        <v>142000</v>
      </c>
      <c r="E591" s="1">
        <f t="shared" si="18"/>
        <v>0.676190476190476</v>
      </c>
      <c r="F591">
        <f t="shared" si="19"/>
        <v>170000</v>
      </c>
    </row>
    <row r="592" spans="1:6">
      <c r="A592" t="s">
        <v>4704</v>
      </c>
      <c r="B592" t="s">
        <v>4271</v>
      </c>
      <c r="C592" t="s">
        <v>4272</v>
      </c>
      <c r="D592">
        <v>142000</v>
      </c>
      <c r="E592" s="1">
        <f t="shared" si="18"/>
        <v>0.676190476190476</v>
      </c>
      <c r="F592">
        <f t="shared" si="19"/>
        <v>170000</v>
      </c>
    </row>
    <row r="593" spans="1:6">
      <c r="A593" t="s">
        <v>4705</v>
      </c>
      <c r="B593" t="s">
        <v>4271</v>
      </c>
      <c r="C593" t="s">
        <v>4272</v>
      </c>
      <c r="D593">
        <v>142000</v>
      </c>
      <c r="E593" s="1">
        <f t="shared" si="18"/>
        <v>0.676190476190476</v>
      </c>
      <c r="F593">
        <f t="shared" si="19"/>
        <v>170000</v>
      </c>
    </row>
    <row r="594" spans="1:6">
      <c r="A594" t="s">
        <v>4706</v>
      </c>
      <c r="B594" t="s">
        <v>4271</v>
      </c>
      <c r="C594" t="s">
        <v>4272</v>
      </c>
      <c r="D594">
        <v>142000</v>
      </c>
      <c r="E594" s="1">
        <f t="shared" si="18"/>
        <v>0.676190476190476</v>
      </c>
      <c r="F594">
        <f t="shared" si="19"/>
        <v>170000</v>
      </c>
    </row>
    <row r="595" spans="1:6">
      <c r="A595" t="s">
        <v>4707</v>
      </c>
      <c r="B595" t="s">
        <v>4271</v>
      </c>
      <c r="C595" t="s">
        <v>4272</v>
      </c>
      <c r="D595">
        <v>142000</v>
      </c>
      <c r="E595" s="1">
        <f t="shared" si="18"/>
        <v>0.676190476190476</v>
      </c>
      <c r="F595">
        <f t="shared" si="19"/>
        <v>170000</v>
      </c>
    </row>
    <row r="596" spans="1:6">
      <c r="A596" t="s">
        <v>4708</v>
      </c>
      <c r="B596" t="s">
        <v>4271</v>
      </c>
      <c r="C596" t="s">
        <v>4272</v>
      </c>
      <c r="D596">
        <v>142000</v>
      </c>
      <c r="E596" s="1">
        <f t="shared" si="18"/>
        <v>0.676190476190476</v>
      </c>
      <c r="F596">
        <f t="shared" si="19"/>
        <v>170000</v>
      </c>
    </row>
    <row r="597" spans="1:6">
      <c r="A597" t="s">
        <v>4709</v>
      </c>
      <c r="B597" t="s">
        <v>4271</v>
      </c>
      <c r="C597" t="s">
        <v>4272</v>
      </c>
      <c r="D597">
        <v>162000</v>
      </c>
      <c r="E597" s="1">
        <f t="shared" si="18"/>
        <v>0.771428571428571</v>
      </c>
      <c r="F597">
        <f t="shared" si="19"/>
        <v>193000</v>
      </c>
    </row>
    <row r="598" spans="1:6">
      <c r="A598" t="s">
        <v>4710</v>
      </c>
      <c r="B598" t="s">
        <v>4271</v>
      </c>
      <c r="C598" t="s">
        <v>4272</v>
      </c>
      <c r="D598">
        <v>142000</v>
      </c>
      <c r="E598" s="1">
        <f t="shared" si="18"/>
        <v>0.676190476190476</v>
      </c>
      <c r="F598">
        <f t="shared" si="19"/>
        <v>170000</v>
      </c>
    </row>
    <row r="599" spans="1:6">
      <c r="A599" t="s">
        <v>4711</v>
      </c>
      <c r="B599" t="s">
        <v>4271</v>
      </c>
      <c r="C599" t="s">
        <v>4272</v>
      </c>
      <c r="D599">
        <v>122000</v>
      </c>
      <c r="E599" s="1">
        <f t="shared" si="18"/>
        <v>0.580952380952381</v>
      </c>
      <c r="F599">
        <f t="shared" si="19"/>
        <v>146000</v>
      </c>
    </row>
    <row r="600" spans="1:6">
      <c r="A600" t="s">
        <v>4712</v>
      </c>
      <c r="B600" t="s">
        <v>4271</v>
      </c>
      <c r="C600" t="s">
        <v>4272</v>
      </c>
      <c r="D600">
        <v>142000</v>
      </c>
      <c r="E600" s="1">
        <f t="shared" si="18"/>
        <v>0.676190476190476</v>
      </c>
      <c r="F600">
        <f t="shared" si="19"/>
        <v>170000</v>
      </c>
    </row>
    <row r="601" spans="1:6">
      <c r="A601" t="s">
        <v>4713</v>
      </c>
      <c r="B601" t="s">
        <v>4271</v>
      </c>
      <c r="C601" t="s">
        <v>4272</v>
      </c>
      <c r="D601">
        <v>122000</v>
      </c>
      <c r="E601" s="1">
        <f t="shared" si="18"/>
        <v>0.580952380952381</v>
      </c>
      <c r="F601">
        <f t="shared" si="19"/>
        <v>146000</v>
      </c>
    </row>
    <row r="602" spans="1:6">
      <c r="A602" t="s">
        <v>4714</v>
      </c>
      <c r="B602" t="s">
        <v>4271</v>
      </c>
      <c r="C602" t="s">
        <v>4272</v>
      </c>
      <c r="D602">
        <v>61000</v>
      </c>
      <c r="E602" s="1">
        <f t="shared" si="18"/>
        <v>0.29047619047619</v>
      </c>
      <c r="F602">
        <f t="shared" si="19"/>
        <v>73000</v>
      </c>
    </row>
    <row r="603" spans="1:6">
      <c r="A603" t="s">
        <v>4715</v>
      </c>
      <c r="B603" t="s">
        <v>4271</v>
      </c>
      <c r="C603" t="s">
        <v>4272</v>
      </c>
      <c r="D603">
        <v>41000</v>
      </c>
      <c r="E603" s="1">
        <f t="shared" si="18"/>
        <v>0.195238095238095</v>
      </c>
      <c r="F603">
        <f t="shared" si="19"/>
        <v>49000</v>
      </c>
    </row>
    <row r="604" spans="1:6">
      <c r="A604" t="s">
        <v>4716</v>
      </c>
      <c r="B604" t="s">
        <v>4271</v>
      </c>
      <c r="C604" t="s">
        <v>4272</v>
      </c>
      <c r="D604">
        <v>41000</v>
      </c>
      <c r="E604" s="1">
        <f t="shared" si="18"/>
        <v>0.195238095238095</v>
      </c>
      <c r="F604">
        <f t="shared" si="19"/>
        <v>49000</v>
      </c>
    </row>
    <row r="605" spans="1:6">
      <c r="A605" t="s">
        <v>4717</v>
      </c>
      <c r="B605" t="s">
        <v>4271</v>
      </c>
      <c r="C605" t="s">
        <v>4272</v>
      </c>
      <c r="D605">
        <v>61000</v>
      </c>
      <c r="E605" s="1">
        <f t="shared" si="18"/>
        <v>0.29047619047619</v>
      </c>
      <c r="F605">
        <f t="shared" si="19"/>
        <v>73000</v>
      </c>
    </row>
    <row r="606" spans="1:6">
      <c r="A606" t="s">
        <v>4718</v>
      </c>
      <c r="B606" t="s">
        <v>4271</v>
      </c>
      <c r="C606" t="s">
        <v>4272</v>
      </c>
      <c r="D606">
        <v>61000</v>
      </c>
      <c r="E606" s="1">
        <f t="shared" si="18"/>
        <v>0.29047619047619</v>
      </c>
      <c r="F606">
        <f t="shared" si="19"/>
        <v>73000</v>
      </c>
    </row>
    <row r="607" spans="1:6">
      <c r="A607" t="s">
        <v>4719</v>
      </c>
      <c r="B607" t="s">
        <v>4271</v>
      </c>
      <c r="C607" t="s">
        <v>4272</v>
      </c>
      <c r="D607">
        <v>81000</v>
      </c>
      <c r="E607" s="1">
        <f t="shared" si="18"/>
        <v>0.385714285714286</v>
      </c>
      <c r="F607">
        <f t="shared" si="19"/>
        <v>97000</v>
      </c>
    </row>
    <row r="608" spans="1:6">
      <c r="A608" t="s">
        <v>4720</v>
      </c>
      <c r="B608" t="s">
        <v>4271</v>
      </c>
      <c r="C608" t="s">
        <v>4272</v>
      </c>
      <c r="D608">
        <v>122000</v>
      </c>
      <c r="E608" s="1">
        <f t="shared" si="18"/>
        <v>0.580952380952381</v>
      </c>
      <c r="F608">
        <f t="shared" si="19"/>
        <v>146000</v>
      </c>
    </row>
    <row r="609" spans="1:6">
      <c r="A609" t="s">
        <v>4721</v>
      </c>
      <c r="B609" t="s">
        <v>4271</v>
      </c>
      <c r="C609" t="s">
        <v>4272</v>
      </c>
      <c r="D609">
        <v>162000</v>
      </c>
      <c r="E609" s="1">
        <f t="shared" si="18"/>
        <v>0.771428571428571</v>
      </c>
      <c r="F609">
        <f t="shared" si="19"/>
        <v>193000</v>
      </c>
    </row>
    <row r="610" spans="1:6">
      <c r="A610" t="s">
        <v>4722</v>
      </c>
      <c r="B610" t="s">
        <v>4271</v>
      </c>
      <c r="C610" t="s">
        <v>4272</v>
      </c>
      <c r="D610">
        <v>202000</v>
      </c>
      <c r="E610" s="1">
        <f t="shared" si="18"/>
        <v>0.961904761904762</v>
      </c>
      <c r="F610">
        <f t="shared" si="19"/>
        <v>241000</v>
      </c>
    </row>
    <row r="611" spans="1:6">
      <c r="A611" t="s">
        <v>4723</v>
      </c>
      <c r="B611" t="s">
        <v>4271</v>
      </c>
      <c r="C611" t="s">
        <v>4272</v>
      </c>
      <c r="D611">
        <v>162000</v>
      </c>
      <c r="E611" s="1">
        <f t="shared" si="18"/>
        <v>0.771428571428571</v>
      </c>
      <c r="F611">
        <f t="shared" si="19"/>
        <v>193000</v>
      </c>
    </row>
    <row r="612" spans="1:6">
      <c r="A612" t="s">
        <v>4724</v>
      </c>
      <c r="B612" t="s">
        <v>4271</v>
      </c>
      <c r="C612" t="s">
        <v>4272</v>
      </c>
      <c r="D612">
        <v>162000</v>
      </c>
      <c r="E612" s="1">
        <f t="shared" si="18"/>
        <v>0.771428571428571</v>
      </c>
      <c r="F612">
        <f t="shared" si="19"/>
        <v>193000</v>
      </c>
    </row>
    <row r="613" spans="1:6">
      <c r="A613" t="s">
        <v>4725</v>
      </c>
      <c r="B613" t="s">
        <v>4271</v>
      </c>
      <c r="C613" t="s">
        <v>4272</v>
      </c>
      <c r="D613">
        <v>202000</v>
      </c>
      <c r="E613" s="1">
        <f t="shared" si="18"/>
        <v>0.961904761904762</v>
      </c>
      <c r="F613">
        <f t="shared" si="19"/>
        <v>241000</v>
      </c>
    </row>
    <row r="614" spans="1:6">
      <c r="A614" t="s">
        <v>4726</v>
      </c>
      <c r="B614" t="s">
        <v>4271</v>
      </c>
      <c r="C614" t="s">
        <v>4272</v>
      </c>
      <c r="D614">
        <v>162000</v>
      </c>
      <c r="E614" s="1">
        <f t="shared" si="18"/>
        <v>0.771428571428571</v>
      </c>
      <c r="F614">
        <f t="shared" si="19"/>
        <v>193000</v>
      </c>
    </row>
    <row r="615" spans="1:6">
      <c r="A615" t="s">
        <v>4727</v>
      </c>
      <c r="B615" t="s">
        <v>4271</v>
      </c>
      <c r="C615" t="s">
        <v>4272</v>
      </c>
      <c r="D615">
        <v>142000</v>
      </c>
      <c r="E615" s="1">
        <f t="shared" si="18"/>
        <v>0.676190476190476</v>
      </c>
      <c r="F615">
        <f t="shared" si="19"/>
        <v>170000</v>
      </c>
    </row>
    <row r="616" spans="1:6">
      <c r="A616" t="s">
        <v>4728</v>
      </c>
      <c r="B616" t="s">
        <v>4271</v>
      </c>
      <c r="C616" t="s">
        <v>4272</v>
      </c>
      <c r="D616">
        <v>303000</v>
      </c>
      <c r="E616" s="1">
        <f t="shared" si="18"/>
        <v>1.44285714285714</v>
      </c>
      <c r="F616">
        <f t="shared" si="19"/>
        <v>361000</v>
      </c>
    </row>
    <row r="617" spans="1:6">
      <c r="A617" t="s">
        <v>4729</v>
      </c>
      <c r="B617" t="s">
        <v>4271</v>
      </c>
      <c r="C617" t="s">
        <v>4272</v>
      </c>
      <c r="D617">
        <v>424000</v>
      </c>
      <c r="E617" s="1">
        <f t="shared" si="18"/>
        <v>2.01904761904762</v>
      </c>
      <c r="F617">
        <f t="shared" si="19"/>
        <v>505000</v>
      </c>
    </row>
    <row r="618" spans="1:6">
      <c r="A618" t="s">
        <v>4730</v>
      </c>
      <c r="B618" t="s">
        <v>4271</v>
      </c>
      <c r="C618" t="s">
        <v>4272</v>
      </c>
      <c r="D618">
        <v>626000</v>
      </c>
      <c r="E618" s="1">
        <f t="shared" si="18"/>
        <v>2.98095238095238</v>
      </c>
      <c r="F618">
        <f t="shared" si="19"/>
        <v>746000</v>
      </c>
    </row>
    <row r="619" spans="1:6">
      <c r="A619" t="s">
        <v>4731</v>
      </c>
      <c r="B619" t="s">
        <v>4271</v>
      </c>
      <c r="C619" t="s">
        <v>4272</v>
      </c>
      <c r="D619">
        <v>545000</v>
      </c>
      <c r="E619" s="1">
        <f t="shared" si="18"/>
        <v>2.5952380952381</v>
      </c>
      <c r="F619">
        <f t="shared" si="19"/>
        <v>649000</v>
      </c>
    </row>
    <row r="620" spans="1:6">
      <c r="A620" t="s">
        <v>4732</v>
      </c>
      <c r="B620" t="s">
        <v>4271</v>
      </c>
      <c r="C620" t="s">
        <v>4272</v>
      </c>
      <c r="D620">
        <v>767000</v>
      </c>
      <c r="E620" s="1">
        <f t="shared" si="18"/>
        <v>3.65238095238095</v>
      </c>
      <c r="F620">
        <f t="shared" si="19"/>
        <v>914000</v>
      </c>
    </row>
    <row r="621" spans="1:6">
      <c r="A621" t="s">
        <v>4733</v>
      </c>
      <c r="B621" t="s">
        <v>4271</v>
      </c>
      <c r="C621" t="s">
        <v>4272</v>
      </c>
      <c r="D621">
        <v>1131000</v>
      </c>
      <c r="E621" s="1">
        <f t="shared" si="18"/>
        <v>5.38571428571429</v>
      </c>
      <c r="F621">
        <f t="shared" si="19"/>
        <v>1347000</v>
      </c>
    </row>
    <row r="622" spans="1:6">
      <c r="A622" t="s">
        <v>4734</v>
      </c>
      <c r="B622" t="s">
        <v>4271</v>
      </c>
      <c r="C622" t="s">
        <v>4272</v>
      </c>
      <c r="D622">
        <v>122000</v>
      </c>
      <c r="E622" s="1">
        <f t="shared" si="18"/>
        <v>0.580952380952381</v>
      </c>
      <c r="F622">
        <f t="shared" si="19"/>
        <v>146000</v>
      </c>
    </row>
    <row r="623" spans="1:6">
      <c r="A623" t="s">
        <v>4735</v>
      </c>
      <c r="B623" t="s">
        <v>4271</v>
      </c>
      <c r="C623" t="s">
        <v>4272</v>
      </c>
      <c r="D623">
        <v>101000</v>
      </c>
      <c r="E623" s="1">
        <f t="shared" si="18"/>
        <v>0.480952380952381</v>
      </c>
      <c r="F623">
        <f t="shared" si="19"/>
        <v>121000</v>
      </c>
    </row>
    <row r="624" spans="1:6">
      <c r="A624" t="s">
        <v>4736</v>
      </c>
      <c r="B624" t="s">
        <v>4271</v>
      </c>
      <c r="C624" t="s">
        <v>4272</v>
      </c>
      <c r="D624">
        <v>142000</v>
      </c>
      <c r="E624" s="1">
        <f t="shared" si="18"/>
        <v>0.676190476190476</v>
      </c>
      <c r="F624">
        <f t="shared" si="19"/>
        <v>170000</v>
      </c>
    </row>
    <row r="625" spans="1:6">
      <c r="A625" t="s">
        <v>4737</v>
      </c>
      <c r="B625" t="s">
        <v>4271</v>
      </c>
      <c r="C625" t="s">
        <v>4272</v>
      </c>
      <c r="D625">
        <v>142000</v>
      </c>
      <c r="E625" s="1">
        <f t="shared" si="18"/>
        <v>0.676190476190476</v>
      </c>
      <c r="F625">
        <f t="shared" si="19"/>
        <v>170000</v>
      </c>
    </row>
    <row r="626" spans="1:6">
      <c r="A626" t="s">
        <v>4738</v>
      </c>
      <c r="B626" t="s">
        <v>4271</v>
      </c>
      <c r="C626" t="s">
        <v>4272</v>
      </c>
      <c r="D626">
        <v>122000</v>
      </c>
      <c r="E626" s="1">
        <f t="shared" si="18"/>
        <v>0.580952380952381</v>
      </c>
      <c r="F626">
        <f t="shared" si="19"/>
        <v>146000</v>
      </c>
    </row>
    <row r="627" spans="1:6">
      <c r="A627" t="s">
        <v>4739</v>
      </c>
      <c r="B627" t="s">
        <v>4271</v>
      </c>
      <c r="C627" t="s">
        <v>4272</v>
      </c>
      <c r="D627">
        <v>162000</v>
      </c>
      <c r="E627" s="1">
        <f t="shared" si="18"/>
        <v>0.771428571428571</v>
      </c>
      <c r="F627">
        <f t="shared" si="19"/>
        <v>193000</v>
      </c>
    </row>
    <row r="628" spans="1:6">
      <c r="A628" t="s">
        <v>4740</v>
      </c>
      <c r="B628" t="s">
        <v>4271</v>
      </c>
      <c r="C628" t="s">
        <v>4272</v>
      </c>
      <c r="D628">
        <v>222000</v>
      </c>
      <c r="E628" s="1">
        <f t="shared" si="18"/>
        <v>1.05714285714286</v>
      </c>
      <c r="F628">
        <f t="shared" si="19"/>
        <v>265000</v>
      </c>
    </row>
    <row r="629" spans="1:6">
      <c r="A629" t="s">
        <v>4741</v>
      </c>
      <c r="B629" t="s">
        <v>4271</v>
      </c>
      <c r="C629" t="s">
        <v>4272</v>
      </c>
      <c r="D629">
        <v>142000</v>
      </c>
      <c r="E629" s="1">
        <f t="shared" si="18"/>
        <v>0.676190476190476</v>
      </c>
      <c r="F629">
        <f t="shared" si="19"/>
        <v>170000</v>
      </c>
    </row>
    <row r="630" spans="1:6">
      <c r="A630" t="s">
        <v>4742</v>
      </c>
      <c r="B630" t="s">
        <v>4271</v>
      </c>
      <c r="C630" t="s">
        <v>4272</v>
      </c>
      <c r="D630">
        <v>202000</v>
      </c>
      <c r="E630" s="1">
        <f t="shared" si="18"/>
        <v>0.961904761904762</v>
      </c>
      <c r="F630">
        <f t="shared" si="19"/>
        <v>241000</v>
      </c>
    </row>
    <row r="631" spans="1:6">
      <c r="A631" t="s">
        <v>4743</v>
      </c>
      <c r="B631" t="s">
        <v>4271</v>
      </c>
      <c r="C631" t="s">
        <v>4272</v>
      </c>
      <c r="D631">
        <v>202000</v>
      </c>
      <c r="E631" s="1">
        <f t="shared" si="18"/>
        <v>0.961904761904762</v>
      </c>
      <c r="F631">
        <f t="shared" si="19"/>
        <v>241000</v>
      </c>
    </row>
    <row r="632" spans="1:6">
      <c r="A632" t="s">
        <v>4744</v>
      </c>
      <c r="B632" t="s">
        <v>4271</v>
      </c>
      <c r="C632" t="s">
        <v>4272</v>
      </c>
      <c r="D632">
        <v>162000</v>
      </c>
      <c r="E632" s="1">
        <f t="shared" si="18"/>
        <v>0.771428571428571</v>
      </c>
      <c r="F632">
        <f t="shared" si="19"/>
        <v>193000</v>
      </c>
    </row>
    <row r="633" spans="1:6">
      <c r="A633" t="s">
        <v>4745</v>
      </c>
      <c r="B633" t="s">
        <v>4271</v>
      </c>
      <c r="C633" t="s">
        <v>4272</v>
      </c>
      <c r="D633">
        <v>283000</v>
      </c>
      <c r="E633" s="1">
        <f t="shared" si="18"/>
        <v>1.34761904761905</v>
      </c>
      <c r="F633">
        <f t="shared" si="19"/>
        <v>337000</v>
      </c>
    </row>
    <row r="634" spans="1:6">
      <c r="A634" t="s">
        <v>4746</v>
      </c>
      <c r="B634" t="s">
        <v>4271</v>
      </c>
      <c r="C634" t="s">
        <v>4272</v>
      </c>
      <c r="D634">
        <v>344000</v>
      </c>
      <c r="E634" s="1">
        <f t="shared" si="18"/>
        <v>1.63809523809524</v>
      </c>
      <c r="F634">
        <f t="shared" si="19"/>
        <v>410000</v>
      </c>
    </row>
    <row r="635" spans="1:6">
      <c r="A635" t="s">
        <v>4747</v>
      </c>
      <c r="B635" t="s">
        <v>4271</v>
      </c>
      <c r="C635" t="s">
        <v>4272</v>
      </c>
      <c r="D635">
        <v>222000</v>
      </c>
      <c r="E635" s="1">
        <f t="shared" si="18"/>
        <v>1.05714285714286</v>
      </c>
      <c r="F635">
        <f t="shared" si="19"/>
        <v>265000</v>
      </c>
    </row>
    <row r="636" spans="1:6">
      <c r="A636" t="s">
        <v>4748</v>
      </c>
      <c r="B636" t="s">
        <v>4271</v>
      </c>
      <c r="C636" t="s">
        <v>4272</v>
      </c>
      <c r="D636">
        <v>122000</v>
      </c>
      <c r="E636" s="1">
        <f t="shared" si="18"/>
        <v>0.580952380952381</v>
      </c>
      <c r="F636">
        <f t="shared" si="19"/>
        <v>146000</v>
      </c>
    </row>
    <row r="637" spans="1:6">
      <c r="A637" t="s">
        <v>4749</v>
      </c>
      <c r="B637" t="s">
        <v>4271</v>
      </c>
      <c r="C637" t="s">
        <v>4272</v>
      </c>
      <c r="D637">
        <v>101000</v>
      </c>
      <c r="E637" s="1">
        <f t="shared" si="18"/>
        <v>0.480952380952381</v>
      </c>
      <c r="F637">
        <f t="shared" si="19"/>
        <v>121000</v>
      </c>
    </row>
    <row r="638" spans="1:6">
      <c r="A638" t="s">
        <v>4750</v>
      </c>
      <c r="B638" t="s">
        <v>4271</v>
      </c>
      <c r="C638" t="s">
        <v>4272</v>
      </c>
      <c r="D638">
        <v>61000</v>
      </c>
      <c r="E638" s="1">
        <f t="shared" si="18"/>
        <v>0.29047619047619</v>
      </c>
      <c r="F638">
        <f t="shared" si="19"/>
        <v>73000</v>
      </c>
    </row>
    <row r="639" spans="1:6">
      <c r="A639" t="s">
        <v>4751</v>
      </c>
      <c r="B639" t="s">
        <v>4271</v>
      </c>
      <c r="C639" t="s">
        <v>4272</v>
      </c>
      <c r="D639">
        <v>61000</v>
      </c>
      <c r="E639" s="1">
        <f t="shared" si="18"/>
        <v>0.29047619047619</v>
      </c>
      <c r="F639">
        <f t="shared" si="19"/>
        <v>73000</v>
      </c>
    </row>
    <row r="640" spans="1:6">
      <c r="A640" t="s">
        <v>4752</v>
      </c>
      <c r="B640" t="s">
        <v>4271</v>
      </c>
      <c r="C640" t="s">
        <v>4272</v>
      </c>
      <c r="D640">
        <v>101000</v>
      </c>
      <c r="E640" s="1">
        <f t="shared" si="18"/>
        <v>0.480952380952381</v>
      </c>
      <c r="F640">
        <f t="shared" si="19"/>
        <v>121000</v>
      </c>
    </row>
    <row r="641" spans="1:6">
      <c r="A641" t="s">
        <v>4753</v>
      </c>
      <c r="B641" t="s">
        <v>4271</v>
      </c>
      <c r="C641" t="s">
        <v>4272</v>
      </c>
      <c r="D641">
        <v>61000</v>
      </c>
      <c r="E641" s="1">
        <f t="shared" si="18"/>
        <v>0.29047619047619</v>
      </c>
      <c r="F641">
        <f t="shared" si="19"/>
        <v>73000</v>
      </c>
    </row>
    <row r="642" spans="1:6">
      <c r="A642" t="s">
        <v>4754</v>
      </c>
      <c r="B642" t="s">
        <v>4271</v>
      </c>
      <c r="C642" t="s">
        <v>4272</v>
      </c>
      <c r="D642">
        <v>202000</v>
      </c>
      <c r="E642" s="1">
        <f t="shared" ref="E642:E705" si="20">D642/210000</f>
        <v>0.961904761904762</v>
      </c>
      <c r="F642">
        <f t="shared" si="19"/>
        <v>241000</v>
      </c>
    </row>
    <row r="643" spans="1:6">
      <c r="A643" t="s">
        <v>4755</v>
      </c>
      <c r="B643" t="s">
        <v>4271</v>
      </c>
      <c r="C643" t="s">
        <v>4272</v>
      </c>
      <c r="D643">
        <v>61000</v>
      </c>
      <c r="E643" s="1">
        <f t="shared" si="20"/>
        <v>0.29047619047619</v>
      </c>
      <c r="F643">
        <f t="shared" ref="F643:F706" si="21">CEILING(E643*250000,1000)</f>
        <v>73000</v>
      </c>
    </row>
    <row r="644" spans="1:6">
      <c r="A644" t="s">
        <v>4756</v>
      </c>
      <c r="B644" t="s">
        <v>4271</v>
      </c>
      <c r="C644" t="s">
        <v>4272</v>
      </c>
      <c r="D644">
        <v>61000</v>
      </c>
      <c r="E644" s="1">
        <f t="shared" si="20"/>
        <v>0.29047619047619</v>
      </c>
      <c r="F644">
        <f t="shared" si="21"/>
        <v>73000</v>
      </c>
    </row>
    <row r="645" spans="1:6">
      <c r="A645" t="s">
        <v>4757</v>
      </c>
      <c r="B645" t="s">
        <v>4271</v>
      </c>
      <c r="C645" t="s">
        <v>4272</v>
      </c>
      <c r="D645">
        <v>41000</v>
      </c>
      <c r="E645" s="1">
        <f t="shared" si="20"/>
        <v>0.195238095238095</v>
      </c>
      <c r="F645">
        <f t="shared" si="21"/>
        <v>49000</v>
      </c>
    </row>
    <row r="646" spans="1:6">
      <c r="A646" t="s">
        <v>4758</v>
      </c>
      <c r="B646" t="s">
        <v>4271</v>
      </c>
      <c r="C646" t="s">
        <v>4272</v>
      </c>
      <c r="D646">
        <v>21000</v>
      </c>
      <c r="E646" s="1">
        <f t="shared" si="20"/>
        <v>0.1</v>
      </c>
      <c r="F646">
        <f t="shared" si="21"/>
        <v>25000</v>
      </c>
    </row>
    <row r="647" spans="1:6">
      <c r="A647" t="s">
        <v>4759</v>
      </c>
      <c r="B647" t="s">
        <v>4271</v>
      </c>
      <c r="C647" t="s">
        <v>4272</v>
      </c>
      <c r="D647">
        <v>81000</v>
      </c>
      <c r="E647" s="1">
        <f t="shared" si="20"/>
        <v>0.385714285714286</v>
      </c>
      <c r="F647">
        <f t="shared" si="21"/>
        <v>97000</v>
      </c>
    </row>
    <row r="648" spans="1:6">
      <c r="A648" t="s">
        <v>4760</v>
      </c>
      <c r="B648" t="s">
        <v>4271</v>
      </c>
      <c r="C648" t="s">
        <v>4272</v>
      </c>
      <c r="D648">
        <v>61000</v>
      </c>
      <c r="E648" s="1">
        <f t="shared" si="20"/>
        <v>0.29047619047619</v>
      </c>
      <c r="F648">
        <f t="shared" si="21"/>
        <v>73000</v>
      </c>
    </row>
    <row r="649" spans="1:6">
      <c r="A649" t="s">
        <v>4761</v>
      </c>
      <c r="B649" t="s">
        <v>4271</v>
      </c>
      <c r="C649" t="s">
        <v>4272</v>
      </c>
      <c r="D649">
        <v>101000</v>
      </c>
      <c r="E649" s="1">
        <f t="shared" si="20"/>
        <v>0.480952380952381</v>
      </c>
      <c r="F649">
        <f t="shared" si="21"/>
        <v>121000</v>
      </c>
    </row>
    <row r="650" spans="1:6">
      <c r="A650" t="s">
        <v>4762</v>
      </c>
      <c r="B650" t="s">
        <v>4271</v>
      </c>
      <c r="C650" t="s">
        <v>4272</v>
      </c>
      <c r="D650">
        <v>41000</v>
      </c>
      <c r="E650" s="1">
        <f t="shared" si="20"/>
        <v>0.195238095238095</v>
      </c>
      <c r="F650">
        <f t="shared" si="21"/>
        <v>49000</v>
      </c>
    </row>
    <row r="651" spans="1:6">
      <c r="A651" t="s">
        <v>4763</v>
      </c>
      <c r="B651" t="s">
        <v>4271</v>
      </c>
      <c r="C651" t="s">
        <v>4272</v>
      </c>
      <c r="D651">
        <v>41000</v>
      </c>
      <c r="E651" s="1">
        <f t="shared" si="20"/>
        <v>0.195238095238095</v>
      </c>
      <c r="F651">
        <f t="shared" si="21"/>
        <v>49000</v>
      </c>
    </row>
    <row r="652" spans="1:6">
      <c r="A652" t="s">
        <v>4764</v>
      </c>
      <c r="B652" t="s">
        <v>4271</v>
      </c>
      <c r="C652" t="s">
        <v>4272</v>
      </c>
      <c r="D652">
        <v>41000</v>
      </c>
      <c r="E652" s="1">
        <f t="shared" si="20"/>
        <v>0.195238095238095</v>
      </c>
      <c r="F652">
        <f t="shared" si="21"/>
        <v>49000</v>
      </c>
    </row>
    <row r="653" spans="1:6">
      <c r="A653" t="s">
        <v>4765</v>
      </c>
      <c r="B653" t="s">
        <v>4271</v>
      </c>
      <c r="C653" t="s">
        <v>4272</v>
      </c>
      <c r="D653">
        <v>81000</v>
      </c>
      <c r="E653" s="1">
        <f t="shared" si="20"/>
        <v>0.385714285714286</v>
      </c>
      <c r="F653">
        <f t="shared" si="21"/>
        <v>97000</v>
      </c>
    </row>
    <row r="654" spans="1:6">
      <c r="A654" t="s">
        <v>4766</v>
      </c>
      <c r="B654" t="s">
        <v>4271</v>
      </c>
      <c r="C654" t="s">
        <v>4272</v>
      </c>
      <c r="D654">
        <v>162000</v>
      </c>
      <c r="E654" s="1">
        <f t="shared" si="20"/>
        <v>0.771428571428571</v>
      </c>
      <c r="F654">
        <f t="shared" si="21"/>
        <v>193000</v>
      </c>
    </row>
    <row r="655" spans="1:6">
      <c r="A655" t="s">
        <v>4767</v>
      </c>
      <c r="B655" t="s">
        <v>4271</v>
      </c>
      <c r="C655" t="s">
        <v>4272</v>
      </c>
      <c r="D655">
        <v>142000</v>
      </c>
      <c r="E655" s="1">
        <f t="shared" si="20"/>
        <v>0.676190476190476</v>
      </c>
      <c r="F655">
        <f t="shared" si="21"/>
        <v>170000</v>
      </c>
    </row>
    <row r="656" spans="1:6">
      <c r="A656" t="s">
        <v>4768</v>
      </c>
      <c r="B656" t="s">
        <v>4271</v>
      </c>
      <c r="C656" t="s">
        <v>4272</v>
      </c>
      <c r="D656">
        <v>101000</v>
      </c>
      <c r="E656" s="1">
        <f t="shared" si="20"/>
        <v>0.480952380952381</v>
      </c>
      <c r="F656">
        <f t="shared" si="21"/>
        <v>121000</v>
      </c>
    </row>
    <row r="657" spans="1:6">
      <c r="A657" t="s">
        <v>4769</v>
      </c>
      <c r="B657" t="s">
        <v>4271</v>
      </c>
      <c r="C657" t="s">
        <v>4272</v>
      </c>
      <c r="D657">
        <v>303000</v>
      </c>
      <c r="E657" s="1">
        <f t="shared" si="20"/>
        <v>1.44285714285714</v>
      </c>
      <c r="F657">
        <f t="shared" si="21"/>
        <v>361000</v>
      </c>
    </row>
    <row r="658" spans="1:6">
      <c r="A658" t="s">
        <v>4770</v>
      </c>
      <c r="B658" t="s">
        <v>4271</v>
      </c>
      <c r="C658" t="s">
        <v>4272</v>
      </c>
      <c r="D658">
        <v>122000</v>
      </c>
      <c r="E658" s="1">
        <f t="shared" si="20"/>
        <v>0.580952380952381</v>
      </c>
      <c r="F658">
        <f t="shared" si="21"/>
        <v>146000</v>
      </c>
    </row>
    <row r="659" spans="1:6">
      <c r="A659" t="s">
        <v>4771</v>
      </c>
      <c r="B659" t="s">
        <v>4271</v>
      </c>
      <c r="C659" t="s">
        <v>4272</v>
      </c>
      <c r="D659">
        <v>122000</v>
      </c>
      <c r="E659" s="1">
        <f t="shared" si="20"/>
        <v>0.580952380952381</v>
      </c>
      <c r="F659">
        <f t="shared" si="21"/>
        <v>146000</v>
      </c>
    </row>
    <row r="660" spans="1:6">
      <c r="A660" t="s">
        <v>4772</v>
      </c>
      <c r="B660" t="s">
        <v>4271</v>
      </c>
      <c r="C660" t="s">
        <v>4272</v>
      </c>
      <c r="D660">
        <v>101000</v>
      </c>
      <c r="E660" s="1">
        <f t="shared" si="20"/>
        <v>0.480952380952381</v>
      </c>
      <c r="F660">
        <f t="shared" si="21"/>
        <v>121000</v>
      </c>
    </row>
    <row r="661" spans="1:6">
      <c r="A661" t="s">
        <v>4773</v>
      </c>
      <c r="B661" t="s">
        <v>4271</v>
      </c>
      <c r="C661" t="s">
        <v>4272</v>
      </c>
      <c r="D661">
        <v>283000</v>
      </c>
      <c r="E661" s="1">
        <f t="shared" si="20"/>
        <v>1.34761904761905</v>
      </c>
      <c r="F661">
        <f t="shared" si="21"/>
        <v>337000</v>
      </c>
    </row>
    <row r="662" spans="1:6">
      <c r="A662" t="s">
        <v>4774</v>
      </c>
      <c r="B662" t="s">
        <v>4271</v>
      </c>
      <c r="C662" t="s">
        <v>4272</v>
      </c>
      <c r="D662">
        <v>182000</v>
      </c>
      <c r="E662" s="1">
        <f t="shared" si="20"/>
        <v>0.866666666666667</v>
      </c>
      <c r="F662">
        <f t="shared" si="21"/>
        <v>217000</v>
      </c>
    </row>
    <row r="663" spans="1:6">
      <c r="A663" t="s">
        <v>4775</v>
      </c>
      <c r="B663" t="s">
        <v>4271</v>
      </c>
      <c r="C663" t="s">
        <v>4272</v>
      </c>
      <c r="D663">
        <v>182000</v>
      </c>
      <c r="E663" s="1">
        <f t="shared" si="20"/>
        <v>0.866666666666667</v>
      </c>
      <c r="F663">
        <f t="shared" si="21"/>
        <v>217000</v>
      </c>
    </row>
    <row r="664" spans="1:6">
      <c r="A664" t="s">
        <v>4776</v>
      </c>
      <c r="B664" t="s">
        <v>4271</v>
      </c>
      <c r="C664" t="s">
        <v>4272</v>
      </c>
      <c r="D664">
        <v>101000</v>
      </c>
      <c r="E664" s="1">
        <f t="shared" si="20"/>
        <v>0.480952380952381</v>
      </c>
      <c r="F664">
        <f t="shared" si="21"/>
        <v>121000</v>
      </c>
    </row>
    <row r="665" spans="1:6">
      <c r="A665" t="s">
        <v>4777</v>
      </c>
      <c r="B665" t="s">
        <v>4271</v>
      </c>
      <c r="C665" t="s">
        <v>4272</v>
      </c>
      <c r="D665">
        <v>243000</v>
      </c>
      <c r="E665" s="1">
        <f t="shared" si="20"/>
        <v>1.15714285714286</v>
      </c>
      <c r="F665">
        <f t="shared" si="21"/>
        <v>290000</v>
      </c>
    </row>
    <row r="666" spans="1:6">
      <c r="A666" t="s">
        <v>4778</v>
      </c>
      <c r="B666" t="s">
        <v>4271</v>
      </c>
      <c r="C666" t="s">
        <v>4272</v>
      </c>
      <c r="D666">
        <v>323000</v>
      </c>
      <c r="E666" s="1">
        <f t="shared" si="20"/>
        <v>1.53809523809524</v>
      </c>
      <c r="F666">
        <f t="shared" si="21"/>
        <v>385000</v>
      </c>
    </row>
    <row r="667" spans="1:6">
      <c r="A667" t="s">
        <v>4779</v>
      </c>
      <c r="B667" t="s">
        <v>4271</v>
      </c>
      <c r="C667" t="s">
        <v>4272</v>
      </c>
      <c r="D667">
        <v>303000</v>
      </c>
      <c r="E667" s="1">
        <f t="shared" si="20"/>
        <v>1.44285714285714</v>
      </c>
      <c r="F667">
        <f t="shared" si="21"/>
        <v>361000</v>
      </c>
    </row>
    <row r="668" spans="1:6">
      <c r="A668" t="s">
        <v>4780</v>
      </c>
      <c r="B668" t="s">
        <v>4271</v>
      </c>
      <c r="C668" t="s">
        <v>4272</v>
      </c>
      <c r="D668">
        <v>243000</v>
      </c>
      <c r="E668" s="1">
        <f t="shared" si="20"/>
        <v>1.15714285714286</v>
      </c>
      <c r="F668">
        <f t="shared" si="21"/>
        <v>290000</v>
      </c>
    </row>
    <row r="669" spans="1:6">
      <c r="A669" t="s">
        <v>4781</v>
      </c>
      <c r="B669" t="s">
        <v>4271</v>
      </c>
      <c r="C669" t="s">
        <v>4272</v>
      </c>
      <c r="D669">
        <v>323000</v>
      </c>
      <c r="E669" s="1">
        <f t="shared" si="20"/>
        <v>1.53809523809524</v>
      </c>
      <c r="F669">
        <f t="shared" si="21"/>
        <v>385000</v>
      </c>
    </row>
    <row r="670" spans="1:6">
      <c r="A670" t="s">
        <v>4782</v>
      </c>
      <c r="B670" t="s">
        <v>4271</v>
      </c>
      <c r="C670" t="s">
        <v>4272</v>
      </c>
      <c r="D670">
        <v>303000</v>
      </c>
      <c r="E670" s="1">
        <f t="shared" si="20"/>
        <v>1.44285714285714</v>
      </c>
      <c r="F670">
        <f t="shared" si="21"/>
        <v>361000</v>
      </c>
    </row>
    <row r="671" spans="1:6">
      <c r="A671" t="s">
        <v>4783</v>
      </c>
      <c r="B671" t="s">
        <v>4271</v>
      </c>
      <c r="C671" t="s">
        <v>4272</v>
      </c>
      <c r="D671">
        <v>303000</v>
      </c>
      <c r="E671" s="1">
        <f t="shared" si="20"/>
        <v>1.44285714285714</v>
      </c>
      <c r="F671">
        <f t="shared" si="21"/>
        <v>361000</v>
      </c>
    </row>
    <row r="672" spans="1:6">
      <c r="A672" t="s">
        <v>4784</v>
      </c>
      <c r="B672" t="s">
        <v>4271</v>
      </c>
      <c r="C672" t="s">
        <v>4272</v>
      </c>
      <c r="D672">
        <v>122000</v>
      </c>
      <c r="E672" s="1">
        <f t="shared" si="20"/>
        <v>0.580952380952381</v>
      </c>
      <c r="F672">
        <f t="shared" si="21"/>
        <v>146000</v>
      </c>
    </row>
    <row r="673" spans="1:6">
      <c r="A673" t="s">
        <v>4785</v>
      </c>
      <c r="B673" t="s">
        <v>4271</v>
      </c>
      <c r="C673" t="s">
        <v>4272</v>
      </c>
      <c r="D673">
        <v>122000</v>
      </c>
      <c r="E673" s="1">
        <f t="shared" si="20"/>
        <v>0.580952380952381</v>
      </c>
      <c r="F673">
        <f t="shared" si="21"/>
        <v>146000</v>
      </c>
    </row>
    <row r="674" spans="1:6">
      <c r="A674" t="s">
        <v>4786</v>
      </c>
      <c r="B674" t="s">
        <v>4271</v>
      </c>
      <c r="C674" t="s">
        <v>4272</v>
      </c>
      <c r="D674">
        <v>142000</v>
      </c>
      <c r="E674" s="1">
        <f t="shared" si="20"/>
        <v>0.676190476190476</v>
      </c>
      <c r="F674">
        <f t="shared" si="21"/>
        <v>170000</v>
      </c>
    </row>
    <row r="675" spans="1:6">
      <c r="A675" t="s">
        <v>4787</v>
      </c>
      <c r="B675" t="s">
        <v>4271</v>
      </c>
      <c r="C675" t="s">
        <v>4272</v>
      </c>
      <c r="D675">
        <v>283000</v>
      </c>
      <c r="E675" s="1">
        <f t="shared" si="20"/>
        <v>1.34761904761905</v>
      </c>
      <c r="F675">
        <f t="shared" si="21"/>
        <v>337000</v>
      </c>
    </row>
    <row r="676" spans="1:6">
      <c r="A676" t="s">
        <v>4788</v>
      </c>
      <c r="B676" t="s">
        <v>4271</v>
      </c>
      <c r="C676" t="s">
        <v>4272</v>
      </c>
      <c r="D676">
        <v>364000</v>
      </c>
      <c r="E676" s="1">
        <f t="shared" si="20"/>
        <v>1.73333333333333</v>
      </c>
      <c r="F676">
        <f t="shared" si="21"/>
        <v>434000</v>
      </c>
    </row>
    <row r="677" spans="1:6">
      <c r="A677" t="s">
        <v>4789</v>
      </c>
      <c r="B677" t="s">
        <v>4271</v>
      </c>
      <c r="C677" t="s">
        <v>4272</v>
      </c>
      <c r="D677">
        <v>303000</v>
      </c>
      <c r="E677" s="1">
        <f t="shared" si="20"/>
        <v>1.44285714285714</v>
      </c>
      <c r="F677">
        <f t="shared" si="21"/>
        <v>361000</v>
      </c>
    </row>
    <row r="678" spans="1:6">
      <c r="A678" t="s">
        <v>4790</v>
      </c>
      <c r="B678" t="s">
        <v>4271</v>
      </c>
      <c r="C678" t="s">
        <v>4272</v>
      </c>
      <c r="D678">
        <v>202000</v>
      </c>
      <c r="E678" s="1">
        <f t="shared" si="20"/>
        <v>0.961904761904762</v>
      </c>
      <c r="F678">
        <f t="shared" si="21"/>
        <v>241000</v>
      </c>
    </row>
    <row r="679" spans="1:6">
      <c r="A679" t="s">
        <v>4791</v>
      </c>
      <c r="B679" t="s">
        <v>4271</v>
      </c>
      <c r="C679" t="s">
        <v>4272</v>
      </c>
      <c r="D679">
        <v>101000</v>
      </c>
      <c r="E679" s="1">
        <f t="shared" si="20"/>
        <v>0.480952380952381</v>
      </c>
      <c r="F679">
        <f t="shared" si="21"/>
        <v>121000</v>
      </c>
    </row>
    <row r="680" spans="1:6">
      <c r="A680" t="s">
        <v>4792</v>
      </c>
      <c r="B680" t="s">
        <v>4271</v>
      </c>
      <c r="C680" t="s">
        <v>4272</v>
      </c>
      <c r="D680">
        <v>101000</v>
      </c>
      <c r="E680" s="1">
        <f t="shared" si="20"/>
        <v>0.480952380952381</v>
      </c>
      <c r="F680">
        <f t="shared" si="21"/>
        <v>121000</v>
      </c>
    </row>
    <row r="681" spans="1:6">
      <c r="A681" t="s">
        <v>4793</v>
      </c>
      <c r="B681" t="s">
        <v>4271</v>
      </c>
      <c r="C681" t="s">
        <v>4272</v>
      </c>
      <c r="D681">
        <v>101000</v>
      </c>
      <c r="E681" s="1">
        <f t="shared" si="20"/>
        <v>0.480952380952381</v>
      </c>
      <c r="F681">
        <f t="shared" si="21"/>
        <v>121000</v>
      </c>
    </row>
    <row r="682" spans="1:6">
      <c r="A682" t="s">
        <v>4794</v>
      </c>
      <c r="B682" t="s">
        <v>4271</v>
      </c>
      <c r="C682" t="s">
        <v>4272</v>
      </c>
      <c r="D682">
        <v>283000</v>
      </c>
      <c r="E682" s="1">
        <f t="shared" si="20"/>
        <v>1.34761904761905</v>
      </c>
      <c r="F682">
        <f t="shared" si="21"/>
        <v>337000</v>
      </c>
    </row>
    <row r="683" spans="1:6">
      <c r="A683" t="s">
        <v>4795</v>
      </c>
      <c r="B683" t="s">
        <v>4271</v>
      </c>
      <c r="C683" t="s">
        <v>4272</v>
      </c>
      <c r="D683">
        <v>323000</v>
      </c>
      <c r="E683" s="1">
        <f t="shared" si="20"/>
        <v>1.53809523809524</v>
      </c>
      <c r="F683">
        <f t="shared" si="21"/>
        <v>385000</v>
      </c>
    </row>
    <row r="684" spans="1:6">
      <c r="A684" t="s">
        <v>4796</v>
      </c>
      <c r="B684" t="s">
        <v>4271</v>
      </c>
      <c r="C684" t="s">
        <v>4272</v>
      </c>
      <c r="D684">
        <v>283000</v>
      </c>
      <c r="E684" s="1">
        <f t="shared" si="20"/>
        <v>1.34761904761905</v>
      </c>
      <c r="F684">
        <f t="shared" si="21"/>
        <v>337000</v>
      </c>
    </row>
    <row r="685" spans="1:6">
      <c r="A685" t="s">
        <v>4797</v>
      </c>
      <c r="B685" t="s">
        <v>4271</v>
      </c>
      <c r="C685" t="s">
        <v>4272</v>
      </c>
      <c r="D685">
        <v>142000</v>
      </c>
      <c r="E685" s="1">
        <f t="shared" si="20"/>
        <v>0.676190476190476</v>
      </c>
      <c r="F685">
        <f t="shared" si="21"/>
        <v>170000</v>
      </c>
    </row>
    <row r="686" spans="1:6">
      <c r="A686" t="s">
        <v>4798</v>
      </c>
      <c r="B686" t="s">
        <v>4271</v>
      </c>
      <c r="C686" t="s">
        <v>4272</v>
      </c>
      <c r="D686">
        <v>525000</v>
      </c>
      <c r="E686" s="1">
        <f t="shared" si="20"/>
        <v>2.5</v>
      </c>
      <c r="F686">
        <f t="shared" si="21"/>
        <v>625000</v>
      </c>
    </row>
    <row r="687" spans="1:6">
      <c r="A687" t="s">
        <v>4799</v>
      </c>
      <c r="B687" t="s">
        <v>4271</v>
      </c>
      <c r="C687" t="s">
        <v>4272</v>
      </c>
      <c r="D687">
        <v>162000</v>
      </c>
      <c r="E687" s="1">
        <f t="shared" si="20"/>
        <v>0.771428571428571</v>
      </c>
      <c r="F687">
        <f t="shared" si="21"/>
        <v>193000</v>
      </c>
    </row>
    <row r="688" spans="1:6">
      <c r="A688" t="s">
        <v>4800</v>
      </c>
      <c r="B688" t="s">
        <v>4271</v>
      </c>
      <c r="C688" t="s">
        <v>4272</v>
      </c>
      <c r="D688">
        <v>202000</v>
      </c>
      <c r="E688" s="1">
        <f t="shared" si="20"/>
        <v>0.961904761904762</v>
      </c>
      <c r="F688">
        <f t="shared" si="21"/>
        <v>241000</v>
      </c>
    </row>
    <row r="689" spans="1:6">
      <c r="A689" t="s">
        <v>4801</v>
      </c>
      <c r="B689" t="s">
        <v>4271</v>
      </c>
      <c r="C689" t="s">
        <v>4272</v>
      </c>
      <c r="D689">
        <v>61000</v>
      </c>
      <c r="E689" s="1">
        <f t="shared" si="20"/>
        <v>0.29047619047619</v>
      </c>
      <c r="F689">
        <f t="shared" si="21"/>
        <v>73000</v>
      </c>
    </row>
    <row r="690" spans="1:6">
      <c r="A690" t="s">
        <v>4802</v>
      </c>
      <c r="B690" t="s">
        <v>4271</v>
      </c>
      <c r="C690" t="s">
        <v>4272</v>
      </c>
      <c r="D690">
        <v>101000</v>
      </c>
      <c r="E690" s="1">
        <f t="shared" si="20"/>
        <v>0.480952380952381</v>
      </c>
      <c r="F690">
        <f t="shared" si="21"/>
        <v>121000</v>
      </c>
    </row>
    <row r="691" spans="1:6">
      <c r="A691" t="s">
        <v>4803</v>
      </c>
      <c r="B691" t="s">
        <v>4271</v>
      </c>
      <c r="C691" t="s">
        <v>4272</v>
      </c>
      <c r="D691">
        <v>243000</v>
      </c>
      <c r="E691" s="1">
        <f t="shared" si="20"/>
        <v>1.15714285714286</v>
      </c>
      <c r="F691">
        <f t="shared" si="21"/>
        <v>290000</v>
      </c>
    </row>
    <row r="692" spans="1:6">
      <c r="A692" t="s">
        <v>4804</v>
      </c>
      <c r="B692" t="s">
        <v>4271</v>
      </c>
      <c r="C692" t="s">
        <v>4272</v>
      </c>
      <c r="D692">
        <v>243000</v>
      </c>
      <c r="E692" s="1">
        <f t="shared" si="20"/>
        <v>1.15714285714286</v>
      </c>
      <c r="F692">
        <f t="shared" si="21"/>
        <v>290000</v>
      </c>
    </row>
    <row r="693" spans="1:6">
      <c r="A693" t="s">
        <v>4805</v>
      </c>
      <c r="B693" t="s">
        <v>4271</v>
      </c>
      <c r="C693" t="s">
        <v>4272</v>
      </c>
      <c r="D693">
        <v>243000</v>
      </c>
      <c r="E693" s="1">
        <f t="shared" si="20"/>
        <v>1.15714285714286</v>
      </c>
      <c r="F693">
        <f t="shared" si="21"/>
        <v>290000</v>
      </c>
    </row>
    <row r="694" spans="1:6">
      <c r="A694" t="s">
        <v>4806</v>
      </c>
      <c r="B694" t="s">
        <v>4271</v>
      </c>
      <c r="C694" t="s">
        <v>4272</v>
      </c>
      <c r="D694">
        <v>243000</v>
      </c>
      <c r="E694" s="1">
        <f t="shared" si="20"/>
        <v>1.15714285714286</v>
      </c>
      <c r="F694">
        <f t="shared" si="21"/>
        <v>290000</v>
      </c>
    </row>
    <row r="695" spans="1:6">
      <c r="A695" t="s">
        <v>4807</v>
      </c>
      <c r="B695" t="s">
        <v>4271</v>
      </c>
      <c r="C695" t="s">
        <v>4272</v>
      </c>
      <c r="D695">
        <v>243000</v>
      </c>
      <c r="E695" s="1">
        <f t="shared" si="20"/>
        <v>1.15714285714286</v>
      </c>
      <c r="F695">
        <f t="shared" si="21"/>
        <v>290000</v>
      </c>
    </row>
    <row r="696" spans="1:6">
      <c r="A696" t="s">
        <v>4808</v>
      </c>
      <c r="B696" t="s">
        <v>4271</v>
      </c>
      <c r="C696" t="s">
        <v>4272</v>
      </c>
      <c r="D696">
        <v>243000</v>
      </c>
      <c r="E696" s="1">
        <f t="shared" si="20"/>
        <v>1.15714285714286</v>
      </c>
      <c r="F696">
        <f t="shared" si="21"/>
        <v>290000</v>
      </c>
    </row>
    <row r="697" spans="1:6">
      <c r="A697" t="s">
        <v>4809</v>
      </c>
      <c r="B697" t="s">
        <v>4271</v>
      </c>
      <c r="C697" t="s">
        <v>4272</v>
      </c>
      <c r="D697">
        <v>303000</v>
      </c>
      <c r="E697" s="1">
        <f t="shared" si="20"/>
        <v>1.44285714285714</v>
      </c>
      <c r="F697">
        <f t="shared" si="21"/>
        <v>361000</v>
      </c>
    </row>
    <row r="698" spans="1:6">
      <c r="A698" t="s">
        <v>4810</v>
      </c>
      <c r="B698" t="s">
        <v>4271</v>
      </c>
      <c r="C698" t="s">
        <v>4272</v>
      </c>
      <c r="D698">
        <v>41000</v>
      </c>
      <c r="E698" s="1">
        <f t="shared" si="20"/>
        <v>0.195238095238095</v>
      </c>
      <c r="F698">
        <f t="shared" si="21"/>
        <v>49000</v>
      </c>
    </row>
    <row r="699" spans="1:6">
      <c r="A699" t="s">
        <v>4811</v>
      </c>
      <c r="B699" t="s">
        <v>4271</v>
      </c>
      <c r="C699" t="s">
        <v>4272</v>
      </c>
      <c r="D699">
        <v>41000</v>
      </c>
      <c r="E699" s="1">
        <f t="shared" si="20"/>
        <v>0.195238095238095</v>
      </c>
      <c r="F699">
        <f t="shared" si="21"/>
        <v>49000</v>
      </c>
    </row>
    <row r="700" spans="1:6">
      <c r="A700" t="s">
        <v>4812</v>
      </c>
      <c r="B700" t="s">
        <v>4271</v>
      </c>
      <c r="C700" t="s">
        <v>4272</v>
      </c>
      <c r="D700">
        <v>41000</v>
      </c>
      <c r="E700" s="1">
        <f t="shared" si="20"/>
        <v>0.195238095238095</v>
      </c>
      <c r="F700">
        <f t="shared" si="21"/>
        <v>49000</v>
      </c>
    </row>
    <row r="701" spans="1:6">
      <c r="A701" t="s">
        <v>4813</v>
      </c>
      <c r="B701" t="s">
        <v>4271</v>
      </c>
      <c r="C701" t="s">
        <v>4272</v>
      </c>
      <c r="D701">
        <v>41000</v>
      </c>
      <c r="E701" s="1">
        <f t="shared" si="20"/>
        <v>0.195238095238095</v>
      </c>
      <c r="F701">
        <f t="shared" si="21"/>
        <v>49000</v>
      </c>
    </row>
    <row r="702" spans="1:6">
      <c r="A702" t="s">
        <v>4814</v>
      </c>
      <c r="B702" t="s">
        <v>4271</v>
      </c>
      <c r="C702" t="s">
        <v>4272</v>
      </c>
      <c r="D702">
        <v>41000</v>
      </c>
      <c r="E702" s="1">
        <f t="shared" si="20"/>
        <v>0.195238095238095</v>
      </c>
      <c r="F702">
        <f t="shared" si="21"/>
        <v>49000</v>
      </c>
    </row>
    <row r="703" spans="1:6">
      <c r="A703" t="s">
        <v>4815</v>
      </c>
      <c r="B703" t="s">
        <v>4271</v>
      </c>
      <c r="C703" t="s">
        <v>4272</v>
      </c>
      <c r="D703">
        <v>41000</v>
      </c>
      <c r="E703" s="1">
        <f t="shared" si="20"/>
        <v>0.195238095238095</v>
      </c>
      <c r="F703">
        <f t="shared" si="21"/>
        <v>49000</v>
      </c>
    </row>
    <row r="704" spans="1:6">
      <c r="A704" t="s">
        <v>4816</v>
      </c>
      <c r="B704" t="s">
        <v>4271</v>
      </c>
      <c r="C704" t="s">
        <v>4272</v>
      </c>
      <c r="D704">
        <v>81000</v>
      </c>
      <c r="E704" s="1">
        <f t="shared" si="20"/>
        <v>0.385714285714286</v>
      </c>
      <c r="F704">
        <f t="shared" si="21"/>
        <v>97000</v>
      </c>
    </row>
    <row r="705" spans="1:6">
      <c r="A705" t="s">
        <v>4817</v>
      </c>
      <c r="B705" t="s">
        <v>4271</v>
      </c>
      <c r="C705" t="s">
        <v>4272</v>
      </c>
      <c r="D705">
        <v>41000</v>
      </c>
      <c r="E705" s="1">
        <f t="shared" si="20"/>
        <v>0.195238095238095</v>
      </c>
      <c r="F705">
        <f t="shared" si="21"/>
        <v>49000</v>
      </c>
    </row>
    <row r="706" spans="1:6">
      <c r="A706" t="s">
        <v>4818</v>
      </c>
      <c r="B706" t="s">
        <v>4271</v>
      </c>
      <c r="C706" t="s">
        <v>4272</v>
      </c>
      <c r="D706">
        <v>41000</v>
      </c>
      <c r="E706" s="1">
        <f t="shared" ref="E706:E769" si="22">D706/210000</f>
        <v>0.195238095238095</v>
      </c>
      <c r="F706">
        <f t="shared" si="21"/>
        <v>49000</v>
      </c>
    </row>
    <row r="707" spans="1:6">
      <c r="A707" t="s">
        <v>4819</v>
      </c>
      <c r="B707" t="s">
        <v>4271</v>
      </c>
      <c r="C707" t="s">
        <v>4272</v>
      </c>
      <c r="D707">
        <v>41000</v>
      </c>
      <c r="E707" s="1">
        <f t="shared" si="22"/>
        <v>0.195238095238095</v>
      </c>
      <c r="F707">
        <f t="shared" ref="F707:F770" si="23">CEILING(E707*250000,1000)</f>
        <v>49000</v>
      </c>
    </row>
    <row r="708" spans="1:6">
      <c r="A708" t="s">
        <v>4820</v>
      </c>
      <c r="B708" t="s">
        <v>4271</v>
      </c>
      <c r="C708" t="s">
        <v>4272</v>
      </c>
      <c r="D708">
        <v>21000</v>
      </c>
      <c r="E708" s="1">
        <f t="shared" si="22"/>
        <v>0.1</v>
      </c>
      <c r="F708">
        <f t="shared" si="23"/>
        <v>25000</v>
      </c>
    </row>
    <row r="709" spans="1:6">
      <c r="A709" t="s">
        <v>4821</v>
      </c>
      <c r="B709" t="s">
        <v>4271</v>
      </c>
      <c r="C709" t="s">
        <v>4272</v>
      </c>
      <c r="D709">
        <v>41000</v>
      </c>
      <c r="E709" s="1">
        <f t="shared" si="22"/>
        <v>0.195238095238095</v>
      </c>
      <c r="F709">
        <f t="shared" si="23"/>
        <v>49000</v>
      </c>
    </row>
    <row r="710" spans="1:6">
      <c r="A710" t="s">
        <v>4822</v>
      </c>
      <c r="B710" t="s">
        <v>4271</v>
      </c>
      <c r="C710" t="s">
        <v>4272</v>
      </c>
      <c r="D710">
        <v>21000</v>
      </c>
      <c r="E710" s="1">
        <f t="shared" si="22"/>
        <v>0.1</v>
      </c>
      <c r="F710">
        <f t="shared" si="23"/>
        <v>25000</v>
      </c>
    </row>
    <row r="711" spans="1:6">
      <c r="A711" t="s">
        <v>4823</v>
      </c>
      <c r="B711" t="s">
        <v>4271</v>
      </c>
      <c r="C711" t="s">
        <v>4272</v>
      </c>
      <c r="D711">
        <v>41000</v>
      </c>
      <c r="E711" s="1">
        <f t="shared" si="22"/>
        <v>0.195238095238095</v>
      </c>
      <c r="F711">
        <f t="shared" si="23"/>
        <v>49000</v>
      </c>
    </row>
    <row r="712" spans="1:6">
      <c r="A712" t="s">
        <v>4824</v>
      </c>
      <c r="B712" t="s">
        <v>4271</v>
      </c>
      <c r="C712" t="s">
        <v>4272</v>
      </c>
      <c r="D712">
        <v>41000</v>
      </c>
      <c r="E712" s="1">
        <f t="shared" si="22"/>
        <v>0.195238095238095</v>
      </c>
      <c r="F712">
        <f t="shared" si="23"/>
        <v>49000</v>
      </c>
    </row>
    <row r="713" spans="1:6">
      <c r="A713" t="s">
        <v>4825</v>
      </c>
      <c r="B713" t="s">
        <v>4271</v>
      </c>
      <c r="C713" t="s">
        <v>4272</v>
      </c>
      <c r="D713">
        <v>41000</v>
      </c>
      <c r="E713" s="1">
        <f t="shared" si="22"/>
        <v>0.195238095238095</v>
      </c>
      <c r="F713">
        <f t="shared" si="23"/>
        <v>49000</v>
      </c>
    </row>
    <row r="714" spans="1:6">
      <c r="A714" t="s">
        <v>4826</v>
      </c>
      <c r="B714" t="s">
        <v>4271</v>
      </c>
      <c r="C714" t="s">
        <v>4272</v>
      </c>
      <c r="D714">
        <v>41000</v>
      </c>
      <c r="E714" s="1">
        <f t="shared" si="22"/>
        <v>0.195238095238095</v>
      </c>
      <c r="F714">
        <f t="shared" si="23"/>
        <v>49000</v>
      </c>
    </row>
    <row r="715" spans="1:6">
      <c r="A715" t="s">
        <v>4827</v>
      </c>
      <c r="B715" t="s">
        <v>4271</v>
      </c>
      <c r="C715" t="s">
        <v>4272</v>
      </c>
      <c r="D715">
        <v>41000</v>
      </c>
      <c r="E715" s="1">
        <f t="shared" si="22"/>
        <v>0.195238095238095</v>
      </c>
      <c r="F715">
        <f t="shared" si="23"/>
        <v>49000</v>
      </c>
    </row>
    <row r="716" spans="1:6">
      <c r="A716" t="s">
        <v>4828</v>
      </c>
      <c r="B716" t="s">
        <v>4271</v>
      </c>
      <c r="C716" t="s">
        <v>4272</v>
      </c>
      <c r="D716">
        <v>41000</v>
      </c>
      <c r="E716" s="1">
        <f t="shared" si="22"/>
        <v>0.195238095238095</v>
      </c>
      <c r="F716">
        <f t="shared" si="23"/>
        <v>49000</v>
      </c>
    </row>
    <row r="717" spans="1:6">
      <c r="A717" t="s">
        <v>4829</v>
      </c>
      <c r="B717" t="s">
        <v>4271</v>
      </c>
      <c r="C717" t="s">
        <v>4272</v>
      </c>
      <c r="D717">
        <v>41000</v>
      </c>
      <c r="E717" s="1">
        <f t="shared" si="22"/>
        <v>0.195238095238095</v>
      </c>
      <c r="F717">
        <f t="shared" si="23"/>
        <v>49000</v>
      </c>
    </row>
    <row r="718" spans="1:6">
      <c r="A718" t="s">
        <v>4830</v>
      </c>
      <c r="B718" t="s">
        <v>4271</v>
      </c>
      <c r="C718" t="s">
        <v>4272</v>
      </c>
      <c r="D718">
        <v>122000</v>
      </c>
      <c r="E718" s="1">
        <f t="shared" si="22"/>
        <v>0.580952380952381</v>
      </c>
      <c r="F718">
        <f t="shared" si="23"/>
        <v>146000</v>
      </c>
    </row>
    <row r="719" spans="1:6">
      <c r="A719" t="s">
        <v>4831</v>
      </c>
      <c r="B719" t="s">
        <v>4271</v>
      </c>
      <c r="C719" t="s">
        <v>4272</v>
      </c>
      <c r="D719">
        <v>162000</v>
      </c>
      <c r="E719" s="1">
        <f t="shared" si="22"/>
        <v>0.771428571428571</v>
      </c>
      <c r="F719">
        <f t="shared" si="23"/>
        <v>193000</v>
      </c>
    </row>
    <row r="720" spans="1:6">
      <c r="A720" t="s">
        <v>4832</v>
      </c>
      <c r="B720" t="s">
        <v>4271</v>
      </c>
      <c r="C720" t="s">
        <v>4272</v>
      </c>
      <c r="D720">
        <v>182000</v>
      </c>
      <c r="E720" s="1">
        <f t="shared" si="22"/>
        <v>0.866666666666667</v>
      </c>
      <c r="F720">
        <f t="shared" si="23"/>
        <v>217000</v>
      </c>
    </row>
    <row r="721" spans="1:6">
      <c r="A721" t="s">
        <v>4833</v>
      </c>
      <c r="B721" t="s">
        <v>4271</v>
      </c>
      <c r="C721" t="s">
        <v>4272</v>
      </c>
      <c r="D721">
        <v>162000</v>
      </c>
      <c r="E721" s="1">
        <f t="shared" si="22"/>
        <v>0.771428571428571</v>
      </c>
      <c r="F721">
        <f t="shared" si="23"/>
        <v>193000</v>
      </c>
    </row>
    <row r="722" spans="1:6">
      <c r="A722" t="s">
        <v>4834</v>
      </c>
      <c r="B722" t="s">
        <v>4271</v>
      </c>
      <c r="C722" t="s">
        <v>4272</v>
      </c>
      <c r="D722">
        <v>162000</v>
      </c>
      <c r="E722" s="1">
        <f t="shared" si="22"/>
        <v>0.771428571428571</v>
      </c>
      <c r="F722">
        <f t="shared" si="23"/>
        <v>193000</v>
      </c>
    </row>
    <row r="723" spans="1:6">
      <c r="A723" t="s">
        <v>4835</v>
      </c>
      <c r="B723" t="s">
        <v>4271</v>
      </c>
      <c r="C723" t="s">
        <v>4272</v>
      </c>
      <c r="D723">
        <v>122000</v>
      </c>
      <c r="E723" s="1">
        <f t="shared" si="22"/>
        <v>0.580952380952381</v>
      </c>
      <c r="F723">
        <f t="shared" si="23"/>
        <v>146000</v>
      </c>
    </row>
    <row r="724" spans="1:6">
      <c r="A724" t="s">
        <v>4836</v>
      </c>
      <c r="B724" t="s">
        <v>4271</v>
      </c>
      <c r="C724" t="s">
        <v>4272</v>
      </c>
      <c r="D724">
        <v>101000</v>
      </c>
      <c r="E724" s="1">
        <f t="shared" si="22"/>
        <v>0.480952380952381</v>
      </c>
      <c r="F724">
        <f t="shared" si="23"/>
        <v>121000</v>
      </c>
    </row>
    <row r="725" spans="1:6">
      <c r="A725" t="s">
        <v>4837</v>
      </c>
      <c r="B725" t="s">
        <v>4271</v>
      </c>
      <c r="C725" t="s">
        <v>4272</v>
      </c>
      <c r="D725">
        <v>222000</v>
      </c>
      <c r="E725" s="1">
        <f t="shared" si="22"/>
        <v>1.05714285714286</v>
      </c>
      <c r="F725">
        <f t="shared" si="23"/>
        <v>265000</v>
      </c>
    </row>
    <row r="726" spans="1:6">
      <c r="A726" t="s">
        <v>4838</v>
      </c>
      <c r="B726" t="s">
        <v>4271</v>
      </c>
      <c r="C726" t="s">
        <v>4272</v>
      </c>
      <c r="D726">
        <v>566000</v>
      </c>
      <c r="E726" s="1">
        <f t="shared" si="22"/>
        <v>2.6952380952381</v>
      </c>
      <c r="F726">
        <f t="shared" si="23"/>
        <v>674000</v>
      </c>
    </row>
    <row r="727" spans="1:6">
      <c r="A727" t="s">
        <v>4839</v>
      </c>
      <c r="B727" t="s">
        <v>4271</v>
      </c>
      <c r="C727" t="s">
        <v>4272</v>
      </c>
      <c r="D727">
        <v>243000</v>
      </c>
      <c r="E727" s="1">
        <f t="shared" si="22"/>
        <v>1.15714285714286</v>
      </c>
      <c r="F727">
        <f t="shared" si="23"/>
        <v>290000</v>
      </c>
    </row>
    <row r="728" spans="1:6">
      <c r="A728" t="s">
        <v>4840</v>
      </c>
      <c r="B728" t="s">
        <v>4271</v>
      </c>
      <c r="C728" t="s">
        <v>4272</v>
      </c>
      <c r="D728">
        <v>222000</v>
      </c>
      <c r="E728" s="1">
        <f t="shared" si="22"/>
        <v>1.05714285714286</v>
      </c>
      <c r="F728">
        <f t="shared" si="23"/>
        <v>265000</v>
      </c>
    </row>
    <row r="729" spans="1:6">
      <c r="A729" t="s">
        <v>4841</v>
      </c>
      <c r="B729" t="s">
        <v>4271</v>
      </c>
      <c r="C729" t="s">
        <v>4272</v>
      </c>
      <c r="D729">
        <v>182000</v>
      </c>
      <c r="E729" s="1">
        <f t="shared" si="22"/>
        <v>0.866666666666667</v>
      </c>
      <c r="F729">
        <f t="shared" si="23"/>
        <v>217000</v>
      </c>
    </row>
    <row r="730" spans="1:6">
      <c r="A730" t="s">
        <v>4842</v>
      </c>
      <c r="B730" t="s">
        <v>4271</v>
      </c>
      <c r="C730" t="s">
        <v>4272</v>
      </c>
      <c r="D730">
        <v>202000</v>
      </c>
      <c r="E730" s="1">
        <f t="shared" si="22"/>
        <v>0.961904761904762</v>
      </c>
      <c r="F730">
        <f t="shared" si="23"/>
        <v>241000</v>
      </c>
    </row>
    <row r="731" spans="1:6">
      <c r="A731" t="s">
        <v>4843</v>
      </c>
      <c r="B731" t="s">
        <v>4271</v>
      </c>
      <c r="C731" t="s">
        <v>4272</v>
      </c>
      <c r="D731">
        <v>162000</v>
      </c>
      <c r="E731" s="1">
        <f t="shared" si="22"/>
        <v>0.771428571428571</v>
      </c>
      <c r="F731">
        <f t="shared" si="23"/>
        <v>193000</v>
      </c>
    </row>
    <row r="732" spans="1:6">
      <c r="A732" t="s">
        <v>4844</v>
      </c>
      <c r="B732" t="s">
        <v>4271</v>
      </c>
      <c r="C732" t="s">
        <v>4272</v>
      </c>
      <c r="D732">
        <v>182000</v>
      </c>
      <c r="E732" s="1">
        <f t="shared" si="22"/>
        <v>0.866666666666667</v>
      </c>
      <c r="F732">
        <f t="shared" si="23"/>
        <v>217000</v>
      </c>
    </row>
    <row r="733" spans="1:6">
      <c r="A733" t="s">
        <v>4845</v>
      </c>
      <c r="B733" t="s">
        <v>4271</v>
      </c>
      <c r="C733" t="s">
        <v>4272</v>
      </c>
      <c r="D733">
        <v>142000</v>
      </c>
      <c r="E733" s="1">
        <f t="shared" si="22"/>
        <v>0.676190476190476</v>
      </c>
      <c r="F733">
        <f t="shared" si="23"/>
        <v>170000</v>
      </c>
    </row>
    <row r="734" spans="1:6">
      <c r="A734" t="s">
        <v>4846</v>
      </c>
      <c r="B734" t="s">
        <v>4271</v>
      </c>
      <c r="C734" t="s">
        <v>4272</v>
      </c>
      <c r="D734">
        <v>182000</v>
      </c>
      <c r="E734" s="1">
        <f t="shared" si="22"/>
        <v>0.866666666666667</v>
      </c>
      <c r="F734">
        <f t="shared" si="23"/>
        <v>217000</v>
      </c>
    </row>
    <row r="735" spans="1:6">
      <c r="A735" t="s">
        <v>4847</v>
      </c>
      <c r="B735" t="s">
        <v>4271</v>
      </c>
      <c r="C735" t="s">
        <v>4272</v>
      </c>
      <c r="D735">
        <v>202000</v>
      </c>
      <c r="E735" s="1">
        <f t="shared" si="22"/>
        <v>0.961904761904762</v>
      </c>
      <c r="F735">
        <f t="shared" si="23"/>
        <v>241000</v>
      </c>
    </row>
    <row r="736" spans="1:6">
      <c r="A736" t="s">
        <v>4848</v>
      </c>
      <c r="B736" t="s">
        <v>4271</v>
      </c>
      <c r="C736" t="s">
        <v>4272</v>
      </c>
      <c r="D736">
        <v>101000</v>
      </c>
      <c r="E736" s="1">
        <f t="shared" si="22"/>
        <v>0.480952380952381</v>
      </c>
      <c r="F736">
        <f t="shared" si="23"/>
        <v>121000</v>
      </c>
    </row>
    <row r="737" spans="1:6">
      <c r="A737" t="s">
        <v>4849</v>
      </c>
      <c r="B737" t="s">
        <v>4271</v>
      </c>
      <c r="C737" t="s">
        <v>4272</v>
      </c>
      <c r="D737">
        <v>101000</v>
      </c>
      <c r="E737" s="1">
        <f t="shared" si="22"/>
        <v>0.480952380952381</v>
      </c>
      <c r="F737">
        <f t="shared" si="23"/>
        <v>121000</v>
      </c>
    </row>
    <row r="738" spans="1:6">
      <c r="A738" t="s">
        <v>4850</v>
      </c>
      <c r="B738" t="s">
        <v>4271</v>
      </c>
      <c r="C738" t="s">
        <v>4272</v>
      </c>
      <c r="D738">
        <v>101000</v>
      </c>
      <c r="E738" s="1">
        <f t="shared" si="22"/>
        <v>0.480952380952381</v>
      </c>
      <c r="F738">
        <f t="shared" si="23"/>
        <v>121000</v>
      </c>
    </row>
    <row r="739" spans="1:6">
      <c r="A739" t="s">
        <v>4851</v>
      </c>
      <c r="B739" t="s">
        <v>4271</v>
      </c>
      <c r="C739" t="s">
        <v>4272</v>
      </c>
      <c r="D739">
        <v>101000</v>
      </c>
      <c r="E739" s="1">
        <f t="shared" si="22"/>
        <v>0.480952380952381</v>
      </c>
      <c r="F739">
        <f t="shared" si="23"/>
        <v>121000</v>
      </c>
    </row>
    <row r="740" spans="1:6">
      <c r="A740" t="s">
        <v>4852</v>
      </c>
      <c r="B740" t="s">
        <v>4271</v>
      </c>
      <c r="C740" t="s">
        <v>4272</v>
      </c>
      <c r="D740">
        <v>101000</v>
      </c>
      <c r="E740" s="1">
        <f t="shared" si="22"/>
        <v>0.480952380952381</v>
      </c>
      <c r="F740">
        <f t="shared" si="23"/>
        <v>121000</v>
      </c>
    </row>
    <row r="741" spans="1:6">
      <c r="A741" t="s">
        <v>4853</v>
      </c>
      <c r="B741" t="s">
        <v>4271</v>
      </c>
      <c r="C741" t="s">
        <v>4272</v>
      </c>
      <c r="D741">
        <v>101000</v>
      </c>
      <c r="E741" s="1">
        <f t="shared" si="22"/>
        <v>0.480952380952381</v>
      </c>
      <c r="F741">
        <f t="shared" si="23"/>
        <v>121000</v>
      </c>
    </row>
    <row r="742" spans="1:6">
      <c r="A742" t="s">
        <v>4854</v>
      </c>
      <c r="B742" t="s">
        <v>4271</v>
      </c>
      <c r="C742" t="s">
        <v>4272</v>
      </c>
      <c r="D742">
        <v>41000</v>
      </c>
      <c r="E742" s="1">
        <f t="shared" si="22"/>
        <v>0.195238095238095</v>
      </c>
      <c r="F742">
        <f t="shared" si="23"/>
        <v>49000</v>
      </c>
    </row>
    <row r="743" spans="1:6">
      <c r="A743" t="s">
        <v>4855</v>
      </c>
      <c r="B743" t="s">
        <v>4271</v>
      </c>
      <c r="C743" t="s">
        <v>4272</v>
      </c>
      <c r="D743">
        <v>41000</v>
      </c>
      <c r="E743" s="1">
        <f t="shared" si="22"/>
        <v>0.195238095238095</v>
      </c>
      <c r="F743">
        <f t="shared" si="23"/>
        <v>49000</v>
      </c>
    </row>
    <row r="744" spans="1:6">
      <c r="A744" t="s">
        <v>4856</v>
      </c>
      <c r="B744" t="s">
        <v>4271</v>
      </c>
      <c r="C744" t="s">
        <v>4272</v>
      </c>
      <c r="D744">
        <v>41000</v>
      </c>
      <c r="E744" s="1">
        <f t="shared" si="22"/>
        <v>0.195238095238095</v>
      </c>
      <c r="F744">
        <f t="shared" si="23"/>
        <v>49000</v>
      </c>
    </row>
    <row r="745" spans="1:6">
      <c r="A745" t="s">
        <v>4857</v>
      </c>
      <c r="B745" t="s">
        <v>4271</v>
      </c>
      <c r="C745" t="s">
        <v>4272</v>
      </c>
      <c r="D745">
        <v>41000</v>
      </c>
      <c r="E745" s="1">
        <f t="shared" si="22"/>
        <v>0.195238095238095</v>
      </c>
      <c r="F745">
        <f t="shared" si="23"/>
        <v>49000</v>
      </c>
    </row>
    <row r="746" spans="1:6">
      <c r="A746" t="s">
        <v>4858</v>
      </c>
      <c r="B746" t="s">
        <v>4271</v>
      </c>
      <c r="C746" t="s">
        <v>4272</v>
      </c>
      <c r="D746">
        <v>41000</v>
      </c>
      <c r="E746" s="1">
        <f t="shared" si="22"/>
        <v>0.195238095238095</v>
      </c>
      <c r="F746">
        <f t="shared" si="23"/>
        <v>49000</v>
      </c>
    </row>
    <row r="747" spans="1:6">
      <c r="A747" t="s">
        <v>4859</v>
      </c>
      <c r="B747" t="s">
        <v>4271</v>
      </c>
      <c r="C747" t="s">
        <v>4272</v>
      </c>
      <c r="D747">
        <v>41000</v>
      </c>
      <c r="E747" s="1">
        <f t="shared" si="22"/>
        <v>0.195238095238095</v>
      </c>
      <c r="F747">
        <f t="shared" si="23"/>
        <v>49000</v>
      </c>
    </row>
    <row r="748" spans="1:6">
      <c r="A748" t="s">
        <v>4860</v>
      </c>
      <c r="B748" t="s">
        <v>4271</v>
      </c>
      <c r="C748" t="s">
        <v>4272</v>
      </c>
      <c r="D748">
        <v>101000</v>
      </c>
      <c r="E748" s="1">
        <f t="shared" si="22"/>
        <v>0.480952380952381</v>
      </c>
      <c r="F748">
        <f t="shared" si="23"/>
        <v>121000</v>
      </c>
    </row>
    <row r="749" spans="1:6">
      <c r="A749" t="s">
        <v>4861</v>
      </c>
      <c r="B749" t="s">
        <v>4271</v>
      </c>
      <c r="C749" t="s">
        <v>4272</v>
      </c>
      <c r="D749">
        <v>81000</v>
      </c>
      <c r="E749" s="1">
        <f t="shared" si="22"/>
        <v>0.385714285714286</v>
      </c>
      <c r="F749">
        <f t="shared" si="23"/>
        <v>97000</v>
      </c>
    </row>
    <row r="750" spans="1:6">
      <c r="A750" t="s">
        <v>4862</v>
      </c>
      <c r="B750" t="s">
        <v>4271</v>
      </c>
      <c r="C750" t="s">
        <v>4272</v>
      </c>
      <c r="D750">
        <v>81000</v>
      </c>
      <c r="E750" s="1">
        <f t="shared" si="22"/>
        <v>0.385714285714286</v>
      </c>
      <c r="F750">
        <f t="shared" si="23"/>
        <v>97000</v>
      </c>
    </row>
    <row r="751" spans="1:6">
      <c r="A751" t="s">
        <v>4863</v>
      </c>
      <c r="B751" t="s">
        <v>4271</v>
      </c>
      <c r="C751" t="s">
        <v>4272</v>
      </c>
      <c r="D751">
        <v>101000</v>
      </c>
      <c r="E751" s="1">
        <f t="shared" si="22"/>
        <v>0.480952380952381</v>
      </c>
      <c r="F751">
        <f t="shared" si="23"/>
        <v>121000</v>
      </c>
    </row>
    <row r="752" spans="1:6">
      <c r="A752" t="s">
        <v>4864</v>
      </c>
      <c r="B752" t="s">
        <v>4271</v>
      </c>
      <c r="C752" t="s">
        <v>4272</v>
      </c>
      <c r="D752">
        <v>122000</v>
      </c>
      <c r="E752" s="1">
        <f t="shared" si="22"/>
        <v>0.580952380952381</v>
      </c>
      <c r="F752">
        <f t="shared" si="23"/>
        <v>146000</v>
      </c>
    </row>
    <row r="753" spans="1:6">
      <c r="A753" t="s">
        <v>4865</v>
      </c>
      <c r="B753" t="s">
        <v>4271</v>
      </c>
      <c r="C753" t="s">
        <v>4272</v>
      </c>
      <c r="D753">
        <v>101000</v>
      </c>
      <c r="E753" s="1">
        <f t="shared" si="22"/>
        <v>0.480952380952381</v>
      </c>
      <c r="F753">
        <f t="shared" si="23"/>
        <v>121000</v>
      </c>
    </row>
    <row r="754" spans="1:6">
      <c r="A754" t="s">
        <v>4866</v>
      </c>
      <c r="B754" t="s">
        <v>4271</v>
      </c>
      <c r="C754" t="s">
        <v>4272</v>
      </c>
      <c r="D754">
        <v>101000</v>
      </c>
      <c r="E754" s="1">
        <f t="shared" si="22"/>
        <v>0.480952380952381</v>
      </c>
      <c r="F754">
        <f t="shared" si="23"/>
        <v>121000</v>
      </c>
    </row>
    <row r="755" spans="1:6">
      <c r="A755" t="s">
        <v>4867</v>
      </c>
      <c r="B755" t="s">
        <v>4271</v>
      </c>
      <c r="C755" t="s">
        <v>4272</v>
      </c>
      <c r="D755">
        <v>122000</v>
      </c>
      <c r="E755" s="1">
        <f t="shared" si="22"/>
        <v>0.580952380952381</v>
      </c>
      <c r="F755">
        <f t="shared" si="23"/>
        <v>146000</v>
      </c>
    </row>
    <row r="756" spans="1:6">
      <c r="A756" t="s">
        <v>4868</v>
      </c>
      <c r="B756" t="s">
        <v>4271</v>
      </c>
      <c r="C756" t="s">
        <v>4272</v>
      </c>
      <c r="D756">
        <v>101000</v>
      </c>
      <c r="E756" s="1">
        <f t="shared" si="22"/>
        <v>0.480952380952381</v>
      </c>
      <c r="F756">
        <f t="shared" si="23"/>
        <v>121000</v>
      </c>
    </row>
    <row r="757" spans="1:6">
      <c r="A757" t="s">
        <v>4869</v>
      </c>
      <c r="B757" t="s">
        <v>4271</v>
      </c>
      <c r="C757" t="s">
        <v>4272</v>
      </c>
      <c r="D757">
        <v>61000</v>
      </c>
      <c r="E757" s="1">
        <f t="shared" si="22"/>
        <v>0.29047619047619</v>
      </c>
      <c r="F757">
        <f t="shared" si="23"/>
        <v>73000</v>
      </c>
    </row>
    <row r="758" spans="1:6">
      <c r="A758" t="s">
        <v>4870</v>
      </c>
      <c r="B758" t="s">
        <v>4271</v>
      </c>
      <c r="C758" t="s">
        <v>4272</v>
      </c>
      <c r="D758">
        <v>41000</v>
      </c>
      <c r="E758" s="1">
        <f t="shared" si="22"/>
        <v>0.195238095238095</v>
      </c>
      <c r="F758">
        <f t="shared" si="23"/>
        <v>49000</v>
      </c>
    </row>
    <row r="759" spans="1:6">
      <c r="A759" t="s">
        <v>4871</v>
      </c>
      <c r="B759" t="s">
        <v>4271</v>
      </c>
      <c r="C759" t="s">
        <v>4272</v>
      </c>
      <c r="D759">
        <v>81000</v>
      </c>
      <c r="E759" s="1">
        <f t="shared" si="22"/>
        <v>0.385714285714286</v>
      </c>
      <c r="F759">
        <f t="shared" si="23"/>
        <v>97000</v>
      </c>
    </row>
    <row r="760" spans="1:6">
      <c r="A760" t="s">
        <v>4872</v>
      </c>
      <c r="B760" t="s">
        <v>4271</v>
      </c>
      <c r="C760" t="s">
        <v>4272</v>
      </c>
      <c r="D760">
        <v>61000</v>
      </c>
      <c r="E760" s="1">
        <f t="shared" si="22"/>
        <v>0.29047619047619</v>
      </c>
      <c r="F760">
        <f t="shared" si="23"/>
        <v>73000</v>
      </c>
    </row>
    <row r="761" spans="1:6">
      <c r="A761" t="s">
        <v>4873</v>
      </c>
      <c r="B761" t="s">
        <v>4271</v>
      </c>
      <c r="C761" t="s">
        <v>4272</v>
      </c>
      <c r="D761">
        <v>61000</v>
      </c>
      <c r="E761" s="1">
        <f t="shared" si="22"/>
        <v>0.29047619047619</v>
      </c>
      <c r="F761">
        <f t="shared" si="23"/>
        <v>73000</v>
      </c>
    </row>
    <row r="762" spans="1:6">
      <c r="A762" t="s">
        <v>4874</v>
      </c>
      <c r="B762" t="s">
        <v>4271</v>
      </c>
      <c r="C762" t="s">
        <v>4272</v>
      </c>
      <c r="D762">
        <v>61000</v>
      </c>
      <c r="E762" s="1">
        <f t="shared" si="22"/>
        <v>0.29047619047619</v>
      </c>
      <c r="F762">
        <f t="shared" si="23"/>
        <v>73000</v>
      </c>
    </row>
    <row r="763" spans="1:6">
      <c r="A763" t="s">
        <v>4875</v>
      </c>
      <c r="B763" t="s">
        <v>4271</v>
      </c>
      <c r="C763" t="s">
        <v>4272</v>
      </c>
      <c r="D763">
        <v>61000</v>
      </c>
      <c r="E763" s="1">
        <f t="shared" si="22"/>
        <v>0.29047619047619</v>
      </c>
      <c r="F763">
        <f t="shared" si="23"/>
        <v>73000</v>
      </c>
    </row>
    <row r="764" spans="1:6">
      <c r="A764" t="s">
        <v>4876</v>
      </c>
      <c r="B764" t="s">
        <v>4271</v>
      </c>
      <c r="C764" t="s">
        <v>4272</v>
      </c>
      <c r="D764">
        <v>61000</v>
      </c>
      <c r="E764" s="1">
        <f t="shared" si="22"/>
        <v>0.29047619047619</v>
      </c>
      <c r="F764">
        <f t="shared" si="23"/>
        <v>73000</v>
      </c>
    </row>
    <row r="765" spans="1:6">
      <c r="A765" t="s">
        <v>4877</v>
      </c>
      <c r="B765" t="s">
        <v>4271</v>
      </c>
      <c r="C765" t="s">
        <v>4272</v>
      </c>
      <c r="D765">
        <v>61000</v>
      </c>
      <c r="E765" s="1">
        <f t="shared" si="22"/>
        <v>0.29047619047619</v>
      </c>
      <c r="F765">
        <f t="shared" si="23"/>
        <v>73000</v>
      </c>
    </row>
    <row r="766" spans="1:6">
      <c r="A766" t="s">
        <v>4878</v>
      </c>
      <c r="B766" t="s">
        <v>4271</v>
      </c>
      <c r="C766" t="s">
        <v>4272</v>
      </c>
      <c r="D766">
        <v>61000</v>
      </c>
      <c r="E766" s="1">
        <f t="shared" si="22"/>
        <v>0.29047619047619</v>
      </c>
      <c r="F766">
        <f t="shared" si="23"/>
        <v>73000</v>
      </c>
    </row>
    <row r="767" spans="1:6">
      <c r="A767" t="s">
        <v>4879</v>
      </c>
      <c r="B767" t="s">
        <v>4271</v>
      </c>
      <c r="C767" t="s">
        <v>4272</v>
      </c>
      <c r="D767">
        <v>61000</v>
      </c>
      <c r="E767" s="1">
        <f t="shared" si="22"/>
        <v>0.29047619047619</v>
      </c>
      <c r="F767">
        <f t="shared" si="23"/>
        <v>73000</v>
      </c>
    </row>
    <row r="768" spans="1:6">
      <c r="A768" t="s">
        <v>4880</v>
      </c>
      <c r="B768" t="s">
        <v>4271</v>
      </c>
      <c r="C768" t="s">
        <v>4272</v>
      </c>
      <c r="D768">
        <v>61000</v>
      </c>
      <c r="E768" s="1">
        <f t="shared" si="22"/>
        <v>0.29047619047619</v>
      </c>
      <c r="F768">
        <f t="shared" si="23"/>
        <v>73000</v>
      </c>
    </row>
    <row r="769" spans="1:6">
      <c r="A769" t="s">
        <v>4881</v>
      </c>
      <c r="B769" t="s">
        <v>4271</v>
      </c>
      <c r="C769" t="s">
        <v>4272</v>
      </c>
      <c r="D769">
        <v>41000</v>
      </c>
      <c r="E769" s="1">
        <f t="shared" si="22"/>
        <v>0.195238095238095</v>
      </c>
      <c r="F769">
        <f t="shared" si="23"/>
        <v>49000</v>
      </c>
    </row>
    <row r="770" spans="1:6">
      <c r="A770" t="s">
        <v>4882</v>
      </c>
      <c r="B770" t="s">
        <v>4271</v>
      </c>
      <c r="C770" t="s">
        <v>4272</v>
      </c>
      <c r="D770">
        <v>263000</v>
      </c>
      <c r="E770" s="1">
        <f t="shared" ref="E770:E833" si="24">D770/210000</f>
        <v>1.25238095238095</v>
      </c>
      <c r="F770">
        <f t="shared" si="23"/>
        <v>314000</v>
      </c>
    </row>
    <row r="771" spans="1:6">
      <c r="A771" t="s">
        <v>4883</v>
      </c>
      <c r="B771" t="s">
        <v>4271</v>
      </c>
      <c r="C771" t="s">
        <v>4272</v>
      </c>
      <c r="D771">
        <v>101000</v>
      </c>
      <c r="E771" s="1">
        <f t="shared" si="24"/>
        <v>0.480952380952381</v>
      </c>
      <c r="F771">
        <f t="shared" ref="F771:F834" si="25">CEILING(E771*250000,1000)</f>
        <v>121000</v>
      </c>
    </row>
    <row r="772" spans="1:6">
      <c r="A772" t="s">
        <v>4884</v>
      </c>
      <c r="B772" t="s">
        <v>4271</v>
      </c>
      <c r="C772" t="s">
        <v>4272</v>
      </c>
      <c r="D772">
        <v>142000</v>
      </c>
      <c r="E772" s="1">
        <f t="shared" si="24"/>
        <v>0.676190476190476</v>
      </c>
      <c r="F772">
        <f t="shared" si="25"/>
        <v>170000</v>
      </c>
    </row>
    <row r="773" spans="1:6">
      <c r="A773" t="s">
        <v>4885</v>
      </c>
      <c r="B773" t="s">
        <v>4271</v>
      </c>
      <c r="C773" t="s">
        <v>4272</v>
      </c>
      <c r="D773">
        <v>61000</v>
      </c>
      <c r="E773" s="1">
        <f t="shared" si="24"/>
        <v>0.29047619047619</v>
      </c>
      <c r="F773">
        <f t="shared" si="25"/>
        <v>73000</v>
      </c>
    </row>
    <row r="774" spans="1:6">
      <c r="A774" t="s">
        <v>4886</v>
      </c>
      <c r="B774" t="s">
        <v>4271</v>
      </c>
      <c r="C774" t="s">
        <v>4272</v>
      </c>
      <c r="D774">
        <v>727000</v>
      </c>
      <c r="E774" s="1">
        <f t="shared" si="24"/>
        <v>3.46190476190476</v>
      </c>
      <c r="F774">
        <f t="shared" si="25"/>
        <v>866000</v>
      </c>
    </row>
    <row r="775" spans="1:6">
      <c r="A775" t="s">
        <v>4887</v>
      </c>
      <c r="B775" t="s">
        <v>4271</v>
      </c>
      <c r="C775" t="s">
        <v>4272</v>
      </c>
      <c r="D775">
        <v>303000</v>
      </c>
      <c r="E775" s="1">
        <f t="shared" si="24"/>
        <v>1.44285714285714</v>
      </c>
      <c r="F775">
        <f t="shared" si="25"/>
        <v>361000</v>
      </c>
    </row>
    <row r="776" spans="1:6">
      <c r="A776" t="s">
        <v>4888</v>
      </c>
      <c r="B776" t="s">
        <v>4271</v>
      </c>
      <c r="C776" t="s">
        <v>4272</v>
      </c>
      <c r="D776">
        <v>263000</v>
      </c>
      <c r="E776" s="1">
        <f t="shared" si="24"/>
        <v>1.25238095238095</v>
      </c>
      <c r="F776">
        <f t="shared" si="25"/>
        <v>314000</v>
      </c>
    </row>
    <row r="777" spans="1:6">
      <c r="A777" t="s">
        <v>4889</v>
      </c>
      <c r="B777" t="s">
        <v>4271</v>
      </c>
      <c r="C777" t="s">
        <v>4272</v>
      </c>
      <c r="D777">
        <v>303000</v>
      </c>
      <c r="E777" s="1">
        <f t="shared" si="24"/>
        <v>1.44285714285714</v>
      </c>
      <c r="F777">
        <f t="shared" si="25"/>
        <v>361000</v>
      </c>
    </row>
    <row r="778" spans="1:6">
      <c r="A778" t="s">
        <v>4890</v>
      </c>
      <c r="B778" t="s">
        <v>4271</v>
      </c>
      <c r="C778" t="s">
        <v>4272</v>
      </c>
      <c r="D778">
        <v>263000</v>
      </c>
      <c r="E778" s="1">
        <f t="shared" si="24"/>
        <v>1.25238095238095</v>
      </c>
      <c r="F778">
        <f t="shared" si="25"/>
        <v>314000</v>
      </c>
    </row>
    <row r="779" spans="1:6">
      <c r="A779" t="s">
        <v>4891</v>
      </c>
      <c r="B779" t="s">
        <v>4271</v>
      </c>
      <c r="C779" t="s">
        <v>4272</v>
      </c>
      <c r="D779">
        <v>182000</v>
      </c>
      <c r="E779" s="1">
        <f t="shared" si="24"/>
        <v>0.866666666666667</v>
      </c>
      <c r="F779">
        <f t="shared" si="25"/>
        <v>217000</v>
      </c>
    </row>
    <row r="780" spans="1:6">
      <c r="A780" t="s">
        <v>4892</v>
      </c>
      <c r="B780" t="s">
        <v>4271</v>
      </c>
      <c r="C780" t="s">
        <v>4272</v>
      </c>
      <c r="D780">
        <v>283000</v>
      </c>
      <c r="E780" s="1">
        <f t="shared" si="24"/>
        <v>1.34761904761905</v>
      </c>
      <c r="F780">
        <f t="shared" si="25"/>
        <v>337000</v>
      </c>
    </row>
    <row r="781" spans="1:6">
      <c r="A781" t="s">
        <v>4893</v>
      </c>
      <c r="B781" t="s">
        <v>4271</v>
      </c>
      <c r="C781" t="s">
        <v>4272</v>
      </c>
      <c r="D781">
        <v>344000</v>
      </c>
      <c r="E781" s="1">
        <f t="shared" si="24"/>
        <v>1.63809523809524</v>
      </c>
      <c r="F781">
        <f t="shared" si="25"/>
        <v>410000</v>
      </c>
    </row>
    <row r="782" spans="1:6">
      <c r="A782" t="s">
        <v>4894</v>
      </c>
      <c r="B782" t="s">
        <v>4271</v>
      </c>
      <c r="C782" t="s">
        <v>4272</v>
      </c>
      <c r="D782">
        <v>202000</v>
      </c>
      <c r="E782" s="1">
        <f t="shared" si="24"/>
        <v>0.961904761904762</v>
      </c>
      <c r="F782">
        <f t="shared" si="25"/>
        <v>241000</v>
      </c>
    </row>
    <row r="783" spans="1:6">
      <c r="A783" t="s">
        <v>4895</v>
      </c>
      <c r="B783" t="s">
        <v>4271</v>
      </c>
      <c r="C783" t="s">
        <v>4272</v>
      </c>
      <c r="D783">
        <v>162000</v>
      </c>
      <c r="E783" s="1">
        <f t="shared" si="24"/>
        <v>0.771428571428571</v>
      </c>
      <c r="F783">
        <f t="shared" si="25"/>
        <v>193000</v>
      </c>
    </row>
    <row r="784" spans="1:6">
      <c r="A784" t="s">
        <v>4896</v>
      </c>
      <c r="B784" t="s">
        <v>4271</v>
      </c>
      <c r="C784" t="s">
        <v>4272</v>
      </c>
      <c r="D784">
        <v>41000</v>
      </c>
      <c r="E784" s="1">
        <f t="shared" si="24"/>
        <v>0.195238095238095</v>
      </c>
      <c r="F784">
        <f t="shared" si="25"/>
        <v>49000</v>
      </c>
    </row>
    <row r="785" spans="1:6">
      <c r="A785" t="s">
        <v>4897</v>
      </c>
      <c r="B785" t="s">
        <v>4271</v>
      </c>
      <c r="C785" t="s">
        <v>4272</v>
      </c>
      <c r="D785">
        <v>41000</v>
      </c>
      <c r="E785" s="1">
        <f t="shared" si="24"/>
        <v>0.195238095238095</v>
      </c>
      <c r="F785">
        <f t="shared" si="25"/>
        <v>49000</v>
      </c>
    </row>
    <row r="786" spans="1:6">
      <c r="A786" t="s">
        <v>4898</v>
      </c>
      <c r="B786" t="s">
        <v>4271</v>
      </c>
      <c r="C786" t="s">
        <v>4272</v>
      </c>
      <c r="D786">
        <v>41000</v>
      </c>
      <c r="E786" s="1">
        <f t="shared" si="24"/>
        <v>0.195238095238095</v>
      </c>
      <c r="F786">
        <f t="shared" si="25"/>
        <v>49000</v>
      </c>
    </row>
    <row r="787" spans="1:6">
      <c r="A787" t="s">
        <v>4899</v>
      </c>
      <c r="B787" t="s">
        <v>4271</v>
      </c>
      <c r="C787" t="s">
        <v>4272</v>
      </c>
      <c r="D787">
        <v>41000</v>
      </c>
      <c r="E787" s="1">
        <f t="shared" si="24"/>
        <v>0.195238095238095</v>
      </c>
      <c r="F787">
        <f t="shared" si="25"/>
        <v>49000</v>
      </c>
    </row>
    <row r="788" spans="1:6">
      <c r="A788" t="s">
        <v>4900</v>
      </c>
      <c r="B788" t="s">
        <v>4271</v>
      </c>
      <c r="C788" t="s">
        <v>4272</v>
      </c>
      <c r="D788">
        <v>41000</v>
      </c>
      <c r="E788" s="1">
        <f t="shared" si="24"/>
        <v>0.195238095238095</v>
      </c>
      <c r="F788">
        <f t="shared" si="25"/>
        <v>49000</v>
      </c>
    </row>
    <row r="789" spans="1:6">
      <c r="A789" t="s">
        <v>4901</v>
      </c>
      <c r="B789" t="s">
        <v>4271</v>
      </c>
      <c r="C789" t="s">
        <v>4272</v>
      </c>
      <c r="D789">
        <v>41000</v>
      </c>
      <c r="E789" s="1">
        <f t="shared" si="24"/>
        <v>0.195238095238095</v>
      </c>
      <c r="F789">
        <f t="shared" si="25"/>
        <v>49000</v>
      </c>
    </row>
    <row r="790" spans="1:6">
      <c r="A790" t="s">
        <v>4902</v>
      </c>
      <c r="B790" t="s">
        <v>4271</v>
      </c>
      <c r="C790" t="s">
        <v>4272</v>
      </c>
      <c r="D790">
        <v>41000</v>
      </c>
      <c r="E790" s="1">
        <f t="shared" si="24"/>
        <v>0.195238095238095</v>
      </c>
      <c r="F790">
        <f t="shared" si="25"/>
        <v>49000</v>
      </c>
    </row>
    <row r="791" spans="1:6">
      <c r="A791" t="s">
        <v>4903</v>
      </c>
      <c r="B791" t="s">
        <v>4271</v>
      </c>
      <c r="C791" t="s">
        <v>4272</v>
      </c>
      <c r="D791">
        <v>404000</v>
      </c>
      <c r="E791" s="1">
        <f t="shared" si="24"/>
        <v>1.92380952380952</v>
      </c>
      <c r="F791">
        <f t="shared" si="25"/>
        <v>481000</v>
      </c>
    </row>
    <row r="792" spans="1:6">
      <c r="A792" t="s">
        <v>4904</v>
      </c>
      <c r="B792" t="s">
        <v>4271</v>
      </c>
      <c r="C792" t="s">
        <v>4272</v>
      </c>
      <c r="D792">
        <v>505000</v>
      </c>
      <c r="E792" s="1">
        <f t="shared" si="24"/>
        <v>2.4047619047619</v>
      </c>
      <c r="F792">
        <f t="shared" si="25"/>
        <v>602000</v>
      </c>
    </row>
    <row r="793" spans="1:6">
      <c r="A793" t="s">
        <v>4905</v>
      </c>
      <c r="B793" t="s">
        <v>4271</v>
      </c>
      <c r="C793" t="s">
        <v>4272</v>
      </c>
      <c r="D793">
        <v>404000</v>
      </c>
      <c r="E793" s="1">
        <f t="shared" si="24"/>
        <v>1.92380952380952</v>
      </c>
      <c r="F793">
        <f t="shared" si="25"/>
        <v>481000</v>
      </c>
    </row>
    <row r="794" spans="1:6">
      <c r="A794" t="s">
        <v>4906</v>
      </c>
      <c r="B794" t="s">
        <v>4271</v>
      </c>
      <c r="C794" t="s">
        <v>4272</v>
      </c>
      <c r="D794">
        <v>404000</v>
      </c>
      <c r="E794" s="1">
        <f t="shared" si="24"/>
        <v>1.92380952380952</v>
      </c>
      <c r="F794">
        <f t="shared" si="25"/>
        <v>481000</v>
      </c>
    </row>
    <row r="795" spans="1:6">
      <c r="A795" t="s">
        <v>4907</v>
      </c>
      <c r="B795" t="s">
        <v>4271</v>
      </c>
      <c r="C795" t="s">
        <v>4272</v>
      </c>
      <c r="D795">
        <v>505000</v>
      </c>
      <c r="E795" s="1">
        <f t="shared" si="24"/>
        <v>2.4047619047619</v>
      </c>
      <c r="F795">
        <f t="shared" si="25"/>
        <v>602000</v>
      </c>
    </row>
    <row r="796" spans="1:6">
      <c r="A796" t="s">
        <v>4908</v>
      </c>
      <c r="B796" t="s">
        <v>4271</v>
      </c>
      <c r="C796" t="s">
        <v>4272</v>
      </c>
      <c r="D796">
        <v>404000</v>
      </c>
      <c r="E796" s="1">
        <f t="shared" si="24"/>
        <v>1.92380952380952</v>
      </c>
      <c r="F796">
        <f t="shared" si="25"/>
        <v>481000</v>
      </c>
    </row>
    <row r="797" spans="1:6">
      <c r="A797" t="s">
        <v>4909</v>
      </c>
      <c r="B797" t="s">
        <v>4271</v>
      </c>
      <c r="C797" t="s">
        <v>4272</v>
      </c>
      <c r="D797">
        <v>65000</v>
      </c>
      <c r="E797" s="1">
        <f t="shared" si="24"/>
        <v>0.30952380952381</v>
      </c>
      <c r="F797">
        <f t="shared" si="25"/>
        <v>78000</v>
      </c>
    </row>
    <row r="798" spans="1:6">
      <c r="A798" t="s">
        <v>4910</v>
      </c>
      <c r="B798" t="s">
        <v>4271</v>
      </c>
      <c r="C798" t="s">
        <v>4272</v>
      </c>
      <c r="D798">
        <v>41000</v>
      </c>
      <c r="E798" s="1">
        <f t="shared" si="24"/>
        <v>0.195238095238095</v>
      </c>
      <c r="F798">
        <f t="shared" si="25"/>
        <v>49000</v>
      </c>
    </row>
    <row r="799" spans="1:6">
      <c r="A799" t="s">
        <v>4911</v>
      </c>
      <c r="B799" t="s">
        <v>4271</v>
      </c>
      <c r="C799" t="s">
        <v>4272</v>
      </c>
      <c r="D799">
        <v>41000</v>
      </c>
      <c r="E799" s="1">
        <f t="shared" si="24"/>
        <v>0.195238095238095</v>
      </c>
      <c r="F799">
        <f t="shared" si="25"/>
        <v>49000</v>
      </c>
    </row>
    <row r="800" spans="1:6">
      <c r="A800" t="s">
        <v>4912</v>
      </c>
      <c r="B800" t="s">
        <v>4271</v>
      </c>
      <c r="C800" t="s">
        <v>4272</v>
      </c>
      <c r="D800">
        <v>41000</v>
      </c>
      <c r="E800" s="1">
        <f t="shared" si="24"/>
        <v>0.195238095238095</v>
      </c>
      <c r="F800">
        <f t="shared" si="25"/>
        <v>49000</v>
      </c>
    </row>
    <row r="801" spans="1:6">
      <c r="A801" t="s">
        <v>4913</v>
      </c>
      <c r="B801" t="s">
        <v>4271</v>
      </c>
      <c r="C801" t="s">
        <v>4272</v>
      </c>
      <c r="D801">
        <v>101000</v>
      </c>
      <c r="E801" s="1">
        <f t="shared" si="24"/>
        <v>0.480952380952381</v>
      </c>
      <c r="F801">
        <f t="shared" si="25"/>
        <v>121000</v>
      </c>
    </row>
    <row r="802" spans="1:6">
      <c r="A802" t="s">
        <v>4914</v>
      </c>
      <c r="B802" t="s">
        <v>4271</v>
      </c>
      <c r="C802" t="s">
        <v>4272</v>
      </c>
      <c r="D802">
        <v>162000</v>
      </c>
      <c r="E802" s="1">
        <f t="shared" si="24"/>
        <v>0.771428571428571</v>
      </c>
      <c r="F802">
        <f t="shared" si="25"/>
        <v>193000</v>
      </c>
    </row>
    <row r="803" spans="1:6">
      <c r="A803" t="s">
        <v>4915</v>
      </c>
      <c r="B803" t="s">
        <v>4271</v>
      </c>
      <c r="C803" t="s">
        <v>4272</v>
      </c>
      <c r="D803">
        <v>162000</v>
      </c>
      <c r="E803" s="1">
        <f t="shared" si="24"/>
        <v>0.771428571428571</v>
      </c>
      <c r="F803">
        <f t="shared" si="25"/>
        <v>193000</v>
      </c>
    </row>
    <row r="804" spans="1:6">
      <c r="A804" t="s">
        <v>4916</v>
      </c>
      <c r="B804" t="s">
        <v>4271</v>
      </c>
      <c r="C804" t="s">
        <v>4272</v>
      </c>
      <c r="D804">
        <v>122000</v>
      </c>
      <c r="E804" s="1">
        <f t="shared" si="24"/>
        <v>0.580952380952381</v>
      </c>
      <c r="F804">
        <f t="shared" si="25"/>
        <v>146000</v>
      </c>
    </row>
    <row r="805" spans="1:6">
      <c r="A805" t="s">
        <v>4917</v>
      </c>
      <c r="B805" t="s">
        <v>4271</v>
      </c>
      <c r="C805" t="s">
        <v>4272</v>
      </c>
      <c r="D805">
        <v>162000</v>
      </c>
      <c r="E805" s="1">
        <f t="shared" si="24"/>
        <v>0.771428571428571</v>
      </c>
      <c r="F805">
        <f t="shared" si="25"/>
        <v>193000</v>
      </c>
    </row>
    <row r="806" spans="1:6">
      <c r="A806" t="s">
        <v>4918</v>
      </c>
      <c r="B806" t="s">
        <v>4271</v>
      </c>
      <c r="C806" t="s">
        <v>4272</v>
      </c>
      <c r="D806">
        <v>303000</v>
      </c>
      <c r="E806" s="1">
        <f t="shared" si="24"/>
        <v>1.44285714285714</v>
      </c>
      <c r="F806">
        <f t="shared" si="25"/>
        <v>361000</v>
      </c>
    </row>
    <row r="807" spans="1:6">
      <c r="A807" t="s">
        <v>4919</v>
      </c>
      <c r="B807" t="s">
        <v>4271</v>
      </c>
      <c r="C807" t="s">
        <v>4272</v>
      </c>
      <c r="D807">
        <v>202000</v>
      </c>
      <c r="E807" s="1">
        <f t="shared" si="24"/>
        <v>0.961904761904762</v>
      </c>
      <c r="F807">
        <f t="shared" si="25"/>
        <v>241000</v>
      </c>
    </row>
    <row r="808" spans="1:6">
      <c r="A808" t="s">
        <v>4920</v>
      </c>
      <c r="B808" t="s">
        <v>4271</v>
      </c>
      <c r="C808" t="s">
        <v>4272</v>
      </c>
      <c r="D808">
        <v>81000</v>
      </c>
      <c r="E808" s="1">
        <f t="shared" si="24"/>
        <v>0.385714285714286</v>
      </c>
      <c r="F808">
        <f t="shared" si="25"/>
        <v>97000</v>
      </c>
    </row>
    <row r="809" spans="1:6">
      <c r="A809" t="s">
        <v>4921</v>
      </c>
      <c r="B809" t="s">
        <v>4271</v>
      </c>
      <c r="C809" t="s">
        <v>4272</v>
      </c>
      <c r="D809">
        <v>222000</v>
      </c>
      <c r="E809" s="1">
        <f t="shared" si="24"/>
        <v>1.05714285714286</v>
      </c>
      <c r="F809">
        <f t="shared" si="25"/>
        <v>265000</v>
      </c>
    </row>
    <row r="810" spans="1:6">
      <c r="A810" t="s">
        <v>4922</v>
      </c>
      <c r="B810" t="s">
        <v>4271</v>
      </c>
      <c r="C810" t="s">
        <v>4272</v>
      </c>
      <c r="D810">
        <v>101000</v>
      </c>
      <c r="E810" s="1">
        <f t="shared" si="24"/>
        <v>0.480952380952381</v>
      </c>
      <c r="F810">
        <f t="shared" si="25"/>
        <v>121000</v>
      </c>
    </row>
    <row r="811" spans="1:6">
      <c r="A811" t="s">
        <v>4923</v>
      </c>
      <c r="B811" t="s">
        <v>4271</v>
      </c>
      <c r="C811" t="s">
        <v>4272</v>
      </c>
      <c r="D811">
        <v>263000</v>
      </c>
      <c r="E811" s="1">
        <f t="shared" si="24"/>
        <v>1.25238095238095</v>
      </c>
      <c r="F811">
        <f t="shared" si="25"/>
        <v>314000</v>
      </c>
    </row>
    <row r="812" spans="1:6">
      <c r="A812" t="s">
        <v>4924</v>
      </c>
      <c r="B812" t="s">
        <v>4271</v>
      </c>
      <c r="C812" t="s">
        <v>4272</v>
      </c>
      <c r="D812">
        <v>323000</v>
      </c>
      <c r="E812" s="1">
        <f t="shared" si="24"/>
        <v>1.53809523809524</v>
      </c>
      <c r="F812">
        <f t="shared" si="25"/>
        <v>385000</v>
      </c>
    </row>
    <row r="813" spans="1:6">
      <c r="A813" t="s">
        <v>4925</v>
      </c>
      <c r="B813" t="s">
        <v>4271</v>
      </c>
      <c r="C813" t="s">
        <v>4272</v>
      </c>
      <c r="D813">
        <v>243000</v>
      </c>
      <c r="E813" s="1">
        <f t="shared" si="24"/>
        <v>1.15714285714286</v>
      </c>
      <c r="F813">
        <f t="shared" si="25"/>
        <v>290000</v>
      </c>
    </row>
    <row r="814" spans="1:6">
      <c r="A814" t="s">
        <v>4926</v>
      </c>
      <c r="B814" t="s">
        <v>4271</v>
      </c>
      <c r="C814" t="s">
        <v>4272</v>
      </c>
      <c r="D814">
        <v>243000</v>
      </c>
      <c r="E814" s="1">
        <f t="shared" si="24"/>
        <v>1.15714285714286</v>
      </c>
      <c r="F814">
        <f t="shared" si="25"/>
        <v>290000</v>
      </c>
    </row>
    <row r="815" spans="1:6">
      <c r="A815" t="s">
        <v>4927</v>
      </c>
      <c r="B815" t="s">
        <v>4271</v>
      </c>
      <c r="C815" t="s">
        <v>4272</v>
      </c>
      <c r="D815">
        <v>243000</v>
      </c>
      <c r="E815" s="1">
        <f t="shared" si="24"/>
        <v>1.15714285714286</v>
      </c>
      <c r="F815">
        <f t="shared" si="25"/>
        <v>290000</v>
      </c>
    </row>
    <row r="816" spans="1:6">
      <c r="A816" t="s">
        <v>4928</v>
      </c>
      <c r="B816" t="s">
        <v>4271</v>
      </c>
      <c r="C816" t="s">
        <v>4272</v>
      </c>
      <c r="D816">
        <v>243000</v>
      </c>
      <c r="E816" s="1">
        <f t="shared" si="24"/>
        <v>1.15714285714286</v>
      </c>
      <c r="F816">
        <f t="shared" si="25"/>
        <v>290000</v>
      </c>
    </row>
    <row r="817" spans="1:6">
      <c r="A817" t="s">
        <v>4929</v>
      </c>
      <c r="B817" t="s">
        <v>4271</v>
      </c>
      <c r="C817" t="s">
        <v>4272</v>
      </c>
      <c r="D817">
        <v>364000</v>
      </c>
      <c r="E817" s="1">
        <f t="shared" si="24"/>
        <v>1.73333333333333</v>
      </c>
      <c r="F817">
        <f t="shared" si="25"/>
        <v>434000</v>
      </c>
    </row>
    <row r="818" spans="1:6">
      <c r="A818" t="s">
        <v>4930</v>
      </c>
      <c r="B818" t="s">
        <v>4271</v>
      </c>
      <c r="C818" t="s">
        <v>4272</v>
      </c>
      <c r="D818">
        <v>243000</v>
      </c>
      <c r="E818" s="1">
        <f t="shared" si="24"/>
        <v>1.15714285714286</v>
      </c>
      <c r="F818">
        <f t="shared" si="25"/>
        <v>290000</v>
      </c>
    </row>
    <row r="819" spans="1:6">
      <c r="A819" t="s">
        <v>4931</v>
      </c>
      <c r="B819" t="s">
        <v>4271</v>
      </c>
      <c r="C819" t="s">
        <v>4272</v>
      </c>
      <c r="D819">
        <v>404000</v>
      </c>
      <c r="E819" s="1">
        <f t="shared" si="24"/>
        <v>1.92380952380952</v>
      </c>
      <c r="F819">
        <f t="shared" si="25"/>
        <v>481000</v>
      </c>
    </row>
    <row r="820" spans="1:6">
      <c r="A820" t="s">
        <v>4932</v>
      </c>
      <c r="B820" t="s">
        <v>4271</v>
      </c>
      <c r="C820" t="s">
        <v>4272</v>
      </c>
      <c r="D820">
        <v>344000</v>
      </c>
      <c r="E820" s="1">
        <f t="shared" si="24"/>
        <v>1.63809523809524</v>
      </c>
      <c r="F820">
        <f t="shared" si="25"/>
        <v>410000</v>
      </c>
    </row>
    <row r="821" spans="1:6">
      <c r="A821" t="s">
        <v>4933</v>
      </c>
      <c r="B821" t="s">
        <v>4271</v>
      </c>
      <c r="C821" t="s">
        <v>4272</v>
      </c>
      <c r="D821">
        <v>444000</v>
      </c>
      <c r="E821" s="1">
        <f t="shared" si="24"/>
        <v>2.11428571428571</v>
      </c>
      <c r="F821">
        <f t="shared" si="25"/>
        <v>529000</v>
      </c>
    </row>
    <row r="822" spans="1:6">
      <c r="A822" t="s">
        <v>4934</v>
      </c>
      <c r="B822" t="s">
        <v>4271</v>
      </c>
      <c r="C822" t="s">
        <v>4272</v>
      </c>
      <c r="D822">
        <v>444000</v>
      </c>
      <c r="E822" s="1">
        <f t="shared" si="24"/>
        <v>2.11428571428571</v>
      </c>
      <c r="F822">
        <f t="shared" si="25"/>
        <v>529000</v>
      </c>
    </row>
    <row r="823" spans="1:6">
      <c r="A823" t="s">
        <v>4935</v>
      </c>
      <c r="B823" t="s">
        <v>4271</v>
      </c>
      <c r="C823" t="s">
        <v>4272</v>
      </c>
      <c r="D823">
        <v>646000</v>
      </c>
      <c r="E823" s="1">
        <f t="shared" si="24"/>
        <v>3.07619047619048</v>
      </c>
      <c r="F823">
        <f t="shared" si="25"/>
        <v>770000</v>
      </c>
    </row>
    <row r="824" spans="1:6">
      <c r="A824" t="s">
        <v>4936</v>
      </c>
      <c r="B824" t="s">
        <v>4271</v>
      </c>
      <c r="C824" t="s">
        <v>4272</v>
      </c>
      <c r="D824">
        <v>444000</v>
      </c>
      <c r="E824" s="1">
        <f t="shared" si="24"/>
        <v>2.11428571428571</v>
      </c>
      <c r="F824">
        <f t="shared" si="25"/>
        <v>529000</v>
      </c>
    </row>
    <row r="825" spans="1:6">
      <c r="A825" t="s">
        <v>4937</v>
      </c>
      <c r="B825" t="s">
        <v>4271</v>
      </c>
      <c r="C825" t="s">
        <v>4272</v>
      </c>
      <c r="D825">
        <v>687000</v>
      </c>
      <c r="E825" s="1">
        <f t="shared" si="24"/>
        <v>3.27142857142857</v>
      </c>
      <c r="F825">
        <f t="shared" si="25"/>
        <v>818000</v>
      </c>
    </row>
    <row r="826" spans="1:6">
      <c r="A826" t="s">
        <v>4938</v>
      </c>
      <c r="B826" t="s">
        <v>4271</v>
      </c>
      <c r="C826" t="s">
        <v>4272</v>
      </c>
      <c r="D826">
        <v>626000</v>
      </c>
      <c r="E826" s="1">
        <f t="shared" si="24"/>
        <v>2.98095238095238</v>
      </c>
      <c r="F826">
        <f t="shared" si="25"/>
        <v>746000</v>
      </c>
    </row>
    <row r="827" spans="1:6">
      <c r="A827" t="s">
        <v>4939</v>
      </c>
      <c r="B827" t="s">
        <v>4271</v>
      </c>
      <c r="C827" t="s">
        <v>4272</v>
      </c>
      <c r="D827">
        <v>263000</v>
      </c>
      <c r="E827" s="1">
        <f t="shared" si="24"/>
        <v>1.25238095238095</v>
      </c>
      <c r="F827">
        <f t="shared" si="25"/>
        <v>314000</v>
      </c>
    </row>
    <row r="828" spans="1:6">
      <c r="A828" t="s">
        <v>4940</v>
      </c>
      <c r="B828" t="s">
        <v>4271</v>
      </c>
      <c r="C828" t="s">
        <v>4272</v>
      </c>
      <c r="D828">
        <v>384000</v>
      </c>
      <c r="E828" s="1">
        <f t="shared" si="24"/>
        <v>1.82857142857143</v>
      </c>
      <c r="F828">
        <f t="shared" si="25"/>
        <v>458000</v>
      </c>
    </row>
    <row r="829" spans="1:6">
      <c r="A829" t="s">
        <v>4941</v>
      </c>
      <c r="B829" t="s">
        <v>4271</v>
      </c>
      <c r="C829" t="s">
        <v>4272</v>
      </c>
      <c r="D829">
        <v>323000</v>
      </c>
      <c r="E829" s="1">
        <f t="shared" si="24"/>
        <v>1.53809523809524</v>
      </c>
      <c r="F829">
        <f t="shared" si="25"/>
        <v>385000</v>
      </c>
    </row>
    <row r="830" spans="1:6">
      <c r="A830" t="s">
        <v>4942</v>
      </c>
      <c r="B830" t="s">
        <v>4271</v>
      </c>
      <c r="C830" t="s">
        <v>4272</v>
      </c>
      <c r="D830">
        <v>263000</v>
      </c>
      <c r="E830" s="1">
        <f t="shared" si="24"/>
        <v>1.25238095238095</v>
      </c>
      <c r="F830">
        <f t="shared" si="25"/>
        <v>314000</v>
      </c>
    </row>
    <row r="831" spans="1:6">
      <c r="A831" t="s">
        <v>4943</v>
      </c>
      <c r="B831" t="s">
        <v>4271</v>
      </c>
      <c r="C831" t="s">
        <v>4272</v>
      </c>
      <c r="D831">
        <v>404000</v>
      </c>
      <c r="E831" s="1">
        <f t="shared" si="24"/>
        <v>1.92380952380952</v>
      </c>
      <c r="F831">
        <f t="shared" si="25"/>
        <v>481000</v>
      </c>
    </row>
    <row r="832" spans="1:6">
      <c r="A832" t="s">
        <v>4944</v>
      </c>
      <c r="B832" t="s">
        <v>4271</v>
      </c>
      <c r="C832" t="s">
        <v>4272</v>
      </c>
      <c r="D832">
        <v>384000</v>
      </c>
      <c r="E832" s="1">
        <f t="shared" si="24"/>
        <v>1.82857142857143</v>
      </c>
      <c r="F832">
        <f t="shared" si="25"/>
        <v>458000</v>
      </c>
    </row>
    <row r="833" spans="1:6">
      <c r="A833" t="s">
        <v>4945</v>
      </c>
      <c r="B833" t="s">
        <v>4271</v>
      </c>
      <c r="C833" t="s">
        <v>4272</v>
      </c>
      <c r="D833">
        <v>364000</v>
      </c>
      <c r="E833" s="1">
        <f t="shared" si="24"/>
        <v>1.73333333333333</v>
      </c>
      <c r="F833">
        <f t="shared" si="25"/>
        <v>434000</v>
      </c>
    </row>
    <row r="834" spans="1:6">
      <c r="A834" t="s">
        <v>4946</v>
      </c>
      <c r="B834" t="s">
        <v>4271</v>
      </c>
      <c r="C834" t="s">
        <v>4272</v>
      </c>
      <c r="D834">
        <v>465000</v>
      </c>
      <c r="E834" s="1">
        <f t="shared" ref="E834:E897" si="26">D834/210000</f>
        <v>2.21428571428571</v>
      </c>
      <c r="F834">
        <f t="shared" si="25"/>
        <v>554000</v>
      </c>
    </row>
    <row r="835" spans="1:6">
      <c r="A835" t="s">
        <v>4947</v>
      </c>
      <c r="B835" t="s">
        <v>4271</v>
      </c>
      <c r="C835" t="s">
        <v>4272</v>
      </c>
      <c r="D835">
        <v>444000</v>
      </c>
      <c r="E835" s="1">
        <f t="shared" si="26"/>
        <v>2.11428571428571</v>
      </c>
      <c r="F835">
        <f t="shared" ref="F835:F898" si="27">CEILING(E835*250000,1000)</f>
        <v>529000</v>
      </c>
    </row>
    <row r="836" spans="1:6">
      <c r="A836" t="s">
        <v>4948</v>
      </c>
      <c r="B836" t="s">
        <v>4271</v>
      </c>
      <c r="C836" t="s">
        <v>4272</v>
      </c>
      <c r="D836">
        <v>364000</v>
      </c>
      <c r="E836" s="1">
        <f t="shared" si="26"/>
        <v>1.73333333333333</v>
      </c>
      <c r="F836">
        <f t="shared" si="27"/>
        <v>434000</v>
      </c>
    </row>
    <row r="837" spans="1:6">
      <c r="A837" t="s">
        <v>4949</v>
      </c>
      <c r="B837" t="s">
        <v>4271</v>
      </c>
      <c r="C837" t="s">
        <v>4272</v>
      </c>
      <c r="D837">
        <v>465000</v>
      </c>
      <c r="E837" s="1">
        <f t="shared" si="26"/>
        <v>2.21428571428571</v>
      </c>
      <c r="F837">
        <f t="shared" si="27"/>
        <v>554000</v>
      </c>
    </row>
    <row r="838" spans="1:6">
      <c r="A838" t="s">
        <v>4950</v>
      </c>
      <c r="B838" t="s">
        <v>4271</v>
      </c>
      <c r="C838" t="s">
        <v>4272</v>
      </c>
      <c r="D838">
        <v>424000</v>
      </c>
      <c r="E838" s="1">
        <f t="shared" si="26"/>
        <v>2.01904761904762</v>
      </c>
      <c r="F838">
        <f t="shared" si="27"/>
        <v>505000</v>
      </c>
    </row>
    <row r="839" spans="1:6">
      <c r="A839" t="s">
        <v>4951</v>
      </c>
      <c r="B839" t="s">
        <v>4271</v>
      </c>
      <c r="C839" t="s">
        <v>4272</v>
      </c>
      <c r="D839">
        <v>202000</v>
      </c>
      <c r="E839" s="1">
        <f t="shared" si="26"/>
        <v>0.961904761904762</v>
      </c>
      <c r="F839">
        <f t="shared" si="27"/>
        <v>241000</v>
      </c>
    </row>
    <row r="840" spans="1:6">
      <c r="A840" t="s">
        <v>4952</v>
      </c>
      <c r="B840" t="s">
        <v>4271</v>
      </c>
      <c r="C840" t="s">
        <v>4272</v>
      </c>
      <c r="D840">
        <v>303000</v>
      </c>
      <c r="E840" s="1">
        <f t="shared" si="26"/>
        <v>1.44285714285714</v>
      </c>
      <c r="F840">
        <f t="shared" si="27"/>
        <v>361000</v>
      </c>
    </row>
    <row r="841" spans="1:6">
      <c r="A841" t="s">
        <v>4953</v>
      </c>
      <c r="B841" t="s">
        <v>4271</v>
      </c>
      <c r="C841" t="s">
        <v>4272</v>
      </c>
      <c r="D841">
        <v>303000</v>
      </c>
      <c r="E841" s="1">
        <f t="shared" si="26"/>
        <v>1.44285714285714</v>
      </c>
      <c r="F841">
        <f t="shared" si="27"/>
        <v>361000</v>
      </c>
    </row>
    <row r="842" spans="1:6">
      <c r="A842" t="s">
        <v>4954</v>
      </c>
      <c r="B842" t="s">
        <v>4271</v>
      </c>
      <c r="C842" t="s">
        <v>4272</v>
      </c>
      <c r="D842">
        <v>202000</v>
      </c>
      <c r="E842" s="1">
        <f t="shared" si="26"/>
        <v>0.961904761904762</v>
      </c>
      <c r="F842">
        <f t="shared" si="27"/>
        <v>241000</v>
      </c>
    </row>
    <row r="843" spans="1:6">
      <c r="A843" t="s">
        <v>4955</v>
      </c>
      <c r="B843" t="s">
        <v>4271</v>
      </c>
      <c r="C843" t="s">
        <v>4272</v>
      </c>
      <c r="D843">
        <v>303000</v>
      </c>
      <c r="E843" s="1">
        <f t="shared" si="26"/>
        <v>1.44285714285714</v>
      </c>
      <c r="F843">
        <f t="shared" si="27"/>
        <v>361000</v>
      </c>
    </row>
    <row r="844" spans="1:6">
      <c r="A844" t="s">
        <v>4956</v>
      </c>
      <c r="B844" t="s">
        <v>4271</v>
      </c>
      <c r="C844" t="s">
        <v>4272</v>
      </c>
      <c r="D844">
        <v>303000</v>
      </c>
      <c r="E844" s="1">
        <f t="shared" si="26"/>
        <v>1.44285714285714</v>
      </c>
      <c r="F844">
        <f t="shared" si="27"/>
        <v>361000</v>
      </c>
    </row>
    <row r="845" spans="1:6">
      <c r="A845" t="s">
        <v>4957</v>
      </c>
      <c r="B845" t="s">
        <v>4271</v>
      </c>
      <c r="C845" t="s">
        <v>4272</v>
      </c>
      <c r="D845">
        <v>202000</v>
      </c>
      <c r="E845" s="1">
        <f t="shared" si="26"/>
        <v>0.961904761904762</v>
      </c>
      <c r="F845">
        <f t="shared" si="27"/>
        <v>241000</v>
      </c>
    </row>
    <row r="846" spans="1:6">
      <c r="A846" t="s">
        <v>4958</v>
      </c>
      <c r="B846" t="s">
        <v>4271</v>
      </c>
      <c r="C846" t="s">
        <v>4272</v>
      </c>
      <c r="D846">
        <v>101000</v>
      </c>
      <c r="E846" s="1">
        <f t="shared" si="26"/>
        <v>0.480952380952381</v>
      </c>
      <c r="F846">
        <f t="shared" si="27"/>
        <v>121000</v>
      </c>
    </row>
    <row r="847" spans="1:6">
      <c r="A847" t="s">
        <v>4959</v>
      </c>
      <c r="B847" t="s">
        <v>4271</v>
      </c>
      <c r="C847" t="s">
        <v>4272</v>
      </c>
      <c r="D847">
        <v>142000</v>
      </c>
      <c r="E847" s="1">
        <f t="shared" si="26"/>
        <v>0.676190476190476</v>
      </c>
      <c r="F847">
        <f t="shared" si="27"/>
        <v>170000</v>
      </c>
    </row>
    <row r="848" spans="1:6">
      <c r="A848" t="s">
        <v>4960</v>
      </c>
      <c r="B848" t="s">
        <v>4271</v>
      </c>
      <c r="C848" t="s">
        <v>4272</v>
      </c>
      <c r="D848">
        <v>122000</v>
      </c>
      <c r="E848" s="1">
        <f t="shared" si="26"/>
        <v>0.580952380952381</v>
      </c>
      <c r="F848">
        <f t="shared" si="27"/>
        <v>146000</v>
      </c>
    </row>
    <row r="849" spans="1:6">
      <c r="A849" t="s">
        <v>4961</v>
      </c>
      <c r="B849" t="s">
        <v>4271</v>
      </c>
      <c r="C849" t="s">
        <v>4272</v>
      </c>
      <c r="D849">
        <v>101000</v>
      </c>
      <c r="E849" s="1">
        <f t="shared" si="26"/>
        <v>0.480952380952381</v>
      </c>
      <c r="F849">
        <f t="shared" si="27"/>
        <v>121000</v>
      </c>
    </row>
    <row r="850" spans="1:6">
      <c r="A850" t="s">
        <v>4962</v>
      </c>
      <c r="B850" t="s">
        <v>4271</v>
      </c>
      <c r="C850" t="s">
        <v>4272</v>
      </c>
      <c r="D850">
        <v>142000</v>
      </c>
      <c r="E850" s="1">
        <f t="shared" si="26"/>
        <v>0.676190476190476</v>
      </c>
      <c r="F850">
        <f t="shared" si="27"/>
        <v>170000</v>
      </c>
    </row>
    <row r="851" spans="1:6">
      <c r="A851" t="s">
        <v>4963</v>
      </c>
      <c r="B851" t="s">
        <v>4271</v>
      </c>
      <c r="C851" t="s">
        <v>4272</v>
      </c>
      <c r="D851">
        <v>142000</v>
      </c>
      <c r="E851" s="1">
        <f t="shared" si="26"/>
        <v>0.676190476190476</v>
      </c>
      <c r="F851">
        <f t="shared" si="27"/>
        <v>170000</v>
      </c>
    </row>
    <row r="852" spans="1:6">
      <c r="A852" t="s">
        <v>4964</v>
      </c>
      <c r="B852" t="s">
        <v>4271</v>
      </c>
      <c r="C852" t="s">
        <v>4272</v>
      </c>
      <c r="D852">
        <v>202000</v>
      </c>
      <c r="E852" s="1">
        <f t="shared" si="26"/>
        <v>0.961904761904762</v>
      </c>
      <c r="F852">
        <f t="shared" si="27"/>
        <v>241000</v>
      </c>
    </row>
    <row r="853" spans="1:6">
      <c r="A853" t="s">
        <v>4965</v>
      </c>
      <c r="B853" t="s">
        <v>4271</v>
      </c>
      <c r="C853" t="s">
        <v>4272</v>
      </c>
      <c r="D853">
        <v>81000</v>
      </c>
      <c r="E853" s="1">
        <f t="shared" si="26"/>
        <v>0.385714285714286</v>
      </c>
      <c r="F853">
        <f t="shared" si="27"/>
        <v>97000</v>
      </c>
    </row>
    <row r="854" spans="1:6">
      <c r="A854" t="s">
        <v>4966</v>
      </c>
      <c r="B854" t="s">
        <v>4271</v>
      </c>
      <c r="C854" t="s">
        <v>4272</v>
      </c>
      <c r="D854">
        <v>142000</v>
      </c>
      <c r="E854" s="1">
        <f t="shared" si="26"/>
        <v>0.676190476190476</v>
      </c>
      <c r="F854">
        <f t="shared" si="27"/>
        <v>170000</v>
      </c>
    </row>
    <row r="855" spans="1:6">
      <c r="A855" t="s">
        <v>4967</v>
      </c>
      <c r="B855" t="s">
        <v>4271</v>
      </c>
      <c r="C855" t="s">
        <v>4272</v>
      </c>
      <c r="D855">
        <v>142000</v>
      </c>
      <c r="E855" s="1">
        <f t="shared" si="26"/>
        <v>0.676190476190476</v>
      </c>
      <c r="F855">
        <f t="shared" si="27"/>
        <v>170000</v>
      </c>
    </row>
    <row r="856" spans="1:6">
      <c r="A856" t="s">
        <v>4968</v>
      </c>
      <c r="B856" t="s">
        <v>4271</v>
      </c>
      <c r="C856" t="s">
        <v>4272</v>
      </c>
      <c r="D856">
        <v>81000</v>
      </c>
      <c r="E856" s="1">
        <f t="shared" si="26"/>
        <v>0.385714285714286</v>
      </c>
      <c r="F856">
        <f t="shared" si="27"/>
        <v>97000</v>
      </c>
    </row>
    <row r="857" spans="1:6">
      <c r="A857" t="s">
        <v>4969</v>
      </c>
      <c r="B857" t="s">
        <v>4271</v>
      </c>
      <c r="C857" t="s">
        <v>4272</v>
      </c>
      <c r="D857">
        <v>182000</v>
      </c>
      <c r="E857" s="1">
        <f t="shared" si="26"/>
        <v>0.866666666666667</v>
      </c>
      <c r="F857">
        <f t="shared" si="27"/>
        <v>217000</v>
      </c>
    </row>
    <row r="858" spans="1:6">
      <c r="A858" t="s">
        <v>4970</v>
      </c>
      <c r="B858" t="s">
        <v>4271</v>
      </c>
      <c r="C858" t="s">
        <v>4272</v>
      </c>
      <c r="D858">
        <v>81000</v>
      </c>
      <c r="E858" s="1">
        <f t="shared" si="26"/>
        <v>0.385714285714286</v>
      </c>
      <c r="F858">
        <f t="shared" si="27"/>
        <v>97000</v>
      </c>
    </row>
    <row r="859" spans="1:6">
      <c r="A859" t="s">
        <v>4971</v>
      </c>
      <c r="B859" t="s">
        <v>4271</v>
      </c>
      <c r="C859" t="s">
        <v>4272</v>
      </c>
      <c r="D859">
        <v>142000</v>
      </c>
      <c r="E859" s="1">
        <f t="shared" si="26"/>
        <v>0.676190476190476</v>
      </c>
      <c r="F859">
        <f t="shared" si="27"/>
        <v>170000</v>
      </c>
    </row>
    <row r="860" spans="1:6">
      <c r="A860" t="s">
        <v>4972</v>
      </c>
      <c r="B860" t="s">
        <v>4271</v>
      </c>
      <c r="C860" t="s">
        <v>4272</v>
      </c>
      <c r="D860">
        <v>606000</v>
      </c>
      <c r="E860" s="1">
        <f t="shared" si="26"/>
        <v>2.88571428571429</v>
      </c>
      <c r="F860">
        <f t="shared" si="27"/>
        <v>722000</v>
      </c>
    </row>
    <row r="861" spans="1:6">
      <c r="A861" t="s">
        <v>4973</v>
      </c>
      <c r="B861" t="s">
        <v>4271</v>
      </c>
      <c r="C861" t="s">
        <v>4272</v>
      </c>
      <c r="D861">
        <v>606000</v>
      </c>
      <c r="E861" s="1">
        <f t="shared" si="26"/>
        <v>2.88571428571429</v>
      </c>
      <c r="F861">
        <f t="shared" si="27"/>
        <v>722000</v>
      </c>
    </row>
    <row r="862" spans="1:6">
      <c r="A862" t="s">
        <v>4974</v>
      </c>
      <c r="B862" t="s">
        <v>4271</v>
      </c>
      <c r="C862" t="s">
        <v>4272</v>
      </c>
      <c r="D862">
        <v>606000</v>
      </c>
      <c r="E862" s="1">
        <f t="shared" si="26"/>
        <v>2.88571428571429</v>
      </c>
      <c r="F862">
        <f t="shared" si="27"/>
        <v>722000</v>
      </c>
    </row>
    <row r="863" spans="1:6">
      <c r="A863" t="s">
        <v>4975</v>
      </c>
      <c r="B863" t="s">
        <v>4271</v>
      </c>
      <c r="C863" t="s">
        <v>4272</v>
      </c>
      <c r="D863">
        <v>606000</v>
      </c>
      <c r="E863" s="1">
        <f t="shared" si="26"/>
        <v>2.88571428571429</v>
      </c>
      <c r="F863">
        <f t="shared" si="27"/>
        <v>722000</v>
      </c>
    </row>
    <row r="864" spans="1:6">
      <c r="A864" t="s">
        <v>4976</v>
      </c>
      <c r="B864" t="s">
        <v>4271</v>
      </c>
      <c r="C864" t="s">
        <v>4272</v>
      </c>
      <c r="D864">
        <v>606000</v>
      </c>
      <c r="E864" s="1">
        <f t="shared" si="26"/>
        <v>2.88571428571429</v>
      </c>
      <c r="F864">
        <f t="shared" si="27"/>
        <v>722000</v>
      </c>
    </row>
    <row r="865" spans="1:6">
      <c r="A865" t="s">
        <v>4977</v>
      </c>
      <c r="B865" t="s">
        <v>4271</v>
      </c>
      <c r="C865" t="s">
        <v>4272</v>
      </c>
      <c r="D865">
        <v>606000</v>
      </c>
      <c r="E865" s="1">
        <f t="shared" si="26"/>
        <v>2.88571428571429</v>
      </c>
      <c r="F865">
        <f t="shared" si="27"/>
        <v>722000</v>
      </c>
    </row>
    <row r="866" spans="1:6">
      <c r="A866" t="s">
        <v>4978</v>
      </c>
      <c r="B866" t="s">
        <v>4271</v>
      </c>
      <c r="C866" t="s">
        <v>4272</v>
      </c>
      <c r="D866">
        <v>1211000</v>
      </c>
      <c r="E866" s="1">
        <f t="shared" si="26"/>
        <v>5.76666666666667</v>
      </c>
      <c r="F866">
        <f t="shared" si="27"/>
        <v>1442000</v>
      </c>
    </row>
    <row r="867" spans="1:6">
      <c r="A867" t="s">
        <v>4979</v>
      </c>
      <c r="B867" t="s">
        <v>4271</v>
      </c>
      <c r="C867" t="s">
        <v>4272</v>
      </c>
      <c r="D867">
        <v>404000</v>
      </c>
      <c r="E867" s="1">
        <f t="shared" si="26"/>
        <v>1.92380952380952</v>
      </c>
      <c r="F867">
        <f t="shared" si="27"/>
        <v>481000</v>
      </c>
    </row>
    <row r="868" spans="1:6">
      <c r="A868" t="s">
        <v>4980</v>
      </c>
      <c r="B868" t="s">
        <v>4271</v>
      </c>
      <c r="C868" t="s">
        <v>4272</v>
      </c>
      <c r="D868">
        <v>61000</v>
      </c>
      <c r="E868" s="1">
        <f t="shared" si="26"/>
        <v>0.29047619047619</v>
      </c>
      <c r="F868">
        <f t="shared" si="27"/>
        <v>73000</v>
      </c>
    </row>
    <row r="869" spans="1:6">
      <c r="A869" t="s">
        <v>4981</v>
      </c>
      <c r="B869" t="s">
        <v>4271</v>
      </c>
      <c r="C869" t="s">
        <v>4272</v>
      </c>
      <c r="D869">
        <v>202000</v>
      </c>
      <c r="E869" s="1">
        <f t="shared" si="26"/>
        <v>0.961904761904762</v>
      </c>
      <c r="F869">
        <f t="shared" si="27"/>
        <v>241000</v>
      </c>
    </row>
    <row r="870" spans="1:6">
      <c r="A870" t="s">
        <v>4982</v>
      </c>
      <c r="B870" t="s">
        <v>4271</v>
      </c>
      <c r="C870" t="s">
        <v>4272</v>
      </c>
      <c r="D870">
        <v>142000</v>
      </c>
      <c r="E870" s="1">
        <f t="shared" si="26"/>
        <v>0.676190476190476</v>
      </c>
      <c r="F870">
        <f t="shared" si="27"/>
        <v>170000</v>
      </c>
    </row>
    <row r="871" spans="1:6">
      <c r="A871" t="s">
        <v>4983</v>
      </c>
      <c r="B871" t="s">
        <v>4271</v>
      </c>
      <c r="C871" t="s">
        <v>4272</v>
      </c>
      <c r="D871">
        <v>61000</v>
      </c>
      <c r="E871" s="1">
        <f t="shared" si="26"/>
        <v>0.29047619047619</v>
      </c>
      <c r="F871">
        <f t="shared" si="27"/>
        <v>73000</v>
      </c>
    </row>
    <row r="872" spans="1:6">
      <c r="A872" t="s">
        <v>4984</v>
      </c>
      <c r="B872" t="s">
        <v>4271</v>
      </c>
      <c r="C872" t="s">
        <v>4272</v>
      </c>
      <c r="D872">
        <v>202000</v>
      </c>
      <c r="E872" s="1">
        <f t="shared" si="26"/>
        <v>0.961904761904762</v>
      </c>
      <c r="F872">
        <f t="shared" si="27"/>
        <v>241000</v>
      </c>
    </row>
    <row r="873" spans="1:6">
      <c r="A873" t="s">
        <v>4985</v>
      </c>
      <c r="B873" t="s">
        <v>4271</v>
      </c>
      <c r="C873" t="s">
        <v>4272</v>
      </c>
      <c r="D873">
        <v>101000</v>
      </c>
      <c r="E873" s="1">
        <f t="shared" si="26"/>
        <v>0.480952380952381</v>
      </c>
      <c r="F873">
        <f t="shared" si="27"/>
        <v>121000</v>
      </c>
    </row>
    <row r="874" spans="1:6">
      <c r="A874" t="s">
        <v>4986</v>
      </c>
      <c r="B874" t="s">
        <v>4271</v>
      </c>
      <c r="C874" t="s">
        <v>4272</v>
      </c>
      <c r="D874">
        <v>243000</v>
      </c>
      <c r="E874" s="1">
        <f t="shared" si="26"/>
        <v>1.15714285714286</v>
      </c>
      <c r="F874">
        <f t="shared" si="27"/>
        <v>290000</v>
      </c>
    </row>
    <row r="875" spans="1:6">
      <c r="A875" t="s">
        <v>4987</v>
      </c>
      <c r="B875" t="s">
        <v>4271</v>
      </c>
      <c r="C875" t="s">
        <v>4272</v>
      </c>
      <c r="D875">
        <v>81000</v>
      </c>
      <c r="E875" s="1">
        <f t="shared" si="26"/>
        <v>0.385714285714286</v>
      </c>
      <c r="F875">
        <f t="shared" si="27"/>
        <v>97000</v>
      </c>
    </row>
    <row r="876" spans="1:6">
      <c r="A876" t="s">
        <v>4988</v>
      </c>
      <c r="B876" t="s">
        <v>4271</v>
      </c>
      <c r="C876" t="s">
        <v>4272</v>
      </c>
      <c r="D876">
        <v>202000</v>
      </c>
      <c r="E876" s="1">
        <f t="shared" si="26"/>
        <v>0.961904761904762</v>
      </c>
      <c r="F876">
        <f t="shared" si="27"/>
        <v>241000</v>
      </c>
    </row>
    <row r="877" spans="1:6">
      <c r="A877" t="s">
        <v>4989</v>
      </c>
      <c r="B877" t="s">
        <v>4271</v>
      </c>
      <c r="C877" t="s">
        <v>4272</v>
      </c>
      <c r="D877">
        <v>202000</v>
      </c>
      <c r="E877" s="1">
        <f t="shared" si="26"/>
        <v>0.961904761904762</v>
      </c>
      <c r="F877">
        <f t="shared" si="27"/>
        <v>241000</v>
      </c>
    </row>
    <row r="878" spans="1:6">
      <c r="A878" t="s">
        <v>4990</v>
      </c>
      <c r="B878" t="s">
        <v>4271</v>
      </c>
      <c r="C878" t="s">
        <v>4272</v>
      </c>
      <c r="D878">
        <v>243000</v>
      </c>
      <c r="E878" s="1">
        <f t="shared" si="26"/>
        <v>1.15714285714286</v>
      </c>
      <c r="F878">
        <f t="shared" si="27"/>
        <v>290000</v>
      </c>
    </row>
    <row r="879" spans="1:6">
      <c r="A879" t="s">
        <v>4991</v>
      </c>
      <c r="B879" t="s">
        <v>4271</v>
      </c>
      <c r="C879" t="s">
        <v>4272</v>
      </c>
      <c r="D879">
        <v>182000</v>
      </c>
      <c r="E879" s="1">
        <f t="shared" si="26"/>
        <v>0.866666666666667</v>
      </c>
      <c r="F879">
        <f t="shared" si="27"/>
        <v>217000</v>
      </c>
    </row>
    <row r="880" spans="1:6">
      <c r="A880" t="s">
        <v>4992</v>
      </c>
      <c r="B880" t="s">
        <v>4271</v>
      </c>
      <c r="C880" t="s">
        <v>4272</v>
      </c>
      <c r="D880">
        <v>202000</v>
      </c>
      <c r="E880" s="1">
        <f t="shared" si="26"/>
        <v>0.961904761904762</v>
      </c>
      <c r="F880">
        <f t="shared" si="27"/>
        <v>241000</v>
      </c>
    </row>
    <row r="881" spans="1:6">
      <c r="A881" t="s">
        <v>4993</v>
      </c>
      <c r="B881" t="s">
        <v>4271</v>
      </c>
      <c r="C881" t="s">
        <v>4272</v>
      </c>
      <c r="D881">
        <v>202000</v>
      </c>
      <c r="E881" s="1">
        <f t="shared" si="26"/>
        <v>0.961904761904762</v>
      </c>
      <c r="F881">
        <f t="shared" si="27"/>
        <v>241000</v>
      </c>
    </row>
    <row r="882" spans="1:6">
      <c r="A882" t="s">
        <v>4994</v>
      </c>
      <c r="B882" t="s">
        <v>4271</v>
      </c>
      <c r="C882" t="s">
        <v>4272</v>
      </c>
      <c r="D882">
        <v>202000</v>
      </c>
      <c r="E882" s="1">
        <f t="shared" si="26"/>
        <v>0.961904761904762</v>
      </c>
      <c r="F882">
        <f t="shared" si="27"/>
        <v>241000</v>
      </c>
    </row>
    <row r="883" spans="1:6">
      <c r="A883" t="s">
        <v>4995</v>
      </c>
      <c r="B883" t="s">
        <v>4271</v>
      </c>
      <c r="C883" t="s">
        <v>4272</v>
      </c>
      <c r="D883">
        <v>202000</v>
      </c>
      <c r="E883" s="1">
        <f t="shared" si="26"/>
        <v>0.961904761904762</v>
      </c>
      <c r="F883">
        <f t="shared" si="27"/>
        <v>241000</v>
      </c>
    </row>
    <row r="884" spans="1:6">
      <c r="A884" t="s">
        <v>4996</v>
      </c>
      <c r="B884" t="s">
        <v>4271</v>
      </c>
      <c r="C884" t="s">
        <v>4272</v>
      </c>
      <c r="D884">
        <v>101000</v>
      </c>
      <c r="E884" s="1">
        <f t="shared" si="26"/>
        <v>0.480952380952381</v>
      </c>
      <c r="F884">
        <f t="shared" si="27"/>
        <v>121000</v>
      </c>
    </row>
    <row r="885" spans="1:6">
      <c r="A885" t="s">
        <v>4997</v>
      </c>
      <c r="B885" t="s">
        <v>4271</v>
      </c>
      <c r="C885" t="s">
        <v>4272</v>
      </c>
      <c r="D885">
        <v>162000</v>
      </c>
      <c r="E885" s="1">
        <f t="shared" si="26"/>
        <v>0.771428571428571</v>
      </c>
      <c r="F885">
        <f t="shared" si="27"/>
        <v>193000</v>
      </c>
    </row>
    <row r="886" spans="1:6">
      <c r="A886" t="s">
        <v>4998</v>
      </c>
      <c r="B886" t="s">
        <v>4271</v>
      </c>
      <c r="C886" t="s">
        <v>4272</v>
      </c>
      <c r="D886">
        <v>122000</v>
      </c>
      <c r="E886" s="1">
        <f t="shared" si="26"/>
        <v>0.580952380952381</v>
      </c>
      <c r="F886">
        <f t="shared" si="27"/>
        <v>146000</v>
      </c>
    </row>
    <row r="887" spans="1:6">
      <c r="A887" t="s">
        <v>4999</v>
      </c>
      <c r="B887" t="s">
        <v>4271</v>
      </c>
      <c r="C887" t="s">
        <v>4272</v>
      </c>
      <c r="D887">
        <v>101000</v>
      </c>
      <c r="E887" s="1">
        <f t="shared" si="26"/>
        <v>0.480952380952381</v>
      </c>
      <c r="F887">
        <f t="shared" si="27"/>
        <v>121000</v>
      </c>
    </row>
    <row r="888" spans="1:6">
      <c r="A888" t="s">
        <v>5000</v>
      </c>
      <c r="B888" t="s">
        <v>4271</v>
      </c>
      <c r="C888" t="s">
        <v>4272</v>
      </c>
      <c r="D888">
        <v>142000</v>
      </c>
      <c r="E888" s="1">
        <f t="shared" si="26"/>
        <v>0.676190476190476</v>
      </c>
      <c r="F888">
        <f t="shared" si="27"/>
        <v>170000</v>
      </c>
    </row>
    <row r="889" spans="1:6">
      <c r="A889" t="s">
        <v>5001</v>
      </c>
      <c r="B889" t="s">
        <v>4271</v>
      </c>
      <c r="C889" t="s">
        <v>4272</v>
      </c>
      <c r="D889">
        <v>101000</v>
      </c>
      <c r="E889" s="1">
        <f t="shared" si="26"/>
        <v>0.480952380952381</v>
      </c>
      <c r="F889">
        <f t="shared" si="27"/>
        <v>121000</v>
      </c>
    </row>
    <row r="890" spans="1:6">
      <c r="A890" t="s">
        <v>5002</v>
      </c>
      <c r="B890" t="s">
        <v>4271</v>
      </c>
      <c r="C890" t="s">
        <v>4272</v>
      </c>
      <c r="D890">
        <v>202000</v>
      </c>
      <c r="E890" s="1">
        <f t="shared" si="26"/>
        <v>0.961904761904762</v>
      </c>
      <c r="F890">
        <f t="shared" si="27"/>
        <v>241000</v>
      </c>
    </row>
    <row r="891" spans="1:6">
      <c r="A891" t="s">
        <v>5003</v>
      </c>
      <c r="B891" t="s">
        <v>4271</v>
      </c>
      <c r="C891" t="s">
        <v>4272</v>
      </c>
      <c r="D891">
        <v>202000</v>
      </c>
      <c r="E891" s="1">
        <f t="shared" si="26"/>
        <v>0.961904761904762</v>
      </c>
      <c r="F891">
        <f t="shared" si="27"/>
        <v>241000</v>
      </c>
    </row>
    <row r="892" spans="1:6">
      <c r="A892" t="s">
        <v>5004</v>
      </c>
      <c r="B892" t="s">
        <v>4271</v>
      </c>
      <c r="C892" t="s">
        <v>4272</v>
      </c>
      <c r="D892">
        <v>202000</v>
      </c>
      <c r="E892" s="1">
        <f t="shared" si="26"/>
        <v>0.961904761904762</v>
      </c>
      <c r="F892">
        <f t="shared" si="27"/>
        <v>241000</v>
      </c>
    </row>
    <row r="893" spans="1:6">
      <c r="A893" t="s">
        <v>5005</v>
      </c>
      <c r="B893" t="s">
        <v>4271</v>
      </c>
      <c r="C893" t="s">
        <v>4272</v>
      </c>
      <c r="D893">
        <v>202000</v>
      </c>
      <c r="E893" s="1">
        <f t="shared" si="26"/>
        <v>0.961904761904762</v>
      </c>
      <c r="F893">
        <f t="shared" si="27"/>
        <v>241000</v>
      </c>
    </row>
    <row r="894" spans="1:6">
      <c r="A894" t="s">
        <v>5006</v>
      </c>
      <c r="B894" t="s">
        <v>4271</v>
      </c>
      <c r="C894" t="s">
        <v>4272</v>
      </c>
      <c r="D894">
        <v>202000</v>
      </c>
      <c r="E894" s="1">
        <f t="shared" si="26"/>
        <v>0.961904761904762</v>
      </c>
      <c r="F894">
        <f t="shared" si="27"/>
        <v>241000</v>
      </c>
    </row>
    <row r="895" spans="1:6">
      <c r="A895" t="s">
        <v>5007</v>
      </c>
      <c r="B895" t="s">
        <v>4271</v>
      </c>
      <c r="C895" t="s">
        <v>4272</v>
      </c>
      <c r="D895">
        <v>202000</v>
      </c>
      <c r="E895" s="1">
        <f t="shared" si="26"/>
        <v>0.961904761904762</v>
      </c>
      <c r="F895">
        <f t="shared" si="27"/>
        <v>241000</v>
      </c>
    </row>
    <row r="896" spans="1:6">
      <c r="A896" t="s">
        <v>5008</v>
      </c>
      <c r="B896" t="s">
        <v>4271</v>
      </c>
      <c r="C896" t="s">
        <v>4272</v>
      </c>
      <c r="D896">
        <v>404000</v>
      </c>
      <c r="E896" s="1">
        <f t="shared" si="26"/>
        <v>1.92380952380952</v>
      </c>
      <c r="F896">
        <f t="shared" si="27"/>
        <v>481000</v>
      </c>
    </row>
    <row r="897" spans="1:6">
      <c r="A897" t="s">
        <v>5009</v>
      </c>
      <c r="B897" t="s">
        <v>4271</v>
      </c>
      <c r="C897" t="s">
        <v>4272</v>
      </c>
      <c r="D897">
        <v>606000</v>
      </c>
      <c r="E897" s="1">
        <f t="shared" si="26"/>
        <v>2.88571428571429</v>
      </c>
      <c r="F897">
        <f t="shared" si="27"/>
        <v>722000</v>
      </c>
    </row>
    <row r="898" spans="1:6">
      <c r="A898" t="s">
        <v>5010</v>
      </c>
      <c r="B898" t="s">
        <v>4271</v>
      </c>
      <c r="C898" t="s">
        <v>4272</v>
      </c>
      <c r="D898">
        <v>404000</v>
      </c>
      <c r="E898" s="1">
        <f t="shared" ref="E898:E961" si="28">D898/210000</f>
        <v>1.92380952380952</v>
      </c>
      <c r="F898">
        <f t="shared" si="27"/>
        <v>481000</v>
      </c>
    </row>
    <row r="899" spans="1:6">
      <c r="A899" t="s">
        <v>5011</v>
      </c>
      <c r="B899" t="s">
        <v>4271</v>
      </c>
      <c r="C899" t="s">
        <v>4272</v>
      </c>
      <c r="D899">
        <v>303000</v>
      </c>
      <c r="E899" s="1">
        <f t="shared" si="28"/>
        <v>1.44285714285714</v>
      </c>
      <c r="F899">
        <f t="shared" ref="F899:F962" si="29">CEILING(E899*250000,1000)</f>
        <v>361000</v>
      </c>
    </row>
    <row r="900" spans="1:6">
      <c r="A900" t="s">
        <v>5012</v>
      </c>
      <c r="B900" t="s">
        <v>4271</v>
      </c>
      <c r="C900" t="s">
        <v>4272</v>
      </c>
      <c r="D900">
        <v>606000</v>
      </c>
      <c r="E900" s="1">
        <f t="shared" si="28"/>
        <v>2.88571428571429</v>
      </c>
      <c r="F900">
        <f t="shared" si="29"/>
        <v>722000</v>
      </c>
    </row>
    <row r="901" spans="1:6">
      <c r="A901" t="s">
        <v>5013</v>
      </c>
      <c r="B901" t="s">
        <v>4271</v>
      </c>
      <c r="C901" t="s">
        <v>4272</v>
      </c>
      <c r="D901">
        <v>525000</v>
      </c>
      <c r="E901" s="1">
        <f t="shared" si="28"/>
        <v>2.5</v>
      </c>
      <c r="F901">
        <f t="shared" si="29"/>
        <v>625000</v>
      </c>
    </row>
    <row r="902" spans="1:6">
      <c r="A902" t="s">
        <v>5014</v>
      </c>
      <c r="B902" t="s">
        <v>4271</v>
      </c>
      <c r="C902" t="s">
        <v>4272</v>
      </c>
      <c r="D902">
        <v>606000</v>
      </c>
      <c r="E902" s="1">
        <f t="shared" si="28"/>
        <v>2.88571428571429</v>
      </c>
      <c r="F902">
        <f t="shared" si="29"/>
        <v>722000</v>
      </c>
    </row>
    <row r="903" spans="1:6">
      <c r="A903" t="s">
        <v>5015</v>
      </c>
      <c r="B903" t="s">
        <v>4271</v>
      </c>
      <c r="C903" t="s">
        <v>4272</v>
      </c>
      <c r="D903">
        <v>606000</v>
      </c>
      <c r="E903" s="1">
        <f t="shared" si="28"/>
        <v>2.88571428571429</v>
      </c>
      <c r="F903">
        <f t="shared" si="29"/>
        <v>722000</v>
      </c>
    </row>
    <row r="904" spans="1:6">
      <c r="A904" t="s">
        <v>5016</v>
      </c>
      <c r="B904" t="s">
        <v>4271</v>
      </c>
      <c r="C904" t="s">
        <v>4272</v>
      </c>
      <c r="D904">
        <v>303000</v>
      </c>
      <c r="E904" s="1">
        <f t="shared" si="28"/>
        <v>1.44285714285714</v>
      </c>
      <c r="F904">
        <f t="shared" si="29"/>
        <v>361000</v>
      </c>
    </row>
    <row r="905" spans="1:6">
      <c r="A905" t="s">
        <v>5017</v>
      </c>
      <c r="B905" t="s">
        <v>4271</v>
      </c>
      <c r="C905" t="s">
        <v>4272</v>
      </c>
      <c r="D905">
        <v>1231000</v>
      </c>
      <c r="E905" s="1">
        <f t="shared" si="28"/>
        <v>5.86190476190476</v>
      </c>
      <c r="F905">
        <f t="shared" si="29"/>
        <v>1466000</v>
      </c>
    </row>
    <row r="906" spans="1:6">
      <c r="A906" t="s">
        <v>5018</v>
      </c>
      <c r="B906" t="s">
        <v>4271</v>
      </c>
      <c r="C906" t="s">
        <v>4272</v>
      </c>
      <c r="D906">
        <v>606000</v>
      </c>
      <c r="E906" s="1">
        <f t="shared" si="28"/>
        <v>2.88571428571429</v>
      </c>
      <c r="F906">
        <f t="shared" si="29"/>
        <v>722000</v>
      </c>
    </row>
    <row r="907" spans="1:6">
      <c r="A907" t="s">
        <v>5019</v>
      </c>
      <c r="B907" t="s">
        <v>4271</v>
      </c>
      <c r="C907" t="s">
        <v>4272</v>
      </c>
      <c r="D907">
        <v>283000</v>
      </c>
      <c r="E907" s="1">
        <f t="shared" si="28"/>
        <v>1.34761904761905</v>
      </c>
      <c r="F907">
        <f t="shared" si="29"/>
        <v>337000</v>
      </c>
    </row>
    <row r="908" spans="1:6">
      <c r="A908" t="s">
        <v>5020</v>
      </c>
      <c r="B908" t="s">
        <v>4271</v>
      </c>
      <c r="C908" t="s">
        <v>4272</v>
      </c>
      <c r="D908">
        <v>303000</v>
      </c>
      <c r="E908" s="1">
        <f t="shared" si="28"/>
        <v>1.44285714285714</v>
      </c>
      <c r="F908">
        <f t="shared" si="29"/>
        <v>361000</v>
      </c>
    </row>
    <row r="909" spans="1:6">
      <c r="A909" t="s">
        <v>5021</v>
      </c>
      <c r="B909" t="s">
        <v>4271</v>
      </c>
      <c r="C909" t="s">
        <v>4272</v>
      </c>
      <c r="D909">
        <v>606000</v>
      </c>
      <c r="E909" s="1">
        <f t="shared" si="28"/>
        <v>2.88571428571429</v>
      </c>
      <c r="F909">
        <f t="shared" si="29"/>
        <v>722000</v>
      </c>
    </row>
    <row r="910" spans="1:6">
      <c r="A910" t="s">
        <v>5022</v>
      </c>
      <c r="B910" t="s">
        <v>4271</v>
      </c>
      <c r="C910" t="s">
        <v>4272</v>
      </c>
      <c r="D910">
        <v>424000</v>
      </c>
      <c r="E910" s="1">
        <f t="shared" si="28"/>
        <v>2.01904761904762</v>
      </c>
      <c r="F910">
        <f t="shared" si="29"/>
        <v>505000</v>
      </c>
    </row>
    <row r="911" spans="1:6">
      <c r="A911" t="s">
        <v>5023</v>
      </c>
      <c r="B911" t="s">
        <v>4271</v>
      </c>
      <c r="C911" t="s">
        <v>4272</v>
      </c>
      <c r="D911">
        <v>606000</v>
      </c>
      <c r="E911" s="1">
        <f t="shared" si="28"/>
        <v>2.88571428571429</v>
      </c>
      <c r="F911">
        <f t="shared" si="29"/>
        <v>722000</v>
      </c>
    </row>
    <row r="912" spans="1:6">
      <c r="A912" t="s">
        <v>5024</v>
      </c>
      <c r="B912" t="s">
        <v>4271</v>
      </c>
      <c r="C912" t="s">
        <v>4272</v>
      </c>
      <c r="D912">
        <v>606000</v>
      </c>
      <c r="E912" s="1">
        <f t="shared" si="28"/>
        <v>2.88571428571429</v>
      </c>
      <c r="F912">
        <f t="shared" si="29"/>
        <v>722000</v>
      </c>
    </row>
    <row r="913" spans="1:6">
      <c r="A913" t="s">
        <v>5025</v>
      </c>
      <c r="B913" t="s">
        <v>4271</v>
      </c>
      <c r="C913" t="s">
        <v>4272</v>
      </c>
      <c r="D913">
        <v>263000</v>
      </c>
      <c r="E913" s="1">
        <f t="shared" si="28"/>
        <v>1.25238095238095</v>
      </c>
      <c r="F913">
        <f t="shared" si="29"/>
        <v>314000</v>
      </c>
    </row>
    <row r="914" spans="1:6">
      <c r="A914" t="s">
        <v>5026</v>
      </c>
      <c r="B914" t="s">
        <v>4271</v>
      </c>
      <c r="C914" t="s">
        <v>4272</v>
      </c>
      <c r="D914">
        <v>1131000</v>
      </c>
      <c r="E914" s="1">
        <f t="shared" si="28"/>
        <v>5.38571428571429</v>
      </c>
      <c r="F914">
        <f t="shared" si="29"/>
        <v>1347000</v>
      </c>
    </row>
    <row r="915" spans="1:6">
      <c r="A915" t="s">
        <v>5027</v>
      </c>
      <c r="B915" t="s">
        <v>4271</v>
      </c>
      <c r="C915" t="s">
        <v>4272</v>
      </c>
      <c r="D915">
        <v>202000</v>
      </c>
      <c r="E915" s="1">
        <f t="shared" si="28"/>
        <v>0.961904761904762</v>
      </c>
      <c r="F915">
        <f t="shared" si="29"/>
        <v>241000</v>
      </c>
    </row>
    <row r="916" spans="1:6">
      <c r="A916" t="s">
        <v>5028</v>
      </c>
      <c r="B916" t="s">
        <v>4271</v>
      </c>
      <c r="C916" t="s">
        <v>4272</v>
      </c>
      <c r="D916">
        <v>81000</v>
      </c>
      <c r="E916" s="1">
        <f t="shared" si="28"/>
        <v>0.385714285714286</v>
      </c>
      <c r="F916">
        <f t="shared" si="29"/>
        <v>97000</v>
      </c>
    </row>
    <row r="917" spans="1:6">
      <c r="A917" t="s">
        <v>5029</v>
      </c>
      <c r="B917" t="s">
        <v>4271</v>
      </c>
      <c r="C917" t="s">
        <v>4272</v>
      </c>
      <c r="D917">
        <v>61000</v>
      </c>
      <c r="E917" s="1">
        <f t="shared" si="28"/>
        <v>0.29047619047619</v>
      </c>
      <c r="F917">
        <f t="shared" si="29"/>
        <v>73000</v>
      </c>
    </row>
    <row r="918" spans="1:6">
      <c r="A918" t="s">
        <v>5030</v>
      </c>
      <c r="B918" t="s">
        <v>4271</v>
      </c>
      <c r="C918" t="s">
        <v>4272</v>
      </c>
      <c r="D918">
        <v>61000</v>
      </c>
      <c r="E918" s="1">
        <f t="shared" si="28"/>
        <v>0.29047619047619</v>
      </c>
      <c r="F918">
        <f t="shared" si="29"/>
        <v>73000</v>
      </c>
    </row>
    <row r="919" spans="1:6">
      <c r="A919" t="s">
        <v>5031</v>
      </c>
      <c r="B919" t="s">
        <v>4271</v>
      </c>
      <c r="C919" t="s">
        <v>4272</v>
      </c>
      <c r="D919">
        <v>81000</v>
      </c>
      <c r="E919" s="1">
        <f t="shared" si="28"/>
        <v>0.385714285714286</v>
      </c>
      <c r="F919">
        <f t="shared" si="29"/>
        <v>97000</v>
      </c>
    </row>
    <row r="920" spans="1:6">
      <c r="A920" t="s">
        <v>5032</v>
      </c>
      <c r="B920" t="s">
        <v>4271</v>
      </c>
      <c r="C920" t="s">
        <v>4272</v>
      </c>
      <c r="D920">
        <v>61000</v>
      </c>
      <c r="E920" s="1">
        <f t="shared" si="28"/>
        <v>0.29047619047619</v>
      </c>
      <c r="F920">
        <f t="shared" si="29"/>
        <v>73000</v>
      </c>
    </row>
    <row r="921" spans="1:6">
      <c r="A921" t="s">
        <v>5033</v>
      </c>
      <c r="B921" t="s">
        <v>4271</v>
      </c>
      <c r="C921" t="s">
        <v>4272</v>
      </c>
      <c r="D921">
        <v>41000</v>
      </c>
      <c r="E921" s="1">
        <f t="shared" si="28"/>
        <v>0.195238095238095</v>
      </c>
      <c r="F921">
        <f t="shared" si="29"/>
        <v>49000</v>
      </c>
    </row>
    <row r="922" spans="1:6">
      <c r="A922" t="s">
        <v>5034</v>
      </c>
      <c r="B922" t="s">
        <v>4271</v>
      </c>
      <c r="C922" t="s">
        <v>4272</v>
      </c>
      <c r="D922">
        <v>122000</v>
      </c>
      <c r="E922" s="1">
        <f t="shared" si="28"/>
        <v>0.580952380952381</v>
      </c>
      <c r="F922">
        <f t="shared" si="29"/>
        <v>146000</v>
      </c>
    </row>
    <row r="923" spans="1:6">
      <c r="A923" t="s">
        <v>5035</v>
      </c>
      <c r="B923" t="s">
        <v>4271</v>
      </c>
      <c r="C923" t="s">
        <v>4272</v>
      </c>
      <c r="D923">
        <v>646000</v>
      </c>
      <c r="E923" s="1">
        <f t="shared" si="28"/>
        <v>3.07619047619048</v>
      </c>
      <c r="F923">
        <f t="shared" si="29"/>
        <v>770000</v>
      </c>
    </row>
    <row r="924" spans="1:6">
      <c r="A924" t="s">
        <v>5036</v>
      </c>
      <c r="B924" t="s">
        <v>4271</v>
      </c>
      <c r="C924" t="s">
        <v>4272</v>
      </c>
      <c r="D924">
        <v>788000</v>
      </c>
      <c r="E924" s="1">
        <f t="shared" si="28"/>
        <v>3.75238095238095</v>
      </c>
      <c r="F924">
        <f t="shared" si="29"/>
        <v>939000</v>
      </c>
    </row>
    <row r="925" spans="1:6">
      <c r="A925" t="s">
        <v>5037</v>
      </c>
      <c r="B925" t="s">
        <v>4271</v>
      </c>
      <c r="C925" t="s">
        <v>4272</v>
      </c>
      <c r="D925">
        <v>485000</v>
      </c>
      <c r="E925" s="1">
        <f t="shared" si="28"/>
        <v>2.30952380952381</v>
      </c>
      <c r="F925">
        <f t="shared" si="29"/>
        <v>578000</v>
      </c>
    </row>
    <row r="926" spans="1:6">
      <c r="A926" t="s">
        <v>5038</v>
      </c>
      <c r="B926" t="s">
        <v>4271</v>
      </c>
      <c r="C926" t="s">
        <v>4272</v>
      </c>
      <c r="D926">
        <v>1857000</v>
      </c>
      <c r="E926" s="1">
        <f t="shared" si="28"/>
        <v>8.84285714285714</v>
      </c>
      <c r="F926">
        <f t="shared" si="29"/>
        <v>2211000</v>
      </c>
    </row>
    <row r="927" spans="1:6">
      <c r="A927" t="s">
        <v>5039</v>
      </c>
      <c r="B927" t="s">
        <v>4271</v>
      </c>
      <c r="C927" t="s">
        <v>4272</v>
      </c>
      <c r="D927">
        <v>1252000</v>
      </c>
      <c r="E927" s="1">
        <f t="shared" si="28"/>
        <v>5.96190476190476</v>
      </c>
      <c r="F927">
        <f t="shared" si="29"/>
        <v>1491000</v>
      </c>
    </row>
    <row r="928" spans="1:6">
      <c r="A928" t="s">
        <v>5040</v>
      </c>
      <c r="B928" t="s">
        <v>4271</v>
      </c>
      <c r="C928" t="s">
        <v>4272</v>
      </c>
      <c r="D928">
        <v>1615000</v>
      </c>
      <c r="E928" s="1">
        <f t="shared" si="28"/>
        <v>7.69047619047619</v>
      </c>
      <c r="F928">
        <f t="shared" si="29"/>
        <v>1923000</v>
      </c>
    </row>
    <row r="929" spans="1:6">
      <c r="A929" t="s">
        <v>5041</v>
      </c>
      <c r="B929" t="s">
        <v>4271</v>
      </c>
      <c r="C929" t="s">
        <v>4272</v>
      </c>
      <c r="D929">
        <v>243000</v>
      </c>
      <c r="E929" s="1">
        <f t="shared" si="28"/>
        <v>1.15714285714286</v>
      </c>
      <c r="F929">
        <f t="shared" si="29"/>
        <v>290000</v>
      </c>
    </row>
    <row r="930" spans="1:6">
      <c r="A930" t="s">
        <v>5042</v>
      </c>
      <c r="B930" t="s">
        <v>4271</v>
      </c>
      <c r="C930" t="s">
        <v>4272</v>
      </c>
      <c r="D930">
        <v>263000</v>
      </c>
      <c r="E930" s="1">
        <f t="shared" si="28"/>
        <v>1.25238095238095</v>
      </c>
      <c r="F930">
        <f t="shared" si="29"/>
        <v>314000</v>
      </c>
    </row>
    <row r="931" spans="1:6">
      <c r="A931" t="s">
        <v>5043</v>
      </c>
      <c r="B931" t="s">
        <v>4271</v>
      </c>
      <c r="C931" t="s">
        <v>4272</v>
      </c>
      <c r="D931">
        <v>202000</v>
      </c>
      <c r="E931" s="1">
        <f t="shared" si="28"/>
        <v>0.961904761904762</v>
      </c>
      <c r="F931">
        <f t="shared" si="29"/>
        <v>241000</v>
      </c>
    </row>
    <row r="932" spans="1:6">
      <c r="A932" t="s">
        <v>5044</v>
      </c>
      <c r="B932" t="s">
        <v>4271</v>
      </c>
      <c r="C932" t="s">
        <v>4272</v>
      </c>
      <c r="D932">
        <v>303000</v>
      </c>
      <c r="E932" s="1">
        <f t="shared" si="28"/>
        <v>1.44285714285714</v>
      </c>
      <c r="F932">
        <f t="shared" si="29"/>
        <v>361000</v>
      </c>
    </row>
    <row r="933" spans="1:6">
      <c r="A933" t="s">
        <v>5045</v>
      </c>
      <c r="B933" t="s">
        <v>4271</v>
      </c>
      <c r="C933" t="s">
        <v>4272</v>
      </c>
      <c r="D933">
        <v>404000</v>
      </c>
      <c r="E933" s="1">
        <f t="shared" si="28"/>
        <v>1.92380952380952</v>
      </c>
      <c r="F933">
        <f t="shared" si="29"/>
        <v>481000</v>
      </c>
    </row>
    <row r="934" spans="1:6">
      <c r="A934" t="s">
        <v>5046</v>
      </c>
      <c r="B934" t="s">
        <v>4271</v>
      </c>
      <c r="C934" t="s">
        <v>4272</v>
      </c>
      <c r="D934">
        <v>424000</v>
      </c>
      <c r="E934" s="1">
        <f t="shared" si="28"/>
        <v>2.01904761904762</v>
      </c>
      <c r="F934">
        <f t="shared" si="29"/>
        <v>505000</v>
      </c>
    </row>
    <row r="935" spans="1:6">
      <c r="A935" t="s">
        <v>5047</v>
      </c>
      <c r="B935" t="s">
        <v>4271</v>
      </c>
      <c r="C935" t="s">
        <v>4272</v>
      </c>
      <c r="D935">
        <v>404000</v>
      </c>
      <c r="E935" s="1">
        <f t="shared" si="28"/>
        <v>1.92380952380952</v>
      </c>
      <c r="F935">
        <f t="shared" si="29"/>
        <v>481000</v>
      </c>
    </row>
    <row r="936" spans="1:6">
      <c r="A936" t="s">
        <v>5048</v>
      </c>
      <c r="B936" t="s">
        <v>4271</v>
      </c>
      <c r="C936" t="s">
        <v>4272</v>
      </c>
      <c r="D936">
        <v>727000</v>
      </c>
      <c r="E936" s="1">
        <f t="shared" si="28"/>
        <v>3.46190476190476</v>
      </c>
      <c r="F936">
        <f t="shared" si="29"/>
        <v>866000</v>
      </c>
    </row>
    <row r="937" spans="1:6">
      <c r="A937" t="s">
        <v>5049</v>
      </c>
      <c r="B937" t="s">
        <v>4271</v>
      </c>
      <c r="C937" t="s">
        <v>4272</v>
      </c>
      <c r="D937">
        <v>767000</v>
      </c>
      <c r="E937" s="1">
        <f t="shared" si="28"/>
        <v>3.65238095238095</v>
      </c>
      <c r="F937">
        <f t="shared" si="29"/>
        <v>914000</v>
      </c>
    </row>
    <row r="938" spans="1:6">
      <c r="A938" t="s">
        <v>5050</v>
      </c>
      <c r="B938" t="s">
        <v>4271</v>
      </c>
      <c r="C938" t="s">
        <v>4272</v>
      </c>
      <c r="D938">
        <v>727000</v>
      </c>
      <c r="E938" s="1">
        <f t="shared" si="28"/>
        <v>3.46190476190476</v>
      </c>
      <c r="F938">
        <f t="shared" si="29"/>
        <v>866000</v>
      </c>
    </row>
    <row r="939" spans="1:6">
      <c r="A939" t="s">
        <v>5051</v>
      </c>
      <c r="B939" t="s">
        <v>4271</v>
      </c>
      <c r="C939" t="s">
        <v>4272</v>
      </c>
      <c r="D939">
        <v>1393000</v>
      </c>
      <c r="E939" s="1">
        <f t="shared" si="28"/>
        <v>6.63333333333333</v>
      </c>
      <c r="F939">
        <f t="shared" si="29"/>
        <v>1659000</v>
      </c>
    </row>
    <row r="940" spans="1:6">
      <c r="A940" t="s">
        <v>5052</v>
      </c>
      <c r="B940" t="s">
        <v>4271</v>
      </c>
      <c r="C940" t="s">
        <v>4272</v>
      </c>
      <c r="D940">
        <v>1837000</v>
      </c>
      <c r="E940" s="1">
        <f t="shared" si="28"/>
        <v>8.74761904761905</v>
      </c>
      <c r="F940">
        <f t="shared" si="29"/>
        <v>2187000</v>
      </c>
    </row>
    <row r="941" spans="1:6">
      <c r="A941" t="s">
        <v>5053</v>
      </c>
      <c r="B941" t="s">
        <v>4271</v>
      </c>
      <c r="C941" t="s">
        <v>4272</v>
      </c>
      <c r="D941">
        <v>1393000</v>
      </c>
      <c r="E941" s="1">
        <f t="shared" si="28"/>
        <v>6.63333333333333</v>
      </c>
      <c r="F941">
        <f t="shared" si="29"/>
        <v>1659000</v>
      </c>
    </row>
    <row r="942" spans="1:6">
      <c r="A942" t="s">
        <v>5054</v>
      </c>
      <c r="B942" t="s">
        <v>4271</v>
      </c>
      <c r="C942" t="s">
        <v>4272</v>
      </c>
      <c r="D942">
        <v>646000</v>
      </c>
      <c r="E942" s="1">
        <f t="shared" si="28"/>
        <v>3.07619047619048</v>
      </c>
      <c r="F942">
        <f t="shared" si="29"/>
        <v>770000</v>
      </c>
    </row>
    <row r="943" spans="1:6">
      <c r="A943" t="s">
        <v>5055</v>
      </c>
      <c r="B943" t="s">
        <v>4271</v>
      </c>
      <c r="C943" t="s">
        <v>4272</v>
      </c>
      <c r="D943">
        <v>707000</v>
      </c>
      <c r="E943" s="1">
        <f t="shared" si="28"/>
        <v>3.36666666666667</v>
      </c>
      <c r="F943">
        <f t="shared" si="29"/>
        <v>842000</v>
      </c>
    </row>
    <row r="944" spans="1:6">
      <c r="A944" t="s">
        <v>5056</v>
      </c>
      <c r="B944" t="s">
        <v>4271</v>
      </c>
      <c r="C944" t="s">
        <v>4272</v>
      </c>
      <c r="D944">
        <v>626000</v>
      </c>
      <c r="E944" s="1">
        <f t="shared" si="28"/>
        <v>2.98095238095238</v>
      </c>
      <c r="F944">
        <f t="shared" si="29"/>
        <v>746000</v>
      </c>
    </row>
    <row r="945" spans="1:6">
      <c r="A945" t="s">
        <v>5057</v>
      </c>
      <c r="B945" t="s">
        <v>4271</v>
      </c>
      <c r="C945" t="s">
        <v>4272</v>
      </c>
      <c r="D945">
        <v>1413000</v>
      </c>
      <c r="E945" s="1">
        <f t="shared" si="28"/>
        <v>6.72857142857143</v>
      </c>
      <c r="F945">
        <f t="shared" si="29"/>
        <v>1683000</v>
      </c>
    </row>
    <row r="946" spans="1:6">
      <c r="A946" t="s">
        <v>5058</v>
      </c>
      <c r="B946" t="s">
        <v>4271</v>
      </c>
      <c r="C946" t="s">
        <v>4272</v>
      </c>
      <c r="D946">
        <v>263000</v>
      </c>
      <c r="E946" s="1">
        <f t="shared" si="28"/>
        <v>1.25238095238095</v>
      </c>
      <c r="F946">
        <f t="shared" si="29"/>
        <v>314000</v>
      </c>
    </row>
    <row r="947" spans="1:6">
      <c r="A947" t="s">
        <v>5059</v>
      </c>
      <c r="B947" t="s">
        <v>4271</v>
      </c>
      <c r="C947" t="s">
        <v>4272</v>
      </c>
      <c r="D947">
        <v>182000</v>
      </c>
      <c r="E947" s="1">
        <f t="shared" si="28"/>
        <v>0.866666666666667</v>
      </c>
      <c r="F947">
        <f t="shared" si="29"/>
        <v>217000</v>
      </c>
    </row>
    <row r="948" spans="1:6">
      <c r="A948" t="s">
        <v>5060</v>
      </c>
      <c r="B948" t="s">
        <v>4271</v>
      </c>
      <c r="C948" t="s">
        <v>4272</v>
      </c>
      <c r="D948">
        <v>222000</v>
      </c>
      <c r="E948" s="1">
        <f t="shared" si="28"/>
        <v>1.05714285714286</v>
      </c>
      <c r="F948">
        <f t="shared" si="29"/>
        <v>265000</v>
      </c>
    </row>
    <row r="949" spans="1:6">
      <c r="A949" t="s">
        <v>5061</v>
      </c>
      <c r="B949" t="s">
        <v>4271</v>
      </c>
      <c r="C949" t="s">
        <v>4272</v>
      </c>
      <c r="D949">
        <v>404000</v>
      </c>
      <c r="E949" s="1">
        <f t="shared" si="28"/>
        <v>1.92380952380952</v>
      </c>
      <c r="F949">
        <f t="shared" si="29"/>
        <v>481000</v>
      </c>
    </row>
    <row r="950" spans="1:6">
      <c r="A950" t="s">
        <v>5062</v>
      </c>
      <c r="B950" t="s">
        <v>4271</v>
      </c>
      <c r="C950" t="s">
        <v>4272</v>
      </c>
      <c r="D950">
        <v>202000</v>
      </c>
      <c r="E950" s="1">
        <f t="shared" si="28"/>
        <v>0.961904761904762</v>
      </c>
      <c r="F950">
        <f t="shared" si="29"/>
        <v>241000</v>
      </c>
    </row>
    <row r="951" spans="1:6">
      <c r="A951" t="s">
        <v>5063</v>
      </c>
      <c r="B951" t="s">
        <v>4271</v>
      </c>
      <c r="C951" t="s">
        <v>4272</v>
      </c>
      <c r="D951">
        <v>142000</v>
      </c>
      <c r="E951" s="1">
        <f t="shared" si="28"/>
        <v>0.676190476190476</v>
      </c>
      <c r="F951">
        <f t="shared" si="29"/>
        <v>170000</v>
      </c>
    </row>
    <row r="952" spans="1:6">
      <c r="A952" t="s">
        <v>5064</v>
      </c>
      <c r="B952" t="s">
        <v>4271</v>
      </c>
      <c r="C952" t="s">
        <v>4272</v>
      </c>
      <c r="D952">
        <v>263000</v>
      </c>
      <c r="E952" s="1">
        <f t="shared" si="28"/>
        <v>1.25238095238095</v>
      </c>
      <c r="F952">
        <f t="shared" si="29"/>
        <v>314000</v>
      </c>
    </row>
    <row r="953" spans="1:6">
      <c r="A953" t="s">
        <v>5065</v>
      </c>
      <c r="B953" t="s">
        <v>4271</v>
      </c>
      <c r="C953" t="s">
        <v>4272</v>
      </c>
      <c r="D953">
        <v>444000</v>
      </c>
      <c r="E953" s="1">
        <f t="shared" si="28"/>
        <v>2.11428571428571</v>
      </c>
      <c r="F953">
        <f t="shared" si="29"/>
        <v>529000</v>
      </c>
    </row>
    <row r="954" spans="1:6">
      <c r="A954" t="s">
        <v>5066</v>
      </c>
      <c r="B954" t="s">
        <v>4271</v>
      </c>
      <c r="C954" t="s">
        <v>4272</v>
      </c>
      <c r="D954">
        <v>202000</v>
      </c>
      <c r="E954" s="1">
        <f t="shared" si="28"/>
        <v>0.961904761904762</v>
      </c>
      <c r="F954">
        <f t="shared" si="29"/>
        <v>241000</v>
      </c>
    </row>
    <row r="955" spans="1:6">
      <c r="A955" t="s">
        <v>5067</v>
      </c>
      <c r="B955" t="s">
        <v>4271</v>
      </c>
      <c r="C955" t="s">
        <v>4272</v>
      </c>
      <c r="D955">
        <v>344000</v>
      </c>
      <c r="E955" s="1">
        <f t="shared" si="28"/>
        <v>1.63809523809524</v>
      </c>
      <c r="F955">
        <f t="shared" si="29"/>
        <v>410000</v>
      </c>
    </row>
    <row r="956" spans="1:6">
      <c r="A956" t="s">
        <v>5068</v>
      </c>
      <c r="B956" t="s">
        <v>4271</v>
      </c>
      <c r="C956" t="s">
        <v>4272</v>
      </c>
      <c r="D956">
        <v>182000</v>
      </c>
      <c r="E956" s="1">
        <f t="shared" si="28"/>
        <v>0.866666666666667</v>
      </c>
      <c r="F956">
        <f t="shared" si="29"/>
        <v>217000</v>
      </c>
    </row>
    <row r="957" spans="1:6">
      <c r="A957" t="s">
        <v>5069</v>
      </c>
      <c r="B957" t="s">
        <v>4271</v>
      </c>
      <c r="C957" t="s">
        <v>4272</v>
      </c>
      <c r="D957">
        <v>323000</v>
      </c>
      <c r="E957" s="1">
        <f t="shared" si="28"/>
        <v>1.53809523809524</v>
      </c>
      <c r="F957">
        <f t="shared" si="29"/>
        <v>385000</v>
      </c>
    </row>
    <row r="958" spans="1:6">
      <c r="A958" t="s">
        <v>5070</v>
      </c>
      <c r="B958" t="s">
        <v>4271</v>
      </c>
      <c r="C958" t="s">
        <v>4272</v>
      </c>
      <c r="D958">
        <v>727000</v>
      </c>
      <c r="E958" s="1">
        <f t="shared" si="28"/>
        <v>3.46190476190476</v>
      </c>
      <c r="F958">
        <f t="shared" si="29"/>
        <v>866000</v>
      </c>
    </row>
    <row r="959" spans="1:6">
      <c r="A959" t="s">
        <v>5071</v>
      </c>
      <c r="B959" t="s">
        <v>4271</v>
      </c>
      <c r="C959" t="s">
        <v>4272</v>
      </c>
      <c r="D959">
        <v>404000</v>
      </c>
      <c r="E959" s="1">
        <f t="shared" si="28"/>
        <v>1.92380952380952</v>
      </c>
      <c r="F959">
        <f t="shared" si="29"/>
        <v>481000</v>
      </c>
    </row>
    <row r="960" spans="1:6">
      <c r="A960" t="s">
        <v>5072</v>
      </c>
      <c r="B960" t="s">
        <v>4271</v>
      </c>
      <c r="C960" t="s">
        <v>4272</v>
      </c>
      <c r="D960">
        <v>101000</v>
      </c>
      <c r="E960" s="1">
        <f t="shared" si="28"/>
        <v>0.480952380952381</v>
      </c>
      <c r="F960">
        <f t="shared" si="29"/>
        <v>121000</v>
      </c>
    </row>
    <row r="961" spans="1:6">
      <c r="A961" t="s">
        <v>5073</v>
      </c>
      <c r="B961" t="s">
        <v>4271</v>
      </c>
      <c r="C961" t="s">
        <v>4272</v>
      </c>
      <c r="D961">
        <v>202000</v>
      </c>
      <c r="E961" s="1">
        <f t="shared" si="28"/>
        <v>0.961904761904762</v>
      </c>
      <c r="F961">
        <f t="shared" si="29"/>
        <v>241000</v>
      </c>
    </row>
    <row r="962" spans="1:6">
      <c r="A962" t="s">
        <v>5074</v>
      </c>
      <c r="B962" t="s">
        <v>4271</v>
      </c>
      <c r="C962" t="s">
        <v>4272</v>
      </c>
      <c r="D962">
        <v>101000</v>
      </c>
      <c r="E962" s="1">
        <f t="shared" ref="E962:E1025" si="30">D962/210000</f>
        <v>0.480952380952381</v>
      </c>
      <c r="F962">
        <f t="shared" si="29"/>
        <v>121000</v>
      </c>
    </row>
    <row r="963" spans="1:6">
      <c r="A963" t="s">
        <v>5075</v>
      </c>
      <c r="B963" t="s">
        <v>4271</v>
      </c>
      <c r="C963" t="s">
        <v>4272</v>
      </c>
      <c r="D963">
        <v>88000</v>
      </c>
      <c r="E963" s="1">
        <f t="shared" si="30"/>
        <v>0.419047619047619</v>
      </c>
      <c r="F963">
        <f>CEILING(E963*250000,1000)</f>
        <v>105000</v>
      </c>
    </row>
    <row r="964" spans="1:6">
      <c r="A964" t="s">
        <v>5076</v>
      </c>
      <c r="B964" t="s">
        <v>4271</v>
      </c>
      <c r="C964" t="s">
        <v>4272</v>
      </c>
      <c r="D964">
        <v>243000</v>
      </c>
      <c r="E964" s="1">
        <f t="shared" si="30"/>
        <v>1.15714285714286</v>
      </c>
      <c r="F964">
        <f t="shared" ref="F964:F1027" si="31">CEILING(E964*250000,1000)</f>
        <v>290000</v>
      </c>
    </row>
    <row r="965" spans="1:6">
      <c r="A965" t="s">
        <v>5077</v>
      </c>
      <c r="B965" t="s">
        <v>4271</v>
      </c>
      <c r="C965" t="s">
        <v>4272</v>
      </c>
      <c r="D965">
        <v>323000</v>
      </c>
      <c r="E965" s="1">
        <f t="shared" si="30"/>
        <v>1.53809523809524</v>
      </c>
      <c r="F965">
        <f t="shared" si="31"/>
        <v>385000</v>
      </c>
    </row>
    <row r="966" spans="1:6">
      <c r="A966" t="s">
        <v>5078</v>
      </c>
      <c r="B966" t="s">
        <v>4271</v>
      </c>
      <c r="C966" t="s">
        <v>4272</v>
      </c>
      <c r="D966">
        <v>243000</v>
      </c>
      <c r="E966" s="1">
        <f t="shared" si="30"/>
        <v>1.15714285714286</v>
      </c>
      <c r="F966">
        <f t="shared" si="31"/>
        <v>290000</v>
      </c>
    </row>
    <row r="967" spans="1:6">
      <c r="A967" t="s">
        <v>5079</v>
      </c>
      <c r="B967" t="s">
        <v>4271</v>
      </c>
      <c r="C967" t="s">
        <v>4272</v>
      </c>
      <c r="D967">
        <v>243000</v>
      </c>
      <c r="E967" s="1">
        <f t="shared" si="30"/>
        <v>1.15714285714286</v>
      </c>
      <c r="F967">
        <f t="shared" si="31"/>
        <v>290000</v>
      </c>
    </row>
    <row r="968" spans="1:6">
      <c r="A968" t="s">
        <v>5080</v>
      </c>
      <c r="B968" t="s">
        <v>4271</v>
      </c>
      <c r="C968" t="s">
        <v>4272</v>
      </c>
      <c r="D968">
        <v>323000</v>
      </c>
      <c r="E968" s="1">
        <f t="shared" si="30"/>
        <v>1.53809523809524</v>
      </c>
      <c r="F968">
        <f t="shared" si="31"/>
        <v>385000</v>
      </c>
    </row>
    <row r="969" spans="1:6">
      <c r="A969" t="s">
        <v>5081</v>
      </c>
      <c r="B969" t="s">
        <v>4271</v>
      </c>
      <c r="C969" t="s">
        <v>4272</v>
      </c>
      <c r="D969">
        <v>243000</v>
      </c>
      <c r="E969" s="1">
        <f t="shared" si="30"/>
        <v>1.15714285714286</v>
      </c>
      <c r="F969">
        <f t="shared" si="31"/>
        <v>290000</v>
      </c>
    </row>
    <row r="970" spans="1:6">
      <c r="A970" t="s">
        <v>5082</v>
      </c>
      <c r="B970" t="s">
        <v>4271</v>
      </c>
      <c r="C970" t="s">
        <v>4272</v>
      </c>
      <c r="D970">
        <v>182000</v>
      </c>
      <c r="E970" s="1">
        <f t="shared" si="30"/>
        <v>0.866666666666667</v>
      </c>
      <c r="F970">
        <f t="shared" si="31"/>
        <v>217000</v>
      </c>
    </row>
    <row r="971" spans="1:6">
      <c r="A971" t="s">
        <v>5083</v>
      </c>
      <c r="B971" t="s">
        <v>4271</v>
      </c>
      <c r="C971" t="s">
        <v>4272</v>
      </c>
      <c r="D971">
        <v>202000</v>
      </c>
      <c r="E971" s="1">
        <f t="shared" si="30"/>
        <v>0.961904761904762</v>
      </c>
      <c r="F971">
        <f t="shared" si="31"/>
        <v>241000</v>
      </c>
    </row>
    <row r="972" spans="1:6">
      <c r="A972" t="s">
        <v>5084</v>
      </c>
      <c r="B972" t="s">
        <v>4271</v>
      </c>
      <c r="C972" t="s">
        <v>4272</v>
      </c>
      <c r="D972">
        <v>202000</v>
      </c>
      <c r="E972" s="1">
        <f t="shared" si="30"/>
        <v>0.961904761904762</v>
      </c>
      <c r="F972">
        <f t="shared" si="31"/>
        <v>241000</v>
      </c>
    </row>
    <row r="973" spans="1:6">
      <c r="A973" t="s">
        <v>5085</v>
      </c>
      <c r="B973" t="s">
        <v>4271</v>
      </c>
      <c r="C973" t="s">
        <v>4272</v>
      </c>
      <c r="D973">
        <v>101000</v>
      </c>
      <c r="E973" s="1">
        <f t="shared" si="30"/>
        <v>0.480952380952381</v>
      </c>
      <c r="F973">
        <f t="shared" si="31"/>
        <v>121000</v>
      </c>
    </row>
    <row r="974" spans="1:6">
      <c r="A974" t="s">
        <v>5086</v>
      </c>
      <c r="B974" t="s">
        <v>4271</v>
      </c>
      <c r="C974" t="s">
        <v>4272</v>
      </c>
      <c r="D974">
        <v>202000</v>
      </c>
      <c r="E974" s="1">
        <f t="shared" si="30"/>
        <v>0.961904761904762</v>
      </c>
      <c r="F974">
        <f t="shared" si="31"/>
        <v>241000</v>
      </c>
    </row>
    <row r="975" spans="1:6">
      <c r="A975" t="s">
        <v>5087</v>
      </c>
      <c r="B975" t="s">
        <v>4271</v>
      </c>
      <c r="C975" t="s">
        <v>4272</v>
      </c>
      <c r="D975">
        <v>182000</v>
      </c>
      <c r="E975" s="1">
        <f t="shared" si="30"/>
        <v>0.866666666666667</v>
      </c>
      <c r="F975">
        <f t="shared" si="31"/>
        <v>217000</v>
      </c>
    </row>
    <row r="976" spans="1:6">
      <c r="A976" t="s">
        <v>5088</v>
      </c>
      <c r="B976" t="s">
        <v>4271</v>
      </c>
      <c r="C976" t="s">
        <v>4272</v>
      </c>
      <c r="D976">
        <v>1010000</v>
      </c>
      <c r="E976" s="1">
        <f t="shared" si="30"/>
        <v>4.80952380952381</v>
      </c>
      <c r="F976">
        <f t="shared" si="31"/>
        <v>1203000</v>
      </c>
    </row>
    <row r="977" spans="1:6">
      <c r="A977" t="s">
        <v>5089</v>
      </c>
      <c r="B977" t="s">
        <v>4271</v>
      </c>
      <c r="C977" t="s">
        <v>4272</v>
      </c>
      <c r="D977">
        <v>364000</v>
      </c>
      <c r="E977" s="1">
        <f t="shared" si="30"/>
        <v>1.73333333333333</v>
      </c>
      <c r="F977">
        <f t="shared" si="31"/>
        <v>434000</v>
      </c>
    </row>
    <row r="978" spans="1:6">
      <c r="A978" t="s">
        <v>5090</v>
      </c>
      <c r="B978" t="s">
        <v>4271</v>
      </c>
      <c r="C978" t="s">
        <v>4272</v>
      </c>
      <c r="D978">
        <v>162000</v>
      </c>
      <c r="E978" s="1">
        <f t="shared" si="30"/>
        <v>0.771428571428571</v>
      </c>
      <c r="F978">
        <f t="shared" si="31"/>
        <v>193000</v>
      </c>
    </row>
    <row r="979" spans="1:6">
      <c r="A979" t="s">
        <v>5091</v>
      </c>
      <c r="B979" t="s">
        <v>4271</v>
      </c>
      <c r="C979" t="s">
        <v>4272</v>
      </c>
      <c r="D979">
        <v>424000</v>
      </c>
      <c r="E979" s="1">
        <f t="shared" si="30"/>
        <v>2.01904761904762</v>
      </c>
      <c r="F979">
        <f t="shared" si="31"/>
        <v>505000</v>
      </c>
    </row>
    <row r="980" spans="1:6">
      <c r="A980" t="s">
        <v>5092</v>
      </c>
      <c r="B980" t="s">
        <v>4271</v>
      </c>
      <c r="C980" t="s">
        <v>4272</v>
      </c>
      <c r="D980">
        <v>626000</v>
      </c>
      <c r="E980" s="1">
        <f t="shared" si="30"/>
        <v>2.98095238095238</v>
      </c>
      <c r="F980">
        <f t="shared" si="31"/>
        <v>746000</v>
      </c>
    </row>
    <row r="981" spans="1:6">
      <c r="A981" t="s">
        <v>5093</v>
      </c>
      <c r="B981" t="s">
        <v>4271</v>
      </c>
      <c r="C981" t="s">
        <v>4272</v>
      </c>
      <c r="D981">
        <v>424000</v>
      </c>
      <c r="E981" s="1">
        <f t="shared" si="30"/>
        <v>2.01904761904762</v>
      </c>
      <c r="F981">
        <f t="shared" si="31"/>
        <v>505000</v>
      </c>
    </row>
    <row r="982" spans="1:6">
      <c r="A982" t="s">
        <v>5094</v>
      </c>
      <c r="B982" t="s">
        <v>4271</v>
      </c>
      <c r="C982" t="s">
        <v>4272</v>
      </c>
      <c r="D982">
        <v>424000</v>
      </c>
      <c r="E982" s="1">
        <f t="shared" si="30"/>
        <v>2.01904761904762</v>
      </c>
      <c r="F982">
        <f t="shared" si="31"/>
        <v>505000</v>
      </c>
    </row>
    <row r="983" spans="1:6">
      <c r="A983" t="s">
        <v>5095</v>
      </c>
      <c r="B983" t="s">
        <v>4271</v>
      </c>
      <c r="C983" t="s">
        <v>4272</v>
      </c>
      <c r="D983">
        <v>646000</v>
      </c>
      <c r="E983" s="1">
        <f t="shared" si="30"/>
        <v>3.07619047619048</v>
      </c>
      <c r="F983">
        <f t="shared" si="31"/>
        <v>770000</v>
      </c>
    </row>
    <row r="984" spans="1:6">
      <c r="A984" t="s">
        <v>5096</v>
      </c>
      <c r="B984" t="s">
        <v>4271</v>
      </c>
      <c r="C984" t="s">
        <v>4272</v>
      </c>
      <c r="D984">
        <v>283000</v>
      </c>
      <c r="E984" s="1">
        <f t="shared" si="30"/>
        <v>1.34761904761905</v>
      </c>
      <c r="F984">
        <f t="shared" si="31"/>
        <v>337000</v>
      </c>
    </row>
    <row r="985" spans="1:6">
      <c r="A985" t="s">
        <v>5097</v>
      </c>
      <c r="B985" t="s">
        <v>4271</v>
      </c>
      <c r="C985" t="s">
        <v>4272</v>
      </c>
      <c r="D985">
        <v>767000</v>
      </c>
      <c r="E985" s="1">
        <f t="shared" si="30"/>
        <v>3.65238095238095</v>
      </c>
      <c r="F985">
        <f t="shared" si="31"/>
        <v>914000</v>
      </c>
    </row>
    <row r="986" spans="1:6">
      <c r="A986" t="s">
        <v>5098</v>
      </c>
      <c r="B986" t="s">
        <v>4271</v>
      </c>
      <c r="C986" t="s">
        <v>4272</v>
      </c>
      <c r="D986">
        <v>1131000</v>
      </c>
      <c r="E986" s="1">
        <f t="shared" si="30"/>
        <v>5.38571428571429</v>
      </c>
      <c r="F986">
        <f t="shared" si="31"/>
        <v>1347000</v>
      </c>
    </row>
    <row r="987" spans="1:6">
      <c r="A987" t="s">
        <v>5099</v>
      </c>
      <c r="B987" t="s">
        <v>4271</v>
      </c>
      <c r="C987" t="s">
        <v>4272</v>
      </c>
      <c r="D987">
        <v>767000</v>
      </c>
      <c r="E987" s="1">
        <f t="shared" si="30"/>
        <v>3.65238095238095</v>
      </c>
      <c r="F987">
        <f t="shared" si="31"/>
        <v>914000</v>
      </c>
    </row>
    <row r="988" spans="1:6">
      <c r="A988" t="s">
        <v>5100</v>
      </c>
      <c r="B988" t="s">
        <v>4271</v>
      </c>
      <c r="C988" t="s">
        <v>4272</v>
      </c>
      <c r="D988">
        <v>767000</v>
      </c>
      <c r="E988" s="1">
        <f t="shared" si="30"/>
        <v>3.65238095238095</v>
      </c>
      <c r="F988">
        <f t="shared" si="31"/>
        <v>914000</v>
      </c>
    </row>
    <row r="989" spans="1:6">
      <c r="A989" t="s">
        <v>5101</v>
      </c>
      <c r="B989" t="s">
        <v>4271</v>
      </c>
      <c r="C989" t="s">
        <v>4272</v>
      </c>
      <c r="D989">
        <v>606000</v>
      </c>
      <c r="E989" s="1">
        <f t="shared" si="30"/>
        <v>2.88571428571429</v>
      </c>
      <c r="F989">
        <f t="shared" si="31"/>
        <v>722000</v>
      </c>
    </row>
    <row r="990" spans="1:6">
      <c r="A990" t="s">
        <v>5102</v>
      </c>
      <c r="B990" t="s">
        <v>4271</v>
      </c>
      <c r="C990" t="s">
        <v>4272</v>
      </c>
      <c r="D990">
        <v>606000</v>
      </c>
      <c r="E990" s="1">
        <f t="shared" si="30"/>
        <v>2.88571428571429</v>
      </c>
      <c r="F990">
        <f t="shared" si="31"/>
        <v>722000</v>
      </c>
    </row>
    <row r="991" spans="1:6">
      <c r="A991" t="s">
        <v>5103</v>
      </c>
      <c r="B991" t="s">
        <v>4271</v>
      </c>
      <c r="C991" t="s">
        <v>4272</v>
      </c>
      <c r="D991">
        <v>3451000</v>
      </c>
      <c r="E991" s="1">
        <f t="shared" si="30"/>
        <v>16.4333333333333</v>
      </c>
      <c r="F991">
        <f t="shared" si="31"/>
        <v>4109000</v>
      </c>
    </row>
    <row r="992" spans="1:6">
      <c r="A992" t="s">
        <v>5104</v>
      </c>
      <c r="B992" t="s">
        <v>4271</v>
      </c>
      <c r="C992" t="s">
        <v>4272</v>
      </c>
      <c r="D992">
        <v>3270000</v>
      </c>
      <c r="E992" s="1">
        <f t="shared" si="30"/>
        <v>15.5714285714286</v>
      </c>
      <c r="F992">
        <f t="shared" si="31"/>
        <v>3893000</v>
      </c>
    </row>
    <row r="993" spans="1:6">
      <c r="A993" t="s">
        <v>5105</v>
      </c>
      <c r="B993" t="s">
        <v>4271</v>
      </c>
      <c r="C993" t="s">
        <v>4272</v>
      </c>
      <c r="D993">
        <v>2140000</v>
      </c>
      <c r="E993" s="1">
        <f t="shared" si="30"/>
        <v>10.1904761904762</v>
      </c>
      <c r="F993">
        <f t="shared" si="31"/>
        <v>2548000</v>
      </c>
    </row>
    <row r="994" spans="1:6">
      <c r="A994" t="s">
        <v>5106</v>
      </c>
      <c r="B994" t="s">
        <v>4271</v>
      </c>
      <c r="C994" t="s">
        <v>4272</v>
      </c>
      <c r="D994">
        <v>2684000</v>
      </c>
      <c r="E994" s="1">
        <f t="shared" si="30"/>
        <v>12.7809523809524</v>
      </c>
      <c r="F994">
        <f t="shared" si="31"/>
        <v>3196000</v>
      </c>
    </row>
    <row r="995" spans="1:6">
      <c r="A995" t="s">
        <v>5107</v>
      </c>
      <c r="B995" t="s">
        <v>4271</v>
      </c>
      <c r="C995" t="s">
        <v>4272</v>
      </c>
      <c r="D995">
        <v>3835000</v>
      </c>
      <c r="E995" s="1">
        <f t="shared" si="30"/>
        <v>18.2619047619048</v>
      </c>
      <c r="F995">
        <f t="shared" si="31"/>
        <v>4566000</v>
      </c>
    </row>
    <row r="996" spans="1:6">
      <c r="A996" t="s">
        <v>5108</v>
      </c>
      <c r="B996" t="s">
        <v>4271</v>
      </c>
      <c r="C996" t="s">
        <v>4272</v>
      </c>
      <c r="D996">
        <v>2584000</v>
      </c>
      <c r="E996" s="1">
        <f t="shared" si="30"/>
        <v>12.3047619047619</v>
      </c>
      <c r="F996">
        <f t="shared" si="31"/>
        <v>3077000</v>
      </c>
    </row>
    <row r="997" spans="1:6">
      <c r="A997" t="s">
        <v>5109</v>
      </c>
      <c r="B997" t="s">
        <v>4271</v>
      </c>
      <c r="C997" t="s">
        <v>4272</v>
      </c>
      <c r="D997">
        <v>4037000</v>
      </c>
      <c r="E997" s="1">
        <f t="shared" si="30"/>
        <v>19.2238095238095</v>
      </c>
      <c r="F997">
        <f t="shared" si="31"/>
        <v>4806000</v>
      </c>
    </row>
    <row r="998" spans="1:6">
      <c r="A998" t="s">
        <v>5110</v>
      </c>
      <c r="B998" t="s">
        <v>4271</v>
      </c>
      <c r="C998" t="s">
        <v>4272</v>
      </c>
      <c r="D998">
        <v>142000</v>
      </c>
      <c r="E998" s="1">
        <f t="shared" si="30"/>
        <v>0.676190476190476</v>
      </c>
      <c r="F998">
        <f t="shared" si="31"/>
        <v>170000</v>
      </c>
    </row>
    <row r="999" spans="1:6">
      <c r="A999" t="s">
        <v>5111</v>
      </c>
      <c r="B999" t="s">
        <v>4271</v>
      </c>
      <c r="C999" t="s">
        <v>4272</v>
      </c>
      <c r="D999">
        <v>243000</v>
      </c>
      <c r="E999" s="1">
        <f t="shared" si="30"/>
        <v>1.15714285714286</v>
      </c>
      <c r="F999">
        <f t="shared" si="31"/>
        <v>290000</v>
      </c>
    </row>
    <row r="1000" spans="1:6">
      <c r="A1000" t="s">
        <v>5112</v>
      </c>
      <c r="B1000" t="s">
        <v>4271</v>
      </c>
      <c r="C1000" t="s">
        <v>4272</v>
      </c>
      <c r="D1000">
        <v>101000</v>
      </c>
      <c r="E1000" s="1">
        <f t="shared" si="30"/>
        <v>0.480952380952381</v>
      </c>
      <c r="F1000">
        <f t="shared" si="31"/>
        <v>121000</v>
      </c>
    </row>
    <row r="1001" spans="1:6">
      <c r="A1001" t="s">
        <v>5113</v>
      </c>
      <c r="B1001" t="s">
        <v>4271</v>
      </c>
      <c r="C1001" t="s">
        <v>4272</v>
      </c>
      <c r="D1001">
        <v>848000</v>
      </c>
      <c r="E1001" s="1">
        <f t="shared" si="30"/>
        <v>4.03809523809524</v>
      </c>
      <c r="F1001">
        <f t="shared" si="31"/>
        <v>1010000</v>
      </c>
    </row>
    <row r="1002" spans="1:6">
      <c r="A1002" t="s">
        <v>5114</v>
      </c>
      <c r="B1002" t="s">
        <v>4271</v>
      </c>
      <c r="C1002" t="s">
        <v>4272</v>
      </c>
      <c r="D1002">
        <v>1010000</v>
      </c>
      <c r="E1002" s="1">
        <f t="shared" si="30"/>
        <v>4.80952380952381</v>
      </c>
      <c r="F1002">
        <f t="shared" si="31"/>
        <v>1203000</v>
      </c>
    </row>
    <row r="1003" spans="1:6">
      <c r="A1003" t="s">
        <v>5115</v>
      </c>
      <c r="B1003" t="s">
        <v>4271</v>
      </c>
      <c r="C1003" t="s">
        <v>4272</v>
      </c>
      <c r="D1003">
        <v>808000</v>
      </c>
      <c r="E1003" s="1">
        <f t="shared" si="30"/>
        <v>3.84761904761905</v>
      </c>
      <c r="F1003">
        <f t="shared" si="31"/>
        <v>962000</v>
      </c>
    </row>
    <row r="1004" spans="1:6">
      <c r="A1004" t="s">
        <v>5116</v>
      </c>
      <c r="B1004" t="s">
        <v>4271</v>
      </c>
      <c r="C1004" t="s">
        <v>4272</v>
      </c>
      <c r="D1004">
        <v>404000</v>
      </c>
      <c r="E1004" s="1">
        <f t="shared" si="30"/>
        <v>1.92380952380952</v>
      </c>
      <c r="F1004">
        <f t="shared" si="31"/>
        <v>481000</v>
      </c>
    </row>
    <row r="1005" spans="1:6">
      <c r="A1005" t="s">
        <v>5117</v>
      </c>
      <c r="B1005" t="s">
        <v>4271</v>
      </c>
      <c r="C1005" t="s">
        <v>4272</v>
      </c>
      <c r="D1005">
        <v>283000</v>
      </c>
      <c r="E1005" s="1">
        <f t="shared" si="30"/>
        <v>1.34761904761905</v>
      </c>
      <c r="F1005">
        <f t="shared" si="31"/>
        <v>337000</v>
      </c>
    </row>
    <row r="1006" spans="1:6">
      <c r="A1006" t="s">
        <v>5118</v>
      </c>
      <c r="B1006" t="s">
        <v>4271</v>
      </c>
      <c r="C1006" t="s">
        <v>4272</v>
      </c>
      <c r="D1006">
        <v>364000</v>
      </c>
      <c r="E1006" s="1">
        <f t="shared" si="30"/>
        <v>1.73333333333333</v>
      </c>
      <c r="F1006">
        <f t="shared" si="31"/>
        <v>434000</v>
      </c>
    </row>
    <row r="1007" spans="1:6">
      <c r="A1007" t="s">
        <v>5119</v>
      </c>
      <c r="B1007" t="s">
        <v>4271</v>
      </c>
      <c r="C1007" t="s">
        <v>4272</v>
      </c>
      <c r="D1007">
        <v>888000</v>
      </c>
      <c r="E1007" s="1">
        <f t="shared" si="30"/>
        <v>4.22857142857143</v>
      </c>
      <c r="F1007">
        <f t="shared" si="31"/>
        <v>1058000</v>
      </c>
    </row>
    <row r="1008" spans="1:6">
      <c r="A1008" t="s">
        <v>5120</v>
      </c>
      <c r="B1008" t="s">
        <v>4271</v>
      </c>
      <c r="C1008" t="s">
        <v>4272</v>
      </c>
      <c r="D1008">
        <v>909000</v>
      </c>
      <c r="E1008" s="1">
        <f t="shared" si="30"/>
        <v>4.32857142857143</v>
      </c>
      <c r="F1008">
        <f t="shared" si="31"/>
        <v>1083000</v>
      </c>
    </row>
    <row r="1009" spans="1:6">
      <c r="A1009" t="s">
        <v>5121</v>
      </c>
      <c r="B1009" t="s">
        <v>4271</v>
      </c>
      <c r="C1009" t="s">
        <v>4272</v>
      </c>
      <c r="D1009">
        <v>828000</v>
      </c>
      <c r="E1009" s="1">
        <f t="shared" si="30"/>
        <v>3.94285714285714</v>
      </c>
      <c r="F1009">
        <f t="shared" si="31"/>
        <v>986000</v>
      </c>
    </row>
    <row r="1010" spans="1:6">
      <c r="A1010" t="s">
        <v>5122</v>
      </c>
      <c r="B1010" t="s">
        <v>4271</v>
      </c>
      <c r="C1010" t="s">
        <v>4272</v>
      </c>
      <c r="D1010">
        <v>424000</v>
      </c>
      <c r="E1010" s="1">
        <f t="shared" si="30"/>
        <v>2.01904761904762</v>
      </c>
      <c r="F1010">
        <f t="shared" si="31"/>
        <v>505000</v>
      </c>
    </row>
    <row r="1011" spans="1:6">
      <c r="A1011" t="s">
        <v>5123</v>
      </c>
      <c r="B1011" t="s">
        <v>4271</v>
      </c>
      <c r="C1011" t="s">
        <v>4272</v>
      </c>
      <c r="D1011">
        <v>202000</v>
      </c>
      <c r="E1011" s="1">
        <f t="shared" si="30"/>
        <v>0.961904761904762</v>
      </c>
      <c r="F1011">
        <f t="shared" si="31"/>
        <v>241000</v>
      </c>
    </row>
    <row r="1012" spans="1:6">
      <c r="A1012" t="s">
        <v>5124</v>
      </c>
      <c r="B1012" t="s">
        <v>4271</v>
      </c>
      <c r="C1012" t="s">
        <v>4272</v>
      </c>
      <c r="D1012">
        <v>202000</v>
      </c>
      <c r="E1012" s="1">
        <f t="shared" si="30"/>
        <v>0.961904761904762</v>
      </c>
      <c r="F1012">
        <f t="shared" si="31"/>
        <v>241000</v>
      </c>
    </row>
    <row r="1013" spans="1:6">
      <c r="A1013" t="s">
        <v>5125</v>
      </c>
      <c r="B1013" t="s">
        <v>4271</v>
      </c>
      <c r="C1013" t="s">
        <v>4272</v>
      </c>
      <c r="D1013">
        <v>1595000</v>
      </c>
      <c r="E1013" s="1">
        <f t="shared" si="30"/>
        <v>7.59523809523809</v>
      </c>
      <c r="F1013">
        <f t="shared" si="31"/>
        <v>1899000</v>
      </c>
    </row>
    <row r="1014" spans="1:6">
      <c r="A1014" t="s">
        <v>5126</v>
      </c>
      <c r="B1014" t="s">
        <v>4271</v>
      </c>
      <c r="C1014" t="s">
        <v>4272</v>
      </c>
      <c r="D1014">
        <v>1595000</v>
      </c>
      <c r="E1014" s="1">
        <f t="shared" si="30"/>
        <v>7.59523809523809</v>
      </c>
      <c r="F1014">
        <f t="shared" si="31"/>
        <v>1899000</v>
      </c>
    </row>
    <row r="1015" spans="1:6">
      <c r="A1015" t="s">
        <v>5127</v>
      </c>
      <c r="B1015" t="s">
        <v>4271</v>
      </c>
      <c r="C1015" t="s">
        <v>4272</v>
      </c>
      <c r="D1015">
        <v>1494000</v>
      </c>
      <c r="E1015" s="1">
        <f t="shared" si="30"/>
        <v>7.11428571428571</v>
      </c>
      <c r="F1015">
        <f t="shared" si="31"/>
        <v>1779000</v>
      </c>
    </row>
    <row r="1016" spans="1:6">
      <c r="A1016" t="s">
        <v>5128</v>
      </c>
      <c r="B1016" t="s">
        <v>4271</v>
      </c>
      <c r="C1016" t="s">
        <v>4272</v>
      </c>
      <c r="D1016">
        <v>767000</v>
      </c>
      <c r="E1016" s="1">
        <f t="shared" si="30"/>
        <v>3.65238095238095</v>
      </c>
      <c r="F1016">
        <f t="shared" si="31"/>
        <v>914000</v>
      </c>
    </row>
    <row r="1017" spans="1:6">
      <c r="A1017" t="s">
        <v>5129</v>
      </c>
      <c r="B1017" t="s">
        <v>4271</v>
      </c>
      <c r="C1017" t="s">
        <v>4272</v>
      </c>
      <c r="D1017">
        <v>364000</v>
      </c>
      <c r="E1017" s="1">
        <f t="shared" si="30"/>
        <v>1.73333333333333</v>
      </c>
      <c r="F1017">
        <f t="shared" si="31"/>
        <v>434000</v>
      </c>
    </row>
    <row r="1018" spans="1:6">
      <c r="A1018" t="s">
        <v>5130</v>
      </c>
      <c r="B1018" t="s">
        <v>4271</v>
      </c>
      <c r="C1018" t="s">
        <v>4272</v>
      </c>
      <c r="D1018">
        <v>364000</v>
      </c>
      <c r="E1018" s="1">
        <f t="shared" si="30"/>
        <v>1.73333333333333</v>
      </c>
      <c r="F1018">
        <f t="shared" si="31"/>
        <v>434000</v>
      </c>
    </row>
    <row r="1019" spans="1:6">
      <c r="A1019" t="s">
        <v>5131</v>
      </c>
      <c r="B1019" t="s">
        <v>4271</v>
      </c>
      <c r="C1019" t="s">
        <v>4272</v>
      </c>
      <c r="D1019">
        <v>61000</v>
      </c>
      <c r="E1019" s="1">
        <f t="shared" si="30"/>
        <v>0.29047619047619</v>
      </c>
      <c r="F1019">
        <f t="shared" si="31"/>
        <v>73000</v>
      </c>
    </row>
    <row r="1020" spans="1:6">
      <c r="A1020" t="s">
        <v>5132</v>
      </c>
      <c r="B1020" t="s">
        <v>4271</v>
      </c>
      <c r="C1020" t="s">
        <v>4272</v>
      </c>
      <c r="D1020">
        <v>41000</v>
      </c>
      <c r="E1020" s="1">
        <f t="shared" si="30"/>
        <v>0.195238095238095</v>
      </c>
      <c r="F1020">
        <f t="shared" si="31"/>
        <v>49000</v>
      </c>
    </row>
    <row r="1021" spans="1:6">
      <c r="A1021" t="s">
        <v>5133</v>
      </c>
      <c r="B1021" t="s">
        <v>4271</v>
      </c>
      <c r="C1021" t="s">
        <v>4272</v>
      </c>
      <c r="D1021">
        <v>61000</v>
      </c>
      <c r="E1021" s="1">
        <f t="shared" si="30"/>
        <v>0.29047619047619</v>
      </c>
      <c r="F1021">
        <f t="shared" si="31"/>
        <v>73000</v>
      </c>
    </row>
    <row r="1022" spans="1:6">
      <c r="A1022" t="s">
        <v>5134</v>
      </c>
      <c r="B1022" t="s">
        <v>4271</v>
      </c>
      <c r="C1022" t="s">
        <v>4272</v>
      </c>
      <c r="D1022">
        <v>41000</v>
      </c>
      <c r="E1022" s="1">
        <f t="shared" si="30"/>
        <v>0.195238095238095</v>
      </c>
      <c r="F1022">
        <f t="shared" si="31"/>
        <v>49000</v>
      </c>
    </row>
    <row r="1023" spans="1:6">
      <c r="A1023" t="s">
        <v>5135</v>
      </c>
      <c r="B1023" t="s">
        <v>4271</v>
      </c>
      <c r="C1023" t="s">
        <v>4272</v>
      </c>
      <c r="D1023">
        <v>41000</v>
      </c>
      <c r="E1023" s="1">
        <f t="shared" si="30"/>
        <v>0.195238095238095</v>
      </c>
      <c r="F1023">
        <f t="shared" si="31"/>
        <v>49000</v>
      </c>
    </row>
    <row r="1024" spans="1:6">
      <c r="A1024" t="s">
        <v>5136</v>
      </c>
      <c r="B1024" t="s">
        <v>4271</v>
      </c>
      <c r="C1024" t="s">
        <v>4272</v>
      </c>
      <c r="D1024">
        <v>41000</v>
      </c>
      <c r="E1024" s="1">
        <f t="shared" si="30"/>
        <v>0.195238095238095</v>
      </c>
      <c r="F1024">
        <f t="shared" si="31"/>
        <v>49000</v>
      </c>
    </row>
    <row r="1025" spans="1:6">
      <c r="A1025" t="s">
        <v>5137</v>
      </c>
      <c r="B1025" t="s">
        <v>4271</v>
      </c>
      <c r="C1025" t="s">
        <v>4272</v>
      </c>
      <c r="D1025">
        <v>41000</v>
      </c>
      <c r="E1025" s="1">
        <f t="shared" si="30"/>
        <v>0.195238095238095</v>
      </c>
      <c r="F1025">
        <f t="shared" si="31"/>
        <v>49000</v>
      </c>
    </row>
    <row r="1026" spans="1:6">
      <c r="A1026" t="s">
        <v>5138</v>
      </c>
      <c r="B1026" t="s">
        <v>4271</v>
      </c>
      <c r="C1026" t="s">
        <v>4272</v>
      </c>
      <c r="D1026">
        <v>61000</v>
      </c>
      <c r="E1026" s="1">
        <f t="shared" ref="E1026:E1089" si="32">D1026/210000</f>
        <v>0.29047619047619</v>
      </c>
      <c r="F1026">
        <f t="shared" si="31"/>
        <v>73000</v>
      </c>
    </row>
    <row r="1027" spans="1:6">
      <c r="A1027" t="s">
        <v>5139</v>
      </c>
      <c r="B1027" t="s">
        <v>4271</v>
      </c>
      <c r="C1027" t="s">
        <v>4272</v>
      </c>
      <c r="D1027">
        <v>263000</v>
      </c>
      <c r="E1027" s="1">
        <f t="shared" si="32"/>
        <v>1.25238095238095</v>
      </c>
      <c r="F1027">
        <f t="shared" si="31"/>
        <v>314000</v>
      </c>
    </row>
    <row r="1028" spans="1:6">
      <c r="A1028" t="s">
        <v>5140</v>
      </c>
      <c r="B1028" t="s">
        <v>4271</v>
      </c>
      <c r="C1028" t="s">
        <v>4272</v>
      </c>
      <c r="D1028">
        <v>21000</v>
      </c>
      <c r="E1028" s="1">
        <f t="shared" si="32"/>
        <v>0.1</v>
      </c>
      <c r="F1028">
        <f t="shared" ref="F1028:F1091" si="33">CEILING(E1028*250000,1000)</f>
        <v>25000</v>
      </c>
    </row>
    <row r="1029" spans="1:6">
      <c r="A1029" t="s">
        <v>5141</v>
      </c>
      <c r="B1029" t="s">
        <v>4271</v>
      </c>
      <c r="C1029" t="s">
        <v>4272</v>
      </c>
      <c r="D1029">
        <v>41000</v>
      </c>
      <c r="E1029" s="1">
        <f t="shared" si="32"/>
        <v>0.195238095238095</v>
      </c>
      <c r="F1029">
        <f t="shared" si="33"/>
        <v>49000</v>
      </c>
    </row>
    <row r="1030" spans="1:6">
      <c r="A1030" t="s">
        <v>5142</v>
      </c>
      <c r="B1030" t="s">
        <v>4271</v>
      </c>
      <c r="C1030" t="s">
        <v>4272</v>
      </c>
      <c r="D1030">
        <v>61000</v>
      </c>
      <c r="E1030" s="1">
        <f t="shared" si="32"/>
        <v>0.29047619047619</v>
      </c>
      <c r="F1030">
        <f t="shared" si="33"/>
        <v>73000</v>
      </c>
    </row>
    <row r="1031" spans="1:6">
      <c r="A1031" t="s">
        <v>5143</v>
      </c>
      <c r="B1031" t="s">
        <v>4271</v>
      </c>
      <c r="C1031" t="s">
        <v>4272</v>
      </c>
      <c r="D1031">
        <v>41000</v>
      </c>
      <c r="E1031" s="1">
        <f t="shared" si="32"/>
        <v>0.195238095238095</v>
      </c>
      <c r="F1031">
        <f t="shared" si="33"/>
        <v>49000</v>
      </c>
    </row>
    <row r="1032" spans="1:6">
      <c r="A1032" t="s">
        <v>5144</v>
      </c>
      <c r="B1032" t="s">
        <v>4271</v>
      </c>
      <c r="C1032" t="s">
        <v>4272</v>
      </c>
      <c r="D1032">
        <v>61000</v>
      </c>
      <c r="E1032" s="1">
        <f t="shared" si="32"/>
        <v>0.29047619047619</v>
      </c>
      <c r="F1032">
        <f t="shared" si="33"/>
        <v>73000</v>
      </c>
    </row>
    <row r="1033" spans="1:6">
      <c r="A1033" t="s">
        <v>5145</v>
      </c>
      <c r="B1033" t="s">
        <v>4271</v>
      </c>
      <c r="C1033" t="s">
        <v>4272</v>
      </c>
      <c r="D1033">
        <v>41000</v>
      </c>
      <c r="E1033" s="1">
        <f t="shared" si="32"/>
        <v>0.195238095238095</v>
      </c>
      <c r="F1033">
        <f t="shared" si="33"/>
        <v>49000</v>
      </c>
    </row>
    <row r="1034" spans="1:6">
      <c r="A1034" t="s">
        <v>5146</v>
      </c>
      <c r="B1034" t="s">
        <v>4271</v>
      </c>
      <c r="C1034" t="s">
        <v>4272</v>
      </c>
      <c r="D1034">
        <v>41000</v>
      </c>
      <c r="E1034" s="1">
        <f t="shared" si="32"/>
        <v>0.195238095238095</v>
      </c>
      <c r="F1034">
        <f t="shared" si="33"/>
        <v>49000</v>
      </c>
    </row>
    <row r="1035" spans="1:6">
      <c r="A1035" t="s">
        <v>5147</v>
      </c>
      <c r="B1035" t="s">
        <v>4271</v>
      </c>
      <c r="C1035" t="s">
        <v>4272</v>
      </c>
      <c r="D1035">
        <v>41000</v>
      </c>
      <c r="E1035" s="1">
        <f t="shared" si="32"/>
        <v>0.195238095238095</v>
      </c>
      <c r="F1035">
        <f t="shared" si="33"/>
        <v>49000</v>
      </c>
    </row>
    <row r="1036" spans="1:6">
      <c r="A1036" t="s">
        <v>5148</v>
      </c>
      <c r="B1036" t="s">
        <v>4271</v>
      </c>
      <c r="C1036" t="s">
        <v>4272</v>
      </c>
      <c r="D1036">
        <v>182000</v>
      </c>
      <c r="E1036" s="1">
        <f t="shared" si="32"/>
        <v>0.866666666666667</v>
      </c>
      <c r="F1036">
        <f t="shared" si="33"/>
        <v>217000</v>
      </c>
    </row>
    <row r="1037" spans="1:6">
      <c r="A1037" t="s">
        <v>5149</v>
      </c>
      <c r="B1037" t="s">
        <v>4271</v>
      </c>
      <c r="C1037" t="s">
        <v>4272</v>
      </c>
      <c r="D1037">
        <v>222000</v>
      </c>
      <c r="E1037" s="1">
        <f t="shared" si="32"/>
        <v>1.05714285714286</v>
      </c>
      <c r="F1037">
        <f t="shared" si="33"/>
        <v>265000</v>
      </c>
    </row>
    <row r="1038" spans="1:6">
      <c r="A1038" t="s">
        <v>5150</v>
      </c>
      <c r="B1038" t="s">
        <v>4271</v>
      </c>
      <c r="C1038" t="s">
        <v>4272</v>
      </c>
      <c r="D1038">
        <v>142000</v>
      </c>
      <c r="E1038" s="1">
        <f t="shared" si="32"/>
        <v>0.676190476190476</v>
      </c>
      <c r="F1038">
        <f t="shared" si="33"/>
        <v>170000</v>
      </c>
    </row>
    <row r="1039" spans="1:6">
      <c r="A1039" t="s">
        <v>5151</v>
      </c>
      <c r="B1039" t="s">
        <v>4271</v>
      </c>
      <c r="C1039" t="s">
        <v>4272</v>
      </c>
      <c r="D1039">
        <v>162000</v>
      </c>
      <c r="E1039" s="1">
        <f t="shared" si="32"/>
        <v>0.771428571428571</v>
      </c>
      <c r="F1039">
        <f t="shared" si="33"/>
        <v>193000</v>
      </c>
    </row>
    <row r="1040" spans="1:6">
      <c r="A1040" t="s">
        <v>5152</v>
      </c>
      <c r="B1040" t="s">
        <v>4271</v>
      </c>
      <c r="C1040" t="s">
        <v>4272</v>
      </c>
      <c r="D1040">
        <v>404000</v>
      </c>
      <c r="E1040" s="1">
        <f t="shared" si="32"/>
        <v>1.92380952380952</v>
      </c>
      <c r="F1040">
        <f t="shared" si="33"/>
        <v>481000</v>
      </c>
    </row>
    <row r="1041" spans="1:6">
      <c r="A1041" t="s">
        <v>5153</v>
      </c>
      <c r="B1041" t="s">
        <v>4271</v>
      </c>
      <c r="C1041" t="s">
        <v>4272</v>
      </c>
      <c r="D1041">
        <v>21000</v>
      </c>
      <c r="E1041" s="1">
        <f t="shared" si="32"/>
        <v>0.1</v>
      </c>
      <c r="F1041">
        <f t="shared" si="33"/>
        <v>25000</v>
      </c>
    </row>
    <row r="1042" spans="1:6">
      <c r="A1042" t="s">
        <v>5154</v>
      </c>
      <c r="B1042" t="s">
        <v>4271</v>
      </c>
      <c r="C1042" t="s">
        <v>4272</v>
      </c>
      <c r="D1042">
        <v>21000</v>
      </c>
      <c r="E1042" s="1">
        <f t="shared" si="32"/>
        <v>0.1</v>
      </c>
      <c r="F1042">
        <f t="shared" si="33"/>
        <v>25000</v>
      </c>
    </row>
    <row r="1043" spans="1:6">
      <c r="A1043" t="s">
        <v>5155</v>
      </c>
      <c r="B1043" t="s">
        <v>4271</v>
      </c>
      <c r="C1043" t="s">
        <v>4272</v>
      </c>
      <c r="D1043">
        <v>21000</v>
      </c>
      <c r="E1043" s="1">
        <f t="shared" si="32"/>
        <v>0.1</v>
      </c>
      <c r="F1043">
        <f t="shared" si="33"/>
        <v>25000</v>
      </c>
    </row>
    <row r="1044" spans="1:6">
      <c r="A1044" t="s">
        <v>5156</v>
      </c>
      <c r="B1044" t="s">
        <v>4271</v>
      </c>
      <c r="C1044" t="s">
        <v>4272</v>
      </c>
      <c r="D1044">
        <v>21000</v>
      </c>
      <c r="E1044" s="1">
        <f t="shared" si="32"/>
        <v>0.1</v>
      </c>
      <c r="F1044">
        <f t="shared" si="33"/>
        <v>25000</v>
      </c>
    </row>
    <row r="1045" spans="1:6">
      <c r="A1045" t="s">
        <v>5157</v>
      </c>
      <c r="B1045" t="s">
        <v>4271</v>
      </c>
      <c r="C1045" t="s">
        <v>4272</v>
      </c>
      <c r="D1045">
        <v>21000</v>
      </c>
      <c r="E1045" s="1">
        <f t="shared" si="32"/>
        <v>0.1</v>
      </c>
      <c r="F1045">
        <f t="shared" si="33"/>
        <v>25000</v>
      </c>
    </row>
    <row r="1046" spans="1:6">
      <c r="A1046" t="s">
        <v>5158</v>
      </c>
      <c r="B1046" t="s">
        <v>4271</v>
      </c>
      <c r="C1046" t="s">
        <v>4272</v>
      </c>
      <c r="D1046">
        <v>283000</v>
      </c>
      <c r="E1046" s="1">
        <f t="shared" si="32"/>
        <v>1.34761904761905</v>
      </c>
      <c r="F1046">
        <f t="shared" si="33"/>
        <v>337000</v>
      </c>
    </row>
    <row r="1047" spans="1:6">
      <c r="A1047" t="s">
        <v>5159</v>
      </c>
      <c r="B1047" t="s">
        <v>4271</v>
      </c>
      <c r="C1047" t="s">
        <v>4272</v>
      </c>
      <c r="D1047">
        <v>263000</v>
      </c>
      <c r="E1047" s="1">
        <f t="shared" si="32"/>
        <v>1.25238095238095</v>
      </c>
      <c r="F1047">
        <f t="shared" si="33"/>
        <v>314000</v>
      </c>
    </row>
    <row r="1048" spans="1:6">
      <c r="A1048" t="s">
        <v>5160</v>
      </c>
      <c r="B1048" t="s">
        <v>4271</v>
      </c>
      <c r="C1048" t="s">
        <v>4272</v>
      </c>
      <c r="D1048">
        <v>222000</v>
      </c>
      <c r="E1048" s="1">
        <f t="shared" si="32"/>
        <v>1.05714285714286</v>
      </c>
      <c r="F1048">
        <f t="shared" si="33"/>
        <v>265000</v>
      </c>
    </row>
    <row r="1049" spans="1:6">
      <c r="A1049" t="s">
        <v>5161</v>
      </c>
      <c r="B1049" t="s">
        <v>4271</v>
      </c>
      <c r="C1049" t="s">
        <v>4272</v>
      </c>
      <c r="D1049">
        <v>162000</v>
      </c>
      <c r="E1049" s="1">
        <f t="shared" si="32"/>
        <v>0.771428571428571</v>
      </c>
      <c r="F1049">
        <f t="shared" si="33"/>
        <v>193000</v>
      </c>
    </row>
    <row r="1050" spans="1:6">
      <c r="A1050" t="s">
        <v>5162</v>
      </c>
      <c r="B1050" t="s">
        <v>4271</v>
      </c>
      <c r="C1050" t="s">
        <v>4272</v>
      </c>
      <c r="D1050">
        <v>283000</v>
      </c>
      <c r="E1050" s="1">
        <f t="shared" si="32"/>
        <v>1.34761904761905</v>
      </c>
      <c r="F1050">
        <f t="shared" si="33"/>
        <v>337000</v>
      </c>
    </row>
    <row r="1051" spans="1:6">
      <c r="A1051" t="s">
        <v>5163</v>
      </c>
      <c r="B1051" t="s">
        <v>4271</v>
      </c>
      <c r="C1051" t="s">
        <v>4272</v>
      </c>
      <c r="D1051">
        <v>303000</v>
      </c>
      <c r="E1051" s="1">
        <f t="shared" si="32"/>
        <v>1.44285714285714</v>
      </c>
      <c r="F1051">
        <f t="shared" si="33"/>
        <v>361000</v>
      </c>
    </row>
    <row r="1052" spans="1:6">
      <c r="A1052" t="s">
        <v>5164</v>
      </c>
      <c r="B1052" t="s">
        <v>4271</v>
      </c>
      <c r="C1052" t="s">
        <v>4272</v>
      </c>
      <c r="D1052">
        <v>162000</v>
      </c>
      <c r="E1052" s="1">
        <f t="shared" si="32"/>
        <v>0.771428571428571</v>
      </c>
      <c r="F1052">
        <f t="shared" si="33"/>
        <v>193000</v>
      </c>
    </row>
    <row r="1053" spans="1:6">
      <c r="A1053" t="s">
        <v>5165</v>
      </c>
      <c r="B1053" t="s">
        <v>4271</v>
      </c>
      <c r="C1053" t="s">
        <v>4272</v>
      </c>
      <c r="D1053">
        <v>162000</v>
      </c>
      <c r="E1053" s="1">
        <f t="shared" si="32"/>
        <v>0.771428571428571</v>
      </c>
      <c r="F1053">
        <f t="shared" si="33"/>
        <v>193000</v>
      </c>
    </row>
    <row r="1054" spans="1:6">
      <c r="A1054" t="s">
        <v>5166</v>
      </c>
      <c r="B1054" t="s">
        <v>4271</v>
      </c>
      <c r="C1054" t="s">
        <v>4272</v>
      </c>
      <c r="D1054">
        <v>101000</v>
      </c>
      <c r="E1054" s="1">
        <f t="shared" si="32"/>
        <v>0.480952380952381</v>
      </c>
      <c r="F1054">
        <f t="shared" si="33"/>
        <v>121000</v>
      </c>
    </row>
    <row r="1055" spans="1:6">
      <c r="A1055" t="s">
        <v>5167</v>
      </c>
      <c r="B1055" t="s">
        <v>4271</v>
      </c>
      <c r="C1055" t="s">
        <v>4272</v>
      </c>
      <c r="D1055">
        <v>142000</v>
      </c>
      <c r="E1055" s="1">
        <f t="shared" si="32"/>
        <v>0.676190476190476</v>
      </c>
      <c r="F1055">
        <f t="shared" si="33"/>
        <v>170000</v>
      </c>
    </row>
    <row r="1056" spans="1:6">
      <c r="A1056" t="s">
        <v>5168</v>
      </c>
      <c r="B1056" t="s">
        <v>4271</v>
      </c>
      <c r="C1056" t="s">
        <v>4272</v>
      </c>
      <c r="D1056">
        <v>122000</v>
      </c>
      <c r="E1056" s="1">
        <f t="shared" si="32"/>
        <v>0.580952380952381</v>
      </c>
      <c r="F1056">
        <f t="shared" si="33"/>
        <v>146000</v>
      </c>
    </row>
    <row r="1057" spans="1:6">
      <c r="A1057" t="s">
        <v>5169</v>
      </c>
      <c r="B1057" t="s">
        <v>4271</v>
      </c>
      <c r="C1057" t="s">
        <v>4272</v>
      </c>
      <c r="D1057">
        <v>142000</v>
      </c>
      <c r="E1057" s="1">
        <f t="shared" si="32"/>
        <v>0.676190476190476</v>
      </c>
      <c r="F1057">
        <f t="shared" si="33"/>
        <v>170000</v>
      </c>
    </row>
    <row r="1058" spans="1:6">
      <c r="A1058" t="s">
        <v>5170</v>
      </c>
      <c r="B1058" t="s">
        <v>4271</v>
      </c>
      <c r="C1058" t="s">
        <v>4272</v>
      </c>
      <c r="D1058">
        <v>202000</v>
      </c>
      <c r="E1058" s="1">
        <f t="shared" si="32"/>
        <v>0.961904761904762</v>
      </c>
      <c r="F1058">
        <f t="shared" si="33"/>
        <v>241000</v>
      </c>
    </row>
    <row r="1059" spans="1:6">
      <c r="A1059" t="s">
        <v>5171</v>
      </c>
      <c r="B1059" t="s">
        <v>4271</v>
      </c>
      <c r="C1059" t="s">
        <v>4272</v>
      </c>
      <c r="D1059">
        <v>182000</v>
      </c>
      <c r="E1059" s="1">
        <f t="shared" si="32"/>
        <v>0.866666666666667</v>
      </c>
      <c r="F1059">
        <f t="shared" si="33"/>
        <v>217000</v>
      </c>
    </row>
    <row r="1060" spans="1:6">
      <c r="A1060" t="s">
        <v>5172</v>
      </c>
      <c r="B1060" t="s">
        <v>4271</v>
      </c>
      <c r="C1060" t="s">
        <v>4272</v>
      </c>
      <c r="D1060">
        <v>182000</v>
      </c>
      <c r="E1060" s="1">
        <f t="shared" si="32"/>
        <v>0.866666666666667</v>
      </c>
      <c r="F1060">
        <f t="shared" si="33"/>
        <v>217000</v>
      </c>
    </row>
    <row r="1061" spans="1:6">
      <c r="A1061" t="s">
        <v>5173</v>
      </c>
      <c r="B1061" t="s">
        <v>4271</v>
      </c>
      <c r="C1061" t="s">
        <v>4272</v>
      </c>
      <c r="D1061">
        <v>81000</v>
      </c>
      <c r="E1061" s="1">
        <f t="shared" si="32"/>
        <v>0.385714285714286</v>
      </c>
      <c r="F1061">
        <f t="shared" si="33"/>
        <v>97000</v>
      </c>
    </row>
    <row r="1062" spans="1:6">
      <c r="A1062" t="s">
        <v>5174</v>
      </c>
      <c r="B1062" t="s">
        <v>4271</v>
      </c>
      <c r="C1062" t="s">
        <v>4272</v>
      </c>
      <c r="D1062">
        <v>142000</v>
      </c>
      <c r="E1062" s="1">
        <f t="shared" si="32"/>
        <v>0.676190476190476</v>
      </c>
      <c r="F1062">
        <f t="shared" si="33"/>
        <v>170000</v>
      </c>
    </row>
    <row r="1063" spans="1:6">
      <c r="A1063" t="s">
        <v>5175</v>
      </c>
      <c r="B1063" t="s">
        <v>4271</v>
      </c>
      <c r="C1063" t="s">
        <v>4272</v>
      </c>
      <c r="D1063">
        <v>162000</v>
      </c>
      <c r="E1063" s="1">
        <f t="shared" si="32"/>
        <v>0.771428571428571</v>
      </c>
      <c r="F1063">
        <f t="shared" si="33"/>
        <v>193000</v>
      </c>
    </row>
    <row r="1064" spans="1:6">
      <c r="A1064" t="s">
        <v>5176</v>
      </c>
      <c r="B1064" t="s">
        <v>4271</v>
      </c>
      <c r="C1064" t="s">
        <v>4272</v>
      </c>
      <c r="D1064">
        <v>142000</v>
      </c>
      <c r="E1064" s="1">
        <f t="shared" si="32"/>
        <v>0.676190476190476</v>
      </c>
      <c r="F1064">
        <f t="shared" si="33"/>
        <v>170000</v>
      </c>
    </row>
    <row r="1065" spans="1:6">
      <c r="A1065" t="s">
        <v>5177</v>
      </c>
      <c r="B1065" t="s">
        <v>4271</v>
      </c>
      <c r="C1065" t="s">
        <v>4272</v>
      </c>
      <c r="D1065">
        <v>202000</v>
      </c>
      <c r="E1065" s="1">
        <f t="shared" si="32"/>
        <v>0.961904761904762</v>
      </c>
      <c r="F1065">
        <f t="shared" si="33"/>
        <v>241000</v>
      </c>
    </row>
    <row r="1066" spans="1:6">
      <c r="A1066" t="s">
        <v>5178</v>
      </c>
      <c r="B1066" t="s">
        <v>4271</v>
      </c>
      <c r="C1066" t="s">
        <v>4272</v>
      </c>
      <c r="D1066">
        <v>404000</v>
      </c>
      <c r="E1066" s="1">
        <f t="shared" si="32"/>
        <v>1.92380952380952</v>
      </c>
      <c r="F1066">
        <f t="shared" si="33"/>
        <v>481000</v>
      </c>
    </row>
    <row r="1067" spans="1:6">
      <c r="A1067" t="s">
        <v>5179</v>
      </c>
      <c r="B1067" t="s">
        <v>4271</v>
      </c>
      <c r="C1067" t="s">
        <v>4272</v>
      </c>
      <c r="D1067">
        <v>61000</v>
      </c>
      <c r="E1067" s="1">
        <f t="shared" si="32"/>
        <v>0.29047619047619</v>
      </c>
      <c r="F1067">
        <f t="shared" si="33"/>
        <v>73000</v>
      </c>
    </row>
    <row r="1068" spans="1:6">
      <c r="A1068" t="s">
        <v>5180</v>
      </c>
      <c r="B1068" t="s">
        <v>4271</v>
      </c>
      <c r="C1068" t="s">
        <v>4272</v>
      </c>
      <c r="D1068">
        <v>61000</v>
      </c>
      <c r="E1068" s="1">
        <f t="shared" si="32"/>
        <v>0.29047619047619</v>
      </c>
      <c r="F1068">
        <f t="shared" si="33"/>
        <v>73000</v>
      </c>
    </row>
    <row r="1069" spans="1:6">
      <c r="A1069" t="s">
        <v>5181</v>
      </c>
      <c r="B1069" t="s">
        <v>4271</v>
      </c>
      <c r="C1069" t="s">
        <v>4272</v>
      </c>
      <c r="D1069">
        <v>61000</v>
      </c>
      <c r="E1069" s="1">
        <f t="shared" si="32"/>
        <v>0.29047619047619</v>
      </c>
      <c r="F1069">
        <f t="shared" si="33"/>
        <v>73000</v>
      </c>
    </row>
    <row r="1070" spans="1:6">
      <c r="A1070" t="s">
        <v>5182</v>
      </c>
      <c r="B1070" t="s">
        <v>4271</v>
      </c>
      <c r="C1070" t="s">
        <v>4272</v>
      </c>
      <c r="D1070">
        <v>61000</v>
      </c>
      <c r="E1070" s="1">
        <f t="shared" si="32"/>
        <v>0.29047619047619</v>
      </c>
      <c r="F1070">
        <f t="shared" si="33"/>
        <v>73000</v>
      </c>
    </row>
    <row r="1071" spans="1:6">
      <c r="A1071" t="s">
        <v>5183</v>
      </c>
      <c r="B1071" t="s">
        <v>4271</v>
      </c>
      <c r="C1071" t="s">
        <v>4272</v>
      </c>
      <c r="D1071">
        <v>101000</v>
      </c>
      <c r="E1071" s="1">
        <f t="shared" si="32"/>
        <v>0.480952380952381</v>
      </c>
      <c r="F1071">
        <f t="shared" si="33"/>
        <v>121000</v>
      </c>
    </row>
    <row r="1072" spans="1:6">
      <c r="A1072" t="s">
        <v>5184</v>
      </c>
      <c r="B1072" t="s">
        <v>4271</v>
      </c>
      <c r="C1072" t="s">
        <v>4272</v>
      </c>
      <c r="D1072">
        <v>61000</v>
      </c>
      <c r="E1072" s="1">
        <f t="shared" si="32"/>
        <v>0.29047619047619</v>
      </c>
      <c r="F1072">
        <f t="shared" si="33"/>
        <v>73000</v>
      </c>
    </row>
    <row r="1073" spans="1:6">
      <c r="A1073" t="s">
        <v>5185</v>
      </c>
      <c r="B1073" t="s">
        <v>4271</v>
      </c>
      <c r="C1073" t="s">
        <v>4272</v>
      </c>
      <c r="D1073">
        <v>545000</v>
      </c>
      <c r="E1073" s="1">
        <f t="shared" si="32"/>
        <v>2.5952380952381</v>
      </c>
      <c r="F1073">
        <f t="shared" si="33"/>
        <v>649000</v>
      </c>
    </row>
    <row r="1074" spans="1:6">
      <c r="A1074" t="s">
        <v>5186</v>
      </c>
      <c r="B1074" t="s">
        <v>4271</v>
      </c>
      <c r="C1074" t="s">
        <v>4272</v>
      </c>
      <c r="D1074">
        <v>586000</v>
      </c>
      <c r="E1074" s="1">
        <f t="shared" si="32"/>
        <v>2.79047619047619</v>
      </c>
      <c r="F1074">
        <f t="shared" si="33"/>
        <v>698000</v>
      </c>
    </row>
    <row r="1075" spans="1:6">
      <c r="A1075" t="s">
        <v>5187</v>
      </c>
      <c r="B1075" t="s">
        <v>4271</v>
      </c>
      <c r="C1075" t="s">
        <v>4272</v>
      </c>
      <c r="D1075">
        <v>646000</v>
      </c>
      <c r="E1075" s="1">
        <f t="shared" si="32"/>
        <v>3.07619047619048</v>
      </c>
      <c r="F1075">
        <f t="shared" si="33"/>
        <v>770000</v>
      </c>
    </row>
    <row r="1076" spans="1:6">
      <c r="A1076" t="s">
        <v>5188</v>
      </c>
      <c r="B1076" t="s">
        <v>4271</v>
      </c>
      <c r="C1076" t="s">
        <v>4272</v>
      </c>
      <c r="D1076">
        <v>202000</v>
      </c>
      <c r="E1076" s="1">
        <f t="shared" si="32"/>
        <v>0.961904761904762</v>
      </c>
      <c r="F1076">
        <f t="shared" si="33"/>
        <v>241000</v>
      </c>
    </row>
    <row r="1077" spans="1:6">
      <c r="A1077" t="s">
        <v>5189</v>
      </c>
      <c r="B1077" t="s">
        <v>4271</v>
      </c>
      <c r="C1077" t="s">
        <v>4272</v>
      </c>
      <c r="D1077">
        <v>263000</v>
      </c>
      <c r="E1077" s="1">
        <f t="shared" si="32"/>
        <v>1.25238095238095</v>
      </c>
      <c r="F1077">
        <f t="shared" si="33"/>
        <v>314000</v>
      </c>
    </row>
    <row r="1078" spans="1:6">
      <c r="A1078" t="s">
        <v>5190</v>
      </c>
      <c r="B1078" t="s">
        <v>4271</v>
      </c>
      <c r="C1078" t="s">
        <v>4272</v>
      </c>
      <c r="D1078">
        <v>485000</v>
      </c>
      <c r="E1078" s="1">
        <f t="shared" si="32"/>
        <v>2.30952380952381</v>
      </c>
      <c r="F1078">
        <f t="shared" si="33"/>
        <v>578000</v>
      </c>
    </row>
    <row r="1079" spans="1:6">
      <c r="A1079" t="s">
        <v>5191</v>
      </c>
      <c r="B1079" t="s">
        <v>4271</v>
      </c>
      <c r="C1079" t="s">
        <v>4272</v>
      </c>
      <c r="D1079">
        <v>303000</v>
      </c>
      <c r="E1079" s="1">
        <f t="shared" si="32"/>
        <v>1.44285714285714</v>
      </c>
      <c r="F1079">
        <f t="shared" si="33"/>
        <v>361000</v>
      </c>
    </row>
    <row r="1080" spans="1:6">
      <c r="A1080" t="s">
        <v>5192</v>
      </c>
      <c r="B1080" t="s">
        <v>4271</v>
      </c>
      <c r="C1080" t="s">
        <v>4272</v>
      </c>
      <c r="D1080">
        <v>263000</v>
      </c>
      <c r="E1080" s="1">
        <f t="shared" si="32"/>
        <v>1.25238095238095</v>
      </c>
      <c r="F1080">
        <f t="shared" si="33"/>
        <v>314000</v>
      </c>
    </row>
    <row r="1081" spans="1:6">
      <c r="A1081" t="s">
        <v>5193</v>
      </c>
      <c r="B1081" t="s">
        <v>4271</v>
      </c>
      <c r="C1081" t="s">
        <v>4272</v>
      </c>
      <c r="D1081">
        <v>202000</v>
      </c>
      <c r="E1081" s="1">
        <f t="shared" si="32"/>
        <v>0.961904761904762</v>
      </c>
      <c r="F1081">
        <f t="shared" si="33"/>
        <v>241000</v>
      </c>
    </row>
    <row r="1082" spans="1:6">
      <c r="A1082" t="s">
        <v>5194</v>
      </c>
      <c r="B1082" t="s">
        <v>4271</v>
      </c>
      <c r="C1082" t="s">
        <v>4272</v>
      </c>
      <c r="D1082">
        <v>243000</v>
      </c>
      <c r="E1082" s="1">
        <f t="shared" si="32"/>
        <v>1.15714285714286</v>
      </c>
      <c r="F1082">
        <f t="shared" si="33"/>
        <v>290000</v>
      </c>
    </row>
    <row r="1083" spans="1:6">
      <c r="A1083" t="s">
        <v>5195</v>
      </c>
      <c r="B1083" t="s">
        <v>4271</v>
      </c>
      <c r="C1083" t="s">
        <v>4272</v>
      </c>
      <c r="D1083">
        <v>263000</v>
      </c>
      <c r="E1083" s="1">
        <f t="shared" si="32"/>
        <v>1.25238095238095</v>
      </c>
      <c r="F1083">
        <f t="shared" si="33"/>
        <v>314000</v>
      </c>
    </row>
    <row r="1084" spans="1:6">
      <c r="A1084" t="s">
        <v>5196</v>
      </c>
      <c r="B1084" t="s">
        <v>4271</v>
      </c>
      <c r="C1084" t="s">
        <v>4272</v>
      </c>
      <c r="D1084">
        <v>444000</v>
      </c>
      <c r="E1084" s="1">
        <f t="shared" si="32"/>
        <v>2.11428571428571</v>
      </c>
      <c r="F1084">
        <f t="shared" si="33"/>
        <v>529000</v>
      </c>
    </row>
    <row r="1085" spans="1:6">
      <c r="A1085" t="s">
        <v>5197</v>
      </c>
      <c r="B1085" t="s">
        <v>4271</v>
      </c>
      <c r="C1085" t="s">
        <v>4272</v>
      </c>
      <c r="D1085">
        <v>606000</v>
      </c>
      <c r="E1085" s="1">
        <f t="shared" si="32"/>
        <v>2.88571428571429</v>
      </c>
      <c r="F1085">
        <f t="shared" si="33"/>
        <v>722000</v>
      </c>
    </row>
    <row r="1086" spans="1:6">
      <c r="A1086" t="s">
        <v>5198</v>
      </c>
      <c r="B1086" t="s">
        <v>4271</v>
      </c>
      <c r="C1086" t="s">
        <v>4272</v>
      </c>
      <c r="D1086">
        <v>364000</v>
      </c>
      <c r="E1086" s="1">
        <f t="shared" si="32"/>
        <v>1.73333333333333</v>
      </c>
      <c r="F1086">
        <f t="shared" si="33"/>
        <v>434000</v>
      </c>
    </row>
    <row r="1087" spans="1:6">
      <c r="A1087" t="s">
        <v>5199</v>
      </c>
      <c r="B1087" t="s">
        <v>4271</v>
      </c>
      <c r="C1087" t="s">
        <v>4272</v>
      </c>
      <c r="D1087">
        <v>364000</v>
      </c>
      <c r="E1087" s="1">
        <f t="shared" si="32"/>
        <v>1.73333333333333</v>
      </c>
      <c r="F1087">
        <f t="shared" si="33"/>
        <v>434000</v>
      </c>
    </row>
    <row r="1088" spans="1:6">
      <c r="A1088" t="s">
        <v>5200</v>
      </c>
      <c r="B1088" t="s">
        <v>4271</v>
      </c>
      <c r="C1088" t="s">
        <v>4272</v>
      </c>
      <c r="D1088">
        <v>444000</v>
      </c>
      <c r="E1088" s="1">
        <f t="shared" si="32"/>
        <v>2.11428571428571</v>
      </c>
      <c r="F1088">
        <f t="shared" si="33"/>
        <v>529000</v>
      </c>
    </row>
    <row r="1089" spans="1:6">
      <c r="A1089" t="s">
        <v>5201</v>
      </c>
      <c r="B1089" t="s">
        <v>4271</v>
      </c>
      <c r="C1089" t="s">
        <v>4272</v>
      </c>
      <c r="D1089">
        <v>465000</v>
      </c>
      <c r="E1089" s="1">
        <f t="shared" si="32"/>
        <v>2.21428571428571</v>
      </c>
      <c r="F1089">
        <f t="shared" si="33"/>
        <v>554000</v>
      </c>
    </row>
    <row r="1090" spans="1:6">
      <c r="A1090" t="s">
        <v>5202</v>
      </c>
      <c r="B1090" t="s">
        <v>4271</v>
      </c>
      <c r="C1090" t="s">
        <v>4272</v>
      </c>
      <c r="D1090">
        <v>808000</v>
      </c>
      <c r="E1090" s="1">
        <f t="shared" ref="E1090:E1153" si="34">D1090/210000</f>
        <v>3.84761904761905</v>
      </c>
      <c r="F1090">
        <f t="shared" si="33"/>
        <v>962000</v>
      </c>
    </row>
    <row r="1091" spans="1:6">
      <c r="A1091" t="s">
        <v>5203</v>
      </c>
      <c r="B1091" t="s">
        <v>4271</v>
      </c>
      <c r="C1091" t="s">
        <v>4272</v>
      </c>
      <c r="D1091">
        <v>1010000</v>
      </c>
      <c r="E1091" s="1">
        <f t="shared" si="34"/>
        <v>4.80952380952381</v>
      </c>
      <c r="F1091">
        <f t="shared" si="33"/>
        <v>1203000</v>
      </c>
    </row>
    <row r="1092" spans="1:6">
      <c r="A1092" t="s">
        <v>5204</v>
      </c>
      <c r="B1092" t="s">
        <v>4271</v>
      </c>
      <c r="C1092" t="s">
        <v>4272</v>
      </c>
      <c r="D1092">
        <v>283000</v>
      </c>
      <c r="E1092" s="1">
        <f t="shared" si="34"/>
        <v>1.34761904761905</v>
      </c>
      <c r="F1092">
        <f t="shared" ref="F1092:F1155" si="35">CEILING(E1092*250000,1000)</f>
        <v>337000</v>
      </c>
    </row>
    <row r="1093" spans="1:6">
      <c r="A1093" t="s">
        <v>5205</v>
      </c>
      <c r="B1093" t="s">
        <v>4271</v>
      </c>
      <c r="C1093" t="s">
        <v>4272</v>
      </c>
      <c r="D1093">
        <v>384000</v>
      </c>
      <c r="E1093" s="1">
        <f t="shared" si="34"/>
        <v>1.82857142857143</v>
      </c>
      <c r="F1093">
        <f t="shared" si="35"/>
        <v>458000</v>
      </c>
    </row>
    <row r="1094" spans="1:6">
      <c r="A1094" t="s">
        <v>5206</v>
      </c>
      <c r="B1094" t="s">
        <v>4271</v>
      </c>
      <c r="C1094" t="s">
        <v>4272</v>
      </c>
      <c r="D1094">
        <v>808000</v>
      </c>
      <c r="E1094" s="1">
        <f t="shared" si="34"/>
        <v>3.84761904761905</v>
      </c>
      <c r="F1094">
        <f t="shared" si="35"/>
        <v>962000</v>
      </c>
    </row>
    <row r="1095" spans="1:6">
      <c r="A1095" t="s">
        <v>5207</v>
      </c>
      <c r="B1095" t="s">
        <v>4271</v>
      </c>
      <c r="C1095" t="s">
        <v>4272</v>
      </c>
      <c r="D1095">
        <v>505000</v>
      </c>
      <c r="E1095" s="1">
        <f t="shared" si="34"/>
        <v>2.4047619047619</v>
      </c>
      <c r="F1095">
        <f t="shared" si="35"/>
        <v>602000</v>
      </c>
    </row>
    <row r="1096" spans="1:6">
      <c r="A1096" t="s">
        <v>5208</v>
      </c>
      <c r="B1096" t="s">
        <v>4271</v>
      </c>
      <c r="C1096" t="s">
        <v>4272</v>
      </c>
      <c r="D1096">
        <v>202000</v>
      </c>
      <c r="E1096" s="1">
        <f t="shared" si="34"/>
        <v>0.961904761904762</v>
      </c>
      <c r="F1096">
        <f t="shared" si="35"/>
        <v>241000</v>
      </c>
    </row>
    <row r="1097" spans="1:6">
      <c r="A1097" t="s">
        <v>5209</v>
      </c>
      <c r="B1097" t="s">
        <v>4271</v>
      </c>
      <c r="C1097" t="s">
        <v>4272</v>
      </c>
      <c r="D1097">
        <v>222000</v>
      </c>
      <c r="E1097" s="1">
        <f t="shared" si="34"/>
        <v>1.05714285714286</v>
      </c>
      <c r="F1097">
        <f t="shared" si="35"/>
        <v>265000</v>
      </c>
    </row>
    <row r="1098" spans="1:6">
      <c r="A1098" t="s">
        <v>5210</v>
      </c>
      <c r="B1098" t="s">
        <v>4271</v>
      </c>
      <c r="C1098" t="s">
        <v>4272</v>
      </c>
      <c r="D1098">
        <v>243000</v>
      </c>
      <c r="E1098" s="1">
        <f t="shared" si="34"/>
        <v>1.15714285714286</v>
      </c>
      <c r="F1098">
        <f t="shared" si="35"/>
        <v>290000</v>
      </c>
    </row>
    <row r="1099" spans="1:6">
      <c r="A1099" t="s">
        <v>5211</v>
      </c>
      <c r="B1099" t="s">
        <v>4271</v>
      </c>
      <c r="C1099" t="s">
        <v>4272</v>
      </c>
      <c r="D1099">
        <v>222000</v>
      </c>
      <c r="E1099" s="1">
        <f t="shared" si="34"/>
        <v>1.05714285714286</v>
      </c>
      <c r="F1099">
        <f t="shared" si="35"/>
        <v>265000</v>
      </c>
    </row>
    <row r="1100" spans="1:6">
      <c r="A1100" t="s">
        <v>5212</v>
      </c>
      <c r="B1100" t="s">
        <v>4271</v>
      </c>
      <c r="C1100" t="s">
        <v>4272</v>
      </c>
      <c r="D1100">
        <v>384000</v>
      </c>
      <c r="E1100" s="1">
        <f t="shared" si="34"/>
        <v>1.82857142857143</v>
      </c>
      <c r="F1100">
        <f t="shared" si="35"/>
        <v>458000</v>
      </c>
    </row>
    <row r="1101" spans="1:6">
      <c r="A1101" t="s">
        <v>5213</v>
      </c>
      <c r="B1101" t="s">
        <v>4271</v>
      </c>
      <c r="C1101" t="s">
        <v>4272</v>
      </c>
      <c r="D1101">
        <v>465000</v>
      </c>
      <c r="E1101" s="1">
        <f t="shared" si="34"/>
        <v>2.21428571428571</v>
      </c>
      <c r="F1101">
        <f t="shared" si="35"/>
        <v>554000</v>
      </c>
    </row>
    <row r="1102" spans="1:6">
      <c r="A1102" t="s">
        <v>5214</v>
      </c>
      <c r="B1102" t="s">
        <v>4271</v>
      </c>
      <c r="C1102" t="s">
        <v>4272</v>
      </c>
      <c r="D1102">
        <v>263000</v>
      </c>
      <c r="E1102" s="1">
        <f t="shared" si="34"/>
        <v>1.25238095238095</v>
      </c>
      <c r="F1102">
        <f t="shared" si="35"/>
        <v>314000</v>
      </c>
    </row>
    <row r="1103" spans="1:6">
      <c r="A1103" t="s">
        <v>5215</v>
      </c>
      <c r="B1103" t="s">
        <v>4271</v>
      </c>
      <c r="C1103" t="s">
        <v>4272</v>
      </c>
      <c r="D1103">
        <v>303000</v>
      </c>
      <c r="E1103" s="1">
        <f t="shared" si="34"/>
        <v>1.44285714285714</v>
      </c>
      <c r="F1103">
        <f t="shared" si="35"/>
        <v>361000</v>
      </c>
    </row>
    <row r="1104" spans="1:6">
      <c r="A1104" t="s">
        <v>5216</v>
      </c>
      <c r="B1104" t="s">
        <v>4271</v>
      </c>
      <c r="C1104" t="s">
        <v>4272</v>
      </c>
      <c r="D1104">
        <v>142000</v>
      </c>
      <c r="E1104" s="1">
        <f t="shared" si="34"/>
        <v>0.676190476190476</v>
      </c>
      <c r="F1104">
        <f t="shared" si="35"/>
        <v>170000</v>
      </c>
    </row>
    <row r="1105" spans="1:6">
      <c r="A1105" t="s">
        <v>5217</v>
      </c>
      <c r="B1105" t="s">
        <v>4271</v>
      </c>
      <c r="C1105" t="s">
        <v>4272</v>
      </c>
      <c r="D1105">
        <v>182000</v>
      </c>
      <c r="E1105" s="1">
        <f t="shared" si="34"/>
        <v>0.866666666666667</v>
      </c>
      <c r="F1105">
        <f t="shared" si="35"/>
        <v>217000</v>
      </c>
    </row>
    <row r="1106" spans="1:6">
      <c r="A1106" t="s">
        <v>5218</v>
      </c>
      <c r="B1106" t="s">
        <v>4271</v>
      </c>
      <c r="C1106" t="s">
        <v>4272</v>
      </c>
      <c r="D1106">
        <v>283000</v>
      </c>
      <c r="E1106" s="1">
        <f t="shared" si="34"/>
        <v>1.34761904761905</v>
      </c>
      <c r="F1106">
        <f t="shared" si="35"/>
        <v>337000</v>
      </c>
    </row>
    <row r="1107" spans="1:6">
      <c r="A1107" t="s">
        <v>5219</v>
      </c>
      <c r="B1107" t="s">
        <v>4271</v>
      </c>
      <c r="C1107" t="s">
        <v>4272</v>
      </c>
      <c r="D1107">
        <v>485000</v>
      </c>
      <c r="E1107" s="1">
        <f t="shared" si="34"/>
        <v>2.30952380952381</v>
      </c>
      <c r="F1107">
        <f t="shared" si="35"/>
        <v>578000</v>
      </c>
    </row>
    <row r="1108" spans="1:6">
      <c r="A1108" t="s">
        <v>5220</v>
      </c>
      <c r="B1108" t="s">
        <v>4271</v>
      </c>
      <c r="C1108" t="s">
        <v>4272</v>
      </c>
      <c r="D1108">
        <v>384000</v>
      </c>
      <c r="E1108" s="1">
        <f t="shared" si="34"/>
        <v>1.82857142857143</v>
      </c>
      <c r="F1108">
        <f t="shared" si="35"/>
        <v>458000</v>
      </c>
    </row>
    <row r="1109" spans="1:6">
      <c r="A1109" t="s">
        <v>5221</v>
      </c>
      <c r="B1109" t="s">
        <v>4271</v>
      </c>
      <c r="C1109" t="s">
        <v>4272</v>
      </c>
      <c r="D1109">
        <v>424000</v>
      </c>
      <c r="E1109" s="1">
        <f t="shared" si="34"/>
        <v>2.01904761904762</v>
      </c>
      <c r="F1109">
        <f t="shared" si="35"/>
        <v>505000</v>
      </c>
    </row>
    <row r="1110" spans="1:6">
      <c r="A1110" t="s">
        <v>5222</v>
      </c>
      <c r="B1110" t="s">
        <v>4271</v>
      </c>
      <c r="C1110" t="s">
        <v>4272</v>
      </c>
      <c r="D1110">
        <v>202000</v>
      </c>
      <c r="E1110" s="1">
        <f t="shared" si="34"/>
        <v>0.961904761904762</v>
      </c>
      <c r="F1110">
        <f t="shared" si="35"/>
        <v>241000</v>
      </c>
    </row>
    <row r="1111" spans="1:6">
      <c r="A1111" t="s">
        <v>5223</v>
      </c>
      <c r="B1111" t="s">
        <v>4271</v>
      </c>
      <c r="C1111" t="s">
        <v>4272</v>
      </c>
      <c r="D1111">
        <v>202000</v>
      </c>
      <c r="E1111" s="1">
        <f t="shared" si="34"/>
        <v>0.961904761904762</v>
      </c>
      <c r="F1111">
        <f t="shared" si="35"/>
        <v>241000</v>
      </c>
    </row>
    <row r="1112" spans="1:6">
      <c r="A1112" t="s">
        <v>5224</v>
      </c>
      <c r="B1112" t="s">
        <v>4271</v>
      </c>
      <c r="C1112" t="s">
        <v>4272</v>
      </c>
      <c r="D1112">
        <v>323000</v>
      </c>
      <c r="E1112" s="1">
        <f t="shared" si="34"/>
        <v>1.53809523809524</v>
      </c>
      <c r="F1112">
        <f t="shared" si="35"/>
        <v>385000</v>
      </c>
    </row>
    <row r="1113" spans="1:6">
      <c r="A1113" t="s">
        <v>5225</v>
      </c>
      <c r="B1113" t="s">
        <v>4271</v>
      </c>
      <c r="C1113" t="s">
        <v>4272</v>
      </c>
      <c r="D1113">
        <v>122000</v>
      </c>
      <c r="E1113" s="1">
        <f t="shared" si="34"/>
        <v>0.580952380952381</v>
      </c>
      <c r="F1113">
        <f t="shared" si="35"/>
        <v>146000</v>
      </c>
    </row>
    <row r="1114" spans="1:6">
      <c r="A1114" t="s">
        <v>5226</v>
      </c>
      <c r="B1114" t="s">
        <v>4271</v>
      </c>
      <c r="C1114" t="s">
        <v>4272</v>
      </c>
      <c r="D1114">
        <v>122000</v>
      </c>
      <c r="E1114" s="1">
        <f t="shared" si="34"/>
        <v>0.580952380952381</v>
      </c>
      <c r="F1114">
        <f t="shared" si="35"/>
        <v>146000</v>
      </c>
    </row>
    <row r="1115" spans="1:6">
      <c r="A1115" t="s">
        <v>5227</v>
      </c>
      <c r="B1115" t="s">
        <v>4271</v>
      </c>
      <c r="C1115" t="s">
        <v>4272</v>
      </c>
      <c r="D1115">
        <v>122000</v>
      </c>
      <c r="E1115" s="1">
        <f t="shared" si="34"/>
        <v>0.580952380952381</v>
      </c>
      <c r="F1115">
        <f t="shared" si="35"/>
        <v>146000</v>
      </c>
    </row>
    <row r="1116" spans="1:6">
      <c r="A1116" t="s">
        <v>5228</v>
      </c>
      <c r="B1116" t="s">
        <v>4271</v>
      </c>
      <c r="C1116" t="s">
        <v>4272</v>
      </c>
      <c r="D1116">
        <v>162000</v>
      </c>
      <c r="E1116" s="1">
        <f t="shared" si="34"/>
        <v>0.771428571428571</v>
      </c>
      <c r="F1116">
        <f t="shared" si="35"/>
        <v>193000</v>
      </c>
    </row>
    <row r="1117" spans="1:6">
      <c r="A1117" t="s">
        <v>5229</v>
      </c>
      <c r="B1117" t="s">
        <v>4271</v>
      </c>
      <c r="C1117" t="s">
        <v>4272</v>
      </c>
      <c r="D1117">
        <v>142000</v>
      </c>
      <c r="E1117" s="1">
        <f t="shared" si="34"/>
        <v>0.676190476190476</v>
      </c>
      <c r="F1117">
        <f t="shared" si="35"/>
        <v>170000</v>
      </c>
    </row>
    <row r="1118" spans="1:6">
      <c r="A1118" t="s">
        <v>5230</v>
      </c>
      <c r="B1118" t="s">
        <v>4271</v>
      </c>
      <c r="C1118" t="s">
        <v>4272</v>
      </c>
      <c r="D1118">
        <v>122000</v>
      </c>
      <c r="E1118" s="1">
        <f t="shared" si="34"/>
        <v>0.580952380952381</v>
      </c>
      <c r="F1118">
        <f t="shared" si="35"/>
        <v>146000</v>
      </c>
    </row>
    <row r="1119" spans="1:6">
      <c r="A1119" t="s">
        <v>5231</v>
      </c>
      <c r="B1119" t="s">
        <v>4271</v>
      </c>
      <c r="C1119" t="s">
        <v>4272</v>
      </c>
      <c r="D1119">
        <v>142000</v>
      </c>
      <c r="E1119" s="1">
        <f t="shared" si="34"/>
        <v>0.676190476190476</v>
      </c>
      <c r="F1119">
        <f t="shared" si="35"/>
        <v>170000</v>
      </c>
    </row>
    <row r="1120" spans="1:6">
      <c r="A1120" t="s">
        <v>5232</v>
      </c>
      <c r="B1120" t="s">
        <v>4271</v>
      </c>
      <c r="C1120" t="s">
        <v>4272</v>
      </c>
      <c r="D1120">
        <v>122000</v>
      </c>
      <c r="E1120" s="1">
        <f t="shared" si="34"/>
        <v>0.580952380952381</v>
      </c>
      <c r="F1120">
        <f t="shared" si="35"/>
        <v>146000</v>
      </c>
    </row>
    <row r="1121" spans="1:6">
      <c r="A1121" t="s">
        <v>5233</v>
      </c>
      <c r="B1121" t="s">
        <v>4271</v>
      </c>
      <c r="C1121" t="s">
        <v>4272</v>
      </c>
      <c r="D1121">
        <v>122000</v>
      </c>
      <c r="E1121" s="1">
        <f t="shared" si="34"/>
        <v>0.580952380952381</v>
      </c>
      <c r="F1121">
        <f t="shared" si="35"/>
        <v>146000</v>
      </c>
    </row>
    <row r="1122" spans="1:6">
      <c r="A1122" t="s">
        <v>5234</v>
      </c>
      <c r="B1122" t="s">
        <v>4271</v>
      </c>
      <c r="C1122" t="s">
        <v>4272</v>
      </c>
      <c r="D1122">
        <v>81000</v>
      </c>
      <c r="E1122" s="1">
        <f t="shared" si="34"/>
        <v>0.385714285714286</v>
      </c>
      <c r="F1122">
        <f t="shared" si="35"/>
        <v>97000</v>
      </c>
    </row>
    <row r="1123" spans="1:6">
      <c r="A1123" t="s">
        <v>5235</v>
      </c>
      <c r="B1123" t="s">
        <v>4271</v>
      </c>
      <c r="C1123" t="s">
        <v>4272</v>
      </c>
      <c r="D1123">
        <v>61000</v>
      </c>
      <c r="E1123" s="1">
        <f t="shared" si="34"/>
        <v>0.29047619047619</v>
      </c>
      <c r="F1123">
        <f t="shared" si="35"/>
        <v>73000</v>
      </c>
    </row>
    <row r="1124" spans="1:6">
      <c r="A1124" t="s">
        <v>5236</v>
      </c>
      <c r="B1124" t="s">
        <v>4271</v>
      </c>
      <c r="C1124" t="s">
        <v>4272</v>
      </c>
      <c r="D1124">
        <v>81000</v>
      </c>
      <c r="E1124" s="1">
        <f t="shared" si="34"/>
        <v>0.385714285714286</v>
      </c>
      <c r="F1124">
        <f t="shared" si="35"/>
        <v>97000</v>
      </c>
    </row>
    <row r="1125" spans="1:6">
      <c r="A1125" t="s">
        <v>5237</v>
      </c>
      <c r="B1125" t="s">
        <v>4271</v>
      </c>
      <c r="C1125" t="s">
        <v>4272</v>
      </c>
      <c r="D1125">
        <v>81000</v>
      </c>
      <c r="E1125" s="1">
        <f t="shared" si="34"/>
        <v>0.385714285714286</v>
      </c>
      <c r="F1125">
        <f t="shared" si="35"/>
        <v>97000</v>
      </c>
    </row>
    <row r="1126" spans="1:6">
      <c r="A1126" t="s">
        <v>5238</v>
      </c>
      <c r="B1126" t="s">
        <v>4271</v>
      </c>
      <c r="C1126" t="s">
        <v>4272</v>
      </c>
      <c r="D1126">
        <v>61000</v>
      </c>
      <c r="E1126" s="1">
        <f t="shared" si="34"/>
        <v>0.29047619047619</v>
      </c>
      <c r="F1126">
        <f t="shared" si="35"/>
        <v>73000</v>
      </c>
    </row>
    <row r="1127" spans="1:6">
      <c r="A1127" t="s">
        <v>5239</v>
      </c>
      <c r="B1127" t="s">
        <v>4271</v>
      </c>
      <c r="C1127" t="s">
        <v>4272</v>
      </c>
      <c r="D1127">
        <v>61000</v>
      </c>
      <c r="E1127" s="1">
        <f t="shared" si="34"/>
        <v>0.29047619047619</v>
      </c>
      <c r="F1127">
        <f t="shared" si="35"/>
        <v>73000</v>
      </c>
    </row>
    <row r="1128" spans="1:6">
      <c r="A1128" t="s">
        <v>5240</v>
      </c>
      <c r="B1128" t="s">
        <v>4271</v>
      </c>
      <c r="C1128" t="s">
        <v>4272</v>
      </c>
      <c r="D1128">
        <v>41000</v>
      </c>
      <c r="E1128" s="1">
        <f t="shared" si="34"/>
        <v>0.195238095238095</v>
      </c>
      <c r="F1128">
        <f t="shared" si="35"/>
        <v>49000</v>
      </c>
    </row>
    <row r="1129" spans="1:6">
      <c r="A1129" t="s">
        <v>5241</v>
      </c>
      <c r="B1129" t="s">
        <v>4271</v>
      </c>
      <c r="C1129" t="s">
        <v>4272</v>
      </c>
      <c r="D1129">
        <v>81000</v>
      </c>
      <c r="E1129" s="1">
        <f t="shared" si="34"/>
        <v>0.385714285714286</v>
      </c>
      <c r="F1129">
        <f t="shared" si="35"/>
        <v>97000</v>
      </c>
    </row>
    <row r="1130" spans="1:6">
      <c r="A1130" t="s">
        <v>5242</v>
      </c>
      <c r="B1130" t="s">
        <v>4271</v>
      </c>
      <c r="C1130" t="s">
        <v>4272</v>
      </c>
      <c r="D1130">
        <v>81000</v>
      </c>
      <c r="E1130" s="1">
        <f t="shared" si="34"/>
        <v>0.385714285714286</v>
      </c>
      <c r="F1130">
        <f t="shared" si="35"/>
        <v>97000</v>
      </c>
    </row>
    <row r="1131" spans="1:6">
      <c r="A1131" t="s">
        <v>5243</v>
      </c>
      <c r="B1131" t="s">
        <v>4271</v>
      </c>
      <c r="C1131" t="s">
        <v>4272</v>
      </c>
      <c r="D1131">
        <v>122000</v>
      </c>
      <c r="E1131" s="1">
        <f t="shared" si="34"/>
        <v>0.580952380952381</v>
      </c>
      <c r="F1131">
        <f t="shared" si="35"/>
        <v>146000</v>
      </c>
    </row>
    <row r="1132" spans="1:6">
      <c r="A1132" t="s">
        <v>5244</v>
      </c>
      <c r="B1132" t="s">
        <v>4271</v>
      </c>
      <c r="C1132" t="s">
        <v>4272</v>
      </c>
      <c r="D1132">
        <v>41000</v>
      </c>
      <c r="E1132" s="1">
        <f t="shared" si="34"/>
        <v>0.195238095238095</v>
      </c>
      <c r="F1132">
        <f t="shared" si="35"/>
        <v>49000</v>
      </c>
    </row>
    <row r="1133" spans="1:6">
      <c r="A1133" t="s">
        <v>5245</v>
      </c>
      <c r="B1133" t="s">
        <v>4271</v>
      </c>
      <c r="C1133" t="s">
        <v>4272</v>
      </c>
      <c r="D1133">
        <v>41000</v>
      </c>
      <c r="E1133" s="1">
        <f t="shared" si="34"/>
        <v>0.195238095238095</v>
      </c>
      <c r="F1133">
        <f t="shared" si="35"/>
        <v>49000</v>
      </c>
    </row>
    <row r="1134" spans="1:6">
      <c r="A1134" t="s">
        <v>5246</v>
      </c>
      <c r="B1134" t="s">
        <v>4271</v>
      </c>
      <c r="C1134" t="s">
        <v>4272</v>
      </c>
      <c r="D1134">
        <v>122000</v>
      </c>
      <c r="E1134" s="1">
        <f t="shared" si="34"/>
        <v>0.580952380952381</v>
      </c>
      <c r="F1134">
        <f t="shared" si="35"/>
        <v>146000</v>
      </c>
    </row>
    <row r="1135" spans="1:6">
      <c r="A1135" t="s">
        <v>5247</v>
      </c>
      <c r="B1135" t="s">
        <v>4271</v>
      </c>
      <c r="C1135" t="s">
        <v>4272</v>
      </c>
      <c r="D1135">
        <v>101000</v>
      </c>
      <c r="E1135" s="1">
        <f t="shared" si="34"/>
        <v>0.480952380952381</v>
      </c>
      <c r="F1135">
        <f t="shared" si="35"/>
        <v>121000</v>
      </c>
    </row>
    <row r="1136" spans="1:6">
      <c r="A1136" t="s">
        <v>5248</v>
      </c>
      <c r="B1136" t="s">
        <v>4271</v>
      </c>
      <c r="C1136" t="s">
        <v>4272</v>
      </c>
      <c r="D1136">
        <v>81000</v>
      </c>
      <c r="E1136" s="1">
        <f t="shared" si="34"/>
        <v>0.385714285714286</v>
      </c>
      <c r="F1136">
        <f t="shared" si="35"/>
        <v>97000</v>
      </c>
    </row>
    <row r="1137" spans="1:6">
      <c r="A1137" t="s">
        <v>5249</v>
      </c>
      <c r="B1137" t="s">
        <v>4271</v>
      </c>
      <c r="C1137" t="s">
        <v>4272</v>
      </c>
      <c r="D1137">
        <v>142000</v>
      </c>
      <c r="E1137" s="1">
        <f t="shared" si="34"/>
        <v>0.676190476190476</v>
      </c>
      <c r="F1137">
        <f t="shared" si="35"/>
        <v>170000</v>
      </c>
    </row>
    <row r="1138" spans="1:6">
      <c r="A1138" t="s">
        <v>5250</v>
      </c>
      <c r="B1138" t="s">
        <v>4271</v>
      </c>
      <c r="C1138" t="s">
        <v>4272</v>
      </c>
      <c r="D1138">
        <v>162000</v>
      </c>
      <c r="E1138" s="1">
        <f t="shared" si="34"/>
        <v>0.771428571428571</v>
      </c>
      <c r="F1138">
        <f t="shared" si="35"/>
        <v>193000</v>
      </c>
    </row>
    <row r="1139" spans="1:6">
      <c r="A1139" t="s">
        <v>5251</v>
      </c>
      <c r="B1139" t="s">
        <v>4271</v>
      </c>
      <c r="C1139" t="s">
        <v>4272</v>
      </c>
      <c r="D1139">
        <v>162000</v>
      </c>
      <c r="E1139" s="1">
        <f t="shared" si="34"/>
        <v>0.771428571428571</v>
      </c>
      <c r="F1139">
        <f t="shared" si="35"/>
        <v>193000</v>
      </c>
    </row>
    <row r="1140" spans="1:6">
      <c r="A1140" t="s">
        <v>5252</v>
      </c>
      <c r="B1140" t="s">
        <v>4271</v>
      </c>
      <c r="C1140" t="s">
        <v>4272</v>
      </c>
      <c r="D1140">
        <v>142000</v>
      </c>
      <c r="E1140" s="1">
        <f t="shared" si="34"/>
        <v>0.676190476190476</v>
      </c>
      <c r="F1140">
        <f t="shared" si="35"/>
        <v>170000</v>
      </c>
    </row>
    <row r="1141" spans="1:6">
      <c r="A1141" t="s">
        <v>5253</v>
      </c>
      <c r="B1141" t="s">
        <v>4271</v>
      </c>
      <c r="C1141" t="s">
        <v>4272</v>
      </c>
      <c r="D1141">
        <v>162000</v>
      </c>
      <c r="E1141" s="1">
        <f t="shared" si="34"/>
        <v>0.771428571428571</v>
      </c>
      <c r="F1141">
        <f t="shared" si="35"/>
        <v>193000</v>
      </c>
    </row>
    <row r="1142" spans="1:6">
      <c r="A1142" t="s">
        <v>5254</v>
      </c>
      <c r="B1142" t="s">
        <v>4271</v>
      </c>
      <c r="C1142" t="s">
        <v>4272</v>
      </c>
      <c r="D1142">
        <v>162000</v>
      </c>
      <c r="E1142" s="1">
        <f t="shared" si="34"/>
        <v>0.771428571428571</v>
      </c>
      <c r="F1142">
        <f t="shared" si="35"/>
        <v>193000</v>
      </c>
    </row>
    <row r="1143" spans="1:6">
      <c r="A1143" t="s">
        <v>5255</v>
      </c>
      <c r="B1143" t="s">
        <v>4271</v>
      </c>
      <c r="C1143" t="s">
        <v>4272</v>
      </c>
      <c r="D1143">
        <v>142000</v>
      </c>
      <c r="E1143" s="1">
        <f t="shared" si="34"/>
        <v>0.676190476190476</v>
      </c>
      <c r="F1143">
        <f t="shared" si="35"/>
        <v>170000</v>
      </c>
    </row>
    <row r="1144" spans="1:6">
      <c r="A1144" t="s">
        <v>5256</v>
      </c>
      <c r="B1144" t="s">
        <v>4271</v>
      </c>
      <c r="C1144" t="s">
        <v>4272</v>
      </c>
      <c r="D1144">
        <v>142000</v>
      </c>
      <c r="E1144" s="1">
        <f t="shared" si="34"/>
        <v>0.676190476190476</v>
      </c>
      <c r="F1144">
        <f t="shared" si="35"/>
        <v>170000</v>
      </c>
    </row>
    <row r="1145" spans="1:6">
      <c r="A1145" t="s">
        <v>5257</v>
      </c>
      <c r="B1145" t="s">
        <v>4271</v>
      </c>
      <c r="C1145" t="s">
        <v>4272</v>
      </c>
      <c r="D1145">
        <v>122000</v>
      </c>
      <c r="E1145" s="1">
        <f t="shared" si="34"/>
        <v>0.580952380952381</v>
      </c>
      <c r="F1145">
        <f t="shared" si="35"/>
        <v>146000</v>
      </c>
    </row>
    <row r="1146" spans="1:6">
      <c r="A1146" t="s">
        <v>5258</v>
      </c>
      <c r="B1146" t="s">
        <v>4271</v>
      </c>
      <c r="C1146" t="s">
        <v>4272</v>
      </c>
      <c r="D1146">
        <v>142000</v>
      </c>
      <c r="E1146" s="1">
        <f t="shared" si="34"/>
        <v>0.676190476190476</v>
      </c>
      <c r="F1146">
        <f t="shared" si="35"/>
        <v>170000</v>
      </c>
    </row>
    <row r="1147" spans="1:6">
      <c r="A1147" t="s">
        <v>5259</v>
      </c>
      <c r="B1147" t="s">
        <v>4271</v>
      </c>
      <c r="C1147" t="s">
        <v>4272</v>
      </c>
      <c r="D1147">
        <v>101000</v>
      </c>
      <c r="E1147" s="1">
        <f t="shared" si="34"/>
        <v>0.480952380952381</v>
      </c>
      <c r="F1147">
        <f t="shared" si="35"/>
        <v>121000</v>
      </c>
    </row>
    <row r="1148" spans="1:6">
      <c r="A1148" t="s">
        <v>5260</v>
      </c>
      <c r="B1148" t="s">
        <v>4271</v>
      </c>
      <c r="C1148" t="s">
        <v>4272</v>
      </c>
      <c r="D1148">
        <v>61000</v>
      </c>
      <c r="E1148" s="1">
        <f t="shared" si="34"/>
        <v>0.29047619047619</v>
      </c>
      <c r="F1148">
        <f t="shared" si="35"/>
        <v>73000</v>
      </c>
    </row>
    <row r="1149" spans="1:6">
      <c r="A1149" t="s">
        <v>5261</v>
      </c>
      <c r="B1149" t="s">
        <v>4271</v>
      </c>
      <c r="C1149" t="s">
        <v>4272</v>
      </c>
      <c r="D1149">
        <v>41000</v>
      </c>
      <c r="E1149" s="1">
        <f t="shared" si="34"/>
        <v>0.195238095238095</v>
      </c>
      <c r="F1149">
        <f t="shared" si="35"/>
        <v>49000</v>
      </c>
    </row>
    <row r="1150" spans="1:6">
      <c r="A1150" t="s">
        <v>5262</v>
      </c>
      <c r="B1150" t="s">
        <v>4271</v>
      </c>
      <c r="C1150" t="s">
        <v>4272</v>
      </c>
      <c r="D1150">
        <v>41000</v>
      </c>
      <c r="E1150" s="1">
        <f t="shared" si="34"/>
        <v>0.195238095238095</v>
      </c>
      <c r="F1150">
        <f t="shared" si="35"/>
        <v>49000</v>
      </c>
    </row>
    <row r="1151" spans="1:6">
      <c r="A1151" t="s">
        <v>5263</v>
      </c>
      <c r="B1151" t="s">
        <v>4271</v>
      </c>
      <c r="C1151" t="s">
        <v>4272</v>
      </c>
      <c r="D1151">
        <v>61000</v>
      </c>
      <c r="E1151" s="1">
        <f t="shared" si="34"/>
        <v>0.29047619047619</v>
      </c>
      <c r="F1151">
        <f t="shared" si="35"/>
        <v>73000</v>
      </c>
    </row>
    <row r="1152" spans="1:6">
      <c r="A1152" t="s">
        <v>5264</v>
      </c>
      <c r="B1152" t="s">
        <v>4271</v>
      </c>
      <c r="C1152" t="s">
        <v>4272</v>
      </c>
      <c r="D1152">
        <v>61000</v>
      </c>
      <c r="E1152" s="1">
        <f t="shared" si="34"/>
        <v>0.29047619047619</v>
      </c>
      <c r="F1152">
        <f t="shared" si="35"/>
        <v>73000</v>
      </c>
    </row>
    <row r="1153" spans="1:6">
      <c r="A1153" t="s">
        <v>5265</v>
      </c>
      <c r="B1153" t="s">
        <v>4271</v>
      </c>
      <c r="C1153" t="s">
        <v>4272</v>
      </c>
      <c r="D1153">
        <v>81000</v>
      </c>
      <c r="E1153" s="1">
        <f t="shared" si="34"/>
        <v>0.385714285714286</v>
      </c>
      <c r="F1153">
        <f t="shared" si="35"/>
        <v>97000</v>
      </c>
    </row>
    <row r="1154" spans="1:6">
      <c r="A1154" t="s">
        <v>5266</v>
      </c>
      <c r="B1154" t="s">
        <v>4271</v>
      </c>
      <c r="C1154" t="s">
        <v>4272</v>
      </c>
      <c r="D1154">
        <v>202000</v>
      </c>
      <c r="E1154" s="1">
        <f t="shared" ref="E1154:E1217" si="36">D1154/210000</f>
        <v>0.961904761904762</v>
      </c>
      <c r="F1154">
        <f t="shared" si="35"/>
        <v>241000</v>
      </c>
    </row>
    <row r="1155" spans="1:6">
      <c r="A1155" t="s">
        <v>5267</v>
      </c>
      <c r="B1155" t="s">
        <v>4271</v>
      </c>
      <c r="C1155" t="s">
        <v>4272</v>
      </c>
      <c r="D1155">
        <v>202000</v>
      </c>
      <c r="E1155" s="1">
        <f t="shared" si="36"/>
        <v>0.961904761904762</v>
      </c>
      <c r="F1155">
        <f t="shared" si="35"/>
        <v>241000</v>
      </c>
    </row>
    <row r="1156" spans="1:6">
      <c r="A1156" t="s">
        <v>5268</v>
      </c>
      <c r="B1156" t="s">
        <v>4271</v>
      </c>
      <c r="C1156" t="s">
        <v>4272</v>
      </c>
      <c r="D1156">
        <v>202000</v>
      </c>
      <c r="E1156" s="1">
        <f t="shared" si="36"/>
        <v>0.961904761904762</v>
      </c>
      <c r="F1156">
        <f t="shared" ref="F1156:F1219" si="37">CEILING(E1156*250000,1000)</f>
        <v>241000</v>
      </c>
    </row>
    <row r="1157" spans="1:6">
      <c r="A1157" t="s">
        <v>5269</v>
      </c>
      <c r="B1157" t="s">
        <v>4271</v>
      </c>
      <c r="C1157" t="s">
        <v>4272</v>
      </c>
      <c r="D1157">
        <v>202000</v>
      </c>
      <c r="E1157" s="1">
        <f t="shared" si="36"/>
        <v>0.961904761904762</v>
      </c>
      <c r="F1157">
        <f t="shared" si="37"/>
        <v>241000</v>
      </c>
    </row>
    <row r="1158" spans="1:6">
      <c r="A1158" t="s">
        <v>5270</v>
      </c>
      <c r="B1158" t="s">
        <v>4271</v>
      </c>
      <c r="C1158" t="s">
        <v>4272</v>
      </c>
      <c r="D1158">
        <v>303000</v>
      </c>
      <c r="E1158" s="1">
        <f t="shared" si="36"/>
        <v>1.44285714285714</v>
      </c>
      <c r="F1158">
        <f t="shared" si="37"/>
        <v>361000</v>
      </c>
    </row>
    <row r="1159" spans="1:6">
      <c r="A1159" t="s">
        <v>5271</v>
      </c>
      <c r="B1159" t="s">
        <v>4271</v>
      </c>
      <c r="C1159" t="s">
        <v>4272</v>
      </c>
      <c r="D1159">
        <v>303000</v>
      </c>
      <c r="E1159" s="1">
        <f t="shared" si="36"/>
        <v>1.44285714285714</v>
      </c>
      <c r="F1159">
        <f t="shared" si="37"/>
        <v>361000</v>
      </c>
    </row>
    <row r="1160" spans="1:6">
      <c r="A1160" t="s">
        <v>5272</v>
      </c>
      <c r="B1160" t="s">
        <v>4271</v>
      </c>
      <c r="C1160" t="s">
        <v>4272</v>
      </c>
      <c r="D1160">
        <v>626000</v>
      </c>
      <c r="E1160" s="1">
        <f t="shared" si="36"/>
        <v>2.98095238095238</v>
      </c>
      <c r="F1160">
        <f t="shared" si="37"/>
        <v>746000</v>
      </c>
    </row>
    <row r="1161" spans="1:6">
      <c r="A1161" t="s">
        <v>5273</v>
      </c>
      <c r="B1161" t="s">
        <v>4271</v>
      </c>
      <c r="C1161" t="s">
        <v>4272</v>
      </c>
      <c r="D1161">
        <v>545000</v>
      </c>
      <c r="E1161" s="1">
        <f t="shared" si="36"/>
        <v>2.5952380952381</v>
      </c>
      <c r="F1161">
        <f t="shared" si="37"/>
        <v>649000</v>
      </c>
    </row>
    <row r="1162" spans="1:6">
      <c r="A1162" t="s">
        <v>5274</v>
      </c>
      <c r="B1162" t="s">
        <v>4271</v>
      </c>
      <c r="C1162" t="s">
        <v>4272</v>
      </c>
      <c r="D1162">
        <v>545000</v>
      </c>
      <c r="E1162" s="1">
        <f t="shared" si="36"/>
        <v>2.5952380952381</v>
      </c>
      <c r="F1162">
        <f t="shared" si="37"/>
        <v>649000</v>
      </c>
    </row>
    <row r="1163" spans="1:6">
      <c r="A1163" t="s">
        <v>5275</v>
      </c>
      <c r="B1163" t="s">
        <v>4271</v>
      </c>
      <c r="C1163" t="s">
        <v>4272</v>
      </c>
      <c r="D1163">
        <v>1131000</v>
      </c>
      <c r="E1163" s="1">
        <f t="shared" si="36"/>
        <v>5.38571428571429</v>
      </c>
      <c r="F1163">
        <f t="shared" si="37"/>
        <v>1347000</v>
      </c>
    </row>
    <row r="1164" spans="1:6">
      <c r="A1164" t="s">
        <v>5276</v>
      </c>
      <c r="B1164" t="s">
        <v>4271</v>
      </c>
      <c r="C1164" t="s">
        <v>4272</v>
      </c>
      <c r="D1164">
        <v>303000</v>
      </c>
      <c r="E1164" s="1">
        <f t="shared" si="36"/>
        <v>1.44285714285714</v>
      </c>
      <c r="F1164">
        <f t="shared" si="37"/>
        <v>361000</v>
      </c>
    </row>
    <row r="1165" spans="1:6">
      <c r="A1165" t="s">
        <v>5277</v>
      </c>
      <c r="B1165" t="s">
        <v>4271</v>
      </c>
      <c r="C1165" t="s">
        <v>4272</v>
      </c>
      <c r="D1165">
        <v>303000</v>
      </c>
      <c r="E1165" s="1">
        <f t="shared" si="36"/>
        <v>1.44285714285714</v>
      </c>
      <c r="F1165">
        <f t="shared" si="37"/>
        <v>361000</v>
      </c>
    </row>
    <row r="1166" spans="1:6">
      <c r="A1166" t="s">
        <v>5278</v>
      </c>
      <c r="B1166" t="s">
        <v>4271</v>
      </c>
      <c r="C1166" t="s">
        <v>4272</v>
      </c>
      <c r="D1166">
        <v>505000</v>
      </c>
      <c r="E1166" s="1">
        <f t="shared" si="36"/>
        <v>2.4047619047619</v>
      </c>
      <c r="F1166">
        <f t="shared" si="37"/>
        <v>602000</v>
      </c>
    </row>
    <row r="1167" spans="1:6">
      <c r="A1167" t="s">
        <v>5279</v>
      </c>
      <c r="B1167" t="s">
        <v>4271</v>
      </c>
      <c r="C1167" t="s">
        <v>4272</v>
      </c>
      <c r="D1167">
        <v>505000</v>
      </c>
      <c r="E1167" s="1">
        <f t="shared" si="36"/>
        <v>2.4047619047619</v>
      </c>
      <c r="F1167">
        <f t="shared" si="37"/>
        <v>602000</v>
      </c>
    </row>
    <row r="1168" spans="1:6">
      <c r="A1168" t="s">
        <v>5280</v>
      </c>
      <c r="B1168" t="s">
        <v>4271</v>
      </c>
      <c r="C1168" t="s">
        <v>4272</v>
      </c>
      <c r="D1168">
        <v>606000</v>
      </c>
      <c r="E1168" s="1">
        <f t="shared" si="36"/>
        <v>2.88571428571429</v>
      </c>
      <c r="F1168">
        <f t="shared" si="37"/>
        <v>722000</v>
      </c>
    </row>
    <row r="1169" spans="1:6">
      <c r="A1169" t="s">
        <v>5281</v>
      </c>
      <c r="B1169" t="s">
        <v>4271</v>
      </c>
      <c r="C1169" t="s">
        <v>4272</v>
      </c>
      <c r="D1169">
        <v>1010000</v>
      </c>
      <c r="E1169" s="1">
        <f t="shared" si="36"/>
        <v>4.80952380952381</v>
      </c>
      <c r="F1169">
        <f t="shared" si="37"/>
        <v>1203000</v>
      </c>
    </row>
    <row r="1170" spans="1:6">
      <c r="A1170" t="s">
        <v>5282</v>
      </c>
      <c r="B1170" t="s">
        <v>4271</v>
      </c>
      <c r="C1170" t="s">
        <v>4272</v>
      </c>
      <c r="D1170">
        <v>606000</v>
      </c>
      <c r="E1170" s="1">
        <f t="shared" si="36"/>
        <v>2.88571428571429</v>
      </c>
      <c r="F1170">
        <f t="shared" si="37"/>
        <v>722000</v>
      </c>
    </row>
    <row r="1171" spans="1:6">
      <c r="A1171" t="s">
        <v>5283</v>
      </c>
      <c r="B1171" t="s">
        <v>4271</v>
      </c>
      <c r="C1171" t="s">
        <v>4272</v>
      </c>
      <c r="D1171">
        <v>606000</v>
      </c>
      <c r="E1171" s="1">
        <f t="shared" si="36"/>
        <v>2.88571428571429</v>
      </c>
      <c r="F1171">
        <f t="shared" si="37"/>
        <v>722000</v>
      </c>
    </row>
    <row r="1172" spans="1:6">
      <c r="A1172" t="s">
        <v>5284</v>
      </c>
      <c r="B1172" t="s">
        <v>4271</v>
      </c>
      <c r="C1172" t="s">
        <v>4272</v>
      </c>
      <c r="D1172">
        <v>1010000</v>
      </c>
      <c r="E1172" s="1">
        <f t="shared" si="36"/>
        <v>4.80952380952381</v>
      </c>
      <c r="F1172">
        <f t="shared" si="37"/>
        <v>1203000</v>
      </c>
    </row>
    <row r="1173" spans="1:6">
      <c r="A1173" t="s">
        <v>5285</v>
      </c>
      <c r="B1173" t="s">
        <v>4271</v>
      </c>
      <c r="C1173" t="s">
        <v>4272</v>
      </c>
      <c r="D1173">
        <v>606000</v>
      </c>
      <c r="E1173" s="1">
        <f t="shared" si="36"/>
        <v>2.88571428571429</v>
      </c>
      <c r="F1173">
        <f t="shared" si="37"/>
        <v>722000</v>
      </c>
    </row>
    <row r="1174" spans="1:6">
      <c r="A1174" t="s">
        <v>5286</v>
      </c>
      <c r="B1174" t="s">
        <v>4271</v>
      </c>
      <c r="C1174" t="s">
        <v>4272</v>
      </c>
      <c r="D1174">
        <v>404000</v>
      </c>
      <c r="E1174" s="1">
        <f t="shared" si="36"/>
        <v>1.92380952380952</v>
      </c>
      <c r="F1174">
        <f t="shared" si="37"/>
        <v>481000</v>
      </c>
    </row>
    <row r="1175" spans="1:6">
      <c r="A1175" t="s">
        <v>5287</v>
      </c>
      <c r="B1175" t="s">
        <v>4271</v>
      </c>
      <c r="C1175" t="s">
        <v>4272</v>
      </c>
      <c r="D1175">
        <v>142000</v>
      </c>
      <c r="E1175" s="1">
        <f t="shared" si="36"/>
        <v>0.676190476190476</v>
      </c>
      <c r="F1175">
        <f t="shared" si="37"/>
        <v>170000</v>
      </c>
    </row>
    <row r="1176" spans="1:6">
      <c r="A1176" t="s">
        <v>5288</v>
      </c>
      <c r="B1176" t="s">
        <v>4271</v>
      </c>
      <c r="C1176" t="s">
        <v>4272</v>
      </c>
      <c r="D1176">
        <v>142000</v>
      </c>
      <c r="E1176" s="1">
        <f t="shared" si="36"/>
        <v>0.676190476190476</v>
      </c>
      <c r="F1176">
        <f t="shared" si="37"/>
        <v>170000</v>
      </c>
    </row>
    <row r="1177" spans="1:6">
      <c r="A1177" t="s">
        <v>5289</v>
      </c>
      <c r="B1177" t="s">
        <v>4271</v>
      </c>
      <c r="C1177" t="s">
        <v>4272</v>
      </c>
      <c r="D1177">
        <v>122000</v>
      </c>
      <c r="E1177" s="1">
        <f t="shared" si="36"/>
        <v>0.580952380952381</v>
      </c>
      <c r="F1177">
        <f t="shared" si="37"/>
        <v>146000</v>
      </c>
    </row>
    <row r="1178" spans="1:6">
      <c r="A1178" t="s">
        <v>5290</v>
      </c>
      <c r="B1178" t="s">
        <v>4271</v>
      </c>
      <c r="C1178" t="s">
        <v>4272</v>
      </c>
      <c r="D1178">
        <v>122000</v>
      </c>
      <c r="E1178" s="1">
        <f t="shared" si="36"/>
        <v>0.580952380952381</v>
      </c>
      <c r="F1178">
        <f t="shared" si="37"/>
        <v>146000</v>
      </c>
    </row>
    <row r="1179" spans="1:6">
      <c r="A1179" t="s">
        <v>5291</v>
      </c>
      <c r="B1179" t="s">
        <v>4271</v>
      </c>
      <c r="C1179" t="s">
        <v>4272</v>
      </c>
      <c r="D1179">
        <v>202000</v>
      </c>
      <c r="E1179" s="1">
        <f t="shared" si="36"/>
        <v>0.961904761904762</v>
      </c>
      <c r="F1179">
        <f t="shared" si="37"/>
        <v>241000</v>
      </c>
    </row>
    <row r="1180" spans="1:6">
      <c r="A1180" t="s">
        <v>5292</v>
      </c>
      <c r="B1180" t="s">
        <v>4271</v>
      </c>
      <c r="C1180" t="s">
        <v>4272</v>
      </c>
      <c r="D1180">
        <v>243000</v>
      </c>
      <c r="E1180" s="1">
        <f t="shared" si="36"/>
        <v>1.15714285714286</v>
      </c>
      <c r="F1180">
        <f t="shared" si="37"/>
        <v>290000</v>
      </c>
    </row>
    <row r="1181" spans="1:6">
      <c r="A1181" t="s">
        <v>5293</v>
      </c>
      <c r="B1181" t="s">
        <v>4271</v>
      </c>
      <c r="C1181" t="s">
        <v>4272</v>
      </c>
      <c r="D1181">
        <v>222000</v>
      </c>
      <c r="E1181" s="1">
        <f t="shared" si="36"/>
        <v>1.05714285714286</v>
      </c>
      <c r="F1181">
        <f t="shared" si="37"/>
        <v>265000</v>
      </c>
    </row>
    <row r="1182" spans="1:6">
      <c r="A1182" t="s">
        <v>5294</v>
      </c>
      <c r="B1182" t="s">
        <v>4271</v>
      </c>
      <c r="C1182" t="s">
        <v>4272</v>
      </c>
      <c r="D1182">
        <v>182000</v>
      </c>
      <c r="E1182" s="1">
        <f t="shared" si="36"/>
        <v>0.866666666666667</v>
      </c>
      <c r="F1182">
        <f t="shared" si="37"/>
        <v>217000</v>
      </c>
    </row>
    <row r="1183" spans="1:6">
      <c r="A1183" t="s">
        <v>5295</v>
      </c>
      <c r="B1183" t="s">
        <v>4271</v>
      </c>
      <c r="C1183" t="s">
        <v>4272</v>
      </c>
      <c r="D1183">
        <v>101000</v>
      </c>
      <c r="E1183" s="1">
        <f t="shared" si="36"/>
        <v>0.480952380952381</v>
      </c>
      <c r="F1183">
        <f t="shared" si="37"/>
        <v>121000</v>
      </c>
    </row>
    <row r="1184" spans="1:6">
      <c r="A1184" t="s">
        <v>5296</v>
      </c>
      <c r="B1184" t="s">
        <v>4271</v>
      </c>
      <c r="C1184" t="s">
        <v>4272</v>
      </c>
      <c r="D1184">
        <v>61000</v>
      </c>
      <c r="E1184" s="1">
        <f t="shared" si="36"/>
        <v>0.29047619047619</v>
      </c>
      <c r="F1184">
        <f t="shared" si="37"/>
        <v>73000</v>
      </c>
    </row>
    <row r="1185" spans="1:6">
      <c r="A1185" t="s">
        <v>5297</v>
      </c>
      <c r="B1185" t="s">
        <v>4271</v>
      </c>
      <c r="C1185" t="s">
        <v>4272</v>
      </c>
      <c r="D1185">
        <v>122000</v>
      </c>
      <c r="E1185" s="1">
        <f t="shared" si="36"/>
        <v>0.580952380952381</v>
      </c>
      <c r="F1185">
        <f t="shared" si="37"/>
        <v>146000</v>
      </c>
    </row>
    <row r="1186" spans="1:6">
      <c r="A1186" t="s">
        <v>5298</v>
      </c>
      <c r="B1186" t="s">
        <v>4271</v>
      </c>
      <c r="C1186" t="s">
        <v>4272</v>
      </c>
      <c r="D1186">
        <v>41000</v>
      </c>
      <c r="E1186" s="1">
        <f t="shared" si="36"/>
        <v>0.195238095238095</v>
      </c>
      <c r="F1186">
        <f t="shared" si="37"/>
        <v>49000</v>
      </c>
    </row>
    <row r="1187" spans="1:6">
      <c r="A1187" t="s">
        <v>5299</v>
      </c>
      <c r="B1187" t="s">
        <v>4271</v>
      </c>
      <c r="C1187" t="s">
        <v>4272</v>
      </c>
      <c r="D1187">
        <v>142000</v>
      </c>
      <c r="E1187" s="1">
        <f t="shared" si="36"/>
        <v>0.676190476190476</v>
      </c>
      <c r="F1187">
        <f t="shared" si="37"/>
        <v>170000</v>
      </c>
    </row>
    <row r="1188" spans="1:6">
      <c r="A1188" t="s">
        <v>5300</v>
      </c>
      <c r="B1188" t="s">
        <v>4271</v>
      </c>
      <c r="C1188" t="s">
        <v>4272</v>
      </c>
      <c r="D1188">
        <v>81000</v>
      </c>
      <c r="E1188" s="1">
        <f t="shared" si="36"/>
        <v>0.385714285714286</v>
      </c>
      <c r="F1188">
        <f t="shared" si="37"/>
        <v>97000</v>
      </c>
    </row>
    <row r="1189" spans="1:6">
      <c r="A1189" t="s">
        <v>5301</v>
      </c>
      <c r="B1189" t="s">
        <v>4271</v>
      </c>
      <c r="C1189" t="s">
        <v>4272</v>
      </c>
      <c r="D1189">
        <v>323000</v>
      </c>
      <c r="E1189" s="1">
        <f t="shared" si="36"/>
        <v>1.53809523809524</v>
      </c>
      <c r="F1189">
        <f t="shared" si="37"/>
        <v>385000</v>
      </c>
    </row>
    <row r="1190" spans="1:6">
      <c r="A1190" t="s">
        <v>5302</v>
      </c>
      <c r="B1190" t="s">
        <v>4271</v>
      </c>
      <c r="C1190" t="s">
        <v>4272</v>
      </c>
      <c r="D1190">
        <v>283000</v>
      </c>
      <c r="E1190" s="1">
        <f t="shared" si="36"/>
        <v>1.34761904761905</v>
      </c>
      <c r="F1190">
        <f t="shared" si="37"/>
        <v>337000</v>
      </c>
    </row>
    <row r="1191" spans="1:6">
      <c r="A1191" t="s">
        <v>5303</v>
      </c>
      <c r="B1191" t="s">
        <v>4271</v>
      </c>
      <c r="C1191" t="s">
        <v>4272</v>
      </c>
      <c r="D1191">
        <v>303000</v>
      </c>
      <c r="E1191" s="1">
        <f t="shared" si="36"/>
        <v>1.44285714285714</v>
      </c>
      <c r="F1191">
        <f t="shared" si="37"/>
        <v>361000</v>
      </c>
    </row>
    <row r="1192" spans="1:6">
      <c r="A1192" t="s">
        <v>5304</v>
      </c>
      <c r="B1192" t="s">
        <v>4271</v>
      </c>
      <c r="C1192" t="s">
        <v>4272</v>
      </c>
      <c r="D1192">
        <v>142000</v>
      </c>
      <c r="E1192" s="1">
        <f t="shared" si="36"/>
        <v>0.676190476190476</v>
      </c>
      <c r="F1192">
        <f t="shared" si="37"/>
        <v>170000</v>
      </c>
    </row>
    <row r="1193" spans="1:6">
      <c r="A1193" t="s">
        <v>5305</v>
      </c>
      <c r="B1193" t="s">
        <v>4271</v>
      </c>
      <c r="C1193" t="s">
        <v>4272</v>
      </c>
      <c r="D1193">
        <v>101000</v>
      </c>
      <c r="E1193" s="1">
        <f t="shared" si="36"/>
        <v>0.480952380952381</v>
      </c>
      <c r="F1193">
        <f t="shared" si="37"/>
        <v>121000</v>
      </c>
    </row>
    <row r="1194" spans="1:6">
      <c r="A1194" t="s">
        <v>5306</v>
      </c>
      <c r="B1194" t="s">
        <v>4271</v>
      </c>
      <c r="C1194" t="s">
        <v>4272</v>
      </c>
      <c r="D1194">
        <v>142000</v>
      </c>
      <c r="E1194" s="1">
        <f t="shared" si="36"/>
        <v>0.676190476190476</v>
      </c>
      <c r="F1194">
        <f t="shared" si="37"/>
        <v>170000</v>
      </c>
    </row>
    <row r="1195" spans="1:6">
      <c r="A1195" t="s">
        <v>5307</v>
      </c>
      <c r="B1195" t="s">
        <v>4271</v>
      </c>
      <c r="C1195" t="s">
        <v>4272</v>
      </c>
      <c r="D1195">
        <v>303000</v>
      </c>
      <c r="E1195" s="1">
        <f t="shared" si="36"/>
        <v>1.44285714285714</v>
      </c>
      <c r="F1195">
        <f t="shared" si="37"/>
        <v>361000</v>
      </c>
    </row>
    <row r="1196" spans="1:6">
      <c r="A1196" t="s">
        <v>5308</v>
      </c>
      <c r="B1196" t="s">
        <v>4271</v>
      </c>
      <c r="C1196" t="s">
        <v>4272</v>
      </c>
      <c r="D1196">
        <v>404000</v>
      </c>
      <c r="E1196" s="1">
        <f t="shared" si="36"/>
        <v>1.92380952380952</v>
      </c>
      <c r="F1196">
        <f t="shared" si="37"/>
        <v>481000</v>
      </c>
    </row>
    <row r="1197" spans="1:6">
      <c r="A1197" t="s">
        <v>5309</v>
      </c>
      <c r="B1197" t="s">
        <v>4271</v>
      </c>
      <c r="C1197" t="s">
        <v>4272</v>
      </c>
      <c r="D1197">
        <v>404000</v>
      </c>
      <c r="E1197" s="1">
        <f t="shared" si="36"/>
        <v>1.92380952380952</v>
      </c>
      <c r="F1197">
        <f t="shared" si="37"/>
        <v>481000</v>
      </c>
    </row>
    <row r="1198" spans="1:6">
      <c r="A1198" t="s">
        <v>5310</v>
      </c>
      <c r="B1198" t="s">
        <v>4271</v>
      </c>
      <c r="C1198" t="s">
        <v>4272</v>
      </c>
      <c r="D1198">
        <v>424000</v>
      </c>
      <c r="E1198" s="1">
        <f t="shared" si="36"/>
        <v>2.01904761904762</v>
      </c>
      <c r="F1198">
        <f t="shared" si="37"/>
        <v>505000</v>
      </c>
    </row>
    <row r="1199" spans="1:6">
      <c r="A1199" t="s">
        <v>5311</v>
      </c>
      <c r="B1199" t="s">
        <v>4271</v>
      </c>
      <c r="C1199" t="s">
        <v>4272</v>
      </c>
      <c r="D1199">
        <v>182000</v>
      </c>
      <c r="E1199" s="1">
        <f t="shared" si="36"/>
        <v>0.866666666666667</v>
      </c>
      <c r="F1199">
        <f t="shared" si="37"/>
        <v>217000</v>
      </c>
    </row>
    <row r="1200" spans="1:6">
      <c r="A1200" t="s">
        <v>5312</v>
      </c>
      <c r="B1200" t="s">
        <v>4271</v>
      </c>
      <c r="C1200" t="s">
        <v>4272</v>
      </c>
      <c r="D1200">
        <v>142000</v>
      </c>
      <c r="E1200" s="1">
        <f t="shared" si="36"/>
        <v>0.676190476190476</v>
      </c>
      <c r="F1200">
        <f t="shared" si="37"/>
        <v>170000</v>
      </c>
    </row>
    <row r="1201" spans="1:6">
      <c r="A1201" t="s">
        <v>5313</v>
      </c>
      <c r="B1201" t="s">
        <v>4271</v>
      </c>
      <c r="C1201" t="s">
        <v>4272</v>
      </c>
      <c r="D1201">
        <v>182000</v>
      </c>
      <c r="E1201" s="1">
        <f t="shared" si="36"/>
        <v>0.866666666666667</v>
      </c>
      <c r="F1201">
        <f t="shared" si="37"/>
        <v>217000</v>
      </c>
    </row>
    <row r="1202" spans="1:6">
      <c r="A1202" t="s">
        <v>5314</v>
      </c>
      <c r="B1202" t="s">
        <v>4271</v>
      </c>
      <c r="C1202" t="s">
        <v>4272</v>
      </c>
      <c r="D1202">
        <v>566000</v>
      </c>
      <c r="E1202" s="1">
        <f t="shared" si="36"/>
        <v>2.6952380952381</v>
      </c>
      <c r="F1202">
        <f t="shared" si="37"/>
        <v>674000</v>
      </c>
    </row>
    <row r="1203" spans="1:6">
      <c r="A1203" t="s">
        <v>5315</v>
      </c>
      <c r="B1203" t="s">
        <v>4271</v>
      </c>
      <c r="C1203" t="s">
        <v>4272</v>
      </c>
      <c r="D1203">
        <v>61000</v>
      </c>
      <c r="E1203" s="1">
        <f t="shared" si="36"/>
        <v>0.29047619047619</v>
      </c>
      <c r="F1203">
        <f t="shared" si="37"/>
        <v>73000</v>
      </c>
    </row>
    <row r="1204" spans="1:6">
      <c r="A1204" t="s">
        <v>5316</v>
      </c>
      <c r="B1204" t="s">
        <v>4271</v>
      </c>
      <c r="C1204" t="s">
        <v>4272</v>
      </c>
      <c r="D1204">
        <v>61000</v>
      </c>
      <c r="E1204" s="1">
        <f t="shared" si="36"/>
        <v>0.29047619047619</v>
      </c>
      <c r="F1204">
        <f t="shared" si="37"/>
        <v>73000</v>
      </c>
    </row>
    <row r="1205" spans="1:6">
      <c r="A1205" t="s">
        <v>5317</v>
      </c>
      <c r="B1205" t="s">
        <v>4271</v>
      </c>
      <c r="C1205" t="s">
        <v>4272</v>
      </c>
      <c r="D1205">
        <v>283000</v>
      </c>
      <c r="E1205" s="1">
        <f t="shared" si="36"/>
        <v>1.34761904761905</v>
      </c>
      <c r="F1205">
        <f t="shared" si="37"/>
        <v>337000</v>
      </c>
    </row>
    <row r="1206" spans="1:6">
      <c r="A1206" t="s">
        <v>5318</v>
      </c>
      <c r="B1206" t="s">
        <v>4271</v>
      </c>
      <c r="C1206" t="s">
        <v>4272</v>
      </c>
      <c r="D1206">
        <v>41000</v>
      </c>
      <c r="E1206" s="1">
        <f t="shared" si="36"/>
        <v>0.195238095238095</v>
      </c>
      <c r="F1206">
        <f t="shared" si="37"/>
        <v>49000</v>
      </c>
    </row>
    <row r="1207" spans="1:6">
      <c r="A1207" t="s">
        <v>5319</v>
      </c>
      <c r="B1207" t="s">
        <v>4271</v>
      </c>
      <c r="C1207" t="s">
        <v>4272</v>
      </c>
      <c r="D1207">
        <v>41000</v>
      </c>
      <c r="E1207" s="1">
        <f t="shared" si="36"/>
        <v>0.195238095238095</v>
      </c>
      <c r="F1207">
        <f t="shared" si="37"/>
        <v>49000</v>
      </c>
    </row>
    <row r="1208" spans="1:6">
      <c r="A1208" t="s">
        <v>5320</v>
      </c>
      <c r="B1208" t="s">
        <v>4271</v>
      </c>
      <c r="C1208" t="s">
        <v>4272</v>
      </c>
      <c r="D1208">
        <v>41000</v>
      </c>
      <c r="E1208" s="1">
        <f t="shared" si="36"/>
        <v>0.195238095238095</v>
      </c>
      <c r="F1208">
        <f t="shared" si="37"/>
        <v>49000</v>
      </c>
    </row>
    <row r="1209" spans="1:6">
      <c r="A1209" t="s">
        <v>5321</v>
      </c>
      <c r="B1209" t="s">
        <v>4271</v>
      </c>
      <c r="C1209" t="s">
        <v>4272</v>
      </c>
      <c r="D1209">
        <v>61000</v>
      </c>
      <c r="E1209" s="1">
        <f t="shared" si="36"/>
        <v>0.29047619047619</v>
      </c>
      <c r="F1209">
        <f t="shared" si="37"/>
        <v>73000</v>
      </c>
    </row>
    <row r="1210" spans="1:6">
      <c r="A1210" t="s">
        <v>5322</v>
      </c>
      <c r="B1210" t="s">
        <v>4271</v>
      </c>
      <c r="C1210" t="s">
        <v>4272</v>
      </c>
      <c r="D1210">
        <v>41000</v>
      </c>
      <c r="E1210" s="1">
        <f t="shared" si="36"/>
        <v>0.195238095238095</v>
      </c>
      <c r="F1210">
        <f t="shared" si="37"/>
        <v>49000</v>
      </c>
    </row>
    <row r="1211" spans="1:6">
      <c r="A1211" t="s">
        <v>5323</v>
      </c>
      <c r="B1211" t="s">
        <v>4271</v>
      </c>
      <c r="C1211" t="s">
        <v>4272</v>
      </c>
      <c r="D1211">
        <v>61000</v>
      </c>
      <c r="E1211" s="1">
        <f t="shared" si="36"/>
        <v>0.29047619047619</v>
      </c>
      <c r="F1211">
        <f t="shared" si="37"/>
        <v>73000</v>
      </c>
    </row>
    <row r="1212" spans="1:6">
      <c r="A1212" t="s">
        <v>5324</v>
      </c>
      <c r="B1212" t="s">
        <v>4271</v>
      </c>
      <c r="C1212" t="s">
        <v>4272</v>
      </c>
      <c r="D1212">
        <v>61000</v>
      </c>
      <c r="E1212" s="1">
        <f t="shared" si="36"/>
        <v>0.29047619047619</v>
      </c>
      <c r="F1212">
        <f t="shared" si="37"/>
        <v>73000</v>
      </c>
    </row>
    <row r="1213" spans="1:6">
      <c r="A1213" t="s">
        <v>5325</v>
      </c>
      <c r="B1213" t="s">
        <v>4271</v>
      </c>
      <c r="C1213" t="s">
        <v>4272</v>
      </c>
      <c r="D1213">
        <v>101000</v>
      </c>
      <c r="E1213" s="1">
        <f t="shared" si="36"/>
        <v>0.480952380952381</v>
      </c>
      <c r="F1213">
        <f t="shared" si="37"/>
        <v>121000</v>
      </c>
    </row>
    <row r="1214" spans="1:6">
      <c r="A1214" t="s">
        <v>5326</v>
      </c>
      <c r="B1214" t="s">
        <v>4271</v>
      </c>
      <c r="C1214" t="s">
        <v>4272</v>
      </c>
      <c r="D1214">
        <v>81000</v>
      </c>
      <c r="E1214" s="1">
        <f t="shared" si="36"/>
        <v>0.385714285714286</v>
      </c>
      <c r="F1214">
        <f t="shared" si="37"/>
        <v>97000</v>
      </c>
    </row>
    <row r="1215" spans="1:6">
      <c r="A1215" t="s">
        <v>5327</v>
      </c>
      <c r="B1215" t="s">
        <v>4271</v>
      </c>
      <c r="C1215" t="s">
        <v>4272</v>
      </c>
      <c r="D1215">
        <v>142000</v>
      </c>
      <c r="E1215" s="1">
        <f t="shared" si="36"/>
        <v>0.676190476190476</v>
      </c>
      <c r="F1215">
        <f t="shared" si="37"/>
        <v>170000</v>
      </c>
    </row>
    <row r="1216" spans="1:6">
      <c r="A1216" t="s">
        <v>5328</v>
      </c>
      <c r="B1216" t="s">
        <v>4271</v>
      </c>
      <c r="C1216" t="s">
        <v>4272</v>
      </c>
      <c r="D1216">
        <v>162000</v>
      </c>
      <c r="E1216" s="1">
        <f t="shared" si="36"/>
        <v>0.771428571428571</v>
      </c>
      <c r="F1216">
        <f t="shared" si="37"/>
        <v>193000</v>
      </c>
    </row>
    <row r="1217" spans="1:6">
      <c r="A1217" t="s">
        <v>5329</v>
      </c>
      <c r="B1217" t="s">
        <v>4271</v>
      </c>
      <c r="C1217" t="s">
        <v>4272</v>
      </c>
      <c r="D1217">
        <v>142000</v>
      </c>
      <c r="E1217" s="1">
        <f t="shared" si="36"/>
        <v>0.676190476190476</v>
      </c>
      <c r="F1217">
        <f t="shared" si="37"/>
        <v>170000</v>
      </c>
    </row>
    <row r="1218" spans="1:6">
      <c r="A1218" t="s">
        <v>5330</v>
      </c>
      <c r="B1218" t="s">
        <v>4271</v>
      </c>
      <c r="C1218" t="s">
        <v>4272</v>
      </c>
      <c r="D1218">
        <v>142000</v>
      </c>
      <c r="E1218" s="1">
        <f t="shared" ref="E1218:E1281" si="38">D1218/210000</f>
        <v>0.676190476190476</v>
      </c>
      <c r="F1218">
        <f t="shared" si="37"/>
        <v>170000</v>
      </c>
    </row>
    <row r="1219" spans="1:6">
      <c r="A1219" t="s">
        <v>5331</v>
      </c>
      <c r="B1219" t="s">
        <v>4271</v>
      </c>
      <c r="C1219" t="s">
        <v>4272</v>
      </c>
      <c r="D1219">
        <v>162000</v>
      </c>
      <c r="E1219" s="1">
        <f t="shared" si="38"/>
        <v>0.771428571428571</v>
      </c>
      <c r="F1219">
        <f t="shared" si="37"/>
        <v>193000</v>
      </c>
    </row>
    <row r="1220" spans="1:6">
      <c r="A1220" t="s">
        <v>5332</v>
      </c>
      <c r="B1220" t="s">
        <v>4271</v>
      </c>
      <c r="C1220" t="s">
        <v>4272</v>
      </c>
      <c r="D1220">
        <v>142000</v>
      </c>
      <c r="E1220" s="1">
        <f t="shared" si="38"/>
        <v>0.676190476190476</v>
      </c>
      <c r="F1220">
        <f t="shared" ref="F1220:F1283" si="39">CEILING(E1220*250000,1000)</f>
        <v>170000</v>
      </c>
    </row>
    <row r="1221" spans="1:6">
      <c r="A1221" t="s">
        <v>5333</v>
      </c>
      <c r="B1221" t="s">
        <v>4271</v>
      </c>
      <c r="C1221" t="s">
        <v>4272</v>
      </c>
      <c r="D1221">
        <v>202000</v>
      </c>
      <c r="E1221" s="1">
        <f t="shared" si="38"/>
        <v>0.961904761904762</v>
      </c>
      <c r="F1221">
        <f t="shared" si="39"/>
        <v>241000</v>
      </c>
    </row>
    <row r="1222" spans="1:6">
      <c r="A1222" t="s">
        <v>5334</v>
      </c>
      <c r="B1222" t="s">
        <v>4271</v>
      </c>
      <c r="C1222" t="s">
        <v>4272</v>
      </c>
      <c r="D1222">
        <v>182000</v>
      </c>
      <c r="E1222" s="1">
        <f t="shared" si="38"/>
        <v>0.866666666666667</v>
      </c>
      <c r="F1222">
        <f t="shared" si="39"/>
        <v>217000</v>
      </c>
    </row>
    <row r="1223" spans="1:6">
      <c r="A1223" t="s">
        <v>5335</v>
      </c>
      <c r="B1223" t="s">
        <v>4271</v>
      </c>
      <c r="C1223" t="s">
        <v>4272</v>
      </c>
      <c r="D1223">
        <v>263000</v>
      </c>
      <c r="E1223" s="1">
        <f t="shared" si="38"/>
        <v>1.25238095238095</v>
      </c>
      <c r="F1223">
        <f t="shared" si="39"/>
        <v>314000</v>
      </c>
    </row>
    <row r="1224" spans="1:6">
      <c r="A1224" t="s">
        <v>5336</v>
      </c>
      <c r="B1224" t="s">
        <v>4271</v>
      </c>
      <c r="C1224" t="s">
        <v>4272</v>
      </c>
      <c r="D1224">
        <v>182000</v>
      </c>
      <c r="E1224" s="1">
        <f t="shared" si="38"/>
        <v>0.866666666666667</v>
      </c>
      <c r="F1224">
        <f t="shared" si="39"/>
        <v>217000</v>
      </c>
    </row>
    <row r="1225" spans="1:6">
      <c r="A1225" t="s">
        <v>5337</v>
      </c>
      <c r="B1225" t="s">
        <v>4271</v>
      </c>
      <c r="C1225" t="s">
        <v>4272</v>
      </c>
      <c r="D1225">
        <v>222000</v>
      </c>
      <c r="E1225" s="1">
        <f t="shared" si="38"/>
        <v>1.05714285714286</v>
      </c>
      <c r="F1225">
        <f t="shared" si="39"/>
        <v>265000</v>
      </c>
    </row>
    <row r="1226" spans="1:6">
      <c r="A1226" t="s">
        <v>5338</v>
      </c>
      <c r="B1226" t="s">
        <v>4271</v>
      </c>
      <c r="C1226" t="s">
        <v>4272</v>
      </c>
      <c r="D1226">
        <v>303000</v>
      </c>
      <c r="E1226" s="1">
        <f t="shared" si="38"/>
        <v>1.44285714285714</v>
      </c>
      <c r="F1226">
        <f t="shared" si="39"/>
        <v>361000</v>
      </c>
    </row>
    <row r="1227" spans="1:6">
      <c r="A1227" t="s">
        <v>5339</v>
      </c>
      <c r="B1227" t="s">
        <v>4271</v>
      </c>
      <c r="C1227" t="s">
        <v>4272</v>
      </c>
      <c r="D1227">
        <v>404000</v>
      </c>
      <c r="E1227" s="1">
        <f t="shared" si="38"/>
        <v>1.92380952380952</v>
      </c>
      <c r="F1227">
        <f t="shared" si="39"/>
        <v>481000</v>
      </c>
    </row>
    <row r="1228" spans="1:6">
      <c r="A1228" t="s">
        <v>5340</v>
      </c>
      <c r="B1228" t="s">
        <v>4271</v>
      </c>
      <c r="C1228" t="s">
        <v>4272</v>
      </c>
      <c r="D1228">
        <v>404000</v>
      </c>
      <c r="E1228" s="1">
        <f t="shared" si="38"/>
        <v>1.92380952380952</v>
      </c>
      <c r="F1228">
        <f t="shared" si="39"/>
        <v>481000</v>
      </c>
    </row>
    <row r="1229" spans="1:6">
      <c r="A1229" t="s">
        <v>5341</v>
      </c>
      <c r="B1229" t="s">
        <v>4271</v>
      </c>
      <c r="C1229" t="s">
        <v>4272</v>
      </c>
      <c r="D1229">
        <v>303000</v>
      </c>
      <c r="E1229" s="1">
        <f t="shared" si="38"/>
        <v>1.44285714285714</v>
      </c>
      <c r="F1229">
        <f t="shared" si="39"/>
        <v>361000</v>
      </c>
    </row>
    <row r="1230" spans="1:6">
      <c r="A1230" t="s">
        <v>5342</v>
      </c>
      <c r="B1230" t="s">
        <v>4271</v>
      </c>
      <c r="C1230" t="s">
        <v>4272</v>
      </c>
      <c r="D1230">
        <v>404000</v>
      </c>
      <c r="E1230" s="1">
        <f t="shared" si="38"/>
        <v>1.92380952380952</v>
      </c>
      <c r="F1230">
        <f t="shared" si="39"/>
        <v>481000</v>
      </c>
    </row>
    <row r="1231" spans="1:6">
      <c r="A1231" t="s">
        <v>5343</v>
      </c>
      <c r="B1231" t="s">
        <v>4271</v>
      </c>
      <c r="C1231" t="s">
        <v>4272</v>
      </c>
      <c r="D1231">
        <v>303000</v>
      </c>
      <c r="E1231" s="1">
        <f t="shared" si="38"/>
        <v>1.44285714285714</v>
      </c>
      <c r="F1231">
        <f t="shared" si="39"/>
        <v>361000</v>
      </c>
    </row>
    <row r="1232" spans="1:6">
      <c r="A1232" t="s">
        <v>5344</v>
      </c>
      <c r="B1232" t="s">
        <v>4271</v>
      </c>
      <c r="C1232" t="s">
        <v>4272</v>
      </c>
      <c r="D1232">
        <v>465000</v>
      </c>
      <c r="E1232" s="1">
        <f t="shared" si="38"/>
        <v>2.21428571428571</v>
      </c>
      <c r="F1232">
        <f t="shared" si="39"/>
        <v>554000</v>
      </c>
    </row>
    <row r="1233" spans="1:6">
      <c r="A1233" t="s">
        <v>5345</v>
      </c>
      <c r="B1233" t="s">
        <v>4271</v>
      </c>
      <c r="C1233" t="s">
        <v>4272</v>
      </c>
      <c r="D1233">
        <v>606000</v>
      </c>
      <c r="E1233" s="1">
        <f t="shared" si="38"/>
        <v>2.88571428571429</v>
      </c>
      <c r="F1233">
        <f t="shared" si="39"/>
        <v>722000</v>
      </c>
    </row>
    <row r="1234" spans="1:6">
      <c r="A1234" t="s">
        <v>5346</v>
      </c>
      <c r="B1234" t="s">
        <v>4271</v>
      </c>
      <c r="C1234" t="s">
        <v>4272</v>
      </c>
      <c r="D1234">
        <v>505000</v>
      </c>
      <c r="E1234" s="1">
        <f t="shared" si="38"/>
        <v>2.4047619047619</v>
      </c>
      <c r="F1234">
        <f t="shared" si="39"/>
        <v>602000</v>
      </c>
    </row>
    <row r="1235" spans="1:6">
      <c r="A1235" t="s">
        <v>5347</v>
      </c>
      <c r="B1235" t="s">
        <v>4271</v>
      </c>
      <c r="C1235" t="s">
        <v>4272</v>
      </c>
      <c r="D1235">
        <v>404000</v>
      </c>
      <c r="E1235" s="1">
        <f t="shared" si="38"/>
        <v>1.92380952380952</v>
      </c>
      <c r="F1235">
        <f t="shared" si="39"/>
        <v>481000</v>
      </c>
    </row>
    <row r="1236" spans="1:6">
      <c r="A1236" t="s">
        <v>5348</v>
      </c>
      <c r="B1236" t="s">
        <v>4271</v>
      </c>
      <c r="C1236" t="s">
        <v>4272</v>
      </c>
      <c r="D1236">
        <v>606000</v>
      </c>
      <c r="E1236" s="1">
        <f t="shared" si="38"/>
        <v>2.88571428571429</v>
      </c>
      <c r="F1236">
        <f t="shared" si="39"/>
        <v>722000</v>
      </c>
    </row>
    <row r="1237" spans="1:6">
      <c r="A1237" t="s">
        <v>5349</v>
      </c>
      <c r="B1237" t="s">
        <v>4271</v>
      </c>
      <c r="C1237" t="s">
        <v>4272</v>
      </c>
      <c r="D1237">
        <v>606000</v>
      </c>
      <c r="E1237" s="1">
        <f t="shared" si="38"/>
        <v>2.88571428571429</v>
      </c>
      <c r="F1237">
        <f t="shared" si="39"/>
        <v>722000</v>
      </c>
    </row>
    <row r="1238" spans="1:6">
      <c r="A1238" t="s">
        <v>5350</v>
      </c>
      <c r="B1238" t="s">
        <v>4271</v>
      </c>
      <c r="C1238" t="s">
        <v>4272</v>
      </c>
      <c r="D1238">
        <v>606000</v>
      </c>
      <c r="E1238" s="1">
        <f t="shared" si="38"/>
        <v>2.88571428571429</v>
      </c>
      <c r="F1238">
        <f t="shared" si="39"/>
        <v>722000</v>
      </c>
    </row>
    <row r="1239" spans="1:6">
      <c r="A1239" t="s">
        <v>5351</v>
      </c>
      <c r="B1239" t="s">
        <v>4271</v>
      </c>
      <c r="C1239" t="s">
        <v>4272</v>
      </c>
      <c r="D1239">
        <v>303000</v>
      </c>
      <c r="E1239" s="1">
        <f t="shared" si="38"/>
        <v>1.44285714285714</v>
      </c>
      <c r="F1239">
        <f t="shared" si="39"/>
        <v>361000</v>
      </c>
    </row>
    <row r="1240" spans="1:6">
      <c r="A1240" t="s">
        <v>5352</v>
      </c>
      <c r="B1240" t="s">
        <v>4271</v>
      </c>
      <c r="C1240" t="s">
        <v>4272</v>
      </c>
      <c r="D1240">
        <v>323000</v>
      </c>
      <c r="E1240" s="1">
        <f t="shared" si="38"/>
        <v>1.53809523809524</v>
      </c>
      <c r="F1240">
        <f t="shared" si="39"/>
        <v>385000</v>
      </c>
    </row>
    <row r="1241" spans="1:6">
      <c r="A1241" t="s">
        <v>5353</v>
      </c>
      <c r="B1241" t="s">
        <v>4271</v>
      </c>
      <c r="C1241" t="s">
        <v>4272</v>
      </c>
      <c r="D1241">
        <v>323000</v>
      </c>
      <c r="E1241" s="1">
        <f t="shared" si="38"/>
        <v>1.53809523809524</v>
      </c>
      <c r="F1241">
        <f t="shared" si="39"/>
        <v>385000</v>
      </c>
    </row>
    <row r="1242" spans="1:6">
      <c r="A1242" t="s">
        <v>5354</v>
      </c>
      <c r="B1242" t="s">
        <v>4271</v>
      </c>
      <c r="C1242" t="s">
        <v>4272</v>
      </c>
      <c r="D1242">
        <v>101000</v>
      </c>
      <c r="E1242" s="1">
        <f t="shared" si="38"/>
        <v>0.480952380952381</v>
      </c>
      <c r="F1242">
        <f t="shared" si="39"/>
        <v>121000</v>
      </c>
    </row>
    <row r="1243" spans="1:6">
      <c r="A1243" t="s">
        <v>5355</v>
      </c>
      <c r="B1243" t="s">
        <v>4271</v>
      </c>
      <c r="C1243" t="s">
        <v>4272</v>
      </c>
      <c r="D1243">
        <v>101000</v>
      </c>
      <c r="E1243" s="1">
        <f t="shared" si="38"/>
        <v>0.480952380952381</v>
      </c>
      <c r="F1243">
        <f t="shared" si="39"/>
        <v>121000</v>
      </c>
    </row>
    <row r="1244" spans="1:6">
      <c r="A1244" t="s">
        <v>5356</v>
      </c>
      <c r="B1244" t="s">
        <v>4271</v>
      </c>
      <c r="C1244" t="s">
        <v>4272</v>
      </c>
      <c r="D1244">
        <v>101000</v>
      </c>
      <c r="E1244" s="1">
        <f t="shared" si="38"/>
        <v>0.480952380952381</v>
      </c>
      <c r="F1244">
        <f t="shared" si="39"/>
        <v>121000</v>
      </c>
    </row>
    <row r="1245" spans="1:6">
      <c r="A1245" t="s">
        <v>5357</v>
      </c>
      <c r="B1245" t="s">
        <v>4271</v>
      </c>
      <c r="C1245" t="s">
        <v>4272</v>
      </c>
      <c r="D1245">
        <v>101000</v>
      </c>
      <c r="E1245" s="1">
        <f t="shared" si="38"/>
        <v>0.480952380952381</v>
      </c>
      <c r="F1245">
        <f t="shared" si="39"/>
        <v>121000</v>
      </c>
    </row>
    <row r="1246" spans="1:6">
      <c r="A1246" t="s">
        <v>5358</v>
      </c>
      <c r="B1246" t="s">
        <v>4271</v>
      </c>
      <c r="C1246" t="s">
        <v>4272</v>
      </c>
      <c r="D1246">
        <v>101000</v>
      </c>
      <c r="E1246" s="1">
        <f t="shared" si="38"/>
        <v>0.480952380952381</v>
      </c>
      <c r="F1246">
        <f t="shared" si="39"/>
        <v>121000</v>
      </c>
    </row>
    <row r="1247" spans="1:6">
      <c r="A1247" t="s">
        <v>5359</v>
      </c>
      <c r="B1247" t="s">
        <v>4271</v>
      </c>
      <c r="C1247" t="s">
        <v>4272</v>
      </c>
      <c r="D1247">
        <v>101000</v>
      </c>
      <c r="E1247" s="1">
        <f t="shared" si="38"/>
        <v>0.480952380952381</v>
      </c>
      <c r="F1247">
        <f t="shared" si="39"/>
        <v>121000</v>
      </c>
    </row>
    <row r="1248" spans="1:6">
      <c r="A1248" t="s">
        <v>5360</v>
      </c>
      <c r="B1248" t="s">
        <v>4271</v>
      </c>
      <c r="C1248" t="s">
        <v>4272</v>
      </c>
      <c r="D1248">
        <v>101000</v>
      </c>
      <c r="E1248" s="1">
        <f t="shared" si="38"/>
        <v>0.480952380952381</v>
      </c>
      <c r="F1248">
        <f t="shared" si="39"/>
        <v>121000</v>
      </c>
    </row>
    <row r="1249" spans="1:6">
      <c r="A1249" t="s">
        <v>5361</v>
      </c>
      <c r="B1249" t="s">
        <v>4271</v>
      </c>
      <c r="C1249" t="s">
        <v>4272</v>
      </c>
      <c r="D1249">
        <v>61000</v>
      </c>
      <c r="E1249" s="1">
        <f t="shared" si="38"/>
        <v>0.29047619047619</v>
      </c>
      <c r="F1249">
        <f t="shared" si="39"/>
        <v>73000</v>
      </c>
    </row>
    <row r="1250" spans="1:6">
      <c r="A1250" t="s">
        <v>5362</v>
      </c>
      <c r="B1250" t="s">
        <v>4271</v>
      </c>
      <c r="C1250" t="s">
        <v>4272</v>
      </c>
      <c r="D1250">
        <v>61000</v>
      </c>
      <c r="E1250" s="1">
        <f t="shared" si="38"/>
        <v>0.29047619047619</v>
      </c>
      <c r="F1250">
        <f t="shared" si="39"/>
        <v>73000</v>
      </c>
    </row>
    <row r="1251" spans="1:6">
      <c r="A1251" t="s">
        <v>5363</v>
      </c>
      <c r="B1251" t="s">
        <v>4271</v>
      </c>
      <c r="C1251" t="s">
        <v>4272</v>
      </c>
      <c r="D1251">
        <v>61000</v>
      </c>
      <c r="E1251" s="1">
        <f t="shared" si="38"/>
        <v>0.29047619047619</v>
      </c>
      <c r="F1251">
        <f t="shared" si="39"/>
        <v>73000</v>
      </c>
    </row>
    <row r="1252" spans="1:6">
      <c r="A1252" t="s">
        <v>5364</v>
      </c>
      <c r="B1252" t="s">
        <v>4271</v>
      </c>
      <c r="C1252" t="s">
        <v>4272</v>
      </c>
      <c r="D1252">
        <v>41000</v>
      </c>
      <c r="E1252" s="1">
        <f t="shared" si="38"/>
        <v>0.195238095238095</v>
      </c>
      <c r="F1252">
        <f t="shared" si="39"/>
        <v>49000</v>
      </c>
    </row>
    <row r="1253" spans="1:6">
      <c r="A1253" t="s">
        <v>5365</v>
      </c>
      <c r="B1253" t="s">
        <v>4271</v>
      </c>
      <c r="C1253" t="s">
        <v>4272</v>
      </c>
      <c r="D1253">
        <v>61000</v>
      </c>
      <c r="E1253" s="1">
        <f t="shared" si="38"/>
        <v>0.29047619047619</v>
      </c>
      <c r="F1253">
        <f t="shared" si="39"/>
        <v>73000</v>
      </c>
    </row>
    <row r="1254" spans="1:6">
      <c r="A1254" t="s">
        <v>5366</v>
      </c>
      <c r="B1254" t="s">
        <v>4271</v>
      </c>
      <c r="C1254" t="s">
        <v>4272</v>
      </c>
      <c r="D1254">
        <v>41000</v>
      </c>
      <c r="E1254" s="1">
        <f t="shared" si="38"/>
        <v>0.195238095238095</v>
      </c>
      <c r="F1254">
        <f t="shared" si="39"/>
        <v>49000</v>
      </c>
    </row>
    <row r="1255" spans="1:6">
      <c r="A1255" t="s">
        <v>5367</v>
      </c>
      <c r="B1255" t="s">
        <v>4271</v>
      </c>
      <c r="C1255" t="s">
        <v>4272</v>
      </c>
      <c r="D1255">
        <v>101000</v>
      </c>
      <c r="E1255" s="1">
        <f t="shared" si="38"/>
        <v>0.480952380952381</v>
      </c>
      <c r="F1255">
        <f t="shared" si="39"/>
        <v>121000</v>
      </c>
    </row>
    <row r="1256" spans="1:6">
      <c r="A1256" t="s">
        <v>5368</v>
      </c>
      <c r="B1256" t="s">
        <v>4271</v>
      </c>
      <c r="C1256" t="s">
        <v>4272</v>
      </c>
      <c r="D1256">
        <v>122000</v>
      </c>
      <c r="E1256" s="1">
        <f t="shared" si="38"/>
        <v>0.580952380952381</v>
      </c>
      <c r="F1256">
        <f t="shared" si="39"/>
        <v>146000</v>
      </c>
    </row>
    <row r="1257" spans="1:6">
      <c r="A1257" t="s">
        <v>5369</v>
      </c>
      <c r="B1257" t="s">
        <v>4271</v>
      </c>
      <c r="C1257" t="s">
        <v>4272</v>
      </c>
      <c r="D1257">
        <v>122000</v>
      </c>
      <c r="E1257" s="1">
        <f t="shared" si="38"/>
        <v>0.580952380952381</v>
      </c>
      <c r="F1257">
        <f t="shared" si="39"/>
        <v>146000</v>
      </c>
    </row>
    <row r="1258" spans="1:6">
      <c r="A1258" t="s">
        <v>5370</v>
      </c>
      <c r="B1258" t="s">
        <v>4271</v>
      </c>
      <c r="C1258" t="s">
        <v>4272</v>
      </c>
      <c r="D1258">
        <v>101000</v>
      </c>
      <c r="E1258" s="1">
        <f t="shared" si="38"/>
        <v>0.480952380952381</v>
      </c>
      <c r="F1258">
        <f t="shared" si="39"/>
        <v>121000</v>
      </c>
    </row>
    <row r="1259" spans="1:6">
      <c r="A1259" t="s">
        <v>5371</v>
      </c>
      <c r="B1259" t="s">
        <v>4271</v>
      </c>
      <c r="C1259" t="s">
        <v>4272</v>
      </c>
      <c r="D1259">
        <v>101000</v>
      </c>
      <c r="E1259" s="1">
        <f t="shared" si="38"/>
        <v>0.480952380952381</v>
      </c>
      <c r="F1259">
        <f t="shared" si="39"/>
        <v>121000</v>
      </c>
    </row>
    <row r="1260" spans="1:6">
      <c r="A1260" t="s">
        <v>5372</v>
      </c>
      <c r="B1260" t="s">
        <v>4271</v>
      </c>
      <c r="C1260" t="s">
        <v>4272</v>
      </c>
      <c r="D1260">
        <v>101000</v>
      </c>
      <c r="E1260" s="1">
        <f t="shared" si="38"/>
        <v>0.480952380952381</v>
      </c>
      <c r="F1260">
        <f t="shared" si="39"/>
        <v>121000</v>
      </c>
    </row>
    <row r="1261" spans="1:6">
      <c r="A1261" t="s">
        <v>5373</v>
      </c>
      <c r="B1261" t="s">
        <v>4271</v>
      </c>
      <c r="C1261" t="s">
        <v>4272</v>
      </c>
      <c r="D1261">
        <v>101000</v>
      </c>
      <c r="E1261" s="1">
        <f t="shared" si="38"/>
        <v>0.480952380952381</v>
      </c>
      <c r="F1261">
        <f t="shared" si="39"/>
        <v>121000</v>
      </c>
    </row>
    <row r="1262" spans="1:6">
      <c r="A1262" t="s">
        <v>5374</v>
      </c>
      <c r="B1262" t="s">
        <v>4271</v>
      </c>
      <c r="C1262" t="s">
        <v>4272</v>
      </c>
      <c r="D1262">
        <v>101000</v>
      </c>
      <c r="E1262" s="1">
        <f t="shared" si="38"/>
        <v>0.480952380952381</v>
      </c>
      <c r="F1262">
        <f t="shared" si="39"/>
        <v>121000</v>
      </c>
    </row>
    <row r="1263" spans="1:6">
      <c r="A1263" t="s">
        <v>5375</v>
      </c>
      <c r="B1263" t="s">
        <v>4271</v>
      </c>
      <c r="C1263" t="s">
        <v>4272</v>
      </c>
      <c r="D1263">
        <v>101000</v>
      </c>
      <c r="E1263" s="1">
        <f t="shared" si="38"/>
        <v>0.480952380952381</v>
      </c>
      <c r="F1263">
        <f t="shared" si="39"/>
        <v>121000</v>
      </c>
    </row>
    <row r="1264" spans="1:6">
      <c r="A1264" t="s">
        <v>5376</v>
      </c>
      <c r="B1264" t="s">
        <v>4271</v>
      </c>
      <c r="C1264" t="s">
        <v>4272</v>
      </c>
      <c r="D1264">
        <v>384000</v>
      </c>
      <c r="E1264" s="1">
        <f t="shared" si="38"/>
        <v>1.82857142857143</v>
      </c>
      <c r="F1264">
        <f t="shared" si="39"/>
        <v>458000</v>
      </c>
    </row>
    <row r="1265" spans="1:6">
      <c r="A1265" t="s">
        <v>5377</v>
      </c>
      <c r="B1265" t="s">
        <v>4271</v>
      </c>
      <c r="C1265" t="s">
        <v>4272</v>
      </c>
      <c r="D1265">
        <v>384000</v>
      </c>
      <c r="E1265" s="1">
        <f t="shared" si="38"/>
        <v>1.82857142857143</v>
      </c>
      <c r="F1265">
        <f t="shared" si="39"/>
        <v>458000</v>
      </c>
    </row>
    <row r="1266" spans="1:6">
      <c r="A1266" t="s">
        <v>5378</v>
      </c>
      <c r="B1266" t="s">
        <v>4271</v>
      </c>
      <c r="C1266" t="s">
        <v>4272</v>
      </c>
      <c r="D1266">
        <v>384000</v>
      </c>
      <c r="E1266" s="1">
        <f t="shared" si="38"/>
        <v>1.82857142857143</v>
      </c>
      <c r="F1266">
        <f t="shared" si="39"/>
        <v>458000</v>
      </c>
    </row>
    <row r="1267" spans="1:6">
      <c r="A1267" t="s">
        <v>5379</v>
      </c>
      <c r="B1267" t="s">
        <v>4271</v>
      </c>
      <c r="C1267" t="s">
        <v>4272</v>
      </c>
      <c r="D1267">
        <v>384000</v>
      </c>
      <c r="E1267" s="1">
        <f t="shared" si="38"/>
        <v>1.82857142857143</v>
      </c>
      <c r="F1267">
        <f t="shared" si="39"/>
        <v>458000</v>
      </c>
    </row>
    <row r="1268" spans="1:6">
      <c r="A1268" t="s">
        <v>5380</v>
      </c>
      <c r="B1268" t="s">
        <v>4271</v>
      </c>
      <c r="C1268" t="s">
        <v>4272</v>
      </c>
      <c r="D1268">
        <v>122000</v>
      </c>
      <c r="E1268" s="1">
        <f t="shared" si="38"/>
        <v>0.580952380952381</v>
      </c>
      <c r="F1268">
        <f t="shared" si="39"/>
        <v>146000</v>
      </c>
    </row>
    <row r="1269" spans="1:6">
      <c r="A1269" t="s">
        <v>5381</v>
      </c>
      <c r="B1269" t="s">
        <v>4271</v>
      </c>
      <c r="C1269" t="s">
        <v>4272</v>
      </c>
      <c r="D1269">
        <v>222000</v>
      </c>
      <c r="E1269" s="1">
        <f t="shared" si="38"/>
        <v>1.05714285714286</v>
      </c>
      <c r="F1269">
        <f t="shared" si="39"/>
        <v>265000</v>
      </c>
    </row>
    <row r="1270" spans="1:6">
      <c r="A1270" t="s">
        <v>5382</v>
      </c>
      <c r="B1270" t="s">
        <v>4271</v>
      </c>
      <c r="C1270" t="s">
        <v>4272</v>
      </c>
      <c r="D1270">
        <v>384000</v>
      </c>
      <c r="E1270" s="1">
        <f t="shared" si="38"/>
        <v>1.82857142857143</v>
      </c>
      <c r="F1270">
        <f t="shared" si="39"/>
        <v>458000</v>
      </c>
    </row>
    <row r="1271" spans="1:6">
      <c r="A1271" t="s">
        <v>5383</v>
      </c>
      <c r="B1271" t="s">
        <v>4271</v>
      </c>
      <c r="C1271" t="s">
        <v>4272</v>
      </c>
      <c r="D1271">
        <v>606000</v>
      </c>
      <c r="E1271" s="1">
        <f t="shared" si="38"/>
        <v>2.88571428571429</v>
      </c>
      <c r="F1271">
        <f t="shared" si="39"/>
        <v>722000</v>
      </c>
    </row>
    <row r="1272" spans="1:6">
      <c r="A1272" t="s">
        <v>5384</v>
      </c>
      <c r="B1272" t="s">
        <v>4271</v>
      </c>
      <c r="C1272" t="s">
        <v>4272</v>
      </c>
      <c r="D1272">
        <v>808000</v>
      </c>
      <c r="E1272" s="1">
        <f t="shared" si="38"/>
        <v>3.84761904761905</v>
      </c>
      <c r="F1272">
        <f t="shared" si="39"/>
        <v>962000</v>
      </c>
    </row>
    <row r="1273" spans="1:6">
      <c r="A1273" t="s">
        <v>5385</v>
      </c>
      <c r="B1273" t="s">
        <v>4271</v>
      </c>
      <c r="C1273" t="s">
        <v>4272</v>
      </c>
      <c r="D1273">
        <v>707000</v>
      </c>
      <c r="E1273" s="1">
        <f t="shared" si="38"/>
        <v>3.36666666666667</v>
      </c>
      <c r="F1273">
        <f t="shared" si="39"/>
        <v>842000</v>
      </c>
    </row>
    <row r="1274" spans="1:6">
      <c r="A1274" t="s">
        <v>5386</v>
      </c>
      <c r="B1274" t="s">
        <v>4271</v>
      </c>
      <c r="C1274" t="s">
        <v>4272</v>
      </c>
      <c r="D1274">
        <v>606000</v>
      </c>
      <c r="E1274" s="1">
        <f t="shared" si="38"/>
        <v>2.88571428571429</v>
      </c>
      <c r="F1274">
        <f t="shared" si="39"/>
        <v>722000</v>
      </c>
    </row>
    <row r="1275" spans="1:6">
      <c r="A1275" t="s">
        <v>5387</v>
      </c>
      <c r="B1275" t="s">
        <v>4271</v>
      </c>
      <c r="C1275" t="s">
        <v>4272</v>
      </c>
      <c r="D1275">
        <v>808000</v>
      </c>
      <c r="E1275" s="1">
        <f t="shared" si="38"/>
        <v>3.84761904761905</v>
      </c>
      <c r="F1275">
        <f t="shared" si="39"/>
        <v>962000</v>
      </c>
    </row>
    <row r="1276" spans="1:6">
      <c r="A1276" t="s">
        <v>5388</v>
      </c>
      <c r="B1276" t="s">
        <v>4271</v>
      </c>
      <c r="C1276" t="s">
        <v>4272</v>
      </c>
      <c r="D1276">
        <v>707000</v>
      </c>
      <c r="E1276" s="1">
        <f t="shared" si="38"/>
        <v>3.36666666666667</v>
      </c>
      <c r="F1276">
        <f t="shared" si="39"/>
        <v>842000</v>
      </c>
    </row>
    <row r="1277" spans="1:6">
      <c r="A1277" t="s">
        <v>5389</v>
      </c>
      <c r="B1277" t="s">
        <v>4271</v>
      </c>
      <c r="C1277" t="s">
        <v>4272</v>
      </c>
      <c r="D1277">
        <v>1010000</v>
      </c>
      <c r="E1277" s="1">
        <f t="shared" si="38"/>
        <v>4.80952380952381</v>
      </c>
      <c r="F1277">
        <f t="shared" si="39"/>
        <v>1203000</v>
      </c>
    </row>
    <row r="1278" spans="1:6">
      <c r="A1278" t="s">
        <v>5390</v>
      </c>
      <c r="B1278" t="s">
        <v>4271</v>
      </c>
      <c r="C1278" t="s">
        <v>4272</v>
      </c>
      <c r="D1278">
        <v>505000</v>
      </c>
      <c r="E1278" s="1">
        <f t="shared" si="38"/>
        <v>2.4047619047619</v>
      </c>
      <c r="F1278">
        <f t="shared" si="39"/>
        <v>602000</v>
      </c>
    </row>
    <row r="1279" spans="1:6">
      <c r="A1279" t="s">
        <v>5391</v>
      </c>
      <c r="B1279" t="s">
        <v>4271</v>
      </c>
      <c r="C1279" t="s">
        <v>4272</v>
      </c>
      <c r="D1279">
        <v>747000</v>
      </c>
      <c r="E1279" s="1">
        <f t="shared" si="38"/>
        <v>3.55714285714286</v>
      </c>
      <c r="F1279">
        <f t="shared" si="39"/>
        <v>890000</v>
      </c>
    </row>
    <row r="1280" spans="1:6">
      <c r="A1280" t="s">
        <v>5392</v>
      </c>
      <c r="B1280" t="s">
        <v>4271</v>
      </c>
      <c r="C1280" t="s">
        <v>4272</v>
      </c>
      <c r="D1280">
        <v>687000</v>
      </c>
      <c r="E1280" s="1">
        <f t="shared" si="38"/>
        <v>3.27142857142857</v>
      </c>
      <c r="F1280">
        <f t="shared" si="39"/>
        <v>818000</v>
      </c>
    </row>
    <row r="1281" spans="1:6">
      <c r="A1281" t="s">
        <v>5393</v>
      </c>
      <c r="B1281" t="s">
        <v>4271</v>
      </c>
      <c r="C1281" t="s">
        <v>4272</v>
      </c>
      <c r="D1281">
        <v>505000</v>
      </c>
      <c r="E1281" s="1">
        <f t="shared" si="38"/>
        <v>2.4047619047619</v>
      </c>
      <c r="F1281">
        <f t="shared" si="39"/>
        <v>602000</v>
      </c>
    </row>
    <row r="1282" spans="1:6">
      <c r="A1282" t="s">
        <v>5394</v>
      </c>
      <c r="B1282" t="s">
        <v>4271</v>
      </c>
      <c r="C1282" t="s">
        <v>4272</v>
      </c>
      <c r="D1282">
        <v>222000</v>
      </c>
      <c r="E1282" s="1">
        <f t="shared" ref="E1282:E1345" si="40">D1282/210000</f>
        <v>1.05714285714286</v>
      </c>
      <c r="F1282">
        <f t="shared" si="39"/>
        <v>265000</v>
      </c>
    </row>
    <row r="1283" spans="1:6">
      <c r="A1283" t="s">
        <v>5395</v>
      </c>
      <c r="B1283" t="s">
        <v>4271</v>
      </c>
      <c r="C1283" t="s">
        <v>4272</v>
      </c>
      <c r="D1283">
        <v>283000</v>
      </c>
      <c r="E1283" s="1">
        <f t="shared" si="40"/>
        <v>1.34761904761905</v>
      </c>
      <c r="F1283">
        <f t="shared" si="39"/>
        <v>337000</v>
      </c>
    </row>
    <row r="1284" spans="1:6">
      <c r="A1284" t="s">
        <v>5396</v>
      </c>
      <c r="B1284" t="s">
        <v>4271</v>
      </c>
      <c r="C1284" t="s">
        <v>4272</v>
      </c>
      <c r="D1284">
        <v>767000</v>
      </c>
      <c r="E1284" s="1">
        <f t="shared" si="40"/>
        <v>3.65238095238095</v>
      </c>
      <c r="F1284">
        <f t="shared" ref="F1284:F1347" si="41">CEILING(E1284*250000,1000)</f>
        <v>914000</v>
      </c>
    </row>
    <row r="1285" spans="1:6">
      <c r="A1285" t="s">
        <v>5397</v>
      </c>
      <c r="B1285" t="s">
        <v>4271</v>
      </c>
      <c r="C1285" t="s">
        <v>4272</v>
      </c>
      <c r="D1285">
        <v>101000</v>
      </c>
      <c r="E1285" s="1">
        <f t="shared" si="40"/>
        <v>0.480952380952381</v>
      </c>
      <c r="F1285">
        <f t="shared" si="41"/>
        <v>121000</v>
      </c>
    </row>
    <row r="1286" spans="1:6">
      <c r="A1286" t="s">
        <v>5398</v>
      </c>
      <c r="B1286" t="s">
        <v>4271</v>
      </c>
      <c r="C1286" t="s">
        <v>4272</v>
      </c>
      <c r="D1286">
        <v>101000</v>
      </c>
      <c r="E1286" s="1">
        <f t="shared" si="40"/>
        <v>0.480952380952381</v>
      </c>
      <c r="F1286">
        <f t="shared" si="41"/>
        <v>121000</v>
      </c>
    </row>
    <row r="1287" spans="1:6">
      <c r="A1287" t="s">
        <v>5399</v>
      </c>
      <c r="B1287" t="s">
        <v>4271</v>
      </c>
      <c r="C1287" t="s">
        <v>4272</v>
      </c>
      <c r="D1287">
        <v>101000</v>
      </c>
      <c r="E1287" s="1">
        <f t="shared" si="40"/>
        <v>0.480952380952381</v>
      </c>
      <c r="F1287">
        <f t="shared" si="41"/>
        <v>121000</v>
      </c>
    </row>
    <row r="1288" spans="1:6">
      <c r="A1288" t="s">
        <v>5400</v>
      </c>
      <c r="B1288" t="s">
        <v>4271</v>
      </c>
      <c r="C1288" t="s">
        <v>4272</v>
      </c>
      <c r="D1288">
        <v>101000</v>
      </c>
      <c r="E1288" s="1">
        <f t="shared" si="40"/>
        <v>0.480952380952381</v>
      </c>
      <c r="F1288">
        <f t="shared" si="41"/>
        <v>121000</v>
      </c>
    </row>
    <row r="1289" spans="1:6">
      <c r="A1289" t="s">
        <v>5401</v>
      </c>
      <c r="B1289" t="s">
        <v>4271</v>
      </c>
      <c r="C1289" t="s">
        <v>4272</v>
      </c>
      <c r="D1289">
        <v>101000</v>
      </c>
      <c r="E1289" s="1">
        <f t="shared" si="40"/>
        <v>0.480952380952381</v>
      </c>
      <c r="F1289">
        <f t="shared" si="41"/>
        <v>121000</v>
      </c>
    </row>
    <row r="1290" spans="1:6">
      <c r="A1290" t="s">
        <v>5402</v>
      </c>
      <c r="B1290" t="s">
        <v>4271</v>
      </c>
      <c r="C1290" t="s">
        <v>4272</v>
      </c>
      <c r="D1290">
        <v>202000</v>
      </c>
      <c r="E1290" s="1">
        <f t="shared" si="40"/>
        <v>0.961904761904762</v>
      </c>
      <c r="F1290">
        <f t="shared" si="41"/>
        <v>241000</v>
      </c>
    </row>
    <row r="1291" spans="1:6">
      <c r="A1291" t="s">
        <v>5403</v>
      </c>
      <c r="B1291" t="s">
        <v>4271</v>
      </c>
      <c r="C1291" t="s">
        <v>4272</v>
      </c>
      <c r="D1291">
        <v>202000</v>
      </c>
      <c r="E1291" s="1">
        <f t="shared" si="40"/>
        <v>0.961904761904762</v>
      </c>
      <c r="F1291">
        <f t="shared" si="41"/>
        <v>241000</v>
      </c>
    </row>
    <row r="1292" spans="1:6">
      <c r="A1292" t="s">
        <v>5404</v>
      </c>
      <c r="B1292" t="s">
        <v>4271</v>
      </c>
      <c r="C1292" t="s">
        <v>4272</v>
      </c>
      <c r="D1292">
        <v>202000</v>
      </c>
      <c r="E1292" s="1">
        <f t="shared" si="40"/>
        <v>0.961904761904762</v>
      </c>
      <c r="F1292">
        <f t="shared" si="41"/>
        <v>241000</v>
      </c>
    </row>
    <row r="1293" spans="1:6">
      <c r="A1293" t="s">
        <v>5405</v>
      </c>
      <c r="B1293" t="s">
        <v>4271</v>
      </c>
      <c r="C1293" t="s">
        <v>4272</v>
      </c>
      <c r="D1293">
        <v>202000</v>
      </c>
      <c r="E1293" s="1">
        <f t="shared" si="40"/>
        <v>0.961904761904762</v>
      </c>
      <c r="F1293">
        <f t="shared" si="41"/>
        <v>241000</v>
      </c>
    </row>
    <row r="1294" spans="1:6">
      <c r="A1294" t="s">
        <v>5406</v>
      </c>
      <c r="B1294" t="s">
        <v>4271</v>
      </c>
      <c r="C1294" t="s">
        <v>4272</v>
      </c>
      <c r="D1294">
        <v>202000</v>
      </c>
      <c r="E1294" s="1">
        <f t="shared" si="40"/>
        <v>0.961904761904762</v>
      </c>
      <c r="F1294">
        <f t="shared" si="41"/>
        <v>241000</v>
      </c>
    </row>
    <row r="1295" spans="1:6">
      <c r="A1295" t="s">
        <v>5407</v>
      </c>
      <c r="B1295" t="s">
        <v>4271</v>
      </c>
      <c r="C1295" t="s">
        <v>4272</v>
      </c>
      <c r="D1295">
        <v>202000</v>
      </c>
      <c r="E1295" s="1">
        <f t="shared" si="40"/>
        <v>0.961904761904762</v>
      </c>
      <c r="F1295">
        <f t="shared" si="41"/>
        <v>241000</v>
      </c>
    </row>
    <row r="1296" spans="1:6">
      <c r="A1296" t="s">
        <v>5408</v>
      </c>
      <c r="B1296" t="s">
        <v>4271</v>
      </c>
      <c r="C1296" t="s">
        <v>4272</v>
      </c>
      <c r="D1296">
        <v>202000</v>
      </c>
      <c r="E1296" s="1">
        <f t="shared" si="40"/>
        <v>0.961904761904762</v>
      </c>
      <c r="F1296">
        <f t="shared" si="41"/>
        <v>241000</v>
      </c>
    </row>
    <row r="1297" spans="1:6">
      <c r="A1297" t="s">
        <v>5409</v>
      </c>
      <c r="B1297" t="s">
        <v>4271</v>
      </c>
      <c r="C1297" t="s">
        <v>4272</v>
      </c>
      <c r="D1297">
        <v>202000</v>
      </c>
      <c r="E1297" s="1">
        <f t="shared" si="40"/>
        <v>0.961904761904762</v>
      </c>
      <c r="F1297">
        <f t="shared" si="41"/>
        <v>241000</v>
      </c>
    </row>
    <row r="1298" spans="1:6">
      <c r="A1298" t="s">
        <v>5410</v>
      </c>
      <c r="B1298" t="s">
        <v>4271</v>
      </c>
      <c r="C1298" t="s">
        <v>4272</v>
      </c>
      <c r="D1298">
        <v>122000</v>
      </c>
      <c r="E1298" s="1">
        <f t="shared" si="40"/>
        <v>0.580952380952381</v>
      </c>
      <c r="F1298">
        <f t="shared" si="41"/>
        <v>146000</v>
      </c>
    </row>
    <row r="1299" spans="1:6">
      <c r="A1299" t="s">
        <v>5411</v>
      </c>
      <c r="B1299" t="s">
        <v>4271</v>
      </c>
      <c r="C1299" t="s">
        <v>4272</v>
      </c>
      <c r="D1299">
        <v>156000</v>
      </c>
      <c r="E1299" s="1">
        <f t="shared" si="40"/>
        <v>0.742857142857143</v>
      </c>
      <c r="F1299">
        <f t="shared" si="41"/>
        <v>186000</v>
      </c>
    </row>
    <row r="1300" spans="1:6">
      <c r="A1300" t="s">
        <v>5412</v>
      </c>
      <c r="B1300" t="s">
        <v>4271</v>
      </c>
      <c r="C1300" t="s">
        <v>4272</v>
      </c>
      <c r="D1300">
        <v>81000</v>
      </c>
      <c r="E1300" s="1">
        <f t="shared" si="40"/>
        <v>0.385714285714286</v>
      </c>
      <c r="F1300">
        <f t="shared" si="41"/>
        <v>97000</v>
      </c>
    </row>
    <row r="1301" spans="1:6">
      <c r="A1301" t="s">
        <v>5413</v>
      </c>
      <c r="B1301" t="s">
        <v>4271</v>
      </c>
      <c r="C1301" t="s">
        <v>4272</v>
      </c>
      <c r="D1301">
        <v>142000</v>
      </c>
      <c r="E1301" s="1">
        <f t="shared" si="40"/>
        <v>0.676190476190476</v>
      </c>
      <c r="F1301">
        <f t="shared" si="41"/>
        <v>170000</v>
      </c>
    </row>
    <row r="1302" spans="1:6">
      <c r="A1302" t="s">
        <v>5414</v>
      </c>
      <c r="B1302" t="s">
        <v>4271</v>
      </c>
      <c r="C1302" t="s">
        <v>4272</v>
      </c>
      <c r="D1302">
        <v>101000</v>
      </c>
      <c r="E1302" s="1">
        <f t="shared" si="40"/>
        <v>0.480952380952381</v>
      </c>
      <c r="F1302">
        <f t="shared" si="41"/>
        <v>121000</v>
      </c>
    </row>
    <row r="1303" spans="1:6">
      <c r="A1303" t="s">
        <v>5415</v>
      </c>
      <c r="B1303" t="s">
        <v>4271</v>
      </c>
      <c r="C1303" t="s">
        <v>4272</v>
      </c>
      <c r="D1303">
        <v>81000</v>
      </c>
      <c r="E1303" s="1">
        <f t="shared" si="40"/>
        <v>0.385714285714286</v>
      </c>
      <c r="F1303">
        <f t="shared" si="41"/>
        <v>97000</v>
      </c>
    </row>
    <row r="1304" spans="1:6">
      <c r="A1304" t="s">
        <v>5416</v>
      </c>
      <c r="B1304" t="s">
        <v>4271</v>
      </c>
      <c r="C1304" t="s">
        <v>4272</v>
      </c>
      <c r="D1304">
        <v>61000</v>
      </c>
      <c r="E1304" s="1">
        <f t="shared" si="40"/>
        <v>0.29047619047619</v>
      </c>
      <c r="F1304">
        <f t="shared" si="41"/>
        <v>73000</v>
      </c>
    </row>
    <row r="1305" spans="1:6">
      <c r="A1305" t="s">
        <v>5417</v>
      </c>
      <c r="B1305" t="s">
        <v>4271</v>
      </c>
      <c r="C1305" t="s">
        <v>4272</v>
      </c>
      <c r="D1305">
        <v>81000</v>
      </c>
      <c r="E1305" s="1">
        <f t="shared" si="40"/>
        <v>0.385714285714286</v>
      </c>
      <c r="F1305">
        <f t="shared" si="41"/>
        <v>97000</v>
      </c>
    </row>
    <row r="1306" spans="1:6">
      <c r="A1306" t="s">
        <v>5418</v>
      </c>
      <c r="B1306" t="s">
        <v>4271</v>
      </c>
      <c r="C1306" t="s">
        <v>4272</v>
      </c>
      <c r="D1306">
        <v>101000</v>
      </c>
      <c r="E1306" s="1">
        <f t="shared" si="40"/>
        <v>0.480952380952381</v>
      </c>
      <c r="F1306">
        <f t="shared" si="41"/>
        <v>121000</v>
      </c>
    </row>
    <row r="1307" spans="1:6">
      <c r="A1307" t="s">
        <v>5419</v>
      </c>
      <c r="B1307" t="s">
        <v>4271</v>
      </c>
      <c r="C1307" t="s">
        <v>4272</v>
      </c>
      <c r="D1307">
        <v>243000</v>
      </c>
      <c r="E1307" s="1">
        <f t="shared" si="40"/>
        <v>1.15714285714286</v>
      </c>
      <c r="F1307">
        <f t="shared" si="41"/>
        <v>290000</v>
      </c>
    </row>
    <row r="1308" spans="1:6">
      <c r="A1308" t="s">
        <v>5420</v>
      </c>
      <c r="B1308" t="s">
        <v>4271</v>
      </c>
      <c r="C1308" t="s">
        <v>4272</v>
      </c>
      <c r="D1308">
        <v>303000</v>
      </c>
      <c r="E1308" s="1">
        <f t="shared" si="40"/>
        <v>1.44285714285714</v>
      </c>
      <c r="F1308">
        <f t="shared" si="41"/>
        <v>361000</v>
      </c>
    </row>
    <row r="1309" spans="1:6">
      <c r="A1309" t="s">
        <v>5421</v>
      </c>
      <c r="B1309" t="s">
        <v>4271</v>
      </c>
      <c r="C1309" t="s">
        <v>4272</v>
      </c>
      <c r="D1309">
        <v>81000</v>
      </c>
      <c r="E1309" s="1">
        <f t="shared" si="40"/>
        <v>0.385714285714286</v>
      </c>
      <c r="F1309">
        <f t="shared" si="41"/>
        <v>97000</v>
      </c>
    </row>
    <row r="1310" spans="1:6">
      <c r="A1310" t="s">
        <v>5422</v>
      </c>
      <c r="B1310" t="s">
        <v>4271</v>
      </c>
      <c r="C1310" t="s">
        <v>4272</v>
      </c>
      <c r="D1310">
        <v>122000</v>
      </c>
      <c r="E1310" s="1">
        <f t="shared" si="40"/>
        <v>0.580952380952381</v>
      </c>
      <c r="F1310">
        <f t="shared" si="41"/>
        <v>146000</v>
      </c>
    </row>
    <row r="1311" spans="1:6">
      <c r="A1311" t="s">
        <v>5423</v>
      </c>
      <c r="B1311" t="s">
        <v>4271</v>
      </c>
      <c r="C1311" t="s">
        <v>4272</v>
      </c>
      <c r="D1311">
        <v>122000</v>
      </c>
      <c r="E1311" s="1">
        <f t="shared" si="40"/>
        <v>0.580952380952381</v>
      </c>
      <c r="F1311">
        <f t="shared" si="41"/>
        <v>146000</v>
      </c>
    </row>
    <row r="1312" spans="1:6">
      <c r="A1312" t="s">
        <v>5424</v>
      </c>
      <c r="B1312" t="s">
        <v>4271</v>
      </c>
      <c r="C1312" t="s">
        <v>4272</v>
      </c>
      <c r="D1312">
        <v>122000</v>
      </c>
      <c r="E1312" s="1">
        <f t="shared" si="40"/>
        <v>0.580952380952381</v>
      </c>
      <c r="F1312">
        <f t="shared" si="41"/>
        <v>146000</v>
      </c>
    </row>
    <row r="1313" spans="1:6">
      <c r="A1313" t="s">
        <v>5425</v>
      </c>
      <c r="B1313" t="s">
        <v>4271</v>
      </c>
      <c r="C1313" t="s">
        <v>4272</v>
      </c>
      <c r="D1313">
        <v>41000</v>
      </c>
      <c r="E1313" s="1">
        <f t="shared" si="40"/>
        <v>0.195238095238095</v>
      </c>
      <c r="F1313">
        <f t="shared" si="41"/>
        <v>49000</v>
      </c>
    </row>
    <row r="1314" spans="1:6">
      <c r="A1314" t="s">
        <v>5426</v>
      </c>
      <c r="B1314" t="s">
        <v>4271</v>
      </c>
      <c r="C1314" t="s">
        <v>4272</v>
      </c>
      <c r="D1314">
        <v>202000</v>
      </c>
      <c r="E1314" s="1">
        <f t="shared" si="40"/>
        <v>0.961904761904762</v>
      </c>
      <c r="F1314">
        <f t="shared" si="41"/>
        <v>241000</v>
      </c>
    </row>
    <row r="1315" spans="1:6">
      <c r="A1315" t="s">
        <v>5427</v>
      </c>
      <c r="B1315" t="s">
        <v>4271</v>
      </c>
      <c r="C1315" t="s">
        <v>4272</v>
      </c>
      <c r="D1315">
        <v>202000</v>
      </c>
      <c r="E1315" s="1">
        <f t="shared" si="40"/>
        <v>0.961904761904762</v>
      </c>
      <c r="F1315">
        <f t="shared" si="41"/>
        <v>241000</v>
      </c>
    </row>
    <row r="1316" spans="1:6">
      <c r="A1316" t="s">
        <v>5428</v>
      </c>
      <c r="B1316" t="s">
        <v>4271</v>
      </c>
      <c r="C1316" t="s">
        <v>4272</v>
      </c>
      <c r="D1316">
        <v>142000</v>
      </c>
      <c r="E1316" s="1">
        <f t="shared" si="40"/>
        <v>0.676190476190476</v>
      </c>
      <c r="F1316">
        <f t="shared" si="41"/>
        <v>170000</v>
      </c>
    </row>
    <row r="1317" spans="1:6">
      <c r="A1317" t="s">
        <v>5429</v>
      </c>
      <c r="B1317" t="s">
        <v>4271</v>
      </c>
      <c r="C1317" t="s">
        <v>4272</v>
      </c>
      <c r="D1317">
        <v>283000</v>
      </c>
      <c r="E1317" s="1">
        <f t="shared" si="40"/>
        <v>1.34761904761905</v>
      </c>
      <c r="F1317">
        <f t="shared" si="41"/>
        <v>337000</v>
      </c>
    </row>
    <row r="1318" spans="1:6">
      <c r="A1318" t="s">
        <v>5430</v>
      </c>
      <c r="B1318" t="s">
        <v>4271</v>
      </c>
      <c r="C1318" t="s">
        <v>4272</v>
      </c>
      <c r="D1318">
        <v>344000</v>
      </c>
      <c r="E1318" s="1">
        <f t="shared" si="40"/>
        <v>1.63809523809524</v>
      </c>
      <c r="F1318">
        <f t="shared" si="41"/>
        <v>410000</v>
      </c>
    </row>
    <row r="1319" spans="1:6">
      <c r="A1319" t="s">
        <v>5431</v>
      </c>
      <c r="B1319" t="s">
        <v>4271</v>
      </c>
      <c r="C1319" t="s">
        <v>4272</v>
      </c>
      <c r="D1319">
        <v>222000</v>
      </c>
      <c r="E1319" s="1">
        <f t="shared" si="40"/>
        <v>1.05714285714286</v>
      </c>
      <c r="F1319">
        <f t="shared" si="41"/>
        <v>265000</v>
      </c>
    </row>
    <row r="1320" spans="1:6">
      <c r="A1320" t="s">
        <v>5432</v>
      </c>
      <c r="B1320" t="s">
        <v>4271</v>
      </c>
      <c r="C1320" t="s">
        <v>4272</v>
      </c>
      <c r="D1320">
        <v>202000</v>
      </c>
      <c r="E1320" s="1">
        <f t="shared" si="40"/>
        <v>0.961904761904762</v>
      </c>
      <c r="F1320">
        <f t="shared" si="41"/>
        <v>241000</v>
      </c>
    </row>
    <row r="1321" spans="1:6">
      <c r="A1321" t="s">
        <v>5433</v>
      </c>
      <c r="B1321" t="s">
        <v>4271</v>
      </c>
      <c r="C1321" t="s">
        <v>4272</v>
      </c>
      <c r="D1321">
        <v>202000</v>
      </c>
      <c r="E1321" s="1">
        <f t="shared" si="40"/>
        <v>0.961904761904762</v>
      </c>
      <c r="F1321">
        <f t="shared" si="41"/>
        <v>241000</v>
      </c>
    </row>
    <row r="1322" spans="1:6">
      <c r="A1322" t="s">
        <v>5434</v>
      </c>
      <c r="B1322" t="s">
        <v>4271</v>
      </c>
      <c r="C1322" t="s">
        <v>4272</v>
      </c>
      <c r="D1322">
        <v>222000</v>
      </c>
      <c r="E1322" s="1">
        <f t="shared" si="40"/>
        <v>1.05714285714286</v>
      </c>
      <c r="F1322">
        <f t="shared" si="41"/>
        <v>265000</v>
      </c>
    </row>
    <row r="1323" spans="1:6">
      <c r="A1323" t="s">
        <v>5435</v>
      </c>
      <c r="B1323" t="s">
        <v>4271</v>
      </c>
      <c r="C1323" t="s">
        <v>4272</v>
      </c>
      <c r="D1323">
        <v>404000</v>
      </c>
      <c r="E1323" s="1">
        <f t="shared" si="40"/>
        <v>1.92380952380952</v>
      </c>
      <c r="F1323">
        <f t="shared" si="41"/>
        <v>481000</v>
      </c>
    </row>
    <row r="1324" spans="1:6">
      <c r="A1324" t="s">
        <v>5436</v>
      </c>
      <c r="B1324" t="s">
        <v>4271</v>
      </c>
      <c r="C1324" t="s">
        <v>4272</v>
      </c>
      <c r="D1324">
        <v>222000</v>
      </c>
      <c r="E1324" s="1">
        <f t="shared" si="40"/>
        <v>1.05714285714286</v>
      </c>
      <c r="F1324">
        <f t="shared" si="41"/>
        <v>265000</v>
      </c>
    </row>
    <row r="1325" spans="1:6">
      <c r="A1325" t="s">
        <v>5437</v>
      </c>
      <c r="B1325" t="s">
        <v>4271</v>
      </c>
      <c r="C1325" t="s">
        <v>4272</v>
      </c>
      <c r="D1325">
        <v>283000</v>
      </c>
      <c r="E1325" s="1">
        <f t="shared" si="40"/>
        <v>1.34761904761905</v>
      </c>
      <c r="F1325">
        <f t="shared" si="41"/>
        <v>337000</v>
      </c>
    </row>
    <row r="1326" spans="1:6">
      <c r="A1326" t="s">
        <v>5438</v>
      </c>
      <c r="B1326" t="s">
        <v>4271</v>
      </c>
      <c r="C1326" t="s">
        <v>4272</v>
      </c>
      <c r="D1326">
        <v>202000</v>
      </c>
      <c r="E1326" s="1">
        <f t="shared" si="40"/>
        <v>0.961904761904762</v>
      </c>
      <c r="F1326">
        <f t="shared" si="41"/>
        <v>241000</v>
      </c>
    </row>
    <row r="1327" spans="1:6">
      <c r="A1327" t="s">
        <v>5439</v>
      </c>
      <c r="B1327" t="s">
        <v>4271</v>
      </c>
      <c r="C1327" t="s">
        <v>4272</v>
      </c>
      <c r="D1327">
        <v>202000</v>
      </c>
      <c r="E1327" s="1">
        <f t="shared" si="40"/>
        <v>0.961904761904762</v>
      </c>
      <c r="F1327">
        <f t="shared" si="41"/>
        <v>241000</v>
      </c>
    </row>
    <row r="1328" spans="1:6">
      <c r="A1328" t="s">
        <v>5440</v>
      </c>
      <c r="B1328" t="s">
        <v>4271</v>
      </c>
      <c r="C1328" t="s">
        <v>4272</v>
      </c>
      <c r="D1328">
        <v>646000</v>
      </c>
      <c r="E1328" s="1">
        <f t="shared" si="40"/>
        <v>3.07619047619048</v>
      </c>
      <c r="F1328">
        <f t="shared" si="41"/>
        <v>770000</v>
      </c>
    </row>
    <row r="1329" spans="1:6">
      <c r="A1329" t="s">
        <v>5441</v>
      </c>
      <c r="B1329" t="s">
        <v>4271</v>
      </c>
      <c r="C1329" t="s">
        <v>4272</v>
      </c>
      <c r="D1329">
        <v>646000</v>
      </c>
      <c r="E1329" s="1">
        <f t="shared" si="40"/>
        <v>3.07619047619048</v>
      </c>
      <c r="F1329">
        <f t="shared" si="41"/>
        <v>770000</v>
      </c>
    </row>
    <row r="1330" spans="1:6">
      <c r="A1330" t="s">
        <v>5442</v>
      </c>
      <c r="B1330" t="s">
        <v>4271</v>
      </c>
      <c r="C1330" t="s">
        <v>4272</v>
      </c>
      <c r="D1330">
        <v>707000</v>
      </c>
      <c r="E1330" s="1">
        <f t="shared" si="40"/>
        <v>3.36666666666667</v>
      </c>
      <c r="F1330">
        <f t="shared" si="41"/>
        <v>842000</v>
      </c>
    </row>
    <row r="1331" spans="1:6">
      <c r="A1331" t="s">
        <v>5443</v>
      </c>
      <c r="B1331" t="s">
        <v>4271</v>
      </c>
      <c r="C1331" t="s">
        <v>4272</v>
      </c>
      <c r="D1331">
        <v>707000</v>
      </c>
      <c r="E1331" s="1">
        <f t="shared" si="40"/>
        <v>3.36666666666667</v>
      </c>
      <c r="F1331">
        <f t="shared" si="41"/>
        <v>842000</v>
      </c>
    </row>
    <row r="1332" spans="1:6">
      <c r="A1332" t="s">
        <v>5444</v>
      </c>
      <c r="B1332" t="s">
        <v>4271</v>
      </c>
      <c r="C1332" t="s">
        <v>4272</v>
      </c>
      <c r="D1332">
        <v>384000</v>
      </c>
      <c r="E1332" s="1">
        <f t="shared" si="40"/>
        <v>1.82857142857143</v>
      </c>
      <c r="F1332">
        <f t="shared" si="41"/>
        <v>458000</v>
      </c>
    </row>
    <row r="1333" spans="1:6">
      <c r="A1333" t="s">
        <v>5445</v>
      </c>
      <c r="B1333" t="s">
        <v>4271</v>
      </c>
      <c r="C1333" t="s">
        <v>4272</v>
      </c>
      <c r="D1333">
        <v>424000</v>
      </c>
      <c r="E1333" s="1">
        <f t="shared" si="40"/>
        <v>2.01904761904762</v>
      </c>
      <c r="F1333">
        <f t="shared" si="41"/>
        <v>505000</v>
      </c>
    </row>
    <row r="1334" spans="1:6">
      <c r="A1334" t="s">
        <v>5446</v>
      </c>
      <c r="B1334" t="s">
        <v>4271</v>
      </c>
      <c r="C1334" t="s">
        <v>4272</v>
      </c>
      <c r="D1334">
        <v>404000</v>
      </c>
      <c r="E1334" s="1">
        <f t="shared" si="40"/>
        <v>1.92380952380952</v>
      </c>
      <c r="F1334">
        <f t="shared" si="41"/>
        <v>481000</v>
      </c>
    </row>
    <row r="1335" spans="1:6">
      <c r="A1335" t="s">
        <v>5447</v>
      </c>
      <c r="B1335" t="s">
        <v>4271</v>
      </c>
      <c r="C1335" t="s">
        <v>4272</v>
      </c>
      <c r="D1335">
        <v>243000</v>
      </c>
      <c r="E1335" s="1">
        <f t="shared" si="40"/>
        <v>1.15714285714286</v>
      </c>
      <c r="F1335">
        <f t="shared" si="41"/>
        <v>290000</v>
      </c>
    </row>
    <row r="1336" spans="1:6">
      <c r="A1336" t="s">
        <v>5448</v>
      </c>
      <c r="B1336" t="s">
        <v>4271</v>
      </c>
      <c r="C1336" t="s">
        <v>4272</v>
      </c>
      <c r="D1336">
        <v>545000</v>
      </c>
      <c r="E1336" s="1">
        <f t="shared" si="40"/>
        <v>2.5952380952381</v>
      </c>
      <c r="F1336">
        <f t="shared" si="41"/>
        <v>649000</v>
      </c>
    </row>
    <row r="1337" spans="1:6">
      <c r="A1337" t="s">
        <v>5449</v>
      </c>
      <c r="B1337" t="s">
        <v>4271</v>
      </c>
      <c r="C1337" t="s">
        <v>4272</v>
      </c>
      <c r="D1337">
        <v>424000</v>
      </c>
      <c r="E1337" s="1">
        <f t="shared" si="40"/>
        <v>2.01904761904762</v>
      </c>
      <c r="F1337">
        <f t="shared" si="41"/>
        <v>505000</v>
      </c>
    </row>
    <row r="1338" spans="1:6">
      <c r="A1338" t="s">
        <v>5450</v>
      </c>
      <c r="B1338" t="s">
        <v>4271</v>
      </c>
      <c r="C1338" t="s">
        <v>4272</v>
      </c>
      <c r="D1338">
        <v>687000</v>
      </c>
      <c r="E1338" s="1">
        <f t="shared" si="40"/>
        <v>3.27142857142857</v>
      </c>
      <c r="F1338">
        <f t="shared" si="41"/>
        <v>818000</v>
      </c>
    </row>
    <row r="1339" spans="1:6">
      <c r="A1339" t="s">
        <v>5451</v>
      </c>
      <c r="B1339" t="s">
        <v>4271</v>
      </c>
      <c r="C1339" t="s">
        <v>4272</v>
      </c>
      <c r="D1339">
        <v>767000</v>
      </c>
      <c r="E1339" s="1">
        <f t="shared" si="40"/>
        <v>3.65238095238095</v>
      </c>
      <c r="F1339">
        <f t="shared" si="41"/>
        <v>914000</v>
      </c>
    </row>
    <row r="1340" spans="1:6">
      <c r="A1340" t="s">
        <v>5452</v>
      </c>
      <c r="B1340" t="s">
        <v>4271</v>
      </c>
      <c r="C1340" t="s">
        <v>4272</v>
      </c>
      <c r="D1340">
        <v>727000</v>
      </c>
      <c r="E1340" s="1">
        <f t="shared" si="40"/>
        <v>3.46190476190476</v>
      </c>
      <c r="F1340">
        <f t="shared" si="41"/>
        <v>866000</v>
      </c>
    </row>
    <row r="1341" spans="1:6">
      <c r="A1341" t="s">
        <v>5453</v>
      </c>
      <c r="B1341" t="s">
        <v>4271</v>
      </c>
      <c r="C1341" t="s">
        <v>4272</v>
      </c>
      <c r="D1341">
        <v>444000</v>
      </c>
      <c r="E1341" s="1">
        <f t="shared" si="40"/>
        <v>2.11428571428571</v>
      </c>
      <c r="F1341">
        <f t="shared" si="41"/>
        <v>529000</v>
      </c>
    </row>
    <row r="1342" spans="1:6">
      <c r="A1342" t="s">
        <v>5454</v>
      </c>
      <c r="B1342" t="s">
        <v>4271</v>
      </c>
      <c r="C1342" t="s">
        <v>4272</v>
      </c>
      <c r="D1342">
        <v>989000</v>
      </c>
      <c r="E1342" s="1">
        <f t="shared" si="40"/>
        <v>4.70952380952381</v>
      </c>
      <c r="F1342">
        <f t="shared" si="41"/>
        <v>1178000</v>
      </c>
    </row>
    <row r="1343" spans="1:6">
      <c r="A1343" t="s">
        <v>5455</v>
      </c>
      <c r="B1343" t="s">
        <v>4271</v>
      </c>
      <c r="C1343" t="s">
        <v>4272</v>
      </c>
      <c r="D1343">
        <v>767000</v>
      </c>
      <c r="E1343" s="1">
        <f t="shared" si="40"/>
        <v>3.65238095238095</v>
      </c>
      <c r="F1343">
        <f t="shared" si="41"/>
        <v>914000</v>
      </c>
    </row>
    <row r="1344" spans="1:6">
      <c r="A1344" t="s">
        <v>5456</v>
      </c>
      <c r="B1344" t="s">
        <v>4271</v>
      </c>
      <c r="C1344" t="s">
        <v>4272</v>
      </c>
      <c r="D1344">
        <v>808000</v>
      </c>
      <c r="E1344" s="1">
        <f t="shared" si="40"/>
        <v>3.84761904761905</v>
      </c>
      <c r="F1344">
        <f t="shared" si="41"/>
        <v>962000</v>
      </c>
    </row>
    <row r="1345" spans="1:6">
      <c r="A1345" t="s">
        <v>5457</v>
      </c>
      <c r="B1345" t="s">
        <v>4271</v>
      </c>
      <c r="C1345" t="s">
        <v>4272</v>
      </c>
      <c r="D1345">
        <v>485000</v>
      </c>
      <c r="E1345" s="1">
        <f t="shared" si="40"/>
        <v>2.30952380952381</v>
      </c>
      <c r="F1345">
        <f t="shared" si="41"/>
        <v>578000</v>
      </c>
    </row>
    <row r="1346" spans="1:6">
      <c r="A1346" t="s">
        <v>5458</v>
      </c>
      <c r="B1346" t="s">
        <v>4271</v>
      </c>
      <c r="C1346" t="s">
        <v>4272</v>
      </c>
      <c r="D1346">
        <v>182000</v>
      </c>
      <c r="E1346" s="1">
        <f t="shared" ref="E1346:E1409" si="42">D1346/210000</f>
        <v>0.866666666666667</v>
      </c>
      <c r="F1346">
        <f t="shared" si="41"/>
        <v>217000</v>
      </c>
    </row>
    <row r="1347" spans="1:6">
      <c r="A1347" t="s">
        <v>5459</v>
      </c>
      <c r="B1347" t="s">
        <v>4271</v>
      </c>
      <c r="C1347" t="s">
        <v>4272</v>
      </c>
      <c r="D1347">
        <v>263000</v>
      </c>
      <c r="E1347" s="1">
        <f t="shared" si="42"/>
        <v>1.25238095238095</v>
      </c>
      <c r="F1347">
        <f t="shared" si="41"/>
        <v>314000</v>
      </c>
    </row>
    <row r="1348" spans="1:6">
      <c r="A1348" t="s">
        <v>5460</v>
      </c>
      <c r="B1348" t="s">
        <v>4271</v>
      </c>
      <c r="C1348" t="s">
        <v>4272</v>
      </c>
      <c r="D1348">
        <v>263000</v>
      </c>
      <c r="E1348" s="1">
        <f t="shared" si="42"/>
        <v>1.25238095238095</v>
      </c>
      <c r="F1348">
        <f t="shared" ref="F1348:F1411" si="43">CEILING(E1348*250000,1000)</f>
        <v>314000</v>
      </c>
    </row>
    <row r="1349" spans="1:6">
      <c r="A1349" t="s">
        <v>5461</v>
      </c>
      <c r="B1349" t="s">
        <v>4271</v>
      </c>
      <c r="C1349" t="s">
        <v>4272</v>
      </c>
      <c r="D1349">
        <v>263000</v>
      </c>
      <c r="E1349" s="1">
        <f t="shared" si="42"/>
        <v>1.25238095238095</v>
      </c>
      <c r="F1349">
        <f t="shared" si="43"/>
        <v>314000</v>
      </c>
    </row>
    <row r="1350" spans="1:6">
      <c r="A1350" t="s">
        <v>5462</v>
      </c>
      <c r="B1350" t="s">
        <v>4271</v>
      </c>
      <c r="C1350" t="s">
        <v>4272</v>
      </c>
      <c r="D1350">
        <v>222000</v>
      </c>
      <c r="E1350" s="1">
        <f t="shared" si="42"/>
        <v>1.05714285714286</v>
      </c>
      <c r="F1350">
        <f t="shared" si="43"/>
        <v>265000</v>
      </c>
    </row>
    <row r="1351" spans="1:6">
      <c r="A1351" t="s">
        <v>5463</v>
      </c>
      <c r="B1351" t="s">
        <v>4271</v>
      </c>
      <c r="C1351" t="s">
        <v>4272</v>
      </c>
      <c r="D1351">
        <v>222000</v>
      </c>
      <c r="E1351" s="1">
        <f t="shared" si="42"/>
        <v>1.05714285714286</v>
      </c>
      <c r="F1351">
        <f t="shared" si="43"/>
        <v>265000</v>
      </c>
    </row>
    <row r="1352" spans="1:6">
      <c r="A1352" t="s">
        <v>5464</v>
      </c>
      <c r="B1352" t="s">
        <v>4271</v>
      </c>
      <c r="C1352" t="s">
        <v>4272</v>
      </c>
      <c r="D1352">
        <v>303000</v>
      </c>
      <c r="E1352" s="1">
        <f t="shared" si="42"/>
        <v>1.44285714285714</v>
      </c>
      <c r="F1352">
        <f t="shared" si="43"/>
        <v>361000</v>
      </c>
    </row>
    <row r="1353" spans="1:6">
      <c r="A1353" t="s">
        <v>5465</v>
      </c>
      <c r="B1353" t="s">
        <v>4271</v>
      </c>
      <c r="C1353" t="s">
        <v>4272</v>
      </c>
      <c r="D1353">
        <v>707000</v>
      </c>
      <c r="E1353" s="1">
        <f t="shared" si="42"/>
        <v>3.36666666666667</v>
      </c>
      <c r="F1353">
        <f t="shared" si="43"/>
        <v>842000</v>
      </c>
    </row>
    <row r="1354" spans="1:6">
      <c r="A1354" t="s">
        <v>5466</v>
      </c>
      <c r="B1354" t="s">
        <v>4271</v>
      </c>
      <c r="C1354" t="s">
        <v>4272</v>
      </c>
      <c r="D1354">
        <v>646000</v>
      </c>
      <c r="E1354" s="1">
        <f t="shared" si="42"/>
        <v>3.07619047619048</v>
      </c>
      <c r="F1354">
        <f t="shared" si="43"/>
        <v>770000</v>
      </c>
    </row>
    <row r="1355" spans="1:6">
      <c r="A1355" t="s">
        <v>5467</v>
      </c>
      <c r="B1355" t="s">
        <v>4271</v>
      </c>
      <c r="C1355" t="s">
        <v>4272</v>
      </c>
      <c r="D1355">
        <v>263000</v>
      </c>
      <c r="E1355" s="1">
        <f t="shared" si="42"/>
        <v>1.25238095238095</v>
      </c>
      <c r="F1355">
        <f t="shared" si="43"/>
        <v>314000</v>
      </c>
    </row>
    <row r="1356" spans="1:6">
      <c r="A1356" t="s">
        <v>5468</v>
      </c>
      <c r="B1356" t="s">
        <v>4271</v>
      </c>
      <c r="C1356" t="s">
        <v>4272</v>
      </c>
      <c r="D1356">
        <v>707000</v>
      </c>
      <c r="E1356" s="1">
        <f t="shared" si="42"/>
        <v>3.36666666666667</v>
      </c>
      <c r="F1356">
        <f t="shared" si="43"/>
        <v>842000</v>
      </c>
    </row>
    <row r="1357" spans="1:6">
      <c r="A1357" t="s">
        <v>5469</v>
      </c>
      <c r="B1357" t="s">
        <v>4271</v>
      </c>
      <c r="C1357" t="s">
        <v>4272</v>
      </c>
      <c r="D1357">
        <v>364000</v>
      </c>
      <c r="E1357" s="1">
        <f t="shared" si="42"/>
        <v>1.73333333333333</v>
      </c>
      <c r="F1357">
        <f t="shared" si="43"/>
        <v>434000</v>
      </c>
    </row>
    <row r="1358" spans="1:6">
      <c r="A1358" t="s">
        <v>5470</v>
      </c>
      <c r="B1358" t="s">
        <v>4271</v>
      </c>
      <c r="C1358" t="s">
        <v>4272</v>
      </c>
      <c r="D1358">
        <v>1312000</v>
      </c>
      <c r="E1358" s="1">
        <f t="shared" si="42"/>
        <v>6.24761904761905</v>
      </c>
      <c r="F1358">
        <f t="shared" si="43"/>
        <v>1562000</v>
      </c>
    </row>
    <row r="1359" spans="1:6">
      <c r="A1359" t="s">
        <v>5471</v>
      </c>
      <c r="B1359" t="s">
        <v>4271</v>
      </c>
      <c r="C1359" t="s">
        <v>4272</v>
      </c>
      <c r="D1359">
        <v>364000</v>
      </c>
      <c r="E1359" s="1">
        <f t="shared" si="42"/>
        <v>1.73333333333333</v>
      </c>
      <c r="F1359">
        <f t="shared" si="43"/>
        <v>434000</v>
      </c>
    </row>
    <row r="1360" spans="1:6">
      <c r="A1360" t="s">
        <v>5472</v>
      </c>
      <c r="B1360" t="s">
        <v>4271</v>
      </c>
      <c r="C1360" t="s">
        <v>4272</v>
      </c>
      <c r="D1360">
        <v>727000</v>
      </c>
      <c r="E1360" s="1">
        <f t="shared" si="42"/>
        <v>3.46190476190476</v>
      </c>
      <c r="F1360">
        <f t="shared" si="43"/>
        <v>866000</v>
      </c>
    </row>
    <row r="1361" spans="1:6">
      <c r="A1361" t="s">
        <v>5473</v>
      </c>
      <c r="B1361" t="s">
        <v>4271</v>
      </c>
      <c r="C1361" t="s">
        <v>4272</v>
      </c>
      <c r="D1361">
        <v>202000</v>
      </c>
      <c r="E1361" s="1">
        <f t="shared" si="42"/>
        <v>0.961904761904762</v>
      </c>
      <c r="F1361">
        <f t="shared" si="43"/>
        <v>241000</v>
      </c>
    </row>
    <row r="1362" spans="1:6">
      <c r="A1362" t="s">
        <v>5474</v>
      </c>
      <c r="B1362" t="s">
        <v>4271</v>
      </c>
      <c r="C1362" t="s">
        <v>4272</v>
      </c>
      <c r="D1362">
        <v>747000</v>
      </c>
      <c r="E1362" s="1">
        <f t="shared" si="42"/>
        <v>3.55714285714286</v>
      </c>
      <c r="F1362">
        <f t="shared" si="43"/>
        <v>890000</v>
      </c>
    </row>
    <row r="1363" spans="1:6">
      <c r="A1363" t="s">
        <v>5475</v>
      </c>
      <c r="B1363" t="s">
        <v>4271</v>
      </c>
      <c r="C1363" t="s">
        <v>4272</v>
      </c>
      <c r="D1363">
        <v>1353000</v>
      </c>
      <c r="E1363" s="1">
        <f t="shared" si="42"/>
        <v>6.44285714285714</v>
      </c>
      <c r="F1363">
        <f t="shared" si="43"/>
        <v>1611000</v>
      </c>
    </row>
    <row r="1364" spans="1:6">
      <c r="A1364" t="s">
        <v>5476</v>
      </c>
      <c r="B1364" t="s">
        <v>4271</v>
      </c>
      <c r="C1364" t="s">
        <v>4272</v>
      </c>
      <c r="D1364">
        <v>162000</v>
      </c>
      <c r="E1364" s="1">
        <f t="shared" si="42"/>
        <v>0.771428571428571</v>
      </c>
      <c r="F1364">
        <f t="shared" si="43"/>
        <v>193000</v>
      </c>
    </row>
    <row r="1365" spans="1:6">
      <c r="A1365" t="s">
        <v>5477</v>
      </c>
      <c r="B1365" t="s">
        <v>4271</v>
      </c>
      <c r="C1365" t="s">
        <v>4272</v>
      </c>
      <c r="D1365">
        <v>162000</v>
      </c>
      <c r="E1365" s="1">
        <f t="shared" si="42"/>
        <v>0.771428571428571</v>
      </c>
      <c r="F1365">
        <f t="shared" si="43"/>
        <v>193000</v>
      </c>
    </row>
    <row r="1366" spans="1:6">
      <c r="A1366" t="s">
        <v>5478</v>
      </c>
      <c r="B1366" t="s">
        <v>4271</v>
      </c>
      <c r="C1366" t="s">
        <v>4272</v>
      </c>
      <c r="D1366">
        <v>243000</v>
      </c>
      <c r="E1366" s="1">
        <f t="shared" si="42"/>
        <v>1.15714285714286</v>
      </c>
      <c r="F1366">
        <f t="shared" si="43"/>
        <v>290000</v>
      </c>
    </row>
    <row r="1367" spans="1:6">
      <c r="A1367" t="s">
        <v>5479</v>
      </c>
      <c r="B1367" t="s">
        <v>4271</v>
      </c>
      <c r="C1367" t="s">
        <v>4272</v>
      </c>
      <c r="D1367">
        <v>303000</v>
      </c>
      <c r="E1367" s="1">
        <f t="shared" si="42"/>
        <v>1.44285714285714</v>
      </c>
      <c r="F1367">
        <f t="shared" si="43"/>
        <v>361000</v>
      </c>
    </row>
    <row r="1368" spans="1:6">
      <c r="A1368" t="s">
        <v>5480</v>
      </c>
      <c r="B1368" t="s">
        <v>4271</v>
      </c>
      <c r="C1368" t="s">
        <v>4272</v>
      </c>
      <c r="D1368">
        <v>202000</v>
      </c>
      <c r="E1368" s="1">
        <f t="shared" si="42"/>
        <v>0.961904761904762</v>
      </c>
      <c r="F1368">
        <f t="shared" si="43"/>
        <v>241000</v>
      </c>
    </row>
    <row r="1369" spans="1:6">
      <c r="A1369" t="s">
        <v>5481</v>
      </c>
      <c r="B1369" t="s">
        <v>4271</v>
      </c>
      <c r="C1369" t="s">
        <v>4272</v>
      </c>
      <c r="D1369">
        <v>202000</v>
      </c>
      <c r="E1369" s="1">
        <f t="shared" si="42"/>
        <v>0.961904761904762</v>
      </c>
      <c r="F1369">
        <f t="shared" si="43"/>
        <v>241000</v>
      </c>
    </row>
    <row r="1370" spans="1:6">
      <c r="A1370" t="s">
        <v>5482</v>
      </c>
      <c r="B1370" t="s">
        <v>4271</v>
      </c>
      <c r="C1370" t="s">
        <v>4272</v>
      </c>
      <c r="D1370">
        <v>21000</v>
      </c>
      <c r="E1370" s="1">
        <f t="shared" si="42"/>
        <v>0.1</v>
      </c>
      <c r="F1370">
        <f t="shared" si="43"/>
        <v>25000</v>
      </c>
    </row>
    <row r="1371" spans="1:6">
      <c r="A1371" t="s">
        <v>5483</v>
      </c>
      <c r="B1371" t="s">
        <v>4271</v>
      </c>
      <c r="C1371" t="s">
        <v>4272</v>
      </c>
      <c r="D1371">
        <v>41000</v>
      </c>
      <c r="E1371" s="1">
        <f t="shared" si="42"/>
        <v>0.195238095238095</v>
      </c>
      <c r="F1371">
        <f t="shared" si="43"/>
        <v>49000</v>
      </c>
    </row>
    <row r="1372" spans="1:6">
      <c r="A1372" t="s">
        <v>5484</v>
      </c>
      <c r="B1372" t="s">
        <v>4271</v>
      </c>
      <c r="C1372" t="s">
        <v>4272</v>
      </c>
      <c r="D1372">
        <v>202000</v>
      </c>
      <c r="E1372" s="1">
        <f t="shared" si="42"/>
        <v>0.961904761904762</v>
      </c>
      <c r="F1372">
        <f t="shared" si="43"/>
        <v>241000</v>
      </c>
    </row>
    <row r="1373" spans="1:6">
      <c r="A1373" t="s">
        <v>5485</v>
      </c>
      <c r="B1373" t="s">
        <v>4271</v>
      </c>
      <c r="C1373" t="s">
        <v>4272</v>
      </c>
      <c r="D1373">
        <v>21000</v>
      </c>
      <c r="E1373" s="1">
        <f t="shared" si="42"/>
        <v>0.1</v>
      </c>
      <c r="F1373">
        <f t="shared" si="43"/>
        <v>25000</v>
      </c>
    </row>
    <row r="1374" spans="1:6">
      <c r="A1374" t="s">
        <v>5486</v>
      </c>
      <c r="B1374" t="s">
        <v>4271</v>
      </c>
      <c r="C1374" t="s">
        <v>4272</v>
      </c>
      <c r="D1374">
        <v>41000</v>
      </c>
      <c r="E1374" s="1">
        <f t="shared" si="42"/>
        <v>0.195238095238095</v>
      </c>
      <c r="F1374">
        <f t="shared" si="43"/>
        <v>49000</v>
      </c>
    </row>
    <row r="1375" spans="1:6">
      <c r="A1375" t="s">
        <v>5487</v>
      </c>
      <c r="B1375" t="s">
        <v>4271</v>
      </c>
      <c r="C1375" t="s">
        <v>4272</v>
      </c>
      <c r="D1375">
        <v>21000</v>
      </c>
      <c r="E1375" s="1">
        <f t="shared" si="42"/>
        <v>0.1</v>
      </c>
      <c r="F1375">
        <f t="shared" si="43"/>
        <v>25000</v>
      </c>
    </row>
    <row r="1376" spans="1:6">
      <c r="A1376" t="s">
        <v>5488</v>
      </c>
      <c r="B1376" t="s">
        <v>4271</v>
      </c>
      <c r="C1376" t="s">
        <v>4272</v>
      </c>
      <c r="D1376">
        <v>122000</v>
      </c>
      <c r="E1376" s="1">
        <f t="shared" si="42"/>
        <v>0.580952380952381</v>
      </c>
      <c r="F1376">
        <f t="shared" si="43"/>
        <v>146000</v>
      </c>
    </row>
    <row r="1377" spans="1:6">
      <c r="A1377" t="s">
        <v>5489</v>
      </c>
      <c r="B1377" t="s">
        <v>4271</v>
      </c>
      <c r="C1377" t="s">
        <v>4272</v>
      </c>
      <c r="D1377">
        <v>222000</v>
      </c>
      <c r="E1377" s="1">
        <f t="shared" si="42"/>
        <v>1.05714285714286</v>
      </c>
      <c r="F1377">
        <f t="shared" si="43"/>
        <v>265000</v>
      </c>
    </row>
    <row r="1378" spans="1:6">
      <c r="A1378" t="s">
        <v>5490</v>
      </c>
      <c r="B1378" t="s">
        <v>4271</v>
      </c>
      <c r="C1378" t="s">
        <v>4272</v>
      </c>
      <c r="D1378">
        <v>202000</v>
      </c>
      <c r="E1378" s="1">
        <f t="shared" si="42"/>
        <v>0.961904761904762</v>
      </c>
      <c r="F1378">
        <f t="shared" si="43"/>
        <v>241000</v>
      </c>
    </row>
    <row r="1379" spans="1:6">
      <c r="A1379" t="s">
        <v>5491</v>
      </c>
      <c r="B1379" t="s">
        <v>4271</v>
      </c>
      <c r="C1379" t="s">
        <v>4272</v>
      </c>
      <c r="D1379">
        <v>243000</v>
      </c>
      <c r="E1379" s="1">
        <f t="shared" si="42"/>
        <v>1.15714285714286</v>
      </c>
      <c r="F1379">
        <f t="shared" si="43"/>
        <v>290000</v>
      </c>
    </row>
    <row r="1380" spans="1:6">
      <c r="A1380" t="s">
        <v>5492</v>
      </c>
      <c r="B1380" t="s">
        <v>4271</v>
      </c>
      <c r="C1380" t="s">
        <v>4272</v>
      </c>
      <c r="D1380">
        <v>222000</v>
      </c>
      <c r="E1380" s="1">
        <f t="shared" si="42"/>
        <v>1.05714285714286</v>
      </c>
      <c r="F1380">
        <f t="shared" si="43"/>
        <v>265000</v>
      </c>
    </row>
    <row r="1381" spans="1:6">
      <c r="A1381" t="s">
        <v>5493</v>
      </c>
      <c r="B1381" t="s">
        <v>4271</v>
      </c>
      <c r="C1381" t="s">
        <v>4272</v>
      </c>
      <c r="D1381">
        <v>222000</v>
      </c>
      <c r="E1381" s="1">
        <f t="shared" si="42"/>
        <v>1.05714285714286</v>
      </c>
      <c r="F1381">
        <f t="shared" si="43"/>
        <v>265000</v>
      </c>
    </row>
    <row r="1382" spans="1:6">
      <c r="A1382" t="s">
        <v>5494</v>
      </c>
      <c r="B1382" t="s">
        <v>4271</v>
      </c>
      <c r="C1382" t="s">
        <v>4272</v>
      </c>
      <c r="D1382">
        <v>222000</v>
      </c>
      <c r="E1382" s="1">
        <f t="shared" si="42"/>
        <v>1.05714285714286</v>
      </c>
      <c r="F1382">
        <f t="shared" si="43"/>
        <v>265000</v>
      </c>
    </row>
    <row r="1383" spans="1:6">
      <c r="A1383" t="s">
        <v>5495</v>
      </c>
      <c r="B1383" t="s">
        <v>4271</v>
      </c>
      <c r="C1383" t="s">
        <v>4272</v>
      </c>
      <c r="D1383">
        <v>404000</v>
      </c>
      <c r="E1383" s="1">
        <f t="shared" si="42"/>
        <v>1.92380952380952</v>
      </c>
      <c r="F1383">
        <f t="shared" si="43"/>
        <v>481000</v>
      </c>
    </row>
    <row r="1384" spans="1:6">
      <c r="A1384" t="s">
        <v>5496</v>
      </c>
      <c r="B1384" t="s">
        <v>4271</v>
      </c>
      <c r="C1384" t="s">
        <v>4272</v>
      </c>
      <c r="D1384">
        <v>101000</v>
      </c>
      <c r="E1384" s="1">
        <f t="shared" si="42"/>
        <v>0.480952380952381</v>
      </c>
      <c r="F1384">
        <f t="shared" si="43"/>
        <v>121000</v>
      </c>
    </row>
    <row r="1385" spans="1:6">
      <c r="A1385" t="s">
        <v>5497</v>
      </c>
      <c r="B1385" t="s">
        <v>4271</v>
      </c>
      <c r="C1385" t="s">
        <v>4272</v>
      </c>
      <c r="D1385">
        <v>142000</v>
      </c>
      <c r="E1385" s="1">
        <f t="shared" si="42"/>
        <v>0.676190476190476</v>
      </c>
      <c r="F1385">
        <f t="shared" si="43"/>
        <v>170000</v>
      </c>
    </row>
    <row r="1386" spans="1:6">
      <c r="A1386" t="s">
        <v>5498</v>
      </c>
      <c r="B1386" t="s">
        <v>4271</v>
      </c>
      <c r="C1386" t="s">
        <v>4272</v>
      </c>
      <c r="D1386">
        <v>122000</v>
      </c>
      <c r="E1386" s="1">
        <f t="shared" si="42"/>
        <v>0.580952380952381</v>
      </c>
      <c r="F1386">
        <f t="shared" si="43"/>
        <v>146000</v>
      </c>
    </row>
    <row r="1387" spans="1:6">
      <c r="A1387" t="s">
        <v>5499</v>
      </c>
      <c r="B1387" t="s">
        <v>4271</v>
      </c>
      <c r="C1387" t="s">
        <v>4272</v>
      </c>
      <c r="D1387">
        <v>101000</v>
      </c>
      <c r="E1387" s="1">
        <f t="shared" si="42"/>
        <v>0.480952380952381</v>
      </c>
      <c r="F1387">
        <f t="shared" si="43"/>
        <v>121000</v>
      </c>
    </row>
    <row r="1388" spans="1:6">
      <c r="A1388" t="s">
        <v>5500</v>
      </c>
      <c r="B1388" t="s">
        <v>4271</v>
      </c>
      <c r="C1388" t="s">
        <v>4272</v>
      </c>
      <c r="D1388">
        <v>101000</v>
      </c>
      <c r="E1388" s="1">
        <f t="shared" si="42"/>
        <v>0.480952380952381</v>
      </c>
      <c r="F1388">
        <f t="shared" si="43"/>
        <v>121000</v>
      </c>
    </row>
    <row r="1389" spans="1:6">
      <c r="A1389" t="s">
        <v>5501</v>
      </c>
      <c r="B1389" t="s">
        <v>4271</v>
      </c>
      <c r="C1389" t="s">
        <v>4272</v>
      </c>
      <c r="D1389">
        <v>101000</v>
      </c>
      <c r="E1389" s="1">
        <f t="shared" si="42"/>
        <v>0.480952380952381</v>
      </c>
      <c r="F1389">
        <f t="shared" si="43"/>
        <v>121000</v>
      </c>
    </row>
    <row r="1390" spans="1:6">
      <c r="A1390" t="s">
        <v>5502</v>
      </c>
      <c r="B1390" t="s">
        <v>4271</v>
      </c>
      <c r="C1390" t="s">
        <v>4272</v>
      </c>
      <c r="D1390">
        <v>202000</v>
      </c>
      <c r="E1390" s="1">
        <f t="shared" si="42"/>
        <v>0.961904761904762</v>
      </c>
      <c r="F1390">
        <f t="shared" si="43"/>
        <v>241000</v>
      </c>
    </row>
    <row r="1391" spans="1:6">
      <c r="A1391" t="s">
        <v>5503</v>
      </c>
      <c r="B1391" t="s">
        <v>4271</v>
      </c>
      <c r="C1391" t="s">
        <v>4272</v>
      </c>
      <c r="D1391">
        <v>202000</v>
      </c>
      <c r="E1391" s="1">
        <f t="shared" si="42"/>
        <v>0.961904761904762</v>
      </c>
      <c r="F1391">
        <f t="shared" si="43"/>
        <v>241000</v>
      </c>
    </row>
    <row r="1392" spans="1:6">
      <c r="A1392" t="s">
        <v>5504</v>
      </c>
      <c r="B1392" t="s">
        <v>4271</v>
      </c>
      <c r="C1392" t="s">
        <v>4272</v>
      </c>
      <c r="D1392">
        <v>202000</v>
      </c>
      <c r="E1392" s="1">
        <f t="shared" si="42"/>
        <v>0.961904761904762</v>
      </c>
      <c r="F1392">
        <f t="shared" si="43"/>
        <v>241000</v>
      </c>
    </row>
    <row r="1393" spans="1:6">
      <c r="A1393" t="s">
        <v>5505</v>
      </c>
      <c r="B1393" t="s">
        <v>4271</v>
      </c>
      <c r="C1393" t="s">
        <v>4272</v>
      </c>
      <c r="D1393">
        <v>202000</v>
      </c>
      <c r="E1393" s="1">
        <f t="shared" si="42"/>
        <v>0.961904761904762</v>
      </c>
      <c r="F1393">
        <f t="shared" si="43"/>
        <v>241000</v>
      </c>
    </row>
    <row r="1394" spans="1:6">
      <c r="A1394" t="s">
        <v>5506</v>
      </c>
      <c r="B1394" t="s">
        <v>4271</v>
      </c>
      <c r="C1394" t="s">
        <v>4272</v>
      </c>
      <c r="D1394">
        <v>202000</v>
      </c>
      <c r="E1394" s="1">
        <f t="shared" si="42"/>
        <v>0.961904761904762</v>
      </c>
      <c r="F1394">
        <f t="shared" si="43"/>
        <v>241000</v>
      </c>
    </row>
    <row r="1395" spans="1:6">
      <c r="A1395" t="s">
        <v>5507</v>
      </c>
      <c r="B1395" t="s">
        <v>4271</v>
      </c>
      <c r="C1395" t="s">
        <v>4272</v>
      </c>
      <c r="D1395">
        <v>202000</v>
      </c>
      <c r="E1395" s="1">
        <f t="shared" si="42"/>
        <v>0.961904761904762</v>
      </c>
      <c r="F1395">
        <f t="shared" si="43"/>
        <v>241000</v>
      </c>
    </row>
    <row r="1396" spans="1:6">
      <c r="A1396" t="s">
        <v>5508</v>
      </c>
      <c r="B1396" t="s">
        <v>4271</v>
      </c>
      <c r="C1396" t="s">
        <v>4272</v>
      </c>
      <c r="D1396">
        <v>142000</v>
      </c>
      <c r="E1396" s="1">
        <f t="shared" si="42"/>
        <v>0.676190476190476</v>
      </c>
      <c r="F1396">
        <f t="shared" si="43"/>
        <v>170000</v>
      </c>
    </row>
    <row r="1397" spans="1:6">
      <c r="A1397" t="s">
        <v>5509</v>
      </c>
      <c r="B1397" t="s">
        <v>4271</v>
      </c>
      <c r="C1397" t="s">
        <v>4272</v>
      </c>
      <c r="D1397">
        <v>162000</v>
      </c>
      <c r="E1397" s="1">
        <f t="shared" si="42"/>
        <v>0.771428571428571</v>
      </c>
      <c r="F1397">
        <f t="shared" si="43"/>
        <v>193000</v>
      </c>
    </row>
    <row r="1398" spans="1:6">
      <c r="A1398" t="s">
        <v>5510</v>
      </c>
      <c r="B1398" t="s">
        <v>4271</v>
      </c>
      <c r="C1398" t="s">
        <v>4272</v>
      </c>
      <c r="D1398">
        <v>122000</v>
      </c>
      <c r="E1398" s="1">
        <f t="shared" si="42"/>
        <v>0.580952380952381</v>
      </c>
      <c r="F1398">
        <f t="shared" si="43"/>
        <v>146000</v>
      </c>
    </row>
    <row r="1399" spans="1:6">
      <c r="A1399" t="s">
        <v>5511</v>
      </c>
      <c r="B1399" t="s">
        <v>4271</v>
      </c>
      <c r="C1399" t="s">
        <v>4272</v>
      </c>
      <c r="D1399">
        <v>162000</v>
      </c>
      <c r="E1399" s="1">
        <f t="shared" si="42"/>
        <v>0.771428571428571</v>
      </c>
      <c r="F1399">
        <f t="shared" si="43"/>
        <v>193000</v>
      </c>
    </row>
    <row r="1400" spans="1:6">
      <c r="A1400" t="s">
        <v>5512</v>
      </c>
      <c r="B1400" t="s">
        <v>4271</v>
      </c>
      <c r="C1400" t="s">
        <v>4272</v>
      </c>
      <c r="D1400">
        <v>122000</v>
      </c>
      <c r="E1400" s="1">
        <f t="shared" si="42"/>
        <v>0.580952380952381</v>
      </c>
      <c r="F1400">
        <f t="shared" si="43"/>
        <v>146000</v>
      </c>
    </row>
    <row r="1401" spans="1:6">
      <c r="A1401" t="s">
        <v>5513</v>
      </c>
      <c r="B1401" t="s">
        <v>4271</v>
      </c>
      <c r="C1401" t="s">
        <v>4272</v>
      </c>
      <c r="D1401">
        <v>162000</v>
      </c>
      <c r="E1401" s="1">
        <f t="shared" si="42"/>
        <v>0.771428571428571</v>
      </c>
      <c r="F1401">
        <f t="shared" si="43"/>
        <v>193000</v>
      </c>
    </row>
    <row r="1402" spans="1:6">
      <c r="A1402" t="s">
        <v>5514</v>
      </c>
      <c r="B1402" t="s">
        <v>4271</v>
      </c>
      <c r="C1402" t="s">
        <v>4272</v>
      </c>
      <c r="D1402">
        <v>202000</v>
      </c>
      <c r="E1402" s="1">
        <f t="shared" si="42"/>
        <v>0.961904761904762</v>
      </c>
      <c r="F1402">
        <f t="shared" si="43"/>
        <v>241000</v>
      </c>
    </row>
    <row r="1403" spans="1:6">
      <c r="A1403" t="s">
        <v>5515</v>
      </c>
      <c r="B1403" t="s">
        <v>4271</v>
      </c>
      <c r="C1403" t="s">
        <v>4272</v>
      </c>
      <c r="D1403">
        <v>222000</v>
      </c>
      <c r="E1403" s="1">
        <f t="shared" si="42"/>
        <v>1.05714285714286</v>
      </c>
      <c r="F1403">
        <f t="shared" si="43"/>
        <v>265000</v>
      </c>
    </row>
    <row r="1404" spans="1:6">
      <c r="A1404" t="s">
        <v>5516</v>
      </c>
      <c r="B1404" t="s">
        <v>4271</v>
      </c>
      <c r="C1404" t="s">
        <v>4272</v>
      </c>
      <c r="D1404">
        <v>384000</v>
      </c>
      <c r="E1404" s="1">
        <f t="shared" si="42"/>
        <v>1.82857142857143</v>
      </c>
      <c r="F1404">
        <f t="shared" si="43"/>
        <v>458000</v>
      </c>
    </row>
    <row r="1405" spans="1:6">
      <c r="A1405" t="s">
        <v>5517</v>
      </c>
      <c r="B1405" t="s">
        <v>4271</v>
      </c>
      <c r="C1405" t="s">
        <v>4272</v>
      </c>
      <c r="D1405">
        <v>263000</v>
      </c>
      <c r="E1405" s="1">
        <f t="shared" si="42"/>
        <v>1.25238095238095</v>
      </c>
      <c r="F1405">
        <f t="shared" si="43"/>
        <v>314000</v>
      </c>
    </row>
    <row r="1406" spans="1:6">
      <c r="A1406" t="s">
        <v>5518</v>
      </c>
      <c r="B1406" t="s">
        <v>4271</v>
      </c>
      <c r="C1406" t="s">
        <v>4272</v>
      </c>
      <c r="D1406">
        <v>182000</v>
      </c>
      <c r="E1406" s="1">
        <f t="shared" si="42"/>
        <v>0.866666666666667</v>
      </c>
      <c r="F1406">
        <f t="shared" si="43"/>
        <v>217000</v>
      </c>
    </row>
    <row r="1407" spans="1:6">
      <c r="A1407" t="s">
        <v>5519</v>
      </c>
      <c r="B1407" t="s">
        <v>4271</v>
      </c>
      <c r="C1407" t="s">
        <v>4272</v>
      </c>
      <c r="D1407">
        <v>384000</v>
      </c>
      <c r="E1407" s="1">
        <f t="shared" si="42"/>
        <v>1.82857142857143</v>
      </c>
      <c r="F1407">
        <f t="shared" si="43"/>
        <v>458000</v>
      </c>
    </row>
    <row r="1408" spans="1:6">
      <c r="A1408" t="s">
        <v>5520</v>
      </c>
      <c r="B1408" t="s">
        <v>4271</v>
      </c>
      <c r="C1408" t="s">
        <v>4272</v>
      </c>
      <c r="D1408">
        <v>222000</v>
      </c>
      <c r="E1408" s="1">
        <f t="shared" si="42"/>
        <v>1.05714285714286</v>
      </c>
      <c r="F1408">
        <f t="shared" si="43"/>
        <v>265000</v>
      </c>
    </row>
    <row r="1409" spans="1:6">
      <c r="A1409" t="s">
        <v>5521</v>
      </c>
      <c r="B1409" t="s">
        <v>4271</v>
      </c>
      <c r="C1409" t="s">
        <v>4272</v>
      </c>
      <c r="D1409">
        <v>101000</v>
      </c>
      <c r="E1409" s="1">
        <f t="shared" si="42"/>
        <v>0.480952380952381</v>
      </c>
      <c r="F1409">
        <f t="shared" si="43"/>
        <v>121000</v>
      </c>
    </row>
    <row r="1410" spans="1:6">
      <c r="A1410" t="s">
        <v>5522</v>
      </c>
      <c r="B1410" t="s">
        <v>4271</v>
      </c>
      <c r="C1410" t="s">
        <v>4272</v>
      </c>
      <c r="D1410">
        <v>162000</v>
      </c>
      <c r="E1410" s="1">
        <f t="shared" ref="E1410:E1473" si="44">D1410/210000</f>
        <v>0.771428571428571</v>
      </c>
      <c r="F1410">
        <f t="shared" si="43"/>
        <v>193000</v>
      </c>
    </row>
    <row r="1411" spans="1:6">
      <c r="A1411" t="s">
        <v>5523</v>
      </c>
      <c r="B1411" t="s">
        <v>4271</v>
      </c>
      <c r="C1411" t="s">
        <v>4272</v>
      </c>
      <c r="D1411">
        <v>122000</v>
      </c>
      <c r="E1411" s="1">
        <f t="shared" si="44"/>
        <v>0.580952380952381</v>
      </c>
      <c r="F1411">
        <f t="shared" si="43"/>
        <v>146000</v>
      </c>
    </row>
    <row r="1412" spans="1:6">
      <c r="A1412" t="s">
        <v>5524</v>
      </c>
      <c r="B1412" t="s">
        <v>4271</v>
      </c>
      <c r="C1412" t="s">
        <v>4272</v>
      </c>
      <c r="D1412">
        <v>101000</v>
      </c>
      <c r="E1412" s="1">
        <f t="shared" si="44"/>
        <v>0.480952380952381</v>
      </c>
      <c r="F1412">
        <f t="shared" ref="F1412:F1475" si="45">CEILING(E1412*250000,1000)</f>
        <v>121000</v>
      </c>
    </row>
    <row r="1413" spans="1:6">
      <c r="A1413" t="s">
        <v>5525</v>
      </c>
      <c r="B1413" t="s">
        <v>4271</v>
      </c>
      <c r="C1413" t="s">
        <v>4272</v>
      </c>
      <c r="D1413">
        <v>162000</v>
      </c>
      <c r="E1413" s="1">
        <f t="shared" si="44"/>
        <v>0.771428571428571</v>
      </c>
      <c r="F1413">
        <f t="shared" si="45"/>
        <v>193000</v>
      </c>
    </row>
    <row r="1414" spans="1:6">
      <c r="A1414" t="s">
        <v>5526</v>
      </c>
      <c r="B1414" t="s">
        <v>4271</v>
      </c>
      <c r="C1414" t="s">
        <v>4272</v>
      </c>
      <c r="D1414">
        <v>122000</v>
      </c>
      <c r="E1414" s="1">
        <f t="shared" si="44"/>
        <v>0.580952380952381</v>
      </c>
      <c r="F1414">
        <f t="shared" si="45"/>
        <v>146000</v>
      </c>
    </row>
    <row r="1415" spans="1:6">
      <c r="A1415" t="s">
        <v>5527</v>
      </c>
      <c r="B1415" t="s">
        <v>4271</v>
      </c>
      <c r="C1415" t="s">
        <v>4272</v>
      </c>
      <c r="D1415">
        <v>243000</v>
      </c>
      <c r="E1415" s="1">
        <f t="shared" si="44"/>
        <v>1.15714285714286</v>
      </c>
      <c r="F1415">
        <f t="shared" si="45"/>
        <v>290000</v>
      </c>
    </row>
    <row r="1416" spans="1:6">
      <c r="A1416" t="s">
        <v>5528</v>
      </c>
      <c r="B1416" t="s">
        <v>4271</v>
      </c>
      <c r="C1416" t="s">
        <v>4272</v>
      </c>
      <c r="D1416">
        <v>182000</v>
      </c>
      <c r="E1416" s="1">
        <f t="shared" si="44"/>
        <v>0.866666666666667</v>
      </c>
      <c r="F1416">
        <f t="shared" si="45"/>
        <v>217000</v>
      </c>
    </row>
    <row r="1417" spans="1:6">
      <c r="A1417" t="s">
        <v>5529</v>
      </c>
      <c r="B1417" t="s">
        <v>4271</v>
      </c>
      <c r="C1417" t="s">
        <v>4272</v>
      </c>
      <c r="D1417">
        <v>404000</v>
      </c>
      <c r="E1417" s="1">
        <f t="shared" si="44"/>
        <v>1.92380952380952</v>
      </c>
      <c r="F1417">
        <f t="shared" si="45"/>
        <v>481000</v>
      </c>
    </row>
    <row r="1418" spans="1:6">
      <c r="A1418" t="s">
        <v>5530</v>
      </c>
      <c r="B1418" t="s">
        <v>4271</v>
      </c>
      <c r="C1418" t="s">
        <v>4272</v>
      </c>
      <c r="D1418">
        <v>162000</v>
      </c>
      <c r="E1418" s="1">
        <f t="shared" si="44"/>
        <v>0.771428571428571</v>
      </c>
      <c r="F1418">
        <f t="shared" si="45"/>
        <v>193000</v>
      </c>
    </row>
    <row r="1419" spans="1:6">
      <c r="A1419" t="s">
        <v>5531</v>
      </c>
      <c r="B1419" t="s">
        <v>4271</v>
      </c>
      <c r="C1419" t="s">
        <v>4272</v>
      </c>
      <c r="D1419">
        <v>222000</v>
      </c>
      <c r="E1419" s="1">
        <f t="shared" si="44"/>
        <v>1.05714285714286</v>
      </c>
      <c r="F1419">
        <f t="shared" si="45"/>
        <v>265000</v>
      </c>
    </row>
    <row r="1420" spans="1:6">
      <c r="A1420" t="s">
        <v>5532</v>
      </c>
      <c r="B1420" t="s">
        <v>4271</v>
      </c>
      <c r="C1420" t="s">
        <v>4272</v>
      </c>
      <c r="D1420">
        <v>142000</v>
      </c>
      <c r="E1420" s="1">
        <f t="shared" si="44"/>
        <v>0.676190476190476</v>
      </c>
      <c r="F1420">
        <f t="shared" si="45"/>
        <v>170000</v>
      </c>
    </row>
    <row r="1421" spans="1:6">
      <c r="A1421" t="s">
        <v>5533</v>
      </c>
      <c r="B1421" t="s">
        <v>4271</v>
      </c>
      <c r="C1421" t="s">
        <v>4272</v>
      </c>
      <c r="D1421">
        <v>162000</v>
      </c>
      <c r="E1421" s="1">
        <f t="shared" si="44"/>
        <v>0.771428571428571</v>
      </c>
      <c r="F1421">
        <f t="shared" si="45"/>
        <v>193000</v>
      </c>
    </row>
    <row r="1422" spans="1:6">
      <c r="A1422" t="s">
        <v>5534</v>
      </c>
      <c r="B1422" t="s">
        <v>4271</v>
      </c>
      <c r="C1422" t="s">
        <v>4272</v>
      </c>
      <c r="D1422">
        <v>202000</v>
      </c>
      <c r="E1422" s="1">
        <f t="shared" si="44"/>
        <v>0.961904761904762</v>
      </c>
      <c r="F1422">
        <f t="shared" si="45"/>
        <v>241000</v>
      </c>
    </row>
    <row r="1423" spans="1:6">
      <c r="A1423" t="s">
        <v>5535</v>
      </c>
      <c r="B1423" t="s">
        <v>4271</v>
      </c>
      <c r="C1423" t="s">
        <v>4272</v>
      </c>
      <c r="D1423">
        <v>323000</v>
      </c>
      <c r="E1423" s="1">
        <f t="shared" si="44"/>
        <v>1.53809523809524</v>
      </c>
      <c r="F1423">
        <f t="shared" si="45"/>
        <v>385000</v>
      </c>
    </row>
    <row r="1424" spans="1:6">
      <c r="A1424" t="s">
        <v>5536</v>
      </c>
      <c r="B1424" t="s">
        <v>4271</v>
      </c>
      <c r="C1424" t="s">
        <v>4272</v>
      </c>
      <c r="D1424">
        <v>727000</v>
      </c>
      <c r="E1424" s="1">
        <f t="shared" si="44"/>
        <v>3.46190476190476</v>
      </c>
      <c r="F1424">
        <f t="shared" si="45"/>
        <v>866000</v>
      </c>
    </row>
    <row r="1425" spans="1:6">
      <c r="A1425" t="s">
        <v>5537</v>
      </c>
      <c r="B1425" t="s">
        <v>4271</v>
      </c>
      <c r="C1425" t="s">
        <v>4272</v>
      </c>
      <c r="D1425">
        <v>283000</v>
      </c>
      <c r="E1425" s="1">
        <f t="shared" si="44"/>
        <v>1.34761904761905</v>
      </c>
      <c r="F1425">
        <f t="shared" si="45"/>
        <v>337000</v>
      </c>
    </row>
    <row r="1426" spans="1:6">
      <c r="A1426" t="s">
        <v>5538</v>
      </c>
      <c r="B1426" t="s">
        <v>4271</v>
      </c>
      <c r="C1426" t="s">
        <v>4272</v>
      </c>
      <c r="D1426">
        <v>404000</v>
      </c>
      <c r="E1426" s="1">
        <f t="shared" si="44"/>
        <v>1.92380952380952</v>
      </c>
      <c r="F1426">
        <f t="shared" si="45"/>
        <v>481000</v>
      </c>
    </row>
    <row r="1427" spans="1:6">
      <c r="A1427" t="s">
        <v>5539</v>
      </c>
      <c r="B1427" t="s">
        <v>4271</v>
      </c>
      <c r="C1427" t="s">
        <v>4272</v>
      </c>
      <c r="D1427">
        <v>263000</v>
      </c>
      <c r="E1427" s="1">
        <f t="shared" si="44"/>
        <v>1.25238095238095</v>
      </c>
      <c r="F1427">
        <f t="shared" si="45"/>
        <v>314000</v>
      </c>
    </row>
    <row r="1428" spans="1:6">
      <c r="A1428" t="s">
        <v>5540</v>
      </c>
      <c r="B1428" t="s">
        <v>4271</v>
      </c>
      <c r="C1428" t="s">
        <v>4272</v>
      </c>
      <c r="D1428">
        <v>283000</v>
      </c>
      <c r="E1428" s="1">
        <f t="shared" si="44"/>
        <v>1.34761904761905</v>
      </c>
      <c r="F1428">
        <f t="shared" si="45"/>
        <v>337000</v>
      </c>
    </row>
    <row r="1429" spans="1:6">
      <c r="A1429" t="s">
        <v>5541</v>
      </c>
      <c r="B1429" t="s">
        <v>4271</v>
      </c>
      <c r="C1429" t="s">
        <v>4272</v>
      </c>
      <c r="D1429">
        <v>364000</v>
      </c>
      <c r="E1429" s="1">
        <f t="shared" si="44"/>
        <v>1.73333333333333</v>
      </c>
      <c r="F1429">
        <f t="shared" si="45"/>
        <v>434000</v>
      </c>
    </row>
    <row r="1430" spans="1:6">
      <c r="A1430" t="s">
        <v>5542</v>
      </c>
      <c r="B1430" t="s">
        <v>4271</v>
      </c>
      <c r="C1430" t="s">
        <v>4272</v>
      </c>
      <c r="D1430">
        <v>202000</v>
      </c>
      <c r="E1430" s="1">
        <f t="shared" si="44"/>
        <v>0.961904761904762</v>
      </c>
      <c r="F1430">
        <f t="shared" si="45"/>
        <v>241000</v>
      </c>
    </row>
    <row r="1431" spans="1:6">
      <c r="A1431" t="s">
        <v>5543</v>
      </c>
      <c r="B1431" t="s">
        <v>4271</v>
      </c>
      <c r="C1431" t="s">
        <v>4272</v>
      </c>
      <c r="D1431">
        <v>283000</v>
      </c>
      <c r="E1431" s="1">
        <f t="shared" si="44"/>
        <v>1.34761904761905</v>
      </c>
      <c r="F1431">
        <f t="shared" si="45"/>
        <v>337000</v>
      </c>
    </row>
    <row r="1432" spans="1:6">
      <c r="A1432" t="s">
        <v>5544</v>
      </c>
      <c r="B1432" t="s">
        <v>4271</v>
      </c>
      <c r="C1432" t="s">
        <v>4272</v>
      </c>
      <c r="D1432">
        <v>243000</v>
      </c>
      <c r="E1432" s="1">
        <f t="shared" si="44"/>
        <v>1.15714285714286</v>
      </c>
      <c r="F1432">
        <f t="shared" si="45"/>
        <v>290000</v>
      </c>
    </row>
    <row r="1433" spans="1:6">
      <c r="A1433" t="s">
        <v>5545</v>
      </c>
      <c r="B1433" t="s">
        <v>4271</v>
      </c>
      <c r="C1433" t="s">
        <v>4272</v>
      </c>
      <c r="D1433">
        <v>202000</v>
      </c>
      <c r="E1433" s="1">
        <f t="shared" si="44"/>
        <v>0.961904761904762</v>
      </c>
      <c r="F1433">
        <f t="shared" si="45"/>
        <v>241000</v>
      </c>
    </row>
    <row r="1434" spans="1:6">
      <c r="A1434" t="s">
        <v>5546</v>
      </c>
      <c r="B1434" t="s">
        <v>4271</v>
      </c>
      <c r="C1434" t="s">
        <v>4272</v>
      </c>
      <c r="D1434">
        <v>283000</v>
      </c>
      <c r="E1434" s="1">
        <f t="shared" si="44"/>
        <v>1.34761904761905</v>
      </c>
      <c r="F1434">
        <f t="shared" si="45"/>
        <v>337000</v>
      </c>
    </row>
    <row r="1435" spans="1:6">
      <c r="A1435" t="s">
        <v>5547</v>
      </c>
      <c r="B1435" t="s">
        <v>4271</v>
      </c>
      <c r="C1435" t="s">
        <v>4272</v>
      </c>
      <c r="D1435">
        <v>243000</v>
      </c>
      <c r="E1435" s="1">
        <f t="shared" si="44"/>
        <v>1.15714285714286</v>
      </c>
      <c r="F1435">
        <f t="shared" si="45"/>
        <v>290000</v>
      </c>
    </row>
    <row r="1436" spans="1:6">
      <c r="A1436" t="s">
        <v>5548</v>
      </c>
      <c r="B1436" t="s">
        <v>4271</v>
      </c>
      <c r="C1436" t="s">
        <v>4272</v>
      </c>
      <c r="D1436">
        <v>444000</v>
      </c>
      <c r="E1436" s="1">
        <f t="shared" si="44"/>
        <v>2.11428571428571</v>
      </c>
      <c r="F1436">
        <f t="shared" si="45"/>
        <v>529000</v>
      </c>
    </row>
    <row r="1437" spans="1:6">
      <c r="A1437" t="s">
        <v>5549</v>
      </c>
      <c r="B1437" t="s">
        <v>4271</v>
      </c>
      <c r="C1437" t="s">
        <v>4272</v>
      </c>
      <c r="D1437">
        <v>404000</v>
      </c>
      <c r="E1437" s="1">
        <f t="shared" si="44"/>
        <v>1.92380952380952</v>
      </c>
      <c r="F1437">
        <f t="shared" si="45"/>
        <v>481000</v>
      </c>
    </row>
    <row r="1438" spans="1:6">
      <c r="A1438" t="s">
        <v>5550</v>
      </c>
      <c r="B1438" t="s">
        <v>4271</v>
      </c>
      <c r="C1438" t="s">
        <v>4272</v>
      </c>
      <c r="D1438">
        <v>404000</v>
      </c>
      <c r="E1438" s="1">
        <f t="shared" si="44"/>
        <v>1.92380952380952</v>
      </c>
      <c r="F1438">
        <f t="shared" si="45"/>
        <v>481000</v>
      </c>
    </row>
    <row r="1439" spans="1:6">
      <c r="A1439" t="s">
        <v>5551</v>
      </c>
      <c r="B1439" t="s">
        <v>4271</v>
      </c>
      <c r="C1439" t="s">
        <v>4272</v>
      </c>
      <c r="D1439">
        <v>404000</v>
      </c>
      <c r="E1439" s="1">
        <f t="shared" si="44"/>
        <v>1.92380952380952</v>
      </c>
      <c r="F1439">
        <f t="shared" si="45"/>
        <v>481000</v>
      </c>
    </row>
    <row r="1440" spans="1:6">
      <c r="A1440" t="s">
        <v>5552</v>
      </c>
      <c r="B1440" t="s">
        <v>4271</v>
      </c>
      <c r="C1440" t="s">
        <v>4272</v>
      </c>
      <c r="D1440">
        <v>404000</v>
      </c>
      <c r="E1440" s="1">
        <f t="shared" si="44"/>
        <v>1.92380952380952</v>
      </c>
      <c r="F1440">
        <f t="shared" si="45"/>
        <v>481000</v>
      </c>
    </row>
    <row r="1441" spans="1:6">
      <c r="A1441" t="s">
        <v>5553</v>
      </c>
      <c r="B1441" t="s">
        <v>4271</v>
      </c>
      <c r="C1441" t="s">
        <v>4272</v>
      </c>
      <c r="D1441">
        <v>404000</v>
      </c>
      <c r="E1441" s="1">
        <f t="shared" si="44"/>
        <v>1.92380952380952</v>
      </c>
      <c r="F1441">
        <f t="shared" si="45"/>
        <v>481000</v>
      </c>
    </row>
    <row r="1442" spans="1:6">
      <c r="A1442" t="s">
        <v>5554</v>
      </c>
      <c r="B1442" t="s">
        <v>4271</v>
      </c>
      <c r="C1442" t="s">
        <v>4272</v>
      </c>
      <c r="D1442">
        <v>404000</v>
      </c>
      <c r="E1442" s="1">
        <f t="shared" si="44"/>
        <v>1.92380952380952</v>
      </c>
      <c r="F1442">
        <f t="shared" si="45"/>
        <v>481000</v>
      </c>
    </row>
    <row r="1443" spans="1:6">
      <c r="A1443" t="s">
        <v>5555</v>
      </c>
      <c r="B1443" t="s">
        <v>4271</v>
      </c>
      <c r="C1443" t="s">
        <v>4272</v>
      </c>
      <c r="D1443">
        <v>606000</v>
      </c>
      <c r="E1443" s="1">
        <f t="shared" si="44"/>
        <v>2.88571428571429</v>
      </c>
      <c r="F1443">
        <f t="shared" si="45"/>
        <v>722000</v>
      </c>
    </row>
    <row r="1444" spans="1:6">
      <c r="A1444" t="s">
        <v>5556</v>
      </c>
      <c r="B1444" t="s">
        <v>4271</v>
      </c>
      <c r="C1444" t="s">
        <v>4272</v>
      </c>
      <c r="D1444">
        <v>727000</v>
      </c>
      <c r="E1444" s="1">
        <f t="shared" si="44"/>
        <v>3.46190476190476</v>
      </c>
      <c r="F1444">
        <f t="shared" si="45"/>
        <v>866000</v>
      </c>
    </row>
    <row r="1445" spans="1:6">
      <c r="A1445" t="s">
        <v>5557</v>
      </c>
      <c r="B1445" t="s">
        <v>4271</v>
      </c>
      <c r="C1445" t="s">
        <v>4272</v>
      </c>
      <c r="D1445">
        <v>808000</v>
      </c>
      <c r="E1445" s="1">
        <f t="shared" si="44"/>
        <v>3.84761904761905</v>
      </c>
      <c r="F1445">
        <f t="shared" si="45"/>
        <v>962000</v>
      </c>
    </row>
    <row r="1446" spans="1:6">
      <c r="A1446" t="s">
        <v>5558</v>
      </c>
      <c r="B1446" t="s">
        <v>4271</v>
      </c>
      <c r="C1446" t="s">
        <v>4272</v>
      </c>
      <c r="D1446">
        <v>525000</v>
      </c>
      <c r="E1446" s="1">
        <f t="shared" si="44"/>
        <v>2.5</v>
      </c>
      <c r="F1446">
        <f t="shared" si="45"/>
        <v>625000</v>
      </c>
    </row>
    <row r="1447" spans="1:6">
      <c r="A1447" t="s">
        <v>5559</v>
      </c>
      <c r="B1447" t="s">
        <v>4271</v>
      </c>
      <c r="C1447" t="s">
        <v>4272</v>
      </c>
      <c r="D1447">
        <v>1050000</v>
      </c>
      <c r="E1447" s="1">
        <f t="shared" si="44"/>
        <v>5</v>
      </c>
      <c r="F1447">
        <f t="shared" si="45"/>
        <v>1250000</v>
      </c>
    </row>
    <row r="1448" spans="1:6">
      <c r="A1448" t="s">
        <v>5560</v>
      </c>
      <c r="B1448" t="s">
        <v>4271</v>
      </c>
      <c r="C1448" t="s">
        <v>4272</v>
      </c>
      <c r="D1448">
        <v>1050000</v>
      </c>
      <c r="E1448" s="1">
        <f t="shared" si="44"/>
        <v>5</v>
      </c>
      <c r="F1448">
        <f t="shared" si="45"/>
        <v>1250000</v>
      </c>
    </row>
    <row r="1449" spans="1:6">
      <c r="A1449" t="s">
        <v>5561</v>
      </c>
      <c r="B1449" t="s">
        <v>4271</v>
      </c>
      <c r="C1449" t="s">
        <v>4272</v>
      </c>
      <c r="D1449">
        <v>808000</v>
      </c>
      <c r="E1449" s="1">
        <f t="shared" si="44"/>
        <v>3.84761904761905</v>
      </c>
      <c r="F1449">
        <f t="shared" si="45"/>
        <v>962000</v>
      </c>
    </row>
    <row r="1450" spans="1:6">
      <c r="A1450" t="s">
        <v>5562</v>
      </c>
      <c r="B1450" t="s">
        <v>4271</v>
      </c>
      <c r="C1450" t="s">
        <v>4272</v>
      </c>
      <c r="D1450">
        <v>808000</v>
      </c>
      <c r="E1450" s="1">
        <f t="shared" si="44"/>
        <v>3.84761904761905</v>
      </c>
      <c r="F1450">
        <f t="shared" si="45"/>
        <v>962000</v>
      </c>
    </row>
    <row r="1451" spans="1:6">
      <c r="A1451" t="s">
        <v>5563</v>
      </c>
      <c r="B1451" t="s">
        <v>4271</v>
      </c>
      <c r="C1451" t="s">
        <v>4272</v>
      </c>
      <c r="D1451">
        <v>485000</v>
      </c>
      <c r="E1451" s="1">
        <f t="shared" si="44"/>
        <v>2.30952380952381</v>
      </c>
      <c r="F1451">
        <f t="shared" si="45"/>
        <v>578000</v>
      </c>
    </row>
    <row r="1452" spans="1:6">
      <c r="A1452" t="s">
        <v>5564</v>
      </c>
      <c r="B1452" t="s">
        <v>4271</v>
      </c>
      <c r="C1452" t="s">
        <v>4272</v>
      </c>
      <c r="D1452">
        <v>606000</v>
      </c>
      <c r="E1452" s="1">
        <f t="shared" si="44"/>
        <v>2.88571428571429</v>
      </c>
      <c r="F1452">
        <f t="shared" si="45"/>
        <v>722000</v>
      </c>
    </row>
    <row r="1453" spans="1:6">
      <c r="A1453" t="s">
        <v>5565</v>
      </c>
      <c r="B1453" t="s">
        <v>4271</v>
      </c>
      <c r="C1453" t="s">
        <v>4272</v>
      </c>
      <c r="D1453">
        <v>1110000</v>
      </c>
      <c r="E1453" s="1">
        <f t="shared" si="44"/>
        <v>5.28571428571429</v>
      </c>
      <c r="F1453">
        <f t="shared" si="45"/>
        <v>1322000</v>
      </c>
    </row>
    <row r="1454" spans="1:6">
      <c r="A1454" t="s">
        <v>5566</v>
      </c>
      <c r="B1454" t="s">
        <v>4271</v>
      </c>
      <c r="C1454" t="s">
        <v>4272</v>
      </c>
      <c r="D1454">
        <v>788000</v>
      </c>
      <c r="E1454" s="1">
        <f t="shared" si="44"/>
        <v>3.75238095238095</v>
      </c>
      <c r="F1454">
        <f t="shared" si="45"/>
        <v>939000</v>
      </c>
    </row>
    <row r="1455" spans="1:6">
      <c r="A1455" t="s">
        <v>5567</v>
      </c>
      <c r="B1455" t="s">
        <v>4271</v>
      </c>
      <c r="C1455" t="s">
        <v>4272</v>
      </c>
      <c r="D1455">
        <v>1010000</v>
      </c>
      <c r="E1455" s="1">
        <f t="shared" si="44"/>
        <v>4.80952380952381</v>
      </c>
      <c r="F1455">
        <f t="shared" si="45"/>
        <v>1203000</v>
      </c>
    </row>
    <row r="1456" spans="1:6">
      <c r="A1456" t="s">
        <v>5568</v>
      </c>
      <c r="B1456" t="s">
        <v>4271</v>
      </c>
      <c r="C1456" t="s">
        <v>4272</v>
      </c>
      <c r="D1456">
        <v>1514000</v>
      </c>
      <c r="E1456" s="1">
        <f t="shared" si="44"/>
        <v>7.20952380952381</v>
      </c>
      <c r="F1456">
        <f t="shared" si="45"/>
        <v>1803000</v>
      </c>
    </row>
    <row r="1457" spans="1:6">
      <c r="A1457" t="s">
        <v>5569</v>
      </c>
      <c r="B1457" t="s">
        <v>4271</v>
      </c>
      <c r="C1457" t="s">
        <v>4272</v>
      </c>
      <c r="D1457">
        <v>1010000</v>
      </c>
      <c r="E1457" s="1">
        <f t="shared" si="44"/>
        <v>4.80952380952381</v>
      </c>
      <c r="F1457">
        <f t="shared" si="45"/>
        <v>1203000</v>
      </c>
    </row>
    <row r="1458" spans="1:6">
      <c r="A1458" t="s">
        <v>5570</v>
      </c>
      <c r="B1458" t="s">
        <v>4271</v>
      </c>
      <c r="C1458" t="s">
        <v>4272</v>
      </c>
      <c r="D1458">
        <v>364000</v>
      </c>
      <c r="E1458" s="1">
        <f t="shared" si="44"/>
        <v>1.73333333333333</v>
      </c>
      <c r="F1458">
        <f t="shared" si="45"/>
        <v>434000</v>
      </c>
    </row>
    <row r="1459" spans="1:6">
      <c r="A1459" t="s">
        <v>5571</v>
      </c>
      <c r="B1459" t="s">
        <v>4271</v>
      </c>
      <c r="C1459" t="s">
        <v>4272</v>
      </c>
      <c r="D1459">
        <v>1514000</v>
      </c>
      <c r="E1459" s="1">
        <f t="shared" si="44"/>
        <v>7.20952380952381</v>
      </c>
      <c r="F1459">
        <f t="shared" si="45"/>
        <v>1803000</v>
      </c>
    </row>
    <row r="1460" spans="1:6">
      <c r="A1460" t="s">
        <v>5572</v>
      </c>
      <c r="B1460" t="s">
        <v>4271</v>
      </c>
      <c r="C1460" t="s">
        <v>4272</v>
      </c>
      <c r="D1460">
        <v>505000</v>
      </c>
      <c r="E1460" s="1">
        <f t="shared" si="44"/>
        <v>2.4047619047619</v>
      </c>
      <c r="F1460">
        <f t="shared" si="45"/>
        <v>602000</v>
      </c>
    </row>
    <row r="1461" spans="1:6">
      <c r="A1461" t="s">
        <v>5573</v>
      </c>
      <c r="B1461" t="s">
        <v>4271</v>
      </c>
      <c r="C1461" t="s">
        <v>4272</v>
      </c>
      <c r="D1461">
        <v>101000</v>
      </c>
      <c r="E1461" s="1">
        <f t="shared" si="44"/>
        <v>0.480952380952381</v>
      </c>
      <c r="F1461">
        <f t="shared" si="45"/>
        <v>121000</v>
      </c>
    </row>
    <row r="1462" spans="1:6">
      <c r="A1462" t="s">
        <v>5574</v>
      </c>
      <c r="B1462" t="s">
        <v>4271</v>
      </c>
      <c r="C1462" t="s">
        <v>4272</v>
      </c>
      <c r="D1462">
        <v>101000</v>
      </c>
      <c r="E1462" s="1">
        <f t="shared" si="44"/>
        <v>0.480952380952381</v>
      </c>
      <c r="F1462">
        <f t="shared" si="45"/>
        <v>121000</v>
      </c>
    </row>
    <row r="1463" spans="1:6">
      <c r="A1463" t="s">
        <v>5575</v>
      </c>
      <c r="B1463" t="s">
        <v>4271</v>
      </c>
      <c r="C1463" t="s">
        <v>4272</v>
      </c>
      <c r="D1463">
        <v>101000</v>
      </c>
      <c r="E1463" s="1">
        <f t="shared" si="44"/>
        <v>0.480952380952381</v>
      </c>
      <c r="F1463">
        <f t="shared" si="45"/>
        <v>121000</v>
      </c>
    </row>
    <row r="1464" spans="1:6">
      <c r="A1464" t="s">
        <v>5576</v>
      </c>
      <c r="B1464" t="s">
        <v>4271</v>
      </c>
      <c r="C1464" t="s">
        <v>4272</v>
      </c>
      <c r="D1464">
        <v>101000</v>
      </c>
      <c r="E1464" s="1">
        <f t="shared" si="44"/>
        <v>0.480952380952381</v>
      </c>
      <c r="F1464">
        <f t="shared" si="45"/>
        <v>121000</v>
      </c>
    </row>
    <row r="1465" spans="1:6">
      <c r="A1465" t="s">
        <v>5577</v>
      </c>
      <c r="B1465" t="s">
        <v>4271</v>
      </c>
      <c r="C1465" t="s">
        <v>4272</v>
      </c>
      <c r="D1465">
        <v>101000</v>
      </c>
      <c r="E1465" s="1">
        <f t="shared" si="44"/>
        <v>0.480952380952381</v>
      </c>
      <c r="F1465">
        <f t="shared" si="45"/>
        <v>121000</v>
      </c>
    </row>
    <row r="1466" spans="1:6">
      <c r="A1466" t="s">
        <v>5578</v>
      </c>
      <c r="B1466" t="s">
        <v>4271</v>
      </c>
      <c r="C1466" t="s">
        <v>4272</v>
      </c>
      <c r="D1466">
        <v>101000</v>
      </c>
      <c r="E1466" s="1">
        <f t="shared" si="44"/>
        <v>0.480952380952381</v>
      </c>
      <c r="F1466">
        <f t="shared" si="45"/>
        <v>121000</v>
      </c>
    </row>
    <row r="1467" spans="1:6">
      <c r="A1467" t="s">
        <v>5579</v>
      </c>
      <c r="B1467" t="s">
        <v>4271</v>
      </c>
      <c r="C1467" t="s">
        <v>4272</v>
      </c>
      <c r="D1467">
        <v>202000</v>
      </c>
      <c r="E1467" s="1">
        <f t="shared" si="44"/>
        <v>0.961904761904762</v>
      </c>
      <c r="F1467">
        <f t="shared" si="45"/>
        <v>241000</v>
      </c>
    </row>
    <row r="1468" spans="1:6">
      <c r="A1468" t="s">
        <v>5580</v>
      </c>
      <c r="B1468" t="s">
        <v>4271</v>
      </c>
      <c r="C1468" t="s">
        <v>4272</v>
      </c>
      <c r="D1468">
        <v>606000</v>
      </c>
      <c r="E1468" s="1">
        <f t="shared" si="44"/>
        <v>2.88571428571429</v>
      </c>
      <c r="F1468">
        <f t="shared" si="45"/>
        <v>722000</v>
      </c>
    </row>
    <row r="1469" spans="1:6">
      <c r="A1469" t="s">
        <v>5581</v>
      </c>
      <c r="B1469" t="s">
        <v>4271</v>
      </c>
      <c r="C1469" t="s">
        <v>4272</v>
      </c>
      <c r="D1469">
        <v>41000</v>
      </c>
      <c r="E1469" s="1">
        <f t="shared" si="44"/>
        <v>0.195238095238095</v>
      </c>
      <c r="F1469">
        <f t="shared" si="45"/>
        <v>49000</v>
      </c>
    </row>
    <row r="1470" spans="1:6">
      <c r="A1470" t="s">
        <v>5582</v>
      </c>
      <c r="B1470" t="s">
        <v>4271</v>
      </c>
      <c r="C1470" t="s">
        <v>4272</v>
      </c>
      <c r="D1470">
        <v>41000</v>
      </c>
      <c r="E1470" s="1">
        <f t="shared" si="44"/>
        <v>0.195238095238095</v>
      </c>
      <c r="F1470">
        <f t="shared" si="45"/>
        <v>49000</v>
      </c>
    </row>
    <row r="1471" spans="1:6">
      <c r="A1471" t="s">
        <v>5583</v>
      </c>
      <c r="B1471" t="s">
        <v>4271</v>
      </c>
      <c r="C1471" t="s">
        <v>4272</v>
      </c>
      <c r="D1471">
        <v>41000</v>
      </c>
      <c r="E1471" s="1">
        <f t="shared" si="44"/>
        <v>0.195238095238095</v>
      </c>
      <c r="F1471">
        <f t="shared" si="45"/>
        <v>49000</v>
      </c>
    </row>
    <row r="1472" spans="1:6">
      <c r="A1472" t="s">
        <v>5584</v>
      </c>
      <c r="B1472" t="s">
        <v>4271</v>
      </c>
      <c r="C1472" t="s">
        <v>4272</v>
      </c>
      <c r="D1472">
        <v>41000</v>
      </c>
      <c r="E1472" s="1">
        <f t="shared" si="44"/>
        <v>0.195238095238095</v>
      </c>
      <c r="F1472">
        <f t="shared" si="45"/>
        <v>49000</v>
      </c>
    </row>
    <row r="1473" spans="1:6">
      <c r="A1473" t="s">
        <v>5585</v>
      </c>
      <c r="B1473" t="s">
        <v>4271</v>
      </c>
      <c r="C1473" t="s">
        <v>4272</v>
      </c>
      <c r="D1473">
        <v>41000</v>
      </c>
      <c r="E1473" s="1">
        <f t="shared" si="44"/>
        <v>0.195238095238095</v>
      </c>
      <c r="F1473">
        <f t="shared" si="45"/>
        <v>49000</v>
      </c>
    </row>
    <row r="1474" spans="1:6">
      <c r="A1474" t="s">
        <v>5586</v>
      </c>
      <c r="B1474" t="s">
        <v>4271</v>
      </c>
      <c r="C1474" t="s">
        <v>4272</v>
      </c>
      <c r="D1474">
        <v>41000</v>
      </c>
      <c r="E1474" s="1">
        <f t="shared" ref="E1474:E1537" si="46">D1474/210000</f>
        <v>0.195238095238095</v>
      </c>
      <c r="F1474">
        <f t="shared" si="45"/>
        <v>49000</v>
      </c>
    </row>
    <row r="1475" spans="1:6">
      <c r="A1475" t="s">
        <v>5587</v>
      </c>
      <c r="B1475" t="s">
        <v>4271</v>
      </c>
      <c r="C1475" t="s">
        <v>4272</v>
      </c>
      <c r="D1475">
        <v>81000</v>
      </c>
      <c r="E1475" s="1">
        <f t="shared" si="46"/>
        <v>0.385714285714286</v>
      </c>
      <c r="F1475">
        <f t="shared" si="45"/>
        <v>97000</v>
      </c>
    </row>
    <row r="1476" spans="1:6">
      <c r="A1476" t="s">
        <v>5588</v>
      </c>
      <c r="B1476" t="s">
        <v>4271</v>
      </c>
      <c r="C1476" t="s">
        <v>4272</v>
      </c>
      <c r="D1476">
        <v>101000</v>
      </c>
      <c r="E1476" s="1">
        <f t="shared" si="46"/>
        <v>0.480952380952381</v>
      </c>
      <c r="F1476">
        <f t="shared" ref="F1476:F1539" si="47">CEILING(E1476*250000,1000)</f>
        <v>121000</v>
      </c>
    </row>
    <row r="1477" spans="1:6">
      <c r="A1477" t="s">
        <v>5589</v>
      </c>
      <c r="B1477" t="s">
        <v>4271</v>
      </c>
      <c r="C1477" t="s">
        <v>4272</v>
      </c>
      <c r="D1477">
        <v>162000</v>
      </c>
      <c r="E1477" s="1">
        <f t="shared" si="46"/>
        <v>0.771428571428571</v>
      </c>
      <c r="F1477">
        <f t="shared" si="47"/>
        <v>193000</v>
      </c>
    </row>
    <row r="1478" spans="1:6">
      <c r="A1478" t="s">
        <v>5590</v>
      </c>
      <c r="B1478" t="s">
        <v>4271</v>
      </c>
      <c r="C1478" t="s">
        <v>4272</v>
      </c>
      <c r="D1478">
        <v>162000</v>
      </c>
      <c r="E1478" s="1">
        <f t="shared" si="46"/>
        <v>0.771428571428571</v>
      </c>
      <c r="F1478">
        <f t="shared" si="47"/>
        <v>193000</v>
      </c>
    </row>
    <row r="1479" spans="1:6">
      <c r="A1479" t="s">
        <v>5591</v>
      </c>
      <c r="B1479" t="s">
        <v>4271</v>
      </c>
      <c r="C1479" t="s">
        <v>4272</v>
      </c>
      <c r="D1479">
        <v>101000</v>
      </c>
      <c r="E1479" s="1">
        <f t="shared" si="46"/>
        <v>0.480952380952381</v>
      </c>
      <c r="F1479">
        <f t="shared" si="47"/>
        <v>121000</v>
      </c>
    </row>
    <row r="1480" spans="1:6">
      <c r="A1480" t="s">
        <v>5592</v>
      </c>
      <c r="B1480" t="s">
        <v>4271</v>
      </c>
      <c r="C1480" t="s">
        <v>4272</v>
      </c>
      <c r="D1480">
        <v>162000</v>
      </c>
      <c r="E1480" s="1">
        <f t="shared" si="46"/>
        <v>0.771428571428571</v>
      </c>
      <c r="F1480">
        <f t="shared" si="47"/>
        <v>193000</v>
      </c>
    </row>
    <row r="1481" spans="1:6">
      <c r="A1481" t="s">
        <v>5593</v>
      </c>
      <c r="B1481" t="s">
        <v>4271</v>
      </c>
      <c r="C1481" t="s">
        <v>4272</v>
      </c>
      <c r="D1481">
        <v>162000</v>
      </c>
      <c r="E1481" s="1">
        <f t="shared" si="46"/>
        <v>0.771428571428571</v>
      </c>
      <c r="F1481">
        <f t="shared" si="47"/>
        <v>193000</v>
      </c>
    </row>
    <row r="1482" spans="1:6">
      <c r="A1482" t="s">
        <v>5594</v>
      </c>
      <c r="B1482" t="s">
        <v>4271</v>
      </c>
      <c r="C1482" t="s">
        <v>4272</v>
      </c>
      <c r="D1482">
        <v>202000</v>
      </c>
      <c r="E1482" s="1">
        <f t="shared" si="46"/>
        <v>0.961904761904762</v>
      </c>
      <c r="F1482">
        <f t="shared" si="47"/>
        <v>241000</v>
      </c>
    </row>
    <row r="1483" spans="1:6">
      <c r="A1483" t="s">
        <v>5595</v>
      </c>
      <c r="B1483" t="s">
        <v>4271</v>
      </c>
      <c r="C1483" t="s">
        <v>4272</v>
      </c>
      <c r="D1483">
        <v>101000</v>
      </c>
      <c r="E1483" s="1">
        <f t="shared" si="46"/>
        <v>0.480952380952381</v>
      </c>
      <c r="F1483">
        <f t="shared" si="47"/>
        <v>121000</v>
      </c>
    </row>
    <row r="1484" spans="1:6">
      <c r="A1484" t="s">
        <v>5596</v>
      </c>
      <c r="B1484" t="s">
        <v>4271</v>
      </c>
      <c r="C1484" t="s">
        <v>4272</v>
      </c>
      <c r="D1484">
        <v>283000</v>
      </c>
      <c r="E1484" s="1">
        <f t="shared" si="46"/>
        <v>1.34761904761905</v>
      </c>
      <c r="F1484">
        <f t="shared" si="47"/>
        <v>337000</v>
      </c>
    </row>
    <row r="1485" spans="1:6">
      <c r="A1485" t="s">
        <v>5597</v>
      </c>
      <c r="B1485" t="s">
        <v>4271</v>
      </c>
      <c r="C1485" t="s">
        <v>4272</v>
      </c>
      <c r="D1485">
        <v>243000</v>
      </c>
      <c r="E1485" s="1">
        <f t="shared" si="46"/>
        <v>1.15714285714286</v>
      </c>
      <c r="F1485">
        <f t="shared" si="47"/>
        <v>290000</v>
      </c>
    </row>
    <row r="1486" spans="1:6">
      <c r="A1486" t="s">
        <v>5598</v>
      </c>
      <c r="B1486" t="s">
        <v>4271</v>
      </c>
      <c r="C1486" t="s">
        <v>4272</v>
      </c>
      <c r="D1486">
        <v>344000</v>
      </c>
      <c r="E1486" s="1">
        <f t="shared" si="46"/>
        <v>1.63809523809524</v>
      </c>
      <c r="F1486">
        <f t="shared" si="47"/>
        <v>410000</v>
      </c>
    </row>
    <row r="1487" spans="1:6">
      <c r="A1487" t="s">
        <v>5599</v>
      </c>
      <c r="B1487" t="s">
        <v>4271</v>
      </c>
      <c r="C1487" t="s">
        <v>4272</v>
      </c>
      <c r="D1487">
        <v>61000</v>
      </c>
      <c r="E1487" s="1">
        <f t="shared" si="46"/>
        <v>0.29047619047619</v>
      </c>
      <c r="F1487">
        <f t="shared" si="47"/>
        <v>73000</v>
      </c>
    </row>
    <row r="1488" spans="1:6">
      <c r="A1488" t="s">
        <v>5600</v>
      </c>
      <c r="B1488" t="s">
        <v>4271</v>
      </c>
      <c r="C1488" t="s">
        <v>4272</v>
      </c>
      <c r="D1488">
        <v>243000</v>
      </c>
      <c r="E1488" s="1">
        <f t="shared" si="46"/>
        <v>1.15714285714286</v>
      </c>
      <c r="F1488">
        <f t="shared" si="47"/>
        <v>290000</v>
      </c>
    </row>
    <row r="1489" spans="1:6">
      <c r="A1489" t="s">
        <v>5601</v>
      </c>
      <c r="B1489" t="s">
        <v>4271</v>
      </c>
      <c r="C1489" t="s">
        <v>4272</v>
      </c>
      <c r="D1489">
        <v>243000</v>
      </c>
      <c r="E1489" s="1">
        <f t="shared" si="46"/>
        <v>1.15714285714286</v>
      </c>
      <c r="F1489">
        <f t="shared" si="47"/>
        <v>290000</v>
      </c>
    </row>
    <row r="1490" spans="1:6">
      <c r="A1490" t="s">
        <v>5602</v>
      </c>
      <c r="B1490" t="s">
        <v>4271</v>
      </c>
      <c r="C1490" t="s">
        <v>4272</v>
      </c>
      <c r="D1490">
        <v>444000</v>
      </c>
      <c r="E1490" s="1">
        <f t="shared" si="46"/>
        <v>2.11428571428571</v>
      </c>
      <c r="F1490">
        <f t="shared" si="47"/>
        <v>529000</v>
      </c>
    </row>
    <row r="1491" spans="1:6">
      <c r="A1491" t="s">
        <v>5603</v>
      </c>
      <c r="B1491" t="s">
        <v>4271</v>
      </c>
      <c r="C1491" t="s">
        <v>4272</v>
      </c>
      <c r="D1491">
        <v>444000</v>
      </c>
      <c r="E1491" s="1">
        <f t="shared" si="46"/>
        <v>2.11428571428571</v>
      </c>
      <c r="F1491">
        <f t="shared" si="47"/>
        <v>529000</v>
      </c>
    </row>
    <row r="1492" spans="1:6">
      <c r="A1492" t="s">
        <v>5604</v>
      </c>
      <c r="B1492" t="s">
        <v>4271</v>
      </c>
      <c r="C1492" t="s">
        <v>4272</v>
      </c>
      <c r="D1492">
        <v>404000</v>
      </c>
      <c r="E1492" s="1">
        <f t="shared" si="46"/>
        <v>1.92380952380952</v>
      </c>
      <c r="F1492">
        <f t="shared" si="47"/>
        <v>481000</v>
      </c>
    </row>
    <row r="1493" spans="1:6">
      <c r="A1493" t="s">
        <v>5605</v>
      </c>
      <c r="B1493" t="s">
        <v>4271</v>
      </c>
      <c r="C1493" t="s">
        <v>4272</v>
      </c>
      <c r="D1493">
        <v>384000</v>
      </c>
      <c r="E1493" s="1">
        <f t="shared" si="46"/>
        <v>1.82857142857143</v>
      </c>
      <c r="F1493">
        <f t="shared" si="47"/>
        <v>458000</v>
      </c>
    </row>
    <row r="1494" spans="1:6">
      <c r="A1494" t="s">
        <v>5606</v>
      </c>
      <c r="B1494" t="s">
        <v>4271</v>
      </c>
      <c r="C1494" t="s">
        <v>4272</v>
      </c>
      <c r="D1494">
        <v>404000</v>
      </c>
      <c r="E1494" s="1">
        <f t="shared" si="46"/>
        <v>1.92380952380952</v>
      </c>
      <c r="F1494">
        <f t="shared" si="47"/>
        <v>481000</v>
      </c>
    </row>
    <row r="1495" spans="1:6">
      <c r="A1495" t="s">
        <v>5607</v>
      </c>
      <c r="B1495" t="s">
        <v>4271</v>
      </c>
      <c r="C1495" t="s">
        <v>4272</v>
      </c>
      <c r="D1495">
        <v>384000</v>
      </c>
      <c r="E1495" s="1">
        <f t="shared" si="46"/>
        <v>1.82857142857143</v>
      </c>
      <c r="F1495">
        <f t="shared" si="47"/>
        <v>458000</v>
      </c>
    </row>
    <row r="1496" spans="1:6">
      <c r="A1496" t="s">
        <v>5608</v>
      </c>
      <c r="B1496" t="s">
        <v>4271</v>
      </c>
      <c r="C1496" t="s">
        <v>4272</v>
      </c>
      <c r="D1496">
        <v>465000</v>
      </c>
      <c r="E1496" s="1">
        <f t="shared" si="46"/>
        <v>2.21428571428571</v>
      </c>
      <c r="F1496">
        <f t="shared" si="47"/>
        <v>554000</v>
      </c>
    </row>
    <row r="1497" spans="1:6">
      <c r="A1497" t="s">
        <v>5609</v>
      </c>
      <c r="B1497" t="s">
        <v>4271</v>
      </c>
      <c r="C1497" t="s">
        <v>4272</v>
      </c>
      <c r="D1497">
        <v>424000</v>
      </c>
      <c r="E1497" s="1">
        <f t="shared" si="46"/>
        <v>2.01904761904762</v>
      </c>
      <c r="F1497">
        <f t="shared" si="47"/>
        <v>505000</v>
      </c>
    </row>
    <row r="1498" spans="1:6">
      <c r="A1498" t="s">
        <v>5610</v>
      </c>
      <c r="B1498" t="s">
        <v>4271</v>
      </c>
      <c r="C1498" t="s">
        <v>4272</v>
      </c>
      <c r="D1498">
        <v>465000</v>
      </c>
      <c r="E1498" s="1">
        <f t="shared" si="46"/>
        <v>2.21428571428571</v>
      </c>
      <c r="F1498">
        <f t="shared" si="47"/>
        <v>554000</v>
      </c>
    </row>
    <row r="1499" spans="1:6">
      <c r="A1499" t="s">
        <v>5611</v>
      </c>
      <c r="B1499" t="s">
        <v>4271</v>
      </c>
      <c r="C1499" t="s">
        <v>4272</v>
      </c>
      <c r="D1499">
        <v>424000</v>
      </c>
      <c r="E1499" s="1">
        <f t="shared" si="46"/>
        <v>2.01904761904762</v>
      </c>
      <c r="F1499">
        <f t="shared" si="47"/>
        <v>505000</v>
      </c>
    </row>
    <row r="1500" spans="1:6">
      <c r="A1500" t="s">
        <v>5612</v>
      </c>
      <c r="B1500" t="s">
        <v>4271</v>
      </c>
      <c r="C1500" t="s">
        <v>4272</v>
      </c>
      <c r="D1500">
        <v>93000</v>
      </c>
      <c r="E1500" s="1">
        <f t="shared" si="46"/>
        <v>0.442857142857143</v>
      </c>
      <c r="F1500">
        <f t="shared" si="47"/>
        <v>111000</v>
      </c>
    </row>
    <row r="1501" spans="1:6">
      <c r="A1501" t="s">
        <v>5613</v>
      </c>
      <c r="B1501" t="s">
        <v>4271</v>
      </c>
      <c r="C1501" t="s">
        <v>4272</v>
      </c>
      <c r="D1501">
        <v>101000</v>
      </c>
      <c r="E1501" s="1">
        <f t="shared" si="46"/>
        <v>0.480952380952381</v>
      </c>
      <c r="F1501">
        <f t="shared" si="47"/>
        <v>121000</v>
      </c>
    </row>
    <row r="1502" spans="1:6">
      <c r="A1502" t="s">
        <v>5614</v>
      </c>
      <c r="B1502" t="s">
        <v>4271</v>
      </c>
      <c r="C1502" t="s">
        <v>4272</v>
      </c>
      <c r="D1502">
        <v>101000</v>
      </c>
      <c r="E1502" s="1">
        <f t="shared" si="46"/>
        <v>0.480952380952381</v>
      </c>
      <c r="F1502">
        <f t="shared" si="47"/>
        <v>121000</v>
      </c>
    </row>
    <row r="1503" spans="1:6">
      <c r="A1503" t="s">
        <v>5615</v>
      </c>
      <c r="B1503" t="s">
        <v>4271</v>
      </c>
      <c r="C1503" t="s">
        <v>4272</v>
      </c>
      <c r="D1503">
        <v>93000</v>
      </c>
      <c r="E1503" s="1">
        <f t="shared" si="46"/>
        <v>0.442857142857143</v>
      </c>
      <c r="F1503">
        <f t="shared" si="47"/>
        <v>111000</v>
      </c>
    </row>
    <row r="1504" spans="1:6">
      <c r="A1504" t="s">
        <v>5616</v>
      </c>
      <c r="B1504" t="s">
        <v>4271</v>
      </c>
      <c r="C1504" t="s">
        <v>4272</v>
      </c>
      <c r="D1504">
        <v>93000</v>
      </c>
      <c r="E1504" s="1">
        <f t="shared" si="46"/>
        <v>0.442857142857143</v>
      </c>
      <c r="F1504">
        <f t="shared" si="47"/>
        <v>111000</v>
      </c>
    </row>
    <row r="1505" spans="1:6">
      <c r="A1505" t="s">
        <v>5617</v>
      </c>
      <c r="B1505" t="s">
        <v>4271</v>
      </c>
      <c r="C1505" t="s">
        <v>4272</v>
      </c>
      <c r="D1505">
        <v>93000</v>
      </c>
      <c r="E1505" s="1">
        <f t="shared" si="46"/>
        <v>0.442857142857143</v>
      </c>
      <c r="F1505">
        <f t="shared" si="47"/>
        <v>111000</v>
      </c>
    </row>
    <row r="1506" spans="1:6">
      <c r="A1506" t="s">
        <v>5618</v>
      </c>
      <c r="B1506" t="s">
        <v>4271</v>
      </c>
      <c r="C1506" t="s">
        <v>4272</v>
      </c>
      <c r="D1506">
        <v>202000</v>
      </c>
      <c r="E1506" s="1">
        <f t="shared" si="46"/>
        <v>0.961904761904762</v>
      </c>
      <c r="F1506">
        <f t="shared" si="47"/>
        <v>241000</v>
      </c>
    </row>
    <row r="1507" spans="1:6">
      <c r="A1507" t="s">
        <v>5619</v>
      </c>
      <c r="B1507" t="s">
        <v>4271</v>
      </c>
      <c r="C1507" t="s">
        <v>4272</v>
      </c>
      <c r="D1507">
        <v>243000</v>
      </c>
      <c r="E1507" s="1">
        <f t="shared" si="46"/>
        <v>1.15714285714286</v>
      </c>
      <c r="F1507">
        <f t="shared" si="47"/>
        <v>290000</v>
      </c>
    </row>
    <row r="1508" spans="1:6">
      <c r="A1508" t="s">
        <v>5620</v>
      </c>
      <c r="B1508" t="s">
        <v>4271</v>
      </c>
      <c r="C1508" t="s">
        <v>4272</v>
      </c>
      <c r="D1508">
        <v>283000</v>
      </c>
      <c r="E1508" s="1">
        <f t="shared" si="46"/>
        <v>1.34761904761905</v>
      </c>
      <c r="F1508">
        <f t="shared" si="47"/>
        <v>337000</v>
      </c>
    </row>
    <row r="1509" spans="1:6">
      <c r="A1509" t="s">
        <v>5621</v>
      </c>
      <c r="B1509" t="s">
        <v>4271</v>
      </c>
      <c r="C1509" t="s">
        <v>4272</v>
      </c>
      <c r="D1509">
        <v>243000</v>
      </c>
      <c r="E1509" s="1">
        <f t="shared" si="46"/>
        <v>1.15714285714286</v>
      </c>
      <c r="F1509">
        <f t="shared" si="47"/>
        <v>290000</v>
      </c>
    </row>
    <row r="1510" spans="1:6">
      <c r="A1510" t="s">
        <v>5622</v>
      </c>
      <c r="B1510" t="s">
        <v>4271</v>
      </c>
      <c r="C1510" t="s">
        <v>4272</v>
      </c>
      <c r="D1510">
        <v>263000</v>
      </c>
      <c r="E1510" s="1">
        <f t="shared" si="46"/>
        <v>1.25238095238095</v>
      </c>
      <c r="F1510">
        <f t="shared" si="47"/>
        <v>314000</v>
      </c>
    </row>
    <row r="1511" spans="1:6">
      <c r="A1511" t="s">
        <v>5623</v>
      </c>
      <c r="B1511" t="s">
        <v>4271</v>
      </c>
      <c r="C1511" t="s">
        <v>4272</v>
      </c>
      <c r="D1511">
        <v>182000</v>
      </c>
      <c r="E1511" s="1">
        <f t="shared" si="46"/>
        <v>0.866666666666667</v>
      </c>
      <c r="F1511">
        <f t="shared" si="47"/>
        <v>217000</v>
      </c>
    </row>
    <row r="1512" spans="1:6">
      <c r="A1512" t="s">
        <v>5624</v>
      </c>
      <c r="B1512" t="s">
        <v>4271</v>
      </c>
      <c r="C1512" t="s">
        <v>4272</v>
      </c>
      <c r="D1512">
        <v>202000</v>
      </c>
      <c r="E1512" s="1">
        <f t="shared" si="46"/>
        <v>0.961904761904762</v>
      </c>
      <c r="F1512">
        <f t="shared" si="47"/>
        <v>241000</v>
      </c>
    </row>
    <row r="1513" spans="1:6">
      <c r="A1513" t="s">
        <v>5625</v>
      </c>
      <c r="B1513" t="s">
        <v>4271</v>
      </c>
      <c r="C1513" t="s">
        <v>4272</v>
      </c>
      <c r="D1513">
        <v>162000</v>
      </c>
      <c r="E1513" s="1">
        <f t="shared" si="46"/>
        <v>0.771428571428571</v>
      </c>
      <c r="F1513">
        <f t="shared" si="47"/>
        <v>193000</v>
      </c>
    </row>
    <row r="1514" spans="1:6">
      <c r="A1514" t="s">
        <v>5626</v>
      </c>
      <c r="B1514" t="s">
        <v>4271</v>
      </c>
      <c r="C1514" t="s">
        <v>4272</v>
      </c>
      <c r="D1514">
        <v>162000</v>
      </c>
      <c r="E1514" s="1">
        <f t="shared" si="46"/>
        <v>0.771428571428571</v>
      </c>
      <c r="F1514">
        <f t="shared" si="47"/>
        <v>193000</v>
      </c>
    </row>
    <row r="1515" spans="1:6">
      <c r="A1515" t="s">
        <v>5627</v>
      </c>
      <c r="B1515" t="s">
        <v>4271</v>
      </c>
      <c r="C1515" t="s">
        <v>4272</v>
      </c>
      <c r="D1515">
        <v>162000</v>
      </c>
      <c r="E1515" s="1">
        <f t="shared" si="46"/>
        <v>0.771428571428571</v>
      </c>
      <c r="F1515">
        <f t="shared" si="47"/>
        <v>193000</v>
      </c>
    </row>
    <row r="1516" spans="1:6">
      <c r="A1516" t="s">
        <v>5628</v>
      </c>
      <c r="B1516" t="s">
        <v>4271</v>
      </c>
      <c r="C1516" t="s">
        <v>4272</v>
      </c>
      <c r="D1516">
        <v>162000</v>
      </c>
      <c r="E1516" s="1">
        <f t="shared" si="46"/>
        <v>0.771428571428571</v>
      </c>
      <c r="F1516">
        <f t="shared" si="47"/>
        <v>193000</v>
      </c>
    </row>
    <row r="1517" spans="1:6">
      <c r="A1517" t="s">
        <v>5629</v>
      </c>
      <c r="B1517" t="s">
        <v>4271</v>
      </c>
      <c r="C1517" t="s">
        <v>4272</v>
      </c>
      <c r="D1517">
        <v>101000</v>
      </c>
      <c r="E1517" s="1">
        <f t="shared" si="46"/>
        <v>0.480952380952381</v>
      </c>
      <c r="F1517">
        <f t="shared" si="47"/>
        <v>121000</v>
      </c>
    </row>
    <row r="1518" spans="1:6">
      <c r="A1518" t="s">
        <v>5630</v>
      </c>
      <c r="B1518" t="s">
        <v>4271</v>
      </c>
      <c r="C1518" t="s">
        <v>4272</v>
      </c>
      <c r="D1518">
        <v>122000</v>
      </c>
      <c r="E1518" s="1">
        <f t="shared" si="46"/>
        <v>0.580952380952381</v>
      </c>
      <c r="F1518">
        <f t="shared" si="47"/>
        <v>146000</v>
      </c>
    </row>
    <row r="1519" spans="1:6">
      <c r="A1519" t="s">
        <v>5631</v>
      </c>
      <c r="B1519" t="s">
        <v>4271</v>
      </c>
      <c r="C1519" t="s">
        <v>4272</v>
      </c>
      <c r="D1519">
        <v>142000</v>
      </c>
      <c r="E1519" s="1">
        <f t="shared" si="46"/>
        <v>0.676190476190476</v>
      </c>
      <c r="F1519">
        <f t="shared" si="47"/>
        <v>170000</v>
      </c>
    </row>
    <row r="1520" spans="1:6">
      <c r="A1520" t="s">
        <v>5632</v>
      </c>
      <c r="B1520" t="s">
        <v>4271</v>
      </c>
      <c r="C1520" t="s">
        <v>4272</v>
      </c>
      <c r="D1520">
        <v>142000</v>
      </c>
      <c r="E1520" s="1">
        <f t="shared" si="46"/>
        <v>0.676190476190476</v>
      </c>
      <c r="F1520">
        <f t="shared" si="47"/>
        <v>170000</v>
      </c>
    </row>
    <row r="1521" spans="1:6">
      <c r="A1521" t="s">
        <v>5633</v>
      </c>
      <c r="B1521" t="s">
        <v>4271</v>
      </c>
      <c r="C1521" t="s">
        <v>4272</v>
      </c>
      <c r="D1521">
        <v>101000</v>
      </c>
      <c r="E1521" s="1">
        <f t="shared" si="46"/>
        <v>0.480952380952381</v>
      </c>
      <c r="F1521">
        <f t="shared" si="47"/>
        <v>121000</v>
      </c>
    </row>
    <row r="1522" spans="1:6">
      <c r="A1522" t="s">
        <v>5634</v>
      </c>
      <c r="B1522" t="s">
        <v>4271</v>
      </c>
      <c r="C1522" t="s">
        <v>4272</v>
      </c>
      <c r="D1522">
        <v>61000</v>
      </c>
      <c r="E1522" s="1">
        <f t="shared" si="46"/>
        <v>0.29047619047619</v>
      </c>
      <c r="F1522">
        <f t="shared" si="47"/>
        <v>73000</v>
      </c>
    </row>
    <row r="1523" spans="1:6">
      <c r="A1523" t="s">
        <v>5635</v>
      </c>
      <c r="B1523" t="s">
        <v>4271</v>
      </c>
      <c r="C1523" t="s">
        <v>4272</v>
      </c>
      <c r="D1523">
        <v>142000</v>
      </c>
      <c r="E1523" s="1">
        <f t="shared" si="46"/>
        <v>0.676190476190476</v>
      </c>
      <c r="F1523">
        <f t="shared" si="47"/>
        <v>170000</v>
      </c>
    </row>
    <row r="1524" spans="1:6">
      <c r="A1524" t="s">
        <v>5636</v>
      </c>
      <c r="B1524" t="s">
        <v>4271</v>
      </c>
      <c r="C1524" t="s">
        <v>4272</v>
      </c>
      <c r="D1524">
        <v>101000</v>
      </c>
      <c r="E1524" s="1">
        <f t="shared" si="46"/>
        <v>0.480952380952381</v>
      </c>
      <c r="F1524">
        <f t="shared" si="47"/>
        <v>121000</v>
      </c>
    </row>
    <row r="1525" spans="1:6">
      <c r="A1525" t="s">
        <v>5637</v>
      </c>
      <c r="B1525" t="s">
        <v>4271</v>
      </c>
      <c r="C1525" t="s">
        <v>4272</v>
      </c>
      <c r="D1525">
        <v>21000</v>
      </c>
      <c r="E1525" s="1">
        <f t="shared" si="46"/>
        <v>0.1</v>
      </c>
      <c r="F1525">
        <f t="shared" si="47"/>
        <v>25000</v>
      </c>
    </row>
    <row r="1526" spans="1:6">
      <c r="A1526" t="s">
        <v>5638</v>
      </c>
      <c r="B1526" t="s">
        <v>4271</v>
      </c>
      <c r="C1526" t="s">
        <v>4272</v>
      </c>
      <c r="D1526">
        <v>41000</v>
      </c>
      <c r="E1526" s="1">
        <f t="shared" si="46"/>
        <v>0.195238095238095</v>
      </c>
      <c r="F1526">
        <f t="shared" si="47"/>
        <v>49000</v>
      </c>
    </row>
    <row r="1527" spans="1:6">
      <c r="A1527" t="s">
        <v>5639</v>
      </c>
      <c r="B1527" t="s">
        <v>4271</v>
      </c>
      <c r="C1527" t="s">
        <v>4272</v>
      </c>
      <c r="D1527">
        <v>61000</v>
      </c>
      <c r="E1527" s="1">
        <f t="shared" si="46"/>
        <v>0.29047619047619</v>
      </c>
      <c r="F1527">
        <f t="shared" si="47"/>
        <v>73000</v>
      </c>
    </row>
    <row r="1528" spans="1:6">
      <c r="A1528" t="s">
        <v>5640</v>
      </c>
      <c r="B1528" t="s">
        <v>4271</v>
      </c>
      <c r="C1528" t="s">
        <v>4272</v>
      </c>
      <c r="D1528">
        <v>41000</v>
      </c>
      <c r="E1528" s="1">
        <f t="shared" si="46"/>
        <v>0.195238095238095</v>
      </c>
      <c r="F1528">
        <f t="shared" si="47"/>
        <v>49000</v>
      </c>
    </row>
    <row r="1529" spans="1:6">
      <c r="A1529" t="s">
        <v>5641</v>
      </c>
      <c r="B1529" t="s">
        <v>4271</v>
      </c>
      <c r="C1529" t="s">
        <v>4272</v>
      </c>
      <c r="D1529">
        <v>101000</v>
      </c>
      <c r="E1529" s="1">
        <f t="shared" si="46"/>
        <v>0.480952380952381</v>
      </c>
      <c r="F1529">
        <f t="shared" si="47"/>
        <v>121000</v>
      </c>
    </row>
    <row r="1530" spans="1:6">
      <c r="A1530" t="s">
        <v>5642</v>
      </c>
      <c r="B1530" t="s">
        <v>4271</v>
      </c>
      <c r="C1530" t="s">
        <v>4272</v>
      </c>
      <c r="D1530">
        <v>61000</v>
      </c>
      <c r="E1530" s="1">
        <f t="shared" si="46"/>
        <v>0.29047619047619</v>
      </c>
      <c r="F1530">
        <f t="shared" si="47"/>
        <v>73000</v>
      </c>
    </row>
    <row r="1531" spans="1:6">
      <c r="A1531" t="s">
        <v>5643</v>
      </c>
      <c r="B1531" t="s">
        <v>4271</v>
      </c>
      <c r="C1531" t="s">
        <v>4272</v>
      </c>
      <c r="D1531">
        <v>122000</v>
      </c>
      <c r="E1531" s="1">
        <f t="shared" si="46"/>
        <v>0.580952380952381</v>
      </c>
      <c r="F1531">
        <f t="shared" si="47"/>
        <v>146000</v>
      </c>
    </row>
    <row r="1532" spans="1:6">
      <c r="A1532" t="s">
        <v>5644</v>
      </c>
      <c r="B1532" t="s">
        <v>4271</v>
      </c>
      <c r="C1532" t="s">
        <v>4272</v>
      </c>
      <c r="D1532">
        <v>101000</v>
      </c>
      <c r="E1532" s="1">
        <f t="shared" si="46"/>
        <v>0.480952380952381</v>
      </c>
      <c r="F1532">
        <f t="shared" si="47"/>
        <v>121000</v>
      </c>
    </row>
    <row r="1533" spans="1:6">
      <c r="A1533" t="s">
        <v>5645</v>
      </c>
      <c r="B1533" t="s">
        <v>4271</v>
      </c>
      <c r="C1533" t="s">
        <v>4272</v>
      </c>
      <c r="D1533">
        <v>142000</v>
      </c>
      <c r="E1533" s="1">
        <f t="shared" si="46"/>
        <v>0.676190476190476</v>
      </c>
      <c r="F1533">
        <f t="shared" si="47"/>
        <v>170000</v>
      </c>
    </row>
    <row r="1534" spans="1:6">
      <c r="A1534" t="s">
        <v>5646</v>
      </c>
      <c r="B1534" t="s">
        <v>4271</v>
      </c>
      <c r="C1534" t="s">
        <v>4272</v>
      </c>
      <c r="D1534">
        <v>122000</v>
      </c>
      <c r="E1534" s="1">
        <f t="shared" si="46"/>
        <v>0.580952380952381</v>
      </c>
      <c r="F1534">
        <f t="shared" si="47"/>
        <v>146000</v>
      </c>
    </row>
    <row r="1535" spans="1:6">
      <c r="A1535" t="s">
        <v>5647</v>
      </c>
      <c r="B1535" t="s">
        <v>4271</v>
      </c>
      <c r="C1535" t="s">
        <v>4272</v>
      </c>
      <c r="D1535">
        <v>101000</v>
      </c>
      <c r="E1535" s="1">
        <f t="shared" si="46"/>
        <v>0.480952380952381</v>
      </c>
      <c r="F1535">
        <f t="shared" si="47"/>
        <v>121000</v>
      </c>
    </row>
    <row r="1536" spans="1:6">
      <c r="A1536" t="s">
        <v>5648</v>
      </c>
      <c r="B1536" t="s">
        <v>4271</v>
      </c>
      <c r="C1536" t="s">
        <v>4272</v>
      </c>
      <c r="D1536">
        <v>81000</v>
      </c>
      <c r="E1536" s="1">
        <f t="shared" si="46"/>
        <v>0.385714285714286</v>
      </c>
      <c r="F1536">
        <f t="shared" si="47"/>
        <v>97000</v>
      </c>
    </row>
    <row r="1537" spans="1:6">
      <c r="A1537" t="s">
        <v>5649</v>
      </c>
      <c r="B1537" t="s">
        <v>4271</v>
      </c>
      <c r="C1537" t="s">
        <v>4272</v>
      </c>
      <c r="D1537">
        <v>122000</v>
      </c>
      <c r="E1537" s="1">
        <f t="shared" si="46"/>
        <v>0.580952380952381</v>
      </c>
      <c r="F1537">
        <f t="shared" si="47"/>
        <v>146000</v>
      </c>
    </row>
    <row r="1538" spans="1:6">
      <c r="A1538" t="s">
        <v>5650</v>
      </c>
      <c r="B1538" t="s">
        <v>4271</v>
      </c>
      <c r="C1538" t="s">
        <v>4272</v>
      </c>
      <c r="D1538">
        <v>101000</v>
      </c>
      <c r="E1538" s="1">
        <f t="shared" ref="E1538:E1601" si="48">D1538/210000</f>
        <v>0.480952380952381</v>
      </c>
      <c r="F1538">
        <f t="shared" si="47"/>
        <v>121000</v>
      </c>
    </row>
    <row r="1539" spans="1:6">
      <c r="A1539" t="s">
        <v>5651</v>
      </c>
      <c r="B1539" t="s">
        <v>4271</v>
      </c>
      <c r="C1539" t="s">
        <v>4272</v>
      </c>
      <c r="D1539">
        <v>505000</v>
      </c>
      <c r="E1539" s="1">
        <f t="shared" si="48"/>
        <v>2.4047619047619</v>
      </c>
      <c r="F1539">
        <f t="shared" si="47"/>
        <v>602000</v>
      </c>
    </row>
    <row r="1540" spans="1:6">
      <c r="A1540" t="s">
        <v>5652</v>
      </c>
      <c r="B1540" t="s">
        <v>4271</v>
      </c>
      <c r="C1540" t="s">
        <v>4272</v>
      </c>
      <c r="D1540">
        <v>707000</v>
      </c>
      <c r="E1540" s="1">
        <f t="shared" si="48"/>
        <v>3.36666666666667</v>
      </c>
      <c r="F1540">
        <f t="shared" ref="F1540:F1603" si="49">CEILING(E1540*250000,1000)</f>
        <v>842000</v>
      </c>
    </row>
    <row r="1541" spans="1:6">
      <c r="A1541" t="s">
        <v>5653</v>
      </c>
      <c r="B1541" t="s">
        <v>4271</v>
      </c>
      <c r="C1541" t="s">
        <v>4272</v>
      </c>
      <c r="D1541">
        <v>344000</v>
      </c>
      <c r="E1541" s="1">
        <f t="shared" si="48"/>
        <v>1.63809523809524</v>
      </c>
      <c r="F1541">
        <f t="shared" si="49"/>
        <v>410000</v>
      </c>
    </row>
    <row r="1542" spans="1:6">
      <c r="A1542" t="s">
        <v>5654</v>
      </c>
      <c r="B1542" t="s">
        <v>4271</v>
      </c>
      <c r="C1542" t="s">
        <v>4272</v>
      </c>
      <c r="D1542">
        <v>323000</v>
      </c>
      <c r="E1542" s="1">
        <f t="shared" si="48"/>
        <v>1.53809523809524</v>
      </c>
      <c r="F1542">
        <f t="shared" si="49"/>
        <v>385000</v>
      </c>
    </row>
    <row r="1543" spans="1:6">
      <c r="A1543" t="s">
        <v>5655</v>
      </c>
      <c r="B1543" t="s">
        <v>4271</v>
      </c>
      <c r="C1543" t="s">
        <v>4272</v>
      </c>
      <c r="D1543">
        <v>505000</v>
      </c>
      <c r="E1543" s="1">
        <f t="shared" si="48"/>
        <v>2.4047619047619</v>
      </c>
      <c r="F1543">
        <f t="shared" si="49"/>
        <v>602000</v>
      </c>
    </row>
    <row r="1544" spans="1:6">
      <c r="A1544" t="s">
        <v>5656</v>
      </c>
      <c r="B1544" t="s">
        <v>4271</v>
      </c>
      <c r="C1544" t="s">
        <v>4272</v>
      </c>
      <c r="D1544">
        <v>404000</v>
      </c>
      <c r="E1544" s="1">
        <f t="shared" si="48"/>
        <v>1.92380952380952</v>
      </c>
      <c r="F1544">
        <f t="shared" si="49"/>
        <v>481000</v>
      </c>
    </row>
    <row r="1545" spans="1:6">
      <c r="A1545" t="s">
        <v>5657</v>
      </c>
      <c r="B1545" t="s">
        <v>4271</v>
      </c>
      <c r="C1545" t="s">
        <v>4272</v>
      </c>
      <c r="D1545">
        <v>606000</v>
      </c>
      <c r="E1545" s="1">
        <f t="shared" si="48"/>
        <v>2.88571428571429</v>
      </c>
      <c r="F1545">
        <f t="shared" si="49"/>
        <v>722000</v>
      </c>
    </row>
    <row r="1546" spans="1:6">
      <c r="A1546" t="s">
        <v>5658</v>
      </c>
      <c r="B1546" t="s">
        <v>4271</v>
      </c>
      <c r="C1546" t="s">
        <v>4272</v>
      </c>
      <c r="D1546">
        <v>202000</v>
      </c>
      <c r="E1546" s="1">
        <f t="shared" si="48"/>
        <v>0.961904761904762</v>
      </c>
      <c r="F1546">
        <f t="shared" si="49"/>
        <v>241000</v>
      </c>
    </row>
    <row r="1547" spans="1:6">
      <c r="A1547" t="s">
        <v>5659</v>
      </c>
      <c r="B1547" t="s">
        <v>4271</v>
      </c>
      <c r="C1547" t="s">
        <v>4272</v>
      </c>
      <c r="D1547">
        <v>122000</v>
      </c>
      <c r="E1547" s="1">
        <f t="shared" si="48"/>
        <v>0.580952380952381</v>
      </c>
      <c r="F1547">
        <f t="shared" si="49"/>
        <v>146000</v>
      </c>
    </row>
    <row r="1548" spans="1:6">
      <c r="A1548" t="s">
        <v>5660</v>
      </c>
      <c r="B1548" t="s">
        <v>4271</v>
      </c>
      <c r="C1548" t="s">
        <v>4272</v>
      </c>
      <c r="D1548">
        <v>122000</v>
      </c>
      <c r="E1548" s="1">
        <f t="shared" si="48"/>
        <v>0.580952380952381</v>
      </c>
      <c r="F1548">
        <f t="shared" si="49"/>
        <v>146000</v>
      </c>
    </row>
    <row r="1549" spans="1:6">
      <c r="A1549" t="s">
        <v>5661</v>
      </c>
      <c r="B1549" t="s">
        <v>4271</v>
      </c>
      <c r="C1549" t="s">
        <v>4272</v>
      </c>
      <c r="D1549">
        <v>142000</v>
      </c>
      <c r="E1549" s="1">
        <f t="shared" si="48"/>
        <v>0.676190476190476</v>
      </c>
      <c r="F1549">
        <f t="shared" si="49"/>
        <v>170000</v>
      </c>
    </row>
    <row r="1550" spans="1:6">
      <c r="A1550" t="s">
        <v>5662</v>
      </c>
      <c r="B1550" t="s">
        <v>4271</v>
      </c>
      <c r="C1550" t="s">
        <v>4272</v>
      </c>
      <c r="D1550">
        <v>122000</v>
      </c>
      <c r="E1550" s="1">
        <f t="shared" si="48"/>
        <v>0.580952380952381</v>
      </c>
      <c r="F1550">
        <f t="shared" si="49"/>
        <v>146000</v>
      </c>
    </row>
    <row r="1551" spans="1:6">
      <c r="A1551" t="s">
        <v>5663</v>
      </c>
      <c r="B1551" t="s">
        <v>4271</v>
      </c>
      <c r="C1551" t="s">
        <v>4272</v>
      </c>
      <c r="D1551">
        <v>364000</v>
      </c>
      <c r="E1551" s="1">
        <f t="shared" si="48"/>
        <v>1.73333333333333</v>
      </c>
      <c r="F1551">
        <f t="shared" si="49"/>
        <v>434000</v>
      </c>
    </row>
    <row r="1552" spans="1:6">
      <c r="A1552" t="s">
        <v>5664</v>
      </c>
      <c r="B1552" t="s">
        <v>4271</v>
      </c>
      <c r="C1552" t="s">
        <v>4272</v>
      </c>
      <c r="D1552">
        <v>364000</v>
      </c>
      <c r="E1552" s="1">
        <f t="shared" si="48"/>
        <v>1.73333333333333</v>
      </c>
      <c r="F1552">
        <f t="shared" si="49"/>
        <v>434000</v>
      </c>
    </row>
    <row r="1553" spans="1:6">
      <c r="A1553" t="s">
        <v>5665</v>
      </c>
      <c r="B1553" t="s">
        <v>4271</v>
      </c>
      <c r="C1553" t="s">
        <v>4272</v>
      </c>
      <c r="D1553">
        <v>182000</v>
      </c>
      <c r="E1553" s="1">
        <f t="shared" si="48"/>
        <v>0.866666666666667</v>
      </c>
      <c r="F1553">
        <f t="shared" si="49"/>
        <v>217000</v>
      </c>
    </row>
    <row r="1554" spans="1:6">
      <c r="A1554" t="s">
        <v>5666</v>
      </c>
      <c r="B1554" t="s">
        <v>4271</v>
      </c>
      <c r="C1554" t="s">
        <v>4272</v>
      </c>
      <c r="D1554">
        <v>364000</v>
      </c>
      <c r="E1554" s="1">
        <f t="shared" si="48"/>
        <v>1.73333333333333</v>
      </c>
      <c r="F1554">
        <f t="shared" si="49"/>
        <v>434000</v>
      </c>
    </row>
    <row r="1555" spans="1:6">
      <c r="A1555" t="s">
        <v>5667</v>
      </c>
      <c r="B1555" t="s">
        <v>4271</v>
      </c>
      <c r="C1555" t="s">
        <v>4272</v>
      </c>
      <c r="D1555">
        <v>364000</v>
      </c>
      <c r="E1555" s="1">
        <f t="shared" si="48"/>
        <v>1.73333333333333</v>
      </c>
      <c r="F1555">
        <f t="shared" si="49"/>
        <v>434000</v>
      </c>
    </row>
    <row r="1556" spans="1:6">
      <c r="A1556" t="s">
        <v>5668</v>
      </c>
      <c r="B1556" t="s">
        <v>4271</v>
      </c>
      <c r="C1556" t="s">
        <v>4272</v>
      </c>
      <c r="D1556">
        <v>21000</v>
      </c>
      <c r="E1556" s="1">
        <f t="shared" si="48"/>
        <v>0.1</v>
      </c>
      <c r="F1556">
        <f t="shared" si="49"/>
        <v>25000</v>
      </c>
    </row>
    <row r="1557" spans="1:6">
      <c r="A1557" t="s">
        <v>5669</v>
      </c>
      <c r="B1557" t="s">
        <v>4271</v>
      </c>
      <c r="C1557" t="s">
        <v>4272</v>
      </c>
      <c r="D1557">
        <v>162000</v>
      </c>
      <c r="E1557" s="1">
        <f t="shared" si="48"/>
        <v>0.771428571428571</v>
      </c>
      <c r="F1557">
        <f t="shared" si="49"/>
        <v>193000</v>
      </c>
    </row>
    <row r="1558" spans="1:6">
      <c r="A1558" t="s">
        <v>5670</v>
      </c>
      <c r="B1558" t="s">
        <v>4271</v>
      </c>
      <c r="C1558" t="s">
        <v>4272</v>
      </c>
      <c r="D1558">
        <v>21000</v>
      </c>
      <c r="E1558" s="1">
        <f t="shared" si="48"/>
        <v>0.1</v>
      </c>
      <c r="F1558">
        <f t="shared" si="49"/>
        <v>25000</v>
      </c>
    </row>
    <row r="1559" spans="1:6">
      <c r="A1559" t="s">
        <v>5671</v>
      </c>
      <c r="B1559" t="s">
        <v>4271</v>
      </c>
      <c r="C1559" t="s">
        <v>4272</v>
      </c>
      <c r="D1559">
        <v>21000</v>
      </c>
      <c r="E1559" s="1">
        <f t="shared" si="48"/>
        <v>0.1</v>
      </c>
      <c r="F1559">
        <f t="shared" si="49"/>
        <v>25000</v>
      </c>
    </row>
    <row r="1560" spans="1:6">
      <c r="A1560" t="s">
        <v>5672</v>
      </c>
      <c r="B1560" t="s">
        <v>4271</v>
      </c>
      <c r="C1560" t="s">
        <v>4272</v>
      </c>
      <c r="D1560">
        <v>162000</v>
      </c>
      <c r="E1560" s="1">
        <f t="shared" si="48"/>
        <v>0.771428571428571</v>
      </c>
      <c r="F1560">
        <f t="shared" si="49"/>
        <v>193000</v>
      </c>
    </row>
    <row r="1561" spans="1:6">
      <c r="A1561" t="s">
        <v>5673</v>
      </c>
      <c r="B1561" t="s">
        <v>4271</v>
      </c>
      <c r="C1561" t="s">
        <v>4272</v>
      </c>
      <c r="D1561">
        <v>21000</v>
      </c>
      <c r="E1561" s="1">
        <f t="shared" si="48"/>
        <v>0.1</v>
      </c>
      <c r="F1561">
        <f t="shared" si="49"/>
        <v>25000</v>
      </c>
    </row>
    <row r="1562" spans="1:6">
      <c r="A1562" t="s">
        <v>5674</v>
      </c>
      <c r="B1562" t="s">
        <v>4271</v>
      </c>
      <c r="C1562" t="s">
        <v>4272</v>
      </c>
      <c r="D1562">
        <v>81000</v>
      </c>
      <c r="E1562" s="1">
        <f t="shared" si="48"/>
        <v>0.385714285714286</v>
      </c>
      <c r="F1562">
        <f t="shared" si="49"/>
        <v>97000</v>
      </c>
    </row>
    <row r="1563" spans="1:6">
      <c r="A1563" t="s">
        <v>5675</v>
      </c>
      <c r="B1563" t="s">
        <v>4271</v>
      </c>
      <c r="C1563" t="s">
        <v>4272</v>
      </c>
      <c r="D1563">
        <v>30000</v>
      </c>
      <c r="E1563" s="1">
        <f t="shared" si="48"/>
        <v>0.142857142857143</v>
      </c>
      <c r="F1563">
        <f t="shared" si="49"/>
        <v>36000</v>
      </c>
    </row>
    <row r="1564" spans="1:6">
      <c r="A1564" t="s">
        <v>5676</v>
      </c>
      <c r="B1564" t="s">
        <v>4271</v>
      </c>
      <c r="C1564" t="s">
        <v>4272</v>
      </c>
      <c r="D1564">
        <v>81000</v>
      </c>
      <c r="E1564" s="1">
        <f t="shared" si="48"/>
        <v>0.385714285714286</v>
      </c>
      <c r="F1564">
        <f t="shared" si="49"/>
        <v>97000</v>
      </c>
    </row>
    <row r="1565" spans="1:6">
      <c r="A1565" t="s">
        <v>5677</v>
      </c>
      <c r="B1565" t="s">
        <v>4271</v>
      </c>
      <c r="C1565" t="s">
        <v>4272</v>
      </c>
      <c r="D1565">
        <v>81000</v>
      </c>
      <c r="E1565" s="1">
        <f t="shared" si="48"/>
        <v>0.385714285714286</v>
      </c>
      <c r="F1565">
        <f t="shared" si="49"/>
        <v>97000</v>
      </c>
    </row>
    <row r="1566" spans="1:6">
      <c r="A1566" t="s">
        <v>5678</v>
      </c>
      <c r="B1566" t="s">
        <v>4271</v>
      </c>
      <c r="C1566" t="s">
        <v>4272</v>
      </c>
      <c r="D1566">
        <v>81000</v>
      </c>
      <c r="E1566" s="1">
        <f t="shared" si="48"/>
        <v>0.385714285714286</v>
      </c>
      <c r="F1566">
        <f t="shared" si="49"/>
        <v>97000</v>
      </c>
    </row>
    <row r="1567" spans="1:6">
      <c r="A1567" t="s">
        <v>5679</v>
      </c>
      <c r="B1567" t="s">
        <v>4271</v>
      </c>
      <c r="C1567" t="s">
        <v>4272</v>
      </c>
      <c r="D1567">
        <v>81000</v>
      </c>
      <c r="E1567" s="1">
        <f t="shared" si="48"/>
        <v>0.385714285714286</v>
      </c>
      <c r="F1567">
        <f t="shared" si="49"/>
        <v>97000</v>
      </c>
    </row>
    <row r="1568" spans="1:6">
      <c r="A1568" t="s">
        <v>5680</v>
      </c>
      <c r="B1568" t="s">
        <v>4271</v>
      </c>
      <c r="C1568" t="s">
        <v>4272</v>
      </c>
      <c r="D1568">
        <v>122000</v>
      </c>
      <c r="E1568" s="1">
        <f t="shared" si="48"/>
        <v>0.580952380952381</v>
      </c>
      <c r="F1568">
        <f t="shared" si="49"/>
        <v>146000</v>
      </c>
    </row>
    <row r="1569" spans="1:6">
      <c r="A1569" t="s">
        <v>5681</v>
      </c>
      <c r="B1569" t="s">
        <v>4271</v>
      </c>
      <c r="C1569" t="s">
        <v>4272</v>
      </c>
      <c r="D1569">
        <v>81000</v>
      </c>
      <c r="E1569" s="1">
        <f t="shared" si="48"/>
        <v>0.385714285714286</v>
      </c>
      <c r="F1569">
        <f t="shared" si="49"/>
        <v>97000</v>
      </c>
    </row>
    <row r="1570" spans="1:6">
      <c r="A1570" t="s">
        <v>5682</v>
      </c>
      <c r="B1570" t="s">
        <v>4271</v>
      </c>
      <c r="C1570" t="s">
        <v>4272</v>
      </c>
      <c r="D1570">
        <v>142000</v>
      </c>
      <c r="E1570" s="1">
        <f t="shared" si="48"/>
        <v>0.676190476190476</v>
      </c>
      <c r="F1570">
        <f t="shared" si="49"/>
        <v>170000</v>
      </c>
    </row>
    <row r="1571" spans="1:6">
      <c r="A1571" t="s">
        <v>5683</v>
      </c>
      <c r="B1571" t="s">
        <v>4271</v>
      </c>
      <c r="C1571" t="s">
        <v>4272</v>
      </c>
      <c r="D1571">
        <v>81000</v>
      </c>
      <c r="E1571" s="1">
        <f t="shared" si="48"/>
        <v>0.385714285714286</v>
      </c>
      <c r="F1571">
        <f t="shared" si="49"/>
        <v>97000</v>
      </c>
    </row>
    <row r="1572" spans="1:6">
      <c r="A1572" t="s">
        <v>5684</v>
      </c>
      <c r="B1572" t="s">
        <v>4271</v>
      </c>
      <c r="C1572" t="s">
        <v>4272</v>
      </c>
      <c r="D1572">
        <v>81000</v>
      </c>
      <c r="E1572" s="1">
        <f t="shared" si="48"/>
        <v>0.385714285714286</v>
      </c>
      <c r="F1572">
        <f t="shared" si="49"/>
        <v>97000</v>
      </c>
    </row>
    <row r="1573" spans="1:6">
      <c r="A1573" t="s">
        <v>5685</v>
      </c>
      <c r="B1573" t="s">
        <v>4271</v>
      </c>
      <c r="C1573" t="s">
        <v>4272</v>
      </c>
      <c r="D1573">
        <v>81000</v>
      </c>
      <c r="E1573" s="1">
        <f t="shared" si="48"/>
        <v>0.385714285714286</v>
      </c>
      <c r="F1573">
        <f t="shared" si="49"/>
        <v>97000</v>
      </c>
    </row>
    <row r="1574" spans="1:6">
      <c r="A1574" t="s">
        <v>5686</v>
      </c>
      <c r="B1574" t="s">
        <v>4271</v>
      </c>
      <c r="C1574" t="s">
        <v>4272</v>
      </c>
      <c r="D1574">
        <v>61000</v>
      </c>
      <c r="E1574" s="1">
        <f t="shared" si="48"/>
        <v>0.29047619047619</v>
      </c>
      <c r="F1574">
        <f t="shared" si="49"/>
        <v>73000</v>
      </c>
    </row>
    <row r="1575" spans="1:6">
      <c r="A1575" t="s">
        <v>5687</v>
      </c>
      <c r="B1575" t="s">
        <v>4271</v>
      </c>
      <c r="C1575" t="s">
        <v>4272</v>
      </c>
      <c r="D1575">
        <v>61000</v>
      </c>
      <c r="E1575" s="1">
        <f t="shared" si="48"/>
        <v>0.29047619047619</v>
      </c>
      <c r="F1575">
        <f t="shared" si="49"/>
        <v>73000</v>
      </c>
    </row>
    <row r="1576" spans="1:6">
      <c r="A1576" t="s">
        <v>5688</v>
      </c>
      <c r="B1576" t="s">
        <v>4271</v>
      </c>
      <c r="C1576" t="s">
        <v>4272</v>
      </c>
      <c r="D1576">
        <v>81000</v>
      </c>
      <c r="E1576" s="1">
        <f t="shared" si="48"/>
        <v>0.385714285714286</v>
      </c>
      <c r="F1576">
        <f t="shared" si="49"/>
        <v>97000</v>
      </c>
    </row>
    <row r="1577" spans="1:6">
      <c r="A1577" t="s">
        <v>5689</v>
      </c>
      <c r="B1577" t="s">
        <v>4271</v>
      </c>
      <c r="C1577" t="s">
        <v>4272</v>
      </c>
      <c r="D1577">
        <v>142000</v>
      </c>
      <c r="E1577" s="1">
        <f t="shared" si="48"/>
        <v>0.676190476190476</v>
      </c>
      <c r="F1577">
        <f t="shared" si="49"/>
        <v>170000</v>
      </c>
    </row>
    <row r="1578" spans="1:6">
      <c r="A1578" t="s">
        <v>5690</v>
      </c>
      <c r="B1578" t="s">
        <v>4271</v>
      </c>
      <c r="C1578" t="s">
        <v>4272</v>
      </c>
      <c r="D1578">
        <v>1010000</v>
      </c>
      <c r="E1578" s="1">
        <f t="shared" si="48"/>
        <v>4.80952380952381</v>
      </c>
      <c r="F1578">
        <f t="shared" si="49"/>
        <v>1203000</v>
      </c>
    </row>
    <row r="1579" spans="1:6">
      <c r="A1579" t="s">
        <v>5691</v>
      </c>
      <c r="B1579" t="s">
        <v>4105</v>
      </c>
      <c r="C1579" t="s">
        <v>4106</v>
      </c>
      <c r="D1579">
        <v>51000</v>
      </c>
      <c r="E1579" s="1">
        <f t="shared" si="48"/>
        <v>0.242857142857143</v>
      </c>
      <c r="F1579">
        <f t="shared" si="49"/>
        <v>61000</v>
      </c>
    </row>
    <row r="1580" spans="1:6">
      <c r="A1580" t="s">
        <v>5692</v>
      </c>
      <c r="B1580" t="s">
        <v>4265</v>
      </c>
      <c r="C1580" t="s">
        <v>4266</v>
      </c>
      <c r="D1580">
        <v>404000</v>
      </c>
      <c r="E1580" s="1">
        <f t="shared" si="48"/>
        <v>1.92380952380952</v>
      </c>
      <c r="F1580">
        <f t="shared" si="49"/>
        <v>481000</v>
      </c>
    </row>
    <row r="1581" spans="1:6">
      <c r="A1581" t="s">
        <v>5693</v>
      </c>
      <c r="B1581" t="s">
        <v>4265</v>
      </c>
      <c r="C1581" t="s">
        <v>4266</v>
      </c>
      <c r="D1581">
        <v>444000</v>
      </c>
      <c r="E1581" s="1">
        <f t="shared" si="48"/>
        <v>2.11428571428571</v>
      </c>
      <c r="F1581">
        <f t="shared" si="49"/>
        <v>529000</v>
      </c>
    </row>
    <row r="1582" spans="1:6">
      <c r="A1582" t="s">
        <v>5694</v>
      </c>
      <c r="B1582" t="s">
        <v>4265</v>
      </c>
      <c r="C1582" t="s">
        <v>4266</v>
      </c>
      <c r="D1582">
        <v>424000</v>
      </c>
      <c r="E1582" s="1">
        <f t="shared" si="48"/>
        <v>2.01904761904762</v>
      </c>
      <c r="F1582">
        <f t="shared" si="49"/>
        <v>505000</v>
      </c>
    </row>
    <row r="1583" spans="1:6">
      <c r="A1583" t="s">
        <v>5695</v>
      </c>
      <c r="B1583" t="s">
        <v>4265</v>
      </c>
      <c r="C1583" t="s">
        <v>4266</v>
      </c>
      <c r="D1583">
        <v>323000</v>
      </c>
      <c r="E1583" s="1">
        <f t="shared" si="48"/>
        <v>1.53809523809524</v>
      </c>
      <c r="F1583">
        <f t="shared" si="49"/>
        <v>385000</v>
      </c>
    </row>
    <row r="1584" spans="1:6">
      <c r="A1584" t="s">
        <v>5696</v>
      </c>
      <c r="B1584" t="s">
        <v>4265</v>
      </c>
      <c r="C1584" t="s">
        <v>4266</v>
      </c>
      <c r="D1584">
        <v>384000</v>
      </c>
      <c r="E1584" s="1">
        <f t="shared" si="48"/>
        <v>1.82857142857143</v>
      </c>
      <c r="F1584">
        <f t="shared" si="49"/>
        <v>458000</v>
      </c>
    </row>
    <row r="1585" spans="1:6">
      <c r="A1585" t="s">
        <v>5697</v>
      </c>
      <c r="B1585" t="s">
        <v>4265</v>
      </c>
      <c r="C1585" t="s">
        <v>4266</v>
      </c>
      <c r="D1585">
        <v>303000</v>
      </c>
      <c r="E1585" s="1">
        <f t="shared" si="48"/>
        <v>1.44285714285714</v>
      </c>
      <c r="F1585">
        <f t="shared" si="49"/>
        <v>361000</v>
      </c>
    </row>
    <row r="1586" spans="1:6">
      <c r="A1586" t="s">
        <v>5698</v>
      </c>
      <c r="B1586" t="s">
        <v>4265</v>
      </c>
      <c r="C1586" t="s">
        <v>4266</v>
      </c>
      <c r="D1586">
        <v>404000</v>
      </c>
      <c r="E1586" s="1">
        <f t="shared" si="48"/>
        <v>1.92380952380952</v>
      </c>
      <c r="F1586">
        <f t="shared" si="49"/>
        <v>481000</v>
      </c>
    </row>
    <row r="1587" spans="1:6">
      <c r="A1587" t="s">
        <v>5699</v>
      </c>
      <c r="B1587" t="s">
        <v>4265</v>
      </c>
      <c r="C1587" t="s">
        <v>4266</v>
      </c>
      <c r="D1587">
        <v>61000</v>
      </c>
      <c r="E1587" s="1">
        <f t="shared" si="48"/>
        <v>0.29047619047619</v>
      </c>
      <c r="F1587">
        <f t="shared" si="49"/>
        <v>73000</v>
      </c>
    </row>
    <row r="1588" spans="1:6">
      <c r="A1588" t="s">
        <v>5700</v>
      </c>
      <c r="B1588" t="s">
        <v>4265</v>
      </c>
      <c r="C1588" t="s">
        <v>4266</v>
      </c>
      <c r="D1588">
        <v>101000</v>
      </c>
      <c r="E1588" s="1">
        <f t="shared" si="48"/>
        <v>0.480952380952381</v>
      </c>
      <c r="F1588">
        <f t="shared" si="49"/>
        <v>121000</v>
      </c>
    </row>
    <row r="1589" spans="1:6">
      <c r="A1589" t="s">
        <v>5701</v>
      </c>
      <c r="B1589" t="s">
        <v>4265</v>
      </c>
      <c r="C1589" t="s">
        <v>4266</v>
      </c>
      <c r="D1589">
        <v>61000</v>
      </c>
      <c r="E1589" s="1">
        <f t="shared" si="48"/>
        <v>0.29047619047619</v>
      </c>
      <c r="F1589">
        <f t="shared" si="49"/>
        <v>73000</v>
      </c>
    </row>
    <row r="1590" spans="1:6">
      <c r="A1590" t="s">
        <v>5702</v>
      </c>
      <c r="B1590" t="s">
        <v>4265</v>
      </c>
      <c r="C1590" t="s">
        <v>4266</v>
      </c>
      <c r="D1590">
        <v>61000</v>
      </c>
      <c r="E1590" s="1">
        <f t="shared" si="48"/>
        <v>0.29047619047619</v>
      </c>
      <c r="F1590">
        <f t="shared" si="49"/>
        <v>73000</v>
      </c>
    </row>
    <row r="1591" spans="1:6">
      <c r="A1591" t="s">
        <v>5703</v>
      </c>
      <c r="B1591" t="s">
        <v>4265</v>
      </c>
      <c r="C1591" t="s">
        <v>4266</v>
      </c>
      <c r="D1591">
        <v>41000</v>
      </c>
      <c r="E1591" s="1">
        <f t="shared" si="48"/>
        <v>0.195238095238095</v>
      </c>
      <c r="F1591">
        <f t="shared" si="49"/>
        <v>49000</v>
      </c>
    </row>
    <row r="1592" spans="1:6">
      <c r="A1592" t="s">
        <v>5704</v>
      </c>
      <c r="B1592" t="s">
        <v>4265</v>
      </c>
      <c r="C1592" t="s">
        <v>4266</v>
      </c>
      <c r="D1592">
        <v>41000</v>
      </c>
      <c r="E1592" s="1">
        <f t="shared" si="48"/>
        <v>0.195238095238095</v>
      </c>
      <c r="F1592">
        <f t="shared" si="49"/>
        <v>49000</v>
      </c>
    </row>
    <row r="1593" spans="1:6">
      <c r="A1593" t="s">
        <v>5705</v>
      </c>
      <c r="B1593" t="s">
        <v>4265</v>
      </c>
      <c r="C1593" t="s">
        <v>4266</v>
      </c>
      <c r="D1593">
        <v>202000</v>
      </c>
      <c r="E1593" s="1">
        <f t="shared" si="48"/>
        <v>0.961904761904762</v>
      </c>
      <c r="F1593">
        <f t="shared" si="49"/>
        <v>241000</v>
      </c>
    </row>
    <row r="1594" spans="1:6">
      <c r="A1594" t="s">
        <v>5706</v>
      </c>
      <c r="B1594" t="s">
        <v>4265</v>
      </c>
      <c r="C1594" t="s">
        <v>4266</v>
      </c>
      <c r="D1594">
        <v>61000</v>
      </c>
      <c r="E1594" s="1">
        <f t="shared" si="48"/>
        <v>0.29047619047619</v>
      </c>
      <c r="F1594">
        <f t="shared" si="49"/>
        <v>73000</v>
      </c>
    </row>
    <row r="1595" spans="1:6">
      <c r="A1595" t="s">
        <v>5707</v>
      </c>
      <c r="B1595" t="s">
        <v>4265</v>
      </c>
      <c r="C1595" t="s">
        <v>4266</v>
      </c>
      <c r="D1595">
        <v>61000</v>
      </c>
      <c r="E1595" s="1">
        <f t="shared" si="48"/>
        <v>0.29047619047619</v>
      </c>
      <c r="F1595">
        <f t="shared" si="49"/>
        <v>73000</v>
      </c>
    </row>
    <row r="1596" spans="1:6">
      <c r="A1596" t="s">
        <v>5708</v>
      </c>
      <c r="B1596" t="s">
        <v>4265</v>
      </c>
      <c r="C1596" t="s">
        <v>4266</v>
      </c>
      <c r="D1596">
        <v>61000</v>
      </c>
      <c r="E1596" s="1">
        <f t="shared" si="48"/>
        <v>0.29047619047619</v>
      </c>
      <c r="F1596">
        <f t="shared" si="49"/>
        <v>73000</v>
      </c>
    </row>
    <row r="1597" spans="1:6">
      <c r="A1597" t="s">
        <v>5709</v>
      </c>
      <c r="B1597" t="s">
        <v>4265</v>
      </c>
      <c r="C1597" t="s">
        <v>4266</v>
      </c>
      <c r="D1597">
        <v>61000</v>
      </c>
      <c r="E1597" s="1">
        <f t="shared" si="48"/>
        <v>0.29047619047619</v>
      </c>
      <c r="F1597">
        <f t="shared" si="49"/>
        <v>73000</v>
      </c>
    </row>
    <row r="1598" spans="1:6">
      <c r="A1598" t="s">
        <v>5710</v>
      </c>
      <c r="B1598" t="s">
        <v>4265</v>
      </c>
      <c r="C1598" t="s">
        <v>4266</v>
      </c>
      <c r="D1598">
        <v>41000</v>
      </c>
      <c r="E1598" s="1">
        <f t="shared" si="48"/>
        <v>0.195238095238095</v>
      </c>
      <c r="F1598">
        <f t="shared" si="49"/>
        <v>49000</v>
      </c>
    </row>
    <row r="1599" spans="1:6">
      <c r="A1599" t="s">
        <v>5711</v>
      </c>
      <c r="B1599" t="s">
        <v>4265</v>
      </c>
      <c r="C1599" t="s">
        <v>4266</v>
      </c>
      <c r="D1599">
        <v>41000</v>
      </c>
      <c r="E1599" s="1">
        <f t="shared" si="48"/>
        <v>0.195238095238095</v>
      </c>
      <c r="F1599">
        <f t="shared" si="49"/>
        <v>49000</v>
      </c>
    </row>
    <row r="1600" spans="1:6">
      <c r="A1600" t="s">
        <v>5712</v>
      </c>
      <c r="B1600" t="s">
        <v>4265</v>
      </c>
      <c r="C1600" t="s">
        <v>4266</v>
      </c>
      <c r="D1600">
        <v>101000</v>
      </c>
      <c r="E1600" s="1">
        <f t="shared" si="48"/>
        <v>0.480952380952381</v>
      </c>
      <c r="F1600">
        <f t="shared" si="49"/>
        <v>121000</v>
      </c>
    </row>
    <row r="1601" spans="1:6">
      <c r="A1601" t="s">
        <v>5713</v>
      </c>
      <c r="B1601" t="s">
        <v>4265</v>
      </c>
      <c r="C1601" t="s">
        <v>4266</v>
      </c>
      <c r="D1601">
        <v>243000</v>
      </c>
      <c r="E1601" s="1">
        <f t="shared" si="48"/>
        <v>1.15714285714286</v>
      </c>
      <c r="F1601">
        <f t="shared" si="49"/>
        <v>290000</v>
      </c>
    </row>
    <row r="1602" spans="1:6">
      <c r="A1602" t="s">
        <v>5714</v>
      </c>
      <c r="B1602" t="s">
        <v>4265</v>
      </c>
      <c r="C1602" t="s">
        <v>4266</v>
      </c>
      <c r="D1602">
        <v>283000</v>
      </c>
      <c r="E1602" s="1">
        <f t="shared" ref="E1602:E1660" si="50">D1602/210000</f>
        <v>1.34761904761905</v>
      </c>
      <c r="F1602">
        <f t="shared" si="49"/>
        <v>337000</v>
      </c>
    </row>
    <row r="1603" spans="1:6">
      <c r="A1603" t="s">
        <v>5715</v>
      </c>
      <c r="B1603" t="s">
        <v>4265</v>
      </c>
      <c r="C1603" t="s">
        <v>4266</v>
      </c>
      <c r="D1603">
        <v>283000</v>
      </c>
      <c r="E1603" s="1">
        <f t="shared" si="50"/>
        <v>1.34761904761905</v>
      </c>
      <c r="F1603">
        <f t="shared" si="49"/>
        <v>337000</v>
      </c>
    </row>
    <row r="1604" spans="1:6">
      <c r="A1604" t="s">
        <v>5716</v>
      </c>
      <c r="B1604" t="s">
        <v>4265</v>
      </c>
      <c r="C1604" t="s">
        <v>4266</v>
      </c>
      <c r="D1604">
        <v>243000</v>
      </c>
      <c r="E1604" s="1">
        <f t="shared" si="50"/>
        <v>1.15714285714286</v>
      </c>
      <c r="F1604">
        <f t="shared" ref="F1604:F1660" si="51">CEILING(E1604*250000,1000)</f>
        <v>290000</v>
      </c>
    </row>
    <row r="1605" spans="1:6">
      <c r="A1605" t="s">
        <v>5717</v>
      </c>
      <c r="B1605" t="s">
        <v>4265</v>
      </c>
      <c r="C1605" t="s">
        <v>4266</v>
      </c>
      <c r="D1605">
        <v>283000</v>
      </c>
      <c r="E1605" s="1">
        <f t="shared" si="50"/>
        <v>1.34761904761905</v>
      </c>
      <c r="F1605">
        <f t="shared" si="51"/>
        <v>337000</v>
      </c>
    </row>
    <row r="1606" spans="1:6">
      <c r="A1606" t="s">
        <v>5718</v>
      </c>
      <c r="B1606" t="s">
        <v>4265</v>
      </c>
      <c r="C1606" t="s">
        <v>4266</v>
      </c>
      <c r="D1606">
        <v>263000</v>
      </c>
      <c r="E1606" s="1">
        <f t="shared" si="50"/>
        <v>1.25238095238095</v>
      </c>
      <c r="F1606">
        <f t="shared" si="51"/>
        <v>314000</v>
      </c>
    </row>
    <row r="1607" spans="1:6">
      <c r="A1607" t="s">
        <v>5719</v>
      </c>
      <c r="B1607" t="s">
        <v>4265</v>
      </c>
      <c r="C1607" t="s">
        <v>4266</v>
      </c>
      <c r="D1607">
        <v>384000</v>
      </c>
      <c r="E1607" s="1">
        <f t="shared" si="50"/>
        <v>1.82857142857143</v>
      </c>
      <c r="F1607">
        <f t="shared" si="51"/>
        <v>458000</v>
      </c>
    </row>
    <row r="1608" spans="1:6">
      <c r="A1608" t="s">
        <v>5720</v>
      </c>
      <c r="B1608" t="s">
        <v>4265</v>
      </c>
      <c r="C1608" t="s">
        <v>4266</v>
      </c>
      <c r="D1608">
        <v>303000</v>
      </c>
      <c r="E1608" s="1">
        <f t="shared" si="50"/>
        <v>1.44285714285714</v>
      </c>
      <c r="F1608">
        <f t="shared" si="51"/>
        <v>361000</v>
      </c>
    </row>
    <row r="1609" spans="1:6">
      <c r="A1609" t="s">
        <v>5721</v>
      </c>
      <c r="B1609" t="s">
        <v>4265</v>
      </c>
      <c r="C1609" t="s">
        <v>4266</v>
      </c>
      <c r="D1609">
        <v>404000</v>
      </c>
      <c r="E1609" s="1">
        <f t="shared" si="50"/>
        <v>1.92380952380952</v>
      </c>
      <c r="F1609">
        <f t="shared" si="51"/>
        <v>481000</v>
      </c>
    </row>
    <row r="1610" spans="1:6">
      <c r="A1610" t="s">
        <v>5722</v>
      </c>
      <c r="B1610" t="s">
        <v>4265</v>
      </c>
      <c r="C1610" t="s">
        <v>4266</v>
      </c>
      <c r="D1610">
        <v>303000</v>
      </c>
      <c r="E1610" s="1">
        <f t="shared" si="50"/>
        <v>1.44285714285714</v>
      </c>
      <c r="F1610">
        <f t="shared" si="51"/>
        <v>361000</v>
      </c>
    </row>
    <row r="1611" spans="1:6">
      <c r="A1611" t="s">
        <v>5723</v>
      </c>
      <c r="B1611" t="s">
        <v>4265</v>
      </c>
      <c r="C1611" t="s">
        <v>4266</v>
      </c>
      <c r="D1611">
        <v>303000</v>
      </c>
      <c r="E1611" s="1">
        <f t="shared" si="50"/>
        <v>1.44285714285714</v>
      </c>
      <c r="F1611">
        <f t="shared" si="51"/>
        <v>361000</v>
      </c>
    </row>
    <row r="1612" spans="1:6">
      <c r="A1612" t="s">
        <v>5724</v>
      </c>
      <c r="B1612" t="s">
        <v>4265</v>
      </c>
      <c r="C1612" t="s">
        <v>4266</v>
      </c>
      <c r="D1612">
        <v>404000</v>
      </c>
      <c r="E1612" s="1">
        <f t="shared" si="50"/>
        <v>1.92380952380952</v>
      </c>
      <c r="F1612">
        <f t="shared" si="51"/>
        <v>481000</v>
      </c>
    </row>
    <row r="1613" spans="1:6">
      <c r="A1613" t="s">
        <v>5725</v>
      </c>
      <c r="B1613" t="s">
        <v>4265</v>
      </c>
      <c r="C1613" t="s">
        <v>4266</v>
      </c>
      <c r="D1613">
        <v>303000</v>
      </c>
      <c r="E1613" s="1">
        <f t="shared" si="50"/>
        <v>1.44285714285714</v>
      </c>
      <c r="F1613">
        <f t="shared" si="51"/>
        <v>361000</v>
      </c>
    </row>
    <row r="1614" spans="1:6">
      <c r="A1614" t="s">
        <v>5726</v>
      </c>
      <c r="B1614" t="s">
        <v>4265</v>
      </c>
      <c r="C1614" t="s">
        <v>4266</v>
      </c>
      <c r="D1614">
        <v>606000</v>
      </c>
      <c r="E1614" s="1">
        <f t="shared" si="50"/>
        <v>2.88571428571429</v>
      </c>
      <c r="F1614">
        <f t="shared" si="51"/>
        <v>722000</v>
      </c>
    </row>
    <row r="1615" spans="1:6">
      <c r="A1615" t="s">
        <v>5727</v>
      </c>
      <c r="B1615" t="s">
        <v>4265</v>
      </c>
      <c r="C1615" t="s">
        <v>4266</v>
      </c>
      <c r="D1615">
        <v>727000</v>
      </c>
      <c r="E1615" s="1">
        <f t="shared" si="50"/>
        <v>3.46190476190476</v>
      </c>
      <c r="F1615">
        <f t="shared" si="51"/>
        <v>866000</v>
      </c>
    </row>
    <row r="1616" spans="1:6">
      <c r="A1616" t="s">
        <v>5728</v>
      </c>
      <c r="B1616" t="s">
        <v>4265</v>
      </c>
      <c r="C1616" t="s">
        <v>4266</v>
      </c>
      <c r="D1616">
        <v>606000</v>
      </c>
      <c r="E1616" s="1">
        <f t="shared" si="50"/>
        <v>2.88571428571429</v>
      </c>
      <c r="F1616">
        <f t="shared" si="51"/>
        <v>722000</v>
      </c>
    </row>
    <row r="1617" spans="1:6">
      <c r="A1617" t="s">
        <v>5729</v>
      </c>
      <c r="B1617" t="s">
        <v>4265</v>
      </c>
      <c r="C1617" t="s">
        <v>4266</v>
      </c>
      <c r="D1617">
        <v>101000</v>
      </c>
      <c r="E1617" s="1">
        <f t="shared" si="50"/>
        <v>0.480952380952381</v>
      </c>
      <c r="F1617">
        <f t="shared" si="51"/>
        <v>121000</v>
      </c>
    </row>
    <row r="1618" spans="1:6">
      <c r="A1618" t="s">
        <v>5730</v>
      </c>
      <c r="B1618" t="s">
        <v>4265</v>
      </c>
      <c r="C1618" t="s">
        <v>4266</v>
      </c>
      <c r="D1618">
        <v>101000</v>
      </c>
      <c r="E1618" s="1">
        <f t="shared" si="50"/>
        <v>0.480952380952381</v>
      </c>
      <c r="F1618">
        <f t="shared" si="51"/>
        <v>121000</v>
      </c>
    </row>
    <row r="1619" spans="1:6">
      <c r="A1619" t="s">
        <v>5731</v>
      </c>
      <c r="B1619" t="s">
        <v>4265</v>
      </c>
      <c r="C1619" t="s">
        <v>4266</v>
      </c>
      <c r="D1619">
        <v>101000</v>
      </c>
      <c r="E1619" s="1">
        <f t="shared" si="50"/>
        <v>0.480952380952381</v>
      </c>
      <c r="F1619">
        <f t="shared" si="51"/>
        <v>121000</v>
      </c>
    </row>
    <row r="1620" spans="1:6">
      <c r="A1620" t="s">
        <v>5732</v>
      </c>
      <c r="B1620" t="s">
        <v>4265</v>
      </c>
      <c r="C1620" t="s">
        <v>4266</v>
      </c>
      <c r="D1620">
        <v>101000</v>
      </c>
      <c r="E1620" s="1">
        <f t="shared" si="50"/>
        <v>0.480952380952381</v>
      </c>
      <c r="F1620">
        <f t="shared" si="51"/>
        <v>121000</v>
      </c>
    </row>
    <row r="1621" spans="1:6">
      <c r="A1621" t="s">
        <v>5733</v>
      </c>
      <c r="B1621" t="s">
        <v>4265</v>
      </c>
      <c r="C1621" t="s">
        <v>4266</v>
      </c>
      <c r="D1621">
        <v>101000</v>
      </c>
      <c r="E1621" s="1">
        <f t="shared" si="50"/>
        <v>0.480952380952381</v>
      </c>
      <c r="F1621">
        <f t="shared" si="51"/>
        <v>121000</v>
      </c>
    </row>
    <row r="1622" spans="1:6">
      <c r="A1622" t="s">
        <v>5734</v>
      </c>
      <c r="B1622" t="s">
        <v>4265</v>
      </c>
      <c r="C1622" t="s">
        <v>4266</v>
      </c>
      <c r="D1622">
        <v>61000</v>
      </c>
      <c r="E1622" s="1">
        <f t="shared" si="50"/>
        <v>0.29047619047619</v>
      </c>
      <c r="F1622">
        <f t="shared" si="51"/>
        <v>73000</v>
      </c>
    </row>
    <row r="1623" spans="1:6">
      <c r="A1623" t="s">
        <v>5735</v>
      </c>
      <c r="B1623" t="s">
        <v>4265</v>
      </c>
      <c r="C1623" t="s">
        <v>4266</v>
      </c>
      <c r="D1623">
        <v>505000</v>
      </c>
      <c r="E1623" s="1">
        <f t="shared" si="50"/>
        <v>2.4047619047619</v>
      </c>
      <c r="F1623">
        <f t="shared" si="51"/>
        <v>602000</v>
      </c>
    </row>
    <row r="1624" spans="1:6">
      <c r="A1624" t="s">
        <v>5736</v>
      </c>
      <c r="B1624" t="s">
        <v>4265</v>
      </c>
      <c r="C1624" t="s">
        <v>4266</v>
      </c>
      <c r="D1624">
        <v>41000</v>
      </c>
      <c r="E1624" s="1">
        <f t="shared" si="50"/>
        <v>0.195238095238095</v>
      </c>
      <c r="F1624">
        <f t="shared" si="51"/>
        <v>49000</v>
      </c>
    </row>
    <row r="1625" spans="1:6">
      <c r="A1625" t="s">
        <v>5737</v>
      </c>
      <c r="B1625" t="s">
        <v>4265</v>
      </c>
      <c r="C1625" t="s">
        <v>4266</v>
      </c>
      <c r="D1625">
        <v>41000</v>
      </c>
      <c r="E1625" s="1">
        <f t="shared" si="50"/>
        <v>0.195238095238095</v>
      </c>
      <c r="F1625">
        <f t="shared" si="51"/>
        <v>49000</v>
      </c>
    </row>
    <row r="1626" spans="1:6">
      <c r="A1626" t="s">
        <v>5738</v>
      </c>
      <c r="B1626" t="s">
        <v>4265</v>
      </c>
      <c r="C1626" t="s">
        <v>4266</v>
      </c>
      <c r="D1626">
        <v>41000</v>
      </c>
      <c r="E1626" s="1">
        <f t="shared" si="50"/>
        <v>0.195238095238095</v>
      </c>
      <c r="F1626">
        <f t="shared" si="51"/>
        <v>49000</v>
      </c>
    </row>
    <row r="1627" spans="1:6">
      <c r="A1627" t="s">
        <v>5739</v>
      </c>
      <c r="B1627" t="s">
        <v>4265</v>
      </c>
      <c r="C1627" t="s">
        <v>4266</v>
      </c>
      <c r="D1627">
        <v>41000</v>
      </c>
      <c r="E1627" s="1">
        <f t="shared" si="50"/>
        <v>0.195238095238095</v>
      </c>
      <c r="F1627">
        <f t="shared" si="51"/>
        <v>49000</v>
      </c>
    </row>
    <row r="1628" spans="1:6">
      <c r="A1628" t="s">
        <v>5740</v>
      </c>
      <c r="B1628" t="s">
        <v>4265</v>
      </c>
      <c r="C1628" t="s">
        <v>4266</v>
      </c>
      <c r="D1628">
        <v>41000</v>
      </c>
      <c r="E1628" s="1">
        <f t="shared" si="50"/>
        <v>0.195238095238095</v>
      </c>
      <c r="F1628">
        <f t="shared" si="51"/>
        <v>49000</v>
      </c>
    </row>
    <row r="1629" spans="1:6">
      <c r="A1629" t="s">
        <v>5741</v>
      </c>
      <c r="B1629" t="s">
        <v>4265</v>
      </c>
      <c r="C1629" t="s">
        <v>4266</v>
      </c>
      <c r="D1629">
        <v>61000</v>
      </c>
      <c r="E1629" s="1">
        <f t="shared" si="50"/>
        <v>0.29047619047619</v>
      </c>
      <c r="F1629">
        <f t="shared" si="51"/>
        <v>73000</v>
      </c>
    </row>
    <row r="1630" spans="1:6">
      <c r="A1630" t="s">
        <v>5742</v>
      </c>
      <c r="B1630" t="s">
        <v>4265</v>
      </c>
      <c r="C1630" t="s">
        <v>4266</v>
      </c>
      <c r="D1630">
        <v>202000</v>
      </c>
      <c r="E1630" s="1">
        <f t="shared" si="50"/>
        <v>0.961904761904762</v>
      </c>
      <c r="F1630">
        <f t="shared" si="51"/>
        <v>241000</v>
      </c>
    </row>
    <row r="1631" spans="1:6">
      <c r="A1631" t="s">
        <v>5743</v>
      </c>
      <c r="B1631" t="s">
        <v>5744</v>
      </c>
      <c r="C1631" t="s">
        <v>5745</v>
      </c>
      <c r="D1631">
        <v>202000</v>
      </c>
      <c r="E1631" s="1">
        <f t="shared" si="50"/>
        <v>0.961904761904762</v>
      </c>
      <c r="F1631">
        <f t="shared" si="51"/>
        <v>241000</v>
      </c>
    </row>
    <row r="1632" spans="1:6">
      <c r="A1632" t="s">
        <v>5746</v>
      </c>
      <c r="B1632" t="s">
        <v>5744</v>
      </c>
      <c r="C1632" t="s">
        <v>5745</v>
      </c>
      <c r="D1632">
        <v>202000</v>
      </c>
      <c r="E1632" s="1">
        <f t="shared" si="50"/>
        <v>0.961904761904762</v>
      </c>
      <c r="F1632">
        <f t="shared" si="51"/>
        <v>241000</v>
      </c>
    </row>
    <row r="1633" spans="1:6">
      <c r="A1633" t="s">
        <v>5747</v>
      </c>
      <c r="B1633" t="s">
        <v>5744</v>
      </c>
      <c r="C1633" t="s">
        <v>5745</v>
      </c>
      <c r="D1633">
        <v>404000</v>
      </c>
      <c r="E1633" s="1">
        <f t="shared" si="50"/>
        <v>1.92380952380952</v>
      </c>
      <c r="F1633">
        <f t="shared" si="51"/>
        <v>481000</v>
      </c>
    </row>
    <row r="1634" spans="1:6">
      <c r="A1634" t="s">
        <v>5748</v>
      </c>
      <c r="B1634" t="s">
        <v>5744</v>
      </c>
      <c r="C1634" t="s">
        <v>5745</v>
      </c>
      <c r="D1634">
        <v>243000</v>
      </c>
      <c r="E1634" s="1">
        <f t="shared" si="50"/>
        <v>1.15714285714286</v>
      </c>
      <c r="F1634">
        <f t="shared" si="51"/>
        <v>290000</v>
      </c>
    </row>
    <row r="1635" spans="1:6">
      <c r="A1635" t="s">
        <v>5749</v>
      </c>
      <c r="B1635" t="s">
        <v>5744</v>
      </c>
      <c r="C1635" t="s">
        <v>5745</v>
      </c>
      <c r="D1635">
        <v>202000</v>
      </c>
      <c r="E1635" s="1">
        <f t="shared" si="50"/>
        <v>0.961904761904762</v>
      </c>
      <c r="F1635">
        <f t="shared" si="51"/>
        <v>241000</v>
      </c>
    </row>
    <row r="1636" spans="1:6">
      <c r="A1636" t="s">
        <v>5750</v>
      </c>
      <c r="B1636" t="s">
        <v>5744</v>
      </c>
      <c r="C1636" t="s">
        <v>5745</v>
      </c>
      <c r="D1636">
        <v>404000</v>
      </c>
      <c r="E1636" s="1">
        <f t="shared" si="50"/>
        <v>1.92380952380952</v>
      </c>
      <c r="F1636">
        <f t="shared" si="51"/>
        <v>481000</v>
      </c>
    </row>
    <row r="1637" spans="1:6">
      <c r="A1637" t="s">
        <v>5751</v>
      </c>
      <c r="B1637" t="s">
        <v>5744</v>
      </c>
      <c r="C1637" t="s">
        <v>5745</v>
      </c>
      <c r="D1637">
        <v>243000</v>
      </c>
      <c r="E1637" s="1">
        <f t="shared" si="50"/>
        <v>1.15714285714286</v>
      </c>
      <c r="F1637">
        <f t="shared" si="51"/>
        <v>290000</v>
      </c>
    </row>
    <row r="1638" spans="1:6">
      <c r="A1638" t="s">
        <v>5752</v>
      </c>
      <c r="B1638" t="s">
        <v>5744</v>
      </c>
      <c r="C1638" t="s">
        <v>5745</v>
      </c>
      <c r="D1638">
        <v>606000</v>
      </c>
      <c r="E1638" s="1">
        <f t="shared" si="50"/>
        <v>2.88571428571429</v>
      </c>
      <c r="F1638">
        <f t="shared" si="51"/>
        <v>722000</v>
      </c>
    </row>
    <row r="1639" spans="1:6">
      <c r="A1639" t="s">
        <v>5753</v>
      </c>
      <c r="B1639" t="s">
        <v>5744</v>
      </c>
      <c r="C1639" t="s">
        <v>5745</v>
      </c>
      <c r="D1639">
        <v>455000</v>
      </c>
      <c r="E1639" s="1">
        <f t="shared" si="50"/>
        <v>2.16666666666667</v>
      </c>
      <c r="F1639">
        <f t="shared" si="51"/>
        <v>542000</v>
      </c>
    </row>
    <row r="1640" spans="1:6">
      <c r="A1640" t="s">
        <v>5754</v>
      </c>
      <c r="B1640" t="s">
        <v>5744</v>
      </c>
      <c r="C1640" t="s">
        <v>5745</v>
      </c>
      <c r="D1640">
        <v>61000</v>
      </c>
      <c r="E1640" s="1">
        <f t="shared" si="50"/>
        <v>0.29047619047619</v>
      </c>
      <c r="F1640">
        <f t="shared" si="51"/>
        <v>73000</v>
      </c>
    </row>
    <row r="1641" spans="1:6">
      <c r="A1641" t="s">
        <v>5755</v>
      </c>
      <c r="B1641" t="s">
        <v>5744</v>
      </c>
      <c r="C1641" t="s">
        <v>5745</v>
      </c>
      <c r="D1641">
        <v>202000</v>
      </c>
      <c r="E1641" s="1">
        <f t="shared" si="50"/>
        <v>0.961904761904762</v>
      </c>
      <c r="F1641">
        <f t="shared" si="51"/>
        <v>241000</v>
      </c>
    </row>
    <row r="1642" spans="1:6">
      <c r="A1642" t="s">
        <v>5756</v>
      </c>
      <c r="B1642" t="s">
        <v>5744</v>
      </c>
      <c r="C1642" t="s">
        <v>5745</v>
      </c>
      <c r="D1642">
        <v>101000</v>
      </c>
      <c r="E1642" s="1">
        <f t="shared" si="50"/>
        <v>0.480952380952381</v>
      </c>
      <c r="F1642">
        <f t="shared" si="51"/>
        <v>121000</v>
      </c>
    </row>
    <row r="1643" spans="1:6">
      <c r="A1643" t="s">
        <v>5757</v>
      </c>
      <c r="B1643" t="s">
        <v>5744</v>
      </c>
      <c r="C1643" t="s">
        <v>5745</v>
      </c>
      <c r="D1643">
        <v>61000</v>
      </c>
      <c r="E1643" s="1">
        <f t="shared" si="50"/>
        <v>0.29047619047619</v>
      </c>
      <c r="F1643">
        <f t="shared" si="51"/>
        <v>73000</v>
      </c>
    </row>
    <row r="1644" spans="1:6">
      <c r="A1644" t="s">
        <v>5758</v>
      </c>
      <c r="B1644" t="s">
        <v>5744</v>
      </c>
      <c r="C1644" t="s">
        <v>5745</v>
      </c>
      <c r="D1644">
        <v>202000</v>
      </c>
      <c r="E1644" s="1">
        <f t="shared" si="50"/>
        <v>0.961904761904762</v>
      </c>
      <c r="F1644">
        <f t="shared" si="51"/>
        <v>241000</v>
      </c>
    </row>
    <row r="1645" spans="1:6">
      <c r="A1645" t="s">
        <v>5759</v>
      </c>
      <c r="B1645" t="s">
        <v>5744</v>
      </c>
      <c r="C1645" t="s">
        <v>5745</v>
      </c>
      <c r="D1645">
        <v>101000</v>
      </c>
      <c r="E1645" s="1">
        <f t="shared" si="50"/>
        <v>0.480952380952381</v>
      </c>
      <c r="F1645">
        <f t="shared" si="51"/>
        <v>121000</v>
      </c>
    </row>
    <row r="1646" spans="1:6">
      <c r="A1646" t="s">
        <v>5760</v>
      </c>
      <c r="B1646" t="s">
        <v>5744</v>
      </c>
      <c r="C1646" t="s">
        <v>5745</v>
      </c>
      <c r="D1646">
        <v>101000</v>
      </c>
      <c r="E1646" s="1">
        <f t="shared" si="50"/>
        <v>0.480952380952381</v>
      </c>
      <c r="F1646">
        <f t="shared" si="51"/>
        <v>121000</v>
      </c>
    </row>
    <row r="1647" spans="1:6">
      <c r="A1647" t="s">
        <v>5761</v>
      </c>
      <c r="B1647" t="s">
        <v>4105</v>
      </c>
      <c r="C1647" t="s">
        <v>4106</v>
      </c>
      <c r="D1647">
        <v>354000</v>
      </c>
      <c r="E1647" s="1">
        <f t="shared" si="50"/>
        <v>1.68571428571429</v>
      </c>
      <c r="F1647">
        <f t="shared" si="51"/>
        <v>422000</v>
      </c>
    </row>
    <row r="1648" spans="1:6">
      <c r="A1648" t="s">
        <v>5762</v>
      </c>
      <c r="B1648" t="s">
        <v>4105</v>
      </c>
      <c r="C1648" t="s">
        <v>4106</v>
      </c>
      <c r="D1648">
        <v>253000</v>
      </c>
      <c r="E1648" s="1">
        <f t="shared" si="50"/>
        <v>1.2047619047619</v>
      </c>
      <c r="F1648">
        <f t="shared" si="51"/>
        <v>302000</v>
      </c>
    </row>
    <row r="1649" spans="1:6">
      <c r="A1649" t="s">
        <v>5763</v>
      </c>
      <c r="B1649" t="s">
        <v>4105</v>
      </c>
      <c r="C1649" t="s">
        <v>4106</v>
      </c>
      <c r="D1649">
        <v>101000</v>
      </c>
      <c r="E1649" s="1">
        <f t="shared" si="50"/>
        <v>0.480952380952381</v>
      </c>
      <c r="F1649">
        <f t="shared" si="51"/>
        <v>121000</v>
      </c>
    </row>
    <row r="1650" spans="1:6">
      <c r="A1650" t="s">
        <v>5764</v>
      </c>
      <c r="B1650" t="s">
        <v>4105</v>
      </c>
      <c r="C1650" t="s">
        <v>4106</v>
      </c>
      <c r="D1650">
        <v>306000</v>
      </c>
      <c r="E1650" s="1">
        <f t="shared" si="50"/>
        <v>1.45714285714286</v>
      </c>
      <c r="F1650">
        <f t="shared" si="51"/>
        <v>365000</v>
      </c>
    </row>
    <row r="1651" spans="1:6">
      <c r="A1651" t="s">
        <v>5765</v>
      </c>
      <c r="B1651" t="s">
        <v>4105</v>
      </c>
      <c r="C1651" t="s">
        <v>4106</v>
      </c>
      <c r="D1651">
        <v>303000</v>
      </c>
      <c r="E1651" s="1">
        <f t="shared" si="50"/>
        <v>1.44285714285714</v>
      </c>
      <c r="F1651">
        <f t="shared" si="51"/>
        <v>361000</v>
      </c>
    </row>
    <row r="1652" spans="1:6">
      <c r="A1652" t="s">
        <v>5766</v>
      </c>
      <c r="B1652" t="s">
        <v>4105</v>
      </c>
      <c r="C1652" t="s">
        <v>4106</v>
      </c>
      <c r="D1652">
        <v>202000</v>
      </c>
      <c r="E1652" s="1">
        <f t="shared" si="50"/>
        <v>0.961904761904762</v>
      </c>
      <c r="F1652">
        <f t="shared" si="51"/>
        <v>241000</v>
      </c>
    </row>
    <row r="1653" spans="1:6">
      <c r="A1653" t="s">
        <v>5767</v>
      </c>
      <c r="B1653" t="s">
        <v>4105</v>
      </c>
      <c r="C1653" t="s">
        <v>4106</v>
      </c>
      <c r="D1653">
        <v>404000</v>
      </c>
      <c r="E1653" s="1">
        <f t="shared" si="50"/>
        <v>1.92380952380952</v>
      </c>
      <c r="F1653">
        <f t="shared" si="51"/>
        <v>481000</v>
      </c>
    </row>
    <row r="1654" spans="1:6">
      <c r="A1654" t="s">
        <v>5768</v>
      </c>
      <c r="B1654" t="s">
        <v>4105</v>
      </c>
      <c r="C1654" t="s">
        <v>4106</v>
      </c>
      <c r="D1654">
        <v>190000</v>
      </c>
      <c r="E1654" s="1">
        <f t="shared" si="50"/>
        <v>0.904761904761905</v>
      </c>
      <c r="F1654">
        <f t="shared" si="51"/>
        <v>227000</v>
      </c>
    </row>
    <row r="1655" spans="1:6">
      <c r="A1655" t="s">
        <v>5769</v>
      </c>
      <c r="B1655" t="s">
        <v>4105</v>
      </c>
      <c r="C1655" t="s">
        <v>4106</v>
      </c>
      <c r="D1655">
        <v>5000</v>
      </c>
      <c r="E1655" s="1">
        <f t="shared" si="50"/>
        <v>0.0238095238095238</v>
      </c>
      <c r="F1655">
        <f t="shared" si="51"/>
        <v>6000</v>
      </c>
    </row>
    <row r="1656" spans="1:6">
      <c r="A1656" t="s">
        <v>5770</v>
      </c>
      <c r="B1656" t="s">
        <v>4105</v>
      </c>
      <c r="C1656" t="s">
        <v>4106</v>
      </c>
      <c r="D1656">
        <v>15000</v>
      </c>
      <c r="E1656" s="1">
        <f t="shared" si="50"/>
        <v>0.0714285714285714</v>
      </c>
      <c r="F1656">
        <f t="shared" si="51"/>
        <v>18000</v>
      </c>
    </row>
    <row r="1657" spans="1:6">
      <c r="A1657" t="s">
        <v>5771</v>
      </c>
      <c r="B1657" t="s">
        <v>4105</v>
      </c>
      <c r="C1657" t="s">
        <v>4106</v>
      </c>
      <c r="D1657">
        <v>234000</v>
      </c>
      <c r="E1657" s="1">
        <f t="shared" si="50"/>
        <v>1.11428571428571</v>
      </c>
      <c r="F1657">
        <f t="shared" si="51"/>
        <v>279000</v>
      </c>
    </row>
    <row r="1658" spans="1:6">
      <c r="A1658" t="s">
        <v>5772</v>
      </c>
      <c r="B1658" t="s">
        <v>4105</v>
      </c>
      <c r="C1658" t="s">
        <v>4106</v>
      </c>
      <c r="D1658">
        <v>311000</v>
      </c>
      <c r="E1658" s="1">
        <f t="shared" si="50"/>
        <v>1.48095238095238</v>
      </c>
      <c r="F1658">
        <f t="shared" si="51"/>
        <v>371000</v>
      </c>
    </row>
    <row r="1659" spans="1:6">
      <c r="A1659" t="s">
        <v>5773</v>
      </c>
      <c r="B1659" t="s">
        <v>4105</v>
      </c>
      <c r="C1659" t="s">
        <v>4106</v>
      </c>
      <c r="D1659">
        <v>249000</v>
      </c>
      <c r="E1659" s="1">
        <f t="shared" si="50"/>
        <v>1.18571428571429</v>
      </c>
      <c r="F1659">
        <f t="shared" si="51"/>
        <v>297000</v>
      </c>
    </row>
    <row r="1660" spans="1:6">
      <c r="A1660" t="s">
        <v>5774</v>
      </c>
      <c r="B1660" t="s">
        <v>4105</v>
      </c>
      <c r="C1660" t="s">
        <v>4106</v>
      </c>
      <c r="D1660">
        <v>303000</v>
      </c>
      <c r="E1660" s="1">
        <f t="shared" si="50"/>
        <v>1.44285714285714</v>
      </c>
      <c r="F1660">
        <f t="shared" si="51"/>
        <v>361000</v>
      </c>
    </row>
  </sheetData>
  <autoFilter xmlns:etc="http://www.wps.cn/officeDocument/2017/etCustomData" ref="A1:E166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20260228波箱油&amp;刹车油售价&amp;订单</vt:lpstr>
      <vt:lpstr>ITEM</vt:lpstr>
      <vt:lpstr>25-03</vt:lpstr>
      <vt:lpstr>25-04</vt:lpstr>
      <vt:lpstr>25-05</vt:lpstr>
      <vt:lpstr>26-06</vt:lpstr>
      <vt:lpstr>25-07</vt:lpstr>
      <vt:lpstr>25-08</vt:lpstr>
      <vt:lpstr>25-09</vt:lpstr>
      <vt:lpstr>25-10</vt:lpstr>
      <vt:lpstr>25-11</vt:lpstr>
      <vt:lpstr>25-12</vt:lpstr>
      <vt:lpstr>26-01</vt:lpstr>
      <vt:lpstr>26-02</vt:lpstr>
      <vt:lpstr>BCS-1-KLG</vt:lpstr>
      <vt:lpstr>BCS-2 PIK 2</vt:lpstr>
      <vt:lpstr>BCS HO</vt:lpstr>
      <vt:lpstr>list Jasa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Kastawinata</dc:creator>
  <cp:lastModifiedBy>Texas ！</cp:lastModifiedBy>
  <dcterms:created xsi:type="dcterms:W3CDTF">2025-04-14T15:31:00Z</dcterms:created>
  <cp:lastPrinted>2025-04-28T16:20:00Z</cp:lastPrinted>
  <dcterms:modified xsi:type="dcterms:W3CDTF">2026-03-29T10:27:20Z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660823782AB542A4AC03F45100E7DA22_13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